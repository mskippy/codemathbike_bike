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E2F84A13-8917-4216-9119-36C70B822CC8}" xr6:coauthVersionLast="47" xr6:coauthVersionMax="47" xr10:uidLastSave="{00000000-0000-0000-0000-000000000000}"/>
  <bookViews>
    <workbookView xWindow="-108" yWindow="-108" windowWidth="23256" windowHeight="13896" activeTab="1" xr2:uid="{E4CCCC36-747C-4C6A-A938-400850181E6F}"/>
  </bookViews>
  <sheets>
    <sheet name="helper" sheetId="1" r:id="rId1"/>
    <sheet name="Individual Results" sheetId="2" r:id="rId2"/>
    <sheet name="Enduro" sheetId="6" r:id="rId3"/>
    <sheet name="TeamPoints" sheetId="4" r:id="rId4"/>
    <sheet name="For Print" sheetId="5" r:id="rId5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9" i="2" l="1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F89" i="2"/>
  <c r="H89" i="2"/>
  <c r="J89" i="2"/>
  <c r="L89" i="2"/>
  <c r="N89" i="2"/>
  <c r="P89" i="2"/>
  <c r="F88" i="2"/>
  <c r="H88" i="2"/>
  <c r="J88" i="2"/>
  <c r="L88" i="2"/>
  <c r="N88" i="2"/>
  <c r="P88" i="2"/>
  <c r="R88" i="2"/>
  <c r="F87" i="2"/>
  <c r="H87" i="2"/>
  <c r="J87" i="2"/>
  <c r="L87" i="2"/>
  <c r="N87" i="2"/>
  <c r="P87" i="2"/>
  <c r="R87" i="2" l="1"/>
  <c r="R89" i="2"/>
  <c r="Q89" i="2"/>
  <c r="Q88" i="2"/>
  <c r="Q87" i="2"/>
  <c r="F328" i="2" l="1"/>
  <c r="H328" i="2"/>
  <c r="J328" i="2"/>
  <c r="L328" i="2"/>
  <c r="N328" i="2"/>
  <c r="P328" i="2"/>
  <c r="H5" i="2"/>
  <c r="H6" i="2"/>
  <c r="H7" i="2"/>
  <c r="H8" i="2"/>
  <c r="H9" i="2"/>
  <c r="P77" i="2"/>
  <c r="P12" i="2"/>
  <c r="P11" i="2"/>
  <c r="P10" i="2"/>
  <c r="P7" i="2"/>
  <c r="P3" i="2"/>
  <c r="P4" i="2"/>
  <c r="P6" i="2"/>
  <c r="P8" i="2"/>
  <c r="P9" i="2"/>
  <c r="P5" i="2"/>
  <c r="P80" i="2"/>
  <c r="P82" i="2"/>
  <c r="P83" i="2"/>
  <c r="P78" i="2"/>
  <c r="P86" i="2"/>
  <c r="P79" i="2"/>
  <c r="P85" i="2"/>
  <c r="P143" i="2"/>
  <c r="P145" i="2"/>
  <c r="P140" i="2"/>
  <c r="P142" i="2"/>
  <c r="P141" i="2"/>
  <c r="P144" i="2"/>
  <c r="P160" i="2"/>
  <c r="P166" i="2"/>
  <c r="P169" i="2"/>
  <c r="P164" i="2"/>
  <c r="P161" i="2"/>
  <c r="P163" i="2"/>
  <c r="P162" i="2"/>
  <c r="P168" i="2"/>
  <c r="P219" i="2"/>
  <c r="P220" i="2"/>
  <c r="P221" i="2"/>
  <c r="P218" i="2"/>
  <c r="P222" i="2"/>
  <c r="P239" i="2"/>
  <c r="P238" i="2"/>
  <c r="P240" i="2"/>
  <c r="P243" i="2"/>
  <c r="P241" i="2"/>
  <c r="P237" i="2"/>
  <c r="P235" i="2"/>
  <c r="P332" i="2"/>
  <c r="P14" i="2"/>
  <c r="P13" i="2"/>
  <c r="P92" i="2"/>
  <c r="P90" i="2"/>
  <c r="P91" i="2"/>
  <c r="P93" i="2"/>
  <c r="P171" i="2"/>
  <c r="P223" i="2"/>
  <c r="P244" i="2"/>
  <c r="P245" i="2"/>
  <c r="P94" i="2"/>
  <c r="P246" i="2"/>
  <c r="P247" i="2"/>
  <c r="P248" i="2"/>
  <c r="P249" i="2"/>
  <c r="P333" i="2"/>
  <c r="P18" i="2"/>
  <c r="P17" i="2"/>
  <c r="P250" i="2"/>
  <c r="P96" i="2"/>
  <c r="P173" i="2"/>
  <c r="P172" i="2"/>
  <c r="P256" i="2"/>
  <c r="P254" i="2"/>
  <c r="P253" i="2"/>
  <c r="P255" i="2"/>
  <c r="P257" i="2"/>
  <c r="P336" i="2"/>
  <c r="P335" i="2"/>
  <c r="P337" i="2"/>
  <c r="P334" i="2"/>
  <c r="P20" i="2"/>
  <c r="P19" i="2"/>
  <c r="P258" i="2"/>
  <c r="P22" i="2"/>
  <c r="P23" i="2"/>
  <c r="P26" i="2"/>
  <c r="P66" i="2"/>
  <c r="P65" i="2"/>
  <c r="P97" i="2"/>
  <c r="P224" i="2"/>
  <c r="P259" i="2"/>
  <c r="P260" i="2"/>
  <c r="P28" i="2"/>
  <c r="P27" i="2"/>
  <c r="P98" i="2"/>
  <c r="P177" i="2"/>
  <c r="P174" i="2"/>
  <c r="P175" i="2"/>
  <c r="P176" i="2"/>
  <c r="P262" i="2"/>
  <c r="P32" i="2"/>
  <c r="P30" i="2"/>
  <c r="P29" i="2"/>
  <c r="P67" i="2"/>
  <c r="P68" i="2"/>
  <c r="P69" i="2"/>
  <c r="P179" i="2"/>
  <c r="P180" i="2"/>
  <c r="P178" i="2"/>
  <c r="P35" i="2"/>
  <c r="P34" i="2"/>
  <c r="P33" i="2"/>
  <c r="P146" i="2"/>
  <c r="P100" i="2"/>
  <c r="P101" i="2"/>
  <c r="P99" i="2"/>
  <c r="P181" i="2"/>
  <c r="P263" i="2"/>
  <c r="P264" i="2"/>
  <c r="P39" i="2"/>
  <c r="P36" i="2"/>
  <c r="P37" i="2"/>
  <c r="P38" i="2"/>
  <c r="P106" i="2"/>
  <c r="P104" i="2"/>
  <c r="P105" i="2"/>
  <c r="P108" i="2"/>
  <c r="P103" i="2"/>
  <c r="P102" i="2"/>
  <c r="P185" i="2"/>
  <c r="P182" i="2"/>
  <c r="P184" i="2"/>
  <c r="P183" i="2"/>
  <c r="P270" i="2"/>
  <c r="P269" i="2"/>
  <c r="P271" i="2"/>
  <c r="P275" i="2"/>
  <c r="P266" i="2"/>
  <c r="P274" i="2"/>
  <c r="P272" i="2"/>
  <c r="P267" i="2"/>
  <c r="P273" i="2"/>
  <c r="P339" i="2"/>
  <c r="P112" i="2"/>
  <c r="P114" i="2"/>
  <c r="P110" i="2"/>
  <c r="P111" i="2"/>
  <c r="P113" i="2"/>
  <c r="P109" i="2"/>
  <c r="P115" i="2"/>
  <c r="P148" i="2"/>
  <c r="P147" i="2"/>
  <c r="P149" i="2"/>
  <c r="P281" i="2"/>
  <c r="P284" i="2"/>
  <c r="P285" i="2"/>
  <c r="P279" i="2"/>
  <c r="P282" i="2"/>
  <c r="P287" i="2"/>
  <c r="P277" i="2"/>
  <c r="P276" i="2"/>
  <c r="P278" i="2"/>
  <c r="P280" i="2"/>
  <c r="P342" i="2"/>
  <c r="P341" i="2"/>
  <c r="P40" i="2"/>
  <c r="P41" i="2"/>
  <c r="P117" i="2"/>
  <c r="P43" i="2"/>
  <c r="P42" i="2"/>
  <c r="P44" i="2"/>
  <c r="P72" i="2"/>
  <c r="P73" i="2"/>
  <c r="P71" i="2"/>
  <c r="P121" i="2"/>
  <c r="P120" i="2"/>
  <c r="P118" i="2"/>
  <c r="P119" i="2"/>
  <c r="P123" i="2"/>
  <c r="P122" i="2"/>
  <c r="P153" i="2"/>
  <c r="P152" i="2"/>
  <c r="P189" i="2"/>
  <c r="P190" i="2"/>
  <c r="P191" i="2"/>
  <c r="P227" i="2"/>
  <c r="P226" i="2"/>
  <c r="P228" i="2"/>
  <c r="P297" i="2"/>
  <c r="P293" i="2"/>
  <c r="P298" i="2"/>
  <c r="P289" i="2"/>
  <c r="P291" i="2"/>
  <c r="P290" i="2"/>
  <c r="P296" i="2"/>
  <c r="P288" i="2"/>
  <c r="P295" i="2"/>
  <c r="P294" i="2"/>
  <c r="P343" i="2"/>
  <c r="P346" i="2"/>
  <c r="P344" i="2"/>
  <c r="P345" i="2"/>
  <c r="P46" i="2"/>
  <c r="P45" i="2"/>
  <c r="P124" i="2"/>
  <c r="P299" i="2"/>
  <c r="P301" i="2"/>
  <c r="P300" i="2"/>
  <c r="P74" i="2"/>
  <c r="P154" i="2"/>
  <c r="P197" i="2"/>
  <c r="P199" i="2"/>
  <c r="P194" i="2"/>
  <c r="P196" i="2"/>
  <c r="P201" i="2"/>
  <c r="P192" i="2"/>
  <c r="P193" i="2"/>
  <c r="P195" i="2"/>
  <c r="P198" i="2"/>
  <c r="P200" i="2"/>
  <c r="P229" i="2"/>
  <c r="P302" i="2"/>
  <c r="P50" i="2"/>
  <c r="P47" i="2"/>
  <c r="P49" i="2"/>
  <c r="P203" i="2"/>
  <c r="P202" i="2"/>
  <c r="P305" i="2"/>
  <c r="P304" i="2"/>
  <c r="P306" i="2"/>
  <c r="P303" i="2"/>
  <c r="P51" i="2"/>
  <c r="P52" i="2"/>
  <c r="P76" i="2"/>
  <c r="P75" i="2"/>
  <c r="P128" i="2"/>
  <c r="P155" i="2"/>
  <c r="P207" i="2"/>
  <c r="P204" i="2"/>
  <c r="P205" i="2"/>
  <c r="P310" i="2"/>
  <c r="P309" i="2"/>
  <c r="P308" i="2"/>
  <c r="P311" i="2"/>
  <c r="P313" i="2"/>
  <c r="P312" i="2"/>
  <c r="P307" i="2"/>
  <c r="P347" i="2"/>
  <c r="P53" i="2"/>
  <c r="P55" i="2"/>
  <c r="P57" i="2"/>
  <c r="P56" i="2"/>
  <c r="P211" i="2"/>
  <c r="P208" i="2"/>
  <c r="P209" i="2"/>
  <c r="P210" i="2"/>
  <c r="P212" i="2"/>
  <c r="P314" i="2"/>
  <c r="P320" i="2"/>
  <c r="P321" i="2"/>
  <c r="P316" i="2"/>
  <c r="P318" i="2"/>
  <c r="P319" i="2"/>
  <c r="P315" i="2"/>
  <c r="P317" i="2"/>
  <c r="P348" i="2"/>
  <c r="P58" i="2"/>
  <c r="P214" i="2"/>
  <c r="P213" i="2"/>
  <c r="P322" i="2"/>
  <c r="P323" i="2"/>
  <c r="P63" i="2"/>
  <c r="P60" i="2"/>
  <c r="P62" i="2"/>
  <c r="P61" i="2"/>
  <c r="P133" i="2"/>
  <c r="P138" i="2"/>
  <c r="P136" i="2"/>
  <c r="P137" i="2"/>
  <c r="P134" i="2"/>
  <c r="P130" i="2"/>
  <c r="P135" i="2"/>
  <c r="P158" i="2"/>
  <c r="P156" i="2"/>
  <c r="P157" i="2"/>
  <c r="P232" i="2"/>
  <c r="P233" i="2"/>
  <c r="P231" i="2"/>
  <c r="P234" i="2"/>
  <c r="P230" i="2"/>
  <c r="P327" i="2"/>
  <c r="P326" i="2"/>
  <c r="P325" i="2"/>
  <c r="P324" i="2"/>
  <c r="P350" i="2"/>
  <c r="P64" i="2"/>
  <c r="P139" i="2"/>
  <c r="P159" i="2"/>
  <c r="P216" i="2"/>
  <c r="P215" i="2"/>
  <c r="P217" i="2"/>
  <c r="P330" i="2"/>
  <c r="P329" i="2"/>
  <c r="P352" i="2"/>
  <c r="P353" i="2"/>
  <c r="N2" i="2"/>
  <c r="N77" i="2"/>
  <c r="N331" i="2"/>
  <c r="N12" i="2"/>
  <c r="N11" i="2"/>
  <c r="N10" i="2"/>
  <c r="N7" i="2"/>
  <c r="N3" i="2"/>
  <c r="N4" i="2"/>
  <c r="N6" i="2"/>
  <c r="N8" i="2"/>
  <c r="N9" i="2"/>
  <c r="N5" i="2"/>
  <c r="N80" i="2"/>
  <c r="N82" i="2"/>
  <c r="N83" i="2"/>
  <c r="N84" i="2"/>
  <c r="N81" i="2"/>
  <c r="N78" i="2"/>
  <c r="N86" i="2"/>
  <c r="N79" i="2"/>
  <c r="N85" i="2"/>
  <c r="N143" i="2"/>
  <c r="N145" i="2"/>
  <c r="N140" i="2"/>
  <c r="N142" i="2"/>
  <c r="N141" i="2"/>
  <c r="N144" i="2"/>
  <c r="N160" i="2"/>
  <c r="N166" i="2"/>
  <c r="N169" i="2"/>
  <c r="N164" i="2"/>
  <c r="N165" i="2"/>
  <c r="N167" i="2"/>
  <c r="N170" i="2"/>
  <c r="N161" i="2"/>
  <c r="N163" i="2"/>
  <c r="N162" i="2"/>
  <c r="N168" i="2"/>
  <c r="N219" i="2"/>
  <c r="N220" i="2"/>
  <c r="N221" i="2"/>
  <c r="N218" i="2"/>
  <c r="N222" i="2"/>
  <c r="N239" i="2"/>
  <c r="N238" i="2"/>
  <c r="N240" i="2"/>
  <c r="N243" i="2"/>
  <c r="N236" i="2"/>
  <c r="N242" i="2"/>
  <c r="N241" i="2"/>
  <c r="N237" i="2"/>
  <c r="N235" i="2"/>
  <c r="N332" i="2"/>
  <c r="N13" i="2"/>
  <c r="N92" i="2"/>
  <c r="N90" i="2"/>
  <c r="N91" i="2"/>
  <c r="N93" i="2"/>
  <c r="N171" i="2"/>
  <c r="N223" i="2"/>
  <c r="N244" i="2"/>
  <c r="N245" i="2"/>
  <c r="N15" i="2"/>
  <c r="N16" i="2"/>
  <c r="N95" i="2"/>
  <c r="N94" i="2"/>
  <c r="N246" i="2"/>
  <c r="N247" i="2"/>
  <c r="N249" i="2"/>
  <c r="N333" i="2"/>
  <c r="N18" i="2"/>
  <c r="N17" i="2"/>
  <c r="N250" i="2"/>
  <c r="N96" i="2"/>
  <c r="N173" i="2"/>
  <c r="N172" i="2"/>
  <c r="N256" i="2"/>
  <c r="N252" i="2"/>
  <c r="N251" i="2"/>
  <c r="N254" i="2"/>
  <c r="N253" i="2"/>
  <c r="N336" i="2"/>
  <c r="N335" i="2"/>
  <c r="N337" i="2"/>
  <c r="N334" i="2"/>
  <c r="N20" i="2"/>
  <c r="N19" i="2"/>
  <c r="N258" i="2"/>
  <c r="N22" i="2"/>
  <c r="N23" i="2"/>
  <c r="N26" i="2"/>
  <c r="N24" i="2"/>
  <c r="N25" i="2"/>
  <c r="N21" i="2"/>
  <c r="N66" i="2"/>
  <c r="N224" i="2"/>
  <c r="N260" i="2"/>
  <c r="N28" i="2"/>
  <c r="N27" i="2"/>
  <c r="N98" i="2"/>
  <c r="N177" i="2"/>
  <c r="N174" i="2"/>
  <c r="N175" i="2"/>
  <c r="N176" i="2"/>
  <c r="N225" i="2"/>
  <c r="N262" i="2"/>
  <c r="N261" i="2"/>
  <c r="N31" i="2"/>
  <c r="N32" i="2"/>
  <c r="N30" i="2"/>
  <c r="N29" i="2"/>
  <c r="N67" i="2"/>
  <c r="N68" i="2"/>
  <c r="N69" i="2"/>
  <c r="N179" i="2"/>
  <c r="N180" i="2"/>
  <c r="N178" i="2"/>
  <c r="N35" i="2"/>
  <c r="N34" i="2"/>
  <c r="N33" i="2"/>
  <c r="N70" i="2"/>
  <c r="N146" i="2"/>
  <c r="N100" i="2"/>
  <c r="N101" i="2"/>
  <c r="N99" i="2"/>
  <c r="N263" i="2"/>
  <c r="N264" i="2"/>
  <c r="N39" i="2"/>
  <c r="N36" i="2"/>
  <c r="N37" i="2"/>
  <c r="N38" i="2"/>
  <c r="N106" i="2"/>
  <c r="N104" i="2"/>
  <c r="N105" i="2"/>
  <c r="N108" i="2"/>
  <c r="N107" i="2"/>
  <c r="N103" i="2"/>
  <c r="N102" i="2"/>
  <c r="N185" i="2"/>
  <c r="N182" i="2"/>
  <c r="N184" i="2"/>
  <c r="N270" i="2"/>
  <c r="N269" i="2"/>
  <c r="N271" i="2"/>
  <c r="N275" i="2"/>
  <c r="N266" i="2"/>
  <c r="N274" i="2"/>
  <c r="N272" i="2"/>
  <c r="N267" i="2"/>
  <c r="N273" i="2"/>
  <c r="N265" i="2"/>
  <c r="N268" i="2"/>
  <c r="N338" i="2"/>
  <c r="N340" i="2"/>
  <c r="N339" i="2"/>
  <c r="N112" i="2"/>
  <c r="N114" i="2"/>
  <c r="N110" i="2"/>
  <c r="N111" i="2"/>
  <c r="N113" i="2"/>
  <c r="N109" i="2"/>
  <c r="N115" i="2"/>
  <c r="N148" i="2"/>
  <c r="N147" i="2"/>
  <c r="N149" i="2"/>
  <c r="N281" i="2"/>
  <c r="N283" i="2"/>
  <c r="N286" i="2"/>
  <c r="N284" i="2"/>
  <c r="N285" i="2"/>
  <c r="N279" i="2"/>
  <c r="N282" i="2"/>
  <c r="N287" i="2"/>
  <c r="N277" i="2"/>
  <c r="N276" i="2"/>
  <c r="N278" i="2"/>
  <c r="N280" i="2"/>
  <c r="N342" i="2"/>
  <c r="N341" i="2"/>
  <c r="N40" i="2"/>
  <c r="N41" i="2"/>
  <c r="N117" i="2"/>
  <c r="N116" i="2"/>
  <c r="N186" i="2"/>
  <c r="N43" i="2"/>
  <c r="N42" i="2"/>
  <c r="N72" i="2"/>
  <c r="N73" i="2"/>
  <c r="N71" i="2"/>
  <c r="N121" i="2"/>
  <c r="N120" i="2"/>
  <c r="N118" i="2"/>
  <c r="N119" i="2"/>
  <c r="N123" i="2"/>
  <c r="N122" i="2"/>
  <c r="N153" i="2"/>
  <c r="N152" i="2"/>
  <c r="N150" i="2"/>
  <c r="N151" i="2"/>
  <c r="N187" i="2"/>
  <c r="N188" i="2"/>
  <c r="N189" i="2"/>
  <c r="N190" i="2"/>
  <c r="N191" i="2"/>
  <c r="N227" i="2"/>
  <c r="N226" i="2"/>
  <c r="N228" i="2"/>
  <c r="N297" i="2"/>
  <c r="N293" i="2"/>
  <c r="N298" i="2"/>
  <c r="N289" i="2"/>
  <c r="N291" i="2"/>
  <c r="N290" i="2"/>
  <c r="N292" i="2"/>
  <c r="N296" i="2"/>
  <c r="N288" i="2"/>
  <c r="N295" i="2"/>
  <c r="N294" i="2"/>
  <c r="N343" i="2"/>
  <c r="N346" i="2"/>
  <c r="N344" i="2"/>
  <c r="N345" i="2"/>
  <c r="N46" i="2"/>
  <c r="N45" i="2"/>
  <c r="N124" i="2"/>
  <c r="N299" i="2"/>
  <c r="N301" i="2"/>
  <c r="N300" i="2"/>
  <c r="N74" i="2"/>
  <c r="N126" i="2"/>
  <c r="N125" i="2"/>
  <c r="N154" i="2"/>
  <c r="N197" i="2"/>
  <c r="N201" i="2"/>
  <c r="N192" i="2"/>
  <c r="N193" i="2"/>
  <c r="N195" i="2"/>
  <c r="N198" i="2"/>
  <c r="N200" i="2"/>
  <c r="N229" i="2"/>
  <c r="N302" i="2"/>
  <c r="N50" i="2"/>
  <c r="N48" i="2"/>
  <c r="N47" i="2"/>
  <c r="N49" i="2"/>
  <c r="N127" i="2"/>
  <c r="N202" i="2"/>
  <c r="N305" i="2"/>
  <c r="N304" i="2"/>
  <c r="N306" i="2"/>
  <c r="N303" i="2"/>
  <c r="N51" i="2"/>
  <c r="N52" i="2"/>
  <c r="N76" i="2"/>
  <c r="N75" i="2"/>
  <c r="N128" i="2"/>
  <c r="N155" i="2"/>
  <c r="N206" i="2"/>
  <c r="N207" i="2"/>
  <c r="N204" i="2"/>
  <c r="N205" i="2"/>
  <c r="N310" i="2"/>
  <c r="N309" i="2"/>
  <c r="N308" i="2"/>
  <c r="N311" i="2"/>
  <c r="N313" i="2"/>
  <c r="N312" i="2"/>
  <c r="N307" i="2"/>
  <c r="N347" i="2"/>
  <c r="N53" i="2"/>
  <c r="N55" i="2"/>
  <c r="N57" i="2"/>
  <c r="N56" i="2"/>
  <c r="N54" i="2"/>
  <c r="N129" i="2"/>
  <c r="N211" i="2"/>
  <c r="N208" i="2"/>
  <c r="N209" i="2"/>
  <c r="N210" i="2"/>
  <c r="N212" i="2"/>
  <c r="N314" i="2"/>
  <c r="N320" i="2"/>
  <c r="N321" i="2"/>
  <c r="N316" i="2"/>
  <c r="N318" i="2"/>
  <c r="N319" i="2"/>
  <c r="N315" i="2"/>
  <c r="N317" i="2"/>
  <c r="N348" i="2"/>
  <c r="N59" i="2"/>
  <c r="N58" i="2"/>
  <c r="N214" i="2"/>
  <c r="N213" i="2"/>
  <c r="N63" i="2"/>
  <c r="N60" i="2"/>
  <c r="N62" i="2"/>
  <c r="N61" i="2"/>
  <c r="N133" i="2"/>
  <c r="N138" i="2"/>
  <c r="N136" i="2"/>
  <c r="N137" i="2"/>
  <c r="N134" i="2"/>
  <c r="N130" i="2"/>
  <c r="N131" i="2"/>
  <c r="N132" i="2"/>
  <c r="N135" i="2"/>
  <c r="N158" i="2"/>
  <c r="N156" i="2"/>
  <c r="N157" i="2"/>
  <c r="N232" i="2"/>
  <c r="N233" i="2"/>
  <c r="N231" i="2"/>
  <c r="N234" i="2"/>
  <c r="N230" i="2"/>
  <c r="N327" i="2"/>
  <c r="N326" i="2"/>
  <c r="N325" i="2"/>
  <c r="N324" i="2"/>
  <c r="N350" i="2"/>
  <c r="N351" i="2"/>
  <c r="N349" i="2"/>
  <c r="N64" i="2"/>
  <c r="N139" i="2"/>
  <c r="N159" i="2"/>
  <c r="N216" i="2"/>
  <c r="N215" i="2"/>
  <c r="N217" i="2"/>
  <c r="N330" i="2"/>
  <c r="N329" i="2"/>
  <c r="N352" i="2"/>
  <c r="N353" i="2"/>
  <c r="L2" i="2"/>
  <c r="L77" i="2"/>
  <c r="L331" i="2"/>
  <c r="L12" i="2"/>
  <c r="L11" i="2"/>
  <c r="L10" i="2"/>
  <c r="L7" i="2"/>
  <c r="L3" i="2"/>
  <c r="L4" i="2"/>
  <c r="L6" i="2"/>
  <c r="L8" i="2"/>
  <c r="L9" i="2"/>
  <c r="L5" i="2"/>
  <c r="L80" i="2"/>
  <c r="L82" i="2"/>
  <c r="L83" i="2"/>
  <c r="L84" i="2"/>
  <c r="L81" i="2"/>
  <c r="L78" i="2"/>
  <c r="L86" i="2"/>
  <c r="L79" i="2"/>
  <c r="L85" i="2"/>
  <c r="L143" i="2"/>
  <c r="L145" i="2"/>
  <c r="L140" i="2"/>
  <c r="L142" i="2"/>
  <c r="L141" i="2"/>
  <c r="L144" i="2"/>
  <c r="L160" i="2"/>
  <c r="L166" i="2"/>
  <c r="L169" i="2"/>
  <c r="L164" i="2"/>
  <c r="L165" i="2"/>
  <c r="L167" i="2"/>
  <c r="L170" i="2"/>
  <c r="L161" i="2"/>
  <c r="L163" i="2"/>
  <c r="L162" i="2"/>
  <c r="L168" i="2"/>
  <c r="L219" i="2"/>
  <c r="L221" i="2"/>
  <c r="L218" i="2"/>
  <c r="L222" i="2"/>
  <c r="L239" i="2"/>
  <c r="L238" i="2"/>
  <c r="L240" i="2"/>
  <c r="L243" i="2"/>
  <c r="L236" i="2"/>
  <c r="L242" i="2"/>
  <c r="L241" i="2"/>
  <c r="L237" i="2"/>
  <c r="L235" i="2"/>
  <c r="L332" i="2"/>
  <c r="L14" i="2"/>
  <c r="L13" i="2"/>
  <c r="L93" i="2"/>
  <c r="L171" i="2"/>
  <c r="L223" i="2"/>
  <c r="L244" i="2"/>
  <c r="L245" i="2"/>
  <c r="L15" i="2"/>
  <c r="L16" i="2"/>
  <c r="L95" i="2"/>
  <c r="L94" i="2"/>
  <c r="L246" i="2"/>
  <c r="L247" i="2"/>
  <c r="L248" i="2"/>
  <c r="L249" i="2"/>
  <c r="L18" i="2"/>
  <c r="L17" i="2"/>
  <c r="L250" i="2"/>
  <c r="L96" i="2"/>
  <c r="L173" i="2"/>
  <c r="L172" i="2"/>
  <c r="L256" i="2"/>
  <c r="L252" i="2"/>
  <c r="L251" i="2"/>
  <c r="L254" i="2"/>
  <c r="L253" i="2"/>
  <c r="L255" i="2"/>
  <c r="L257" i="2"/>
  <c r="L336" i="2"/>
  <c r="L335" i="2"/>
  <c r="L337" i="2"/>
  <c r="L334" i="2"/>
  <c r="L20" i="2"/>
  <c r="L19" i="2"/>
  <c r="L258" i="2"/>
  <c r="L22" i="2"/>
  <c r="L23" i="2"/>
  <c r="L26" i="2"/>
  <c r="L24" i="2"/>
  <c r="L25" i="2"/>
  <c r="L21" i="2"/>
  <c r="L66" i="2"/>
  <c r="L65" i="2"/>
  <c r="L97" i="2"/>
  <c r="L224" i="2"/>
  <c r="L259" i="2"/>
  <c r="L260" i="2"/>
  <c r="L28" i="2"/>
  <c r="L27" i="2"/>
  <c r="L98" i="2"/>
  <c r="L177" i="2"/>
  <c r="L174" i="2"/>
  <c r="L175" i="2"/>
  <c r="L176" i="2"/>
  <c r="L225" i="2"/>
  <c r="L262" i="2"/>
  <c r="L261" i="2"/>
  <c r="L31" i="2"/>
  <c r="L32" i="2"/>
  <c r="L30" i="2"/>
  <c r="L29" i="2"/>
  <c r="L67" i="2"/>
  <c r="L69" i="2"/>
  <c r="L179" i="2"/>
  <c r="L180" i="2"/>
  <c r="L178" i="2"/>
  <c r="L35" i="2"/>
  <c r="L34" i="2"/>
  <c r="L33" i="2"/>
  <c r="L70" i="2"/>
  <c r="L146" i="2"/>
  <c r="L100" i="2"/>
  <c r="L101" i="2"/>
  <c r="L99" i="2"/>
  <c r="L181" i="2"/>
  <c r="L263" i="2"/>
  <c r="L264" i="2"/>
  <c r="L39" i="2"/>
  <c r="L36" i="2"/>
  <c r="L37" i="2"/>
  <c r="L38" i="2"/>
  <c r="L106" i="2"/>
  <c r="L104" i="2"/>
  <c r="L105" i="2"/>
  <c r="L108" i="2"/>
  <c r="L107" i="2"/>
  <c r="L103" i="2"/>
  <c r="L102" i="2"/>
  <c r="L185" i="2"/>
  <c r="L182" i="2"/>
  <c r="L184" i="2"/>
  <c r="L183" i="2"/>
  <c r="L270" i="2"/>
  <c r="L269" i="2"/>
  <c r="L271" i="2"/>
  <c r="L266" i="2"/>
  <c r="L274" i="2"/>
  <c r="L272" i="2"/>
  <c r="L267" i="2"/>
  <c r="L273" i="2"/>
  <c r="L265" i="2"/>
  <c r="L268" i="2"/>
  <c r="L338" i="2"/>
  <c r="L340" i="2"/>
  <c r="L339" i="2"/>
  <c r="L112" i="2"/>
  <c r="L114" i="2"/>
  <c r="L110" i="2"/>
  <c r="L111" i="2"/>
  <c r="L113" i="2"/>
  <c r="L109" i="2"/>
  <c r="L115" i="2"/>
  <c r="L148" i="2"/>
  <c r="L147" i="2"/>
  <c r="L149" i="2"/>
  <c r="L281" i="2"/>
  <c r="L283" i="2"/>
  <c r="L286" i="2"/>
  <c r="L284" i="2"/>
  <c r="L285" i="2"/>
  <c r="L279" i="2"/>
  <c r="L282" i="2"/>
  <c r="L287" i="2"/>
  <c r="L277" i="2"/>
  <c r="L276" i="2"/>
  <c r="L278" i="2"/>
  <c r="L280" i="2"/>
  <c r="L342" i="2"/>
  <c r="L341" i="2"/>
  <c r="L40" i="2"/>
  <c r="L41" i="2"/>
  <c r="L117" i="2"/>
  <c r="L116" i="2"/>
  <c r="L186" i="2"/>
  <c r="L43" i="2"/>
  <c r="L42" i="2"/>
  <c r="L44" i="2"/>
  <c r="L72" i="2"/>
  <c r="L73" i="2"/>
  <c r="L71" i="2"/>
  <c r="L121" i="2"/>
  <c r="L120" i="2"/>
  <c r="L119" i="2"/>
  <c r="L123" i="2"/>
  <c r="L122" i="2"/>
  <c r="L153" i="2"/>
  <c r="L152" i="2"/>
  <c r="L150" i="2"/>
  <c r="L151" i="2"/>
  <c r="L187" i="2"/>
  <c r="L188" i="2"/>
  <c r="L189" i="2"/>
  <c r="L190" i="2"/>
  <c r="L191" i="2"/>
  <c r="L227" i="2"/>
  <c r="L226" i="2"/>
  <c r="L228" i="2"/>
  <c r="L297" i="2"/>
  <c r="L293" i="2"/>
  <c r="L298" i="2"/>
  <c r="L289" i="2"/>
  <c r="L291" i="2"/>
  <c r="L290" i="2"/>
  <c r="L292" i="2"/>
  <c r="L296" i="2"/>
  <c r="L288" i="2"/>
  <c r="L295" i="2"/>
  <c r="L294" i="2"/>
  <c r="L343" i="2"/>
  <c r="L346" i="2"/>
  <c r="L344" i="2"/>
  <c r="L345" i="2"/>
  <c r="L46" i="2"/>
  <c r="L45" i="2"/>
  <c r="L124" i="2"/>
  <c r="L299" i="2"/>
  <c r="L301" i="2"/>
  <c r="L300" i="2"/>
  <c r="L74" i="2"/>
  <c r="L126" i="2"/>
  <c r="L125" i="2"/>
  <c r="L154" i="2"/>
  <c r="L197" i="2"/>
  <c r="L199" i="2"/>
  <c r="L194" i="2"/>
  <c r="L196" i="2"/>
  <c r="L201" i="2"/>
  <c r="L192" i="2"/>
  <c r="L193" i="2"/>
  <c r="L195" i="2"/>
  <c r="L198" i="2"/>
  <c r="L200" i="2"/>
  <c r="L229" i="2"/>
  <c r="L302" i="2"/>
  <c r="L50" i="2"/>
  <c r="L48" i="2"/>
  <c r="L47" i="2"/>
  <c r="L49" i="2"/>
  <c r="L127" i="2"/>
  <c r="L203" i="2"/>
  <c r="L202" i="2"/>
  <c r="L305" i="2"/>
  <c r="L304" i="2"/>
  <c r="L306" i="2"/>
  <c r="L303" i="2"/>
  <c r="L51" i="2"/>
  <c r="L52" i="2"/>
  <c r="L76" i="2"/>
  <c r="L75" i="2"/>
  <c r="L128" i="2"/>
  <c r="L155" i="2"/>
  <c r="L206" i="2"/>
  <c r="L207" i="2"/>
  <c r="L204" i="2"/>
  <c r="L205" i="2"/>
  <c r="L310" i="2"/>
  <c r="L309" i="2"/>
  <c r="L308" i="2"/>
  <c r="L311" i="2"/>
  <c r="L313" i="2"/>
  <c r="L312" i="2"/>
  <c r="L307" i="2"/>
  <c r="L347" i="2"/>
  <c r="L53" i="2"/>
  <c r="L55" i="2"/>
  <c r="L57" i="2"/>
  <c r="L56" i="2"/>
  <c r="L54" i="2"/>
  <c r="L129" i="2"/>
  <c r="L211" i="2"/>
  <c r="L208" i="2"/>
  <c r="L209" i="2"/>
  <c r="L210" i="2"/>
  <c r="L212" i="2"/>
  <c r="L314" i="2"/>
  <c r="L320" i="2"/>
  <c r="L321" i="2"/>
  <c r="L316" i="2"/>
  <c r="L318" i="2"/>
  <c r="L319" i="2"/>
  <c r="L315" i="2"/>
  <c r="L317" i="2"/>
  <c r="L348" i="2"/>
  <c r="L59" i="2"/>
  <c r="L58" i="2"/>
  <c r="L214" i="2"/>
  <c r="L213" i="2"/>
  <c r="L322" i="2"/>
  <c r="L323" i="2"/>
  <c r="L63" i="2"/>
  <c r="L60" i="2"/>
  <c r="L62" i="2"/>
  <c r="L61" i="2"/>
  <c r="L133" i="2"/>
  <c r="L138" i="2"/>
  <c r="L136" i="2"/>
  <c r="L137" i="2"/>
  <c r="L134" i="2"/>
  <c r="L130" i="2"/>
  <c r="L131" i="2"/>
  <c r="L132" i="2"/>
  <c r="L135" i="2"/>
  <c r="L158" i="2"/>
  <c r="L156" i="2"/>
  <c r="L157" i="2"/>
  <c r="L232" i="2"/>
  <c r="L233" i="2"/>
  <c r="L231" i="2"/>
  <c r="L234" i="2"/>
  <c r="L230" i="2"/>
  <c r="L327" i="2"/>
  <c r="L326" i="2"/>
  <c r="L325" i="2"/>
  <c r="L324" i="2"/>
  <c r="L350" i="2"/>
  <c r="L351" i="2"/>
  <c r="L349" i="2"/>
  <c r="L64" i="2"/>
  <c r="L139" i="2"/>
  <c r="L159" i="2"/>
  <c r="L216" i="2"/>
  <c r="L215" i="2"/>
  <c r="L217" i="2"/>
  <c r="L330" i="2"/>
  <c r="L329" i="2"/>
  <c r="L352" i="2"/>
  <c r="L353" i="2"/>
  <c r="J2" i="2"/>
  <c r="J77" i="2"/>
  <c r="J331" i="2"/>
  <c r="J12" i="2"/>
  <c r="J11" i="2"/>
  <c r="J10" i="2"/>
  <c r="J7" i="2"/>
  <c r="J3" i="2"/>
  <c r="J4" i="2"/>
  <c r="J6" i="2"/>
  <c r="J8" i="2"/>
  <c r="J9" i="2"/>
  <c r="J5" i="2"/>
  <c r="J80" i="2"/>
  <c r="J82" i="2"/>
  <c r="J83" i="2"/>
  <c r="J84" i="2"/>
  <c r="J81" i="2"/>
  <c r="J78" i="2"/>
  <c r="J86" i="2"/>
  <c r="J79" i="2"/>
  <c r="J85" i="2"/>
  <c r="J143" i="2"/>
  <c r="J145" i="2"/>
  <c r="J140" i="2"/>
  <c r="J142" i="2"/>
  <c r="J141" i="2"/>
  <c r="J144" i="2"/>
  <c r="J160" i="2"/>
  <c r="J166" i="2"/>
  <c r="J169" i="2"/>
  <c r="J164" i="2"/>
  <c r="J165" i="2"/>
  <c r="J167" i="2"/>
  <c r="J170" i="2"/>
  <c r="J161" i="2"/>
  <c r="J163" i="2"/>
  <c r="J162" i="2"/>
  <c r="J168" i="2"/>
  <c r="J219" i="2"/>
  <c r="J220" i="2"/>
  <c r="J221" i="2"/>
  <c r="J218" i="2"/>
  <c r="J222" i="2"/>
  <c r="J239" i="2"/>
  <c r="J238" i="2"/>
  <c r="J240" i="2"/>
  <c r="J243" i="2"/>
  <c r="J236" i="2"/>
  <c r="J242" i="2"/>
  <c r="J241" i="2"/>
  <c r="J237" i="2"/>
  <c r="J235" i="2"/>
  <c r="J332" i="2"/>
  <c r="J14" i="2"/>
  <c r="J13" i="2"/>
  <c r="J92" i="2"/>
  <c r="J90" i="2"/>
  <c r="J91" i="2"/>
  <c r="J93" i="2"/>
  <c r="J171" i="2"/>
  <c r="J223" i="2"/>
  <c r="J244" i="2"/>
  <c r="J245" i="2"/>
  <c r="J15" i="2"/>
  <c r="J16" i="2"/>
  <c r="J95" i="2"/>
  <c r="J94" i="2"/>
  <c r="J246" i="2"/>
  <c r="J247" i="2"/>
  <c r="J248" i="2"/>
  <c r="J249" i="2"/>
  <c r="J333" i="2"/>
  <c r="J18" i="2"/>
  <c r="J17" i="2"/>
  <c r="J250" i="2"/>
  <c r="J96" i="2"/>
  <c r="J173" i="2"/>
  <c r="J172" i="2"/>
  <c r="J256" i="2"/>
  <c r="J252" i="2"/>
  <c r="J251" i="2"/>
  <c r="J254" i="2"/>
  <c r="J253" i="2"/>
  <c r="J255" i="2"/>
  <c r="J257" i="2"/>
  <c r="J336" i="2"/>
  <c r="J335" i="2"/>
  <c r="J337" i="2"/>
  <c r="J334" i="2"/>
  <c r="J20" i="2"/>
  <c r="J19" i="2"/>
  <c r="J258" i="2"/>
  <c r="J22" i="2"/>
  <c r="J23" i="2"/>
  <c r="J26" i="2"/>
  <c r="J24" i="2"/>
  <c r="J25" i="2"/>
  <c r="J21" i="2"/>
  <c r="J66" i="2"/>
  <c r="J65" i="2"/>
  <c r="J97" i="2"/>
  <c r="J224" i="2"/>
  <c r="J259" i="2"/>
  <c r="J260" i="2"/>
  <c r="J28" i="2"/>
  <c r="J27" i="2"/>
  <c r="J98" i="2"/>
  <c r="J177" i="2"/>
  <c r="J174" i="2"/>
  <c r="J175" i="2"/>
  <c r="J176" i="2"/>
  <c r="J225" i="2"/>
  <c r="J262" i="2"/>
  <c r="J261" i="2"/>
  <c r="J31" i="2"/>
  <c r="J32" i="2"/>
  <c r="J30" i="2"/>
  <c r="J29" i="2"/>
  <c r="J67" i="2"/>
  <c r="J68" i="2"/>
  <c r="J69" i="2"/>
  <c r="J179" i="2"/>
  <c r="J180" i="2"/>
  <c r="J178" i="2"/>
  <c r="J35" i="2"/>
  <c r="J34" i="2"/>
  <c r="J33" i="2"/>
  <c r="J70" i="2"/>
  <c r="J146" i="2"/>
  <c r="J100" i="2"/>
  <c r="J101" i="2"/>
  <c r="J99" i="2"/>
  <c r="J181" i="2"/>
  <c r="J263" i="2"/>
  <c r="J264" i="2"/>
  <c r="J39" i="2"/>
  <c r="J36" i="2"/>
  <c r="J37" i="2"/>
  <c r="J38" i="2"/>
  <c r="J106" i="2"/>
  <c r="J104" i="2"/>
  <c r="J105" i="2"/>
  <c r="J108" i="2"/>
  <c r="J107" i="2"/>
  <c r="J103" i="2"/>
  <c r="J102" i="2"/>
  <c r="J185" i="2"/>
  <c r="J182" i="2"/>
  <c r="J184" i="2"/>
  <c r="J183" i="2"/>
  <c r="J270" i="2"/>
  <c r="J269" i="2"/>
  <c r="J271" i="2"/>
  <c r="J275" i="2"/>
  <c r="J266" i="2"/>
  <c r="J274" i="2"/>
  <c r="J272" i="2"/>
  <c r="J267" i="2"/>
  <c r="J273" i="2"/>
  <c r="J265" i="2"/>
  <c r="J268" i="2"/>
  <c r="J338" i="2"/>
  <c r="J340" i="2"/>
  <c r="J339" i="2"/>
  <c r="J112" i="2"/>
  <c r="J114" i="2"/>
  <c r="J110" i="2"/>
  <c r="J111" i="2"/>
  <c r="J113" i="2"/>
  <c r="J109" i="2"/>
  <c r="J115" i="2"/>
  <c r="J148" i="2"/>
  <c r="J147" i="2"/>
  <c r="J149" i="2"/>
  <c r="J281" i="2"/>
  <c r="J283" i="2"/>
  <c r="J286" i="2"/>
  <c r="J284" i="2"/>
  <c r="J285" i="2"/>
  <c r="J279" i="2"/>
  <c r="J282" i="2"/>
  <c r="J287" i="2"/>
  <c r="J277" i="2"/>
  <c r="J276" i="2"/>
  <c r="J278" i="2"/>
  <c r="J280" i="2"/>
  <c r="J342" i="2"/>
  <c r="J341" i="2"/>
  <c r="J40" i="2"/>
  <c r="J41" i="2"/>
  <c r="J117" i="2"/>
  <c r="J116" i="2"/>
  <c r="J186" i="2"/>
  <c r="J43" i="2"/>
  <c r="J42" i="2"/>
  <c r="J44" i="2"/>
  <c r="J72" i="2"/>
  <c r="J73" i="2"/>
  <c r="J71" i="2"/>
  <c r="J121" i="2"/>
  <c r="J120" i="2"/>
  <c r="J118" i="2"/>
  <c r="J119" i="2"/>
  <c r="J123" i="2"/>
  <c r="J122" i="2"/>
  <c r="J153" i="2"/>
  <c r="J152" i="2"/>
  <c r="J150" i="2"/>
  <c r="J151" i="2"/>
  <c r="J187" i="2"/>
  <c r="J188" i="2"/>
  <c r="J189" i="2"/>
  <c r="J190" i="2"/>
  <c r="J191" i="2"/>
  <c r="J227" i="2"/>
  <c r="J226" i="2"/>
  <c r="J228" i="2"/>
  <c r="J297" i="2"/>
  <c r="J293" i="2"/>
  <c r="J298" i="2"/>
  <c r="J289" i="2"/>
  <c r="J291" i="2"/>
  <c r="J290" i="2"/>
  <c r="J292" i="2"/>
  <c r="J296" i="2"/>
  <c r="J288" i="2"/>
  <c r="J295" i="2"/>
  <c r="J294" i="2"/>
  <c r="J343" i="2"/>
  <c r="J346" i="2"/>
  <c r="J344" i="2"/>
  <c r="J345" i="2"/>
  <c r="J46" i="2"/>
  <c r="J45" i="2"/>
  <c r="J124" i="2"/>
  <c r="J299" i="2"/>
  <c r="J301" i="2"/>
  <c r="J300" i="2"/>
  <c r="J74" i="2"/>
  <c r="J126" i="2"/>
  <c r="J125" i="2"/>
  <c r="J154" i="2"/>
  <c r="J197" i="2"/>
  <c r="J199" i="2"/>
  <c r="J194" i="2"/>
  <c r="J196" i="2"/>
  <c r="J201" i="2"/>
  <c r="J192" i="2"/>
  <c r="J193" i="2"/>
  <c r="J195" i="2"/>
  <c r="J198" i="2"/>
  <c r="J200" i="2"/>
  <c r="J229" i="2"/>
  <c r="J302" i="2"/>
  <c r="J50" i="2"/>
  <c r="J48" i="2"/>
  <c r="J47" i="2"/>
  <c r="J49" i="2"/>
  <c r="J127" i="2"/>
  <c r="J203" i="2"/>
  <c r="J202" i="2"/>
  <c r="J305" i="2"/>
  <c r="J304" i="2"/>
  <c r="J306" i="2"/>
  <c r="J303" i="2"/>
  <c r="J51" i="2"/>
  <c r="J52" i="2"/>
  <c r="J76" i="2"/>
  <c r="J75" i="2"/>
  <c r="J128" i="2"/>
  <c r="J155" i="2"/>
  <c r="J206" i="2"/>
  <c r="J207" i="2"/>
  <c r="J204" i="2"/>
  <c r="J205" i="2"/>
  <c r="J310" i="2"/>
  <c r="J309" i="2"/>
  <c r="J308" i="2"/>
  <c r="J311" i="2"/>
  <c r="J313" i="2"/>
  <c r="J312" i="2"/>
  <c r="J307" i="2"/>
  <c r="J347" i="2"/>
  <c r="J53" i="2"/>
  <c r="J55" i="2"/>
  <c r="J57" i="2"/>
  <c r="J56" i="2"/>
  <c r="J54" i="2"/>
  <c r="J129" i="2"/>
  <c r="J211" i="2"/>
  <c r="J208" i="2"/>
  <c r="J209" i="2"/>
  <c r="J210" i="2"/>
  <c r="J212" i="2"/>
  <c r="J314" i="2"/>
  <c r="J320" i="2"/>
  <c r="J321" i="2"/>
  <c r="J316" i="2"/>
  <c r="J318" i="2"/>
  <c r="J319" i="2"/>
  <c r="J315" i="2"/>
  <c r="J317" i="2"/>
  <c r="J348" i="2"/>
  <c r="J59" i="2"/>
  <c r="J58" i="2"/>
  <c r="J214" i="2"/>
  <c r="J213" i="2"/>
  <c r="J322" i="2"/>
  <c r="J323" i="2"/>
  <c r="J63" i="2"/>
  <c r="J60" i="2"/>
  <c r="J62" i="2"/>
  <c r="J61" i="2"/>
  <c r="J133" i="2"/>
  <c r="J138" i="2"/>
  <c r="J136" i="2"/>
  <c r="J137" i="2"/>
  <c r="J134" i="2"/>
  <c r="J130" i="2"/>
  <c r="J131" i="2"/>
  <c r="J132" i="2"/>
  <c r="J135" i="2"/>
  <c r="J158" i="2"/>
  <c r="J156" i="2"/>
  <c r="J157" i="2"/>
  <c r="J232" i="2"/>
  <c r="J233" i="2"/>
  <c r="J231" i="2"/>
  <c r="J234" i="2"/>
  <c r="J230" i="2"/>
  <c r="J327" i="2"/>
  <c r="J326" i="2"/>
  <c r="J325" i="2"/>
  <c r="J324" i="2"/>
  <c r="J350" i="2"/>
  <c r="J351" i="2"/>
  <c r="J349" i="2"/>
  <c r="J64" i="2"/>
  <c r="J139" i="2"/>
  <c r="J159" i="2"/>
  <c r="J216" i="2"/>
  <c r="J215" i="2"/>
  <c r="J217" i="2"/>
  <c r="J330" i="2"/>
  <c r="J329" i="2"/>
  <c r="J352" i="2"/>
  <c r="J353" i="2"/>
  <c r="P2" i="2"/>
  <c r="P15" i="2"/>
  <c r="P16" i="2"/>
  <c r="P24" i="2"/>
  <c r="P25" i="2"/>
  <c r="P21" i="2"/>
  <c r="P31" i="2"/>
  <c r="P48" i="2"/>
  <c r="P54" i="2"/>
  <c r="P59" i="2"/>
  <c r="P70" i="2"/>
  <c r="P84" i="2"/>
  <c r="P81" i="2"/>
  <c r="P95" i="2"/>
  <c r="P107" i="2"/>
  <c r="P116" i="2"/>
  <c r="P126" i="2"/>
  <c r="P125" i="2"/>
  <c r="P127" i="2"/>
  <c r="P129" i="2"/>
  <c r="P131" i="2"/>
  <c r="P132" i="2"/>
  <c r="P150" i="2"/>
  <c r="P151" i="2"/>
  <c r="P165" i="2"/>
  <c r="P167" i="2"/>
  <c r="P170" i="2"/>
  <c r="P186" i="2"/>
  <c r="P187" i="2"/>
  <c r="P188" i="2"/>
  <c r="P206" i="2"/>
  <c r="P225" i="2"/>
  <c r="P236" i="2"/>
  <c r="P242" i="2"/>
  <c r="P252" i="2"/>
  <c r="P251" i="2"/>
  <c r="P261" i="2"/>
  <c r="P265" i="2"/>
  <c r="P268" i="2"/>
  <c r="P283" i="2"/>
  <c r="P286" i="2"/>
  <c r="P292" i="2"/>
  <c r="P331" i="2"/>
  <c r="P338" i="2"/>
  <c r="P340" i="2"/>
  <c r="P351" i="2"/>
  <c r="P349" i="2"/>
  <c r="N14" i="2"/>
  <c r="N44" i="2"/>
  <c r="N65" i="2"/>
  <c r="N97" i="2"/>
  <c r="N181" i="2"/>
  <c r="N183" i="2"/>
  <c r="N199" i="2"/>
  <c r="N194" i="2"/>
  <c r="N196" i="2"/>
  <c r="N203" i="2"/>
  <c r="N248" i="2"/>
  <c r="N255" i="2"/>
  <c r="N257" i="2"/>
  <c r="N259" i="2"/>
  <c r="N322" i="2"/>
  <c r="N323" i="2"/>
  <c r="L68" i="2"/>
  <c r="L92" i="2"/>
  <c r="L90" i="2"/>
  <c r="L91" i="2"/>
  <c r="L118" i="2"/>
  <c r="L220" i="2"/>
  <c r="L275" i="2"/>
  <c r="L333" i="2"/>
  <c r="H2" i="2"/>
  <c r="H12" i="2"/>
  <c r="H11" i="2"/>
  <c r="H10" i="2"/>
  <c r="H3" i="2"/>
  <c r="H4" i="2"/>
  <c r="H14" i="2"/>
  <c r="H13" i="2"/>
  <c r="H15" i="2"/>
  <c r="H16" i="2"/>
  <c r="H18" i="2"/>
  <c r="H17" i="2"/>
  <c r="H20" i="2"/>
  <c r="H19" i="2"/>
  <c r="H22" i="2"/>
  <c r="H23" i="2"/>
  <c r="H26" i="2"/>
  <c r="H24" i="2"/>
  <c r="H25" i="2"/>
  <c r="H21" i="2"/>
  <c r="H28" i="2"/>
  <c r="H27" i="2"/>
  <c r="H31" i="2"/>
  <c r="H32" i="2"/>
  <c r="H30" i="2"/>
  <c r="H29" i="2"/>
  <c r="H35" i="2"/>
  <c r="H34" i="2"/>
  <c r="H33" i="2"/>
  <c r="H39" i="2"/>
  <c r="H36" i="2"/>
  <c r="H37" i="2"/>
  <c r="H38" i="2"/>
  <c r="H40" i="2"/>
  <c r="H41" i="2"/>
  <c r="H43" i="2"/>
  <c r="H42" i="2"/>
  <c r="H44" i="2"/>
  <c r="H46" i="2"/>
  <c r="H45" i="2"/>
  <c r="H50" i="2"/>
  <c r="H48" i="2"/>
  <c r="H47" i="2"/>
  <c r="H49" i="2"/>
  <c r="H51" i="2"/>
  <c r="H52" i="2"/>
  <c r="H53" i="2"/>
  <c r="H55" i="2"/>
  <c r="H57" i="2"/>
  <c r="H56" i="2"/>
  <c r="H54" i="2"/>
  <c r="H59" i="2"/>
  <c r="H58" i="2"/>
  <c r="H63" i="2"/>
  <c r="H60" i="2"/>
  <c r="H62" i="2"/>
  <c r="H61" i="2"/>
  <c r="H64" i="2"/>
  <c r="H66" i="2"/>
  <c r="H65" i="2"/>
  <c r="H67" i="2"/>
  <c r="H68" i="2"/>
  <c r="H69" i="2"/>
  <c r="H70" i="2"/>
  <c r="H72" i="2"/>
  <c r="H73" i="2"/>
  <c r="H71" i="2"/>
  <c r="H74" i="2"/>
  <c r="H76" i="2"/>
  <c r="H75" i="2"/>
  <c r="H77" i="2"/>
  <c r="H80" i="2"/>
  <c r="H82" i="2"/>
  <c r="H83" i="2"/>
  <c r="H84" i="2"/>
  <c r="H81" i="2"/>
  <c r="H78" i="2"/>
  <c r="H86" i="2"/>
  <c r="H79" i="2"/>
  <c r="H85" i="2"/>
  <c r="H92" i="2"/>
  <c r="H90" i="2"/>
  <c r="H91" i="2"/>
  <c r="H93" i="2"/>
  <c r="H95" i="2"/>
  <c r="H94" i="2"/>
  <c r="H250" i="2"/>
  <c r="H96" i="2"/>
  <c r="H97" i="2"/>
  <c r="H98" i="2"/>
  <c r="H100" i="2"/>
  <c r="H101" i="2"/>
  <c r="H99" i="2"/>
  <c r="H106" i="2"/>
  <c r="H104" i="2"/>
  <c r="H105" i="2"/>
  <c r="H108" i="2"/>
  <c r="H107" i="2"/>
  <c r="H103" i="2"/>
  <c r="H102" i="2"/>
  <c r="H112" i="2"/>
  <c r="H114" i="2"/>
  <c r="H110" i="2"/>
  <c r="H111" i="2"/>
  <c r="H113" i="2"/>
  <c r="H109" i="2"/>
  <c r="H115" i="2"/>
  <c r="H117" i="2"/>
  <c r="H116" i="2"/>
  <c r="H121" i="2"/>
  <c r="H120" i="2"/>
  <c r="H118" i="2"/>
  <c r="H119" i="2"/>
  <c r="H123" i="2"/>
  <c r="H122" i="2"/>
  <c r="H124" i="2"/>
  <c r="H126" i="2"/>
  <c r="H125" i="2"/>
  <c r="H127" i="2"/>
  <c r="H128" i="2"/>
  <c r="H129" i="2"/>
  <c r="H133" i="2"/>
  <c r="H138" i="2"/>
  <c r="H136" i="2"/>
  <c r="H137" i="2"/>
  <c r="H134" i="2"/>
  <c r="H130" i="2"/>
  <c r="H131" i="2"/>
  <c r="H132" i="2"/>
  <c r="H135" i="2"/>
  <c r="H139" i="2"/>
  <c r="H143" i="2"/>
  <c r="H145" i="2"/>
  <c r="H140" i="2"/>
  <c r="H142" i="2"/>
  <c r="H141" i="2"/>
  <c r="H144" i="2"/>
  <c r="H146" i="2"/>
  <c r="H148" i="2"/>
  <c r="H147" i="2"/>
  <c r="H149" i="2"/>
  <c r="H153" i="2"/>
  <c r="H152" i="2"/>
  <c r="H150" i="2"/>
  <c r="H151" i="2"/>
  <c r="H154" i="2"/>
  <c r="H155" i="2"/>
  <c r="H158" i="2"/>
  <c r="H156" i="2"/>
  <c r="H157" i="2"/>
  <c r="H159" i="2"/>
  <c r="H160" i="2"/>
  <c r="H166" i="2"/>
  <c r="H169" i="2"/>
  <c r="H164" i="2"/>
  <c r="H165" i="2"/>
  <c r="H167" i="2"/>
  <c r="H170" i="2"/>
  <c r="H161" i="2"/>
  <c r="H163" i="2"/>
  <c r="H162" i="2"/>
  <c r="H168" i="2"/>
  <c r="H171" i="2"/>
  <c r="H173" i="2"/>
  <c r="H172" i="2"/>
  <c r="H177" i="2"/>
  <c r="H174" i="2"/>
  <c r="H175" i="2"/>
  <c r="H176" i="2"/>
  <c r="H179" i="2"/>
  <c r="H180" i="2"/>
  <c r="H178" i="2"/>
  <c r="H181" i="2"/>
  <c r="H185" i="2"/>
  <c r="H182" i="2"/>
  <c r="H184" i="2"/>
  <c r="H183" i="2"/>
  <c r="H186" i="2"/>
  <c r="H187" i="2"/>
  <c r="H188" i="2"/>
  <c r="H189" i="2"/>
  <c r="H190" i="2"/>
  <c r="H191" i="2"/>
  <c r="H197" i="2"/>
  <c r="H199" i="2"/>
  <c r="H194" i="2"/>
  <c r="H196" i="2"/>
  <c r="H201" i="2"/>
  <c r="H192" i="2"/>
  <c r="H193" i="2"/>
  <c r="H195" i="2"/>
  <c r="H198" i="2"/>
  <c r="H200" i="2"/>
  <c r="H203" i="2"/>
  <c r="H202" i="2"/>
  <c r="H206" i="2"/>
  <c r="H207" i="2"/>
  <c r="H204" i="2"/>
  <c r="H205" i="2"/>
  <c r="H211" i="2"/>
  <c r="H208" i="2"/>
  <c r="H209" i="2"/>
  <c r="H210" i="2"/>
  <c r="H212" i="2"/>
  <c r="H214" i="2"/>
  <c r="H213" i="2"/>
  <c r="H216" i="2"/>
  <c r="H215" i="2"/>
  <c r="H217" i="2"/>
  <c r="H219" i="2"/>
  <c r="H220" i="2"/>
  <c r="H221" i="2"/>
  <c r="H218" i="2"/>
  <c r="H222" i="2"/>
  <c r="H223" i="2"/>
  <c r="H224" i="2"/>
  <c r="H225" i="2"/>
  <c r="H227" i="2"/>
  <c r="H226" i="2"/>
  <c r="H228" i="2"/>
  <c r="H229" i="2"/>
  <c r="H232" i="2"/>
  <c r="H233" i="2"/>
  <c r="H231" i="2"/>
  <c r="H234" i="2"/>
  <c r="H230" i="2"/>
  <c r="H239" i="2"/>
  <c r="H238" i="2"/>
  <c r="H240" i="2"/>
  <c r="H243" i="2"/>
  <c r="H236" i="2"/>
  <c r="H242" i="2"/>
  <c r="H241" i="2"/>
  <c r="H237" i="2"/>
  <c r="H235" i="2"/>
  <c r="H244" i="2"/>
  <c r="H245" i="2"/>
  <c r="H246" i="2"/>
  <c r="H247" i="2"/>
  <c r="H248" i="2"/>
  <c r="H249" i="2"/>
  <c r="H256" i="2"/>
  <c r="H252" i="2"/>
  <c r="H251" i="2"/>
  <c r="H254" i="2"/>
  <c r="H253" i="2"/>
  <c r="H255" i="2"/>
  <c r="H257" i="2"/>
  <c r="H258" i="2"/>
  <c r="H259" i="2"/>
  <c r="H260" i="2"/>
  <c r="H262" i="2"/>
  <c r="H261" i="2"/>
  <c r="H263" i="2"/>
  <c r="H264" i="2"/>
  <c r="H270" i="2"/>
  <c r="H269" i="2"/>
  <c r="H271" i="2"/>
  <c r="H275" i="2"/>
  <c r="H266" i="2"/>
  <c r="H274" i="2"/>
  <c r="H272" i="2"/>
  <c r="H267" i="2"/>
  <c r="H273" i="2"/>
  <c r="H265" i="2"/>
  <c r="H268" i="2"/>
  <c r="H281" i="2"/>
  <c r="H283" i="2"/>
  <c r="H286" i="2"/>
  <c r="H284" i="2"/>
  <c r="H285" i="2"/>
  <c r="H279" i="2"/>
  <c r="H282" i="2"/>
  <c r="H287" i="2"/>
  <c r="H277" i="2"/>
  <c r="H276" i="2"/>
  <c r="H278" i="2"/>
  <c r="H280" i="2"/>
  <c r="H297" i="2"/>
  <c r="H293" i="2"/>
  <c r="H298" i="2"/>
  <c r="H289" i="2"/>
  <c r="H291" i="2"/>
  <c r="H290" i="2"/>
  <c r="H292" i="2"/>
  <c r="H296" i="2"/>
  <c r="H288" i="2"/>
  <c r="H295" i="2"/>
  <c r="H294" i="2"/>
  <c r="H299" i="2"/>
  <c r="H301" i="2"/>
  <c r="H300" i="2"/>
  <c r="H302" i="2"/>
  <c r="H305" i="2"/>
  <c r="H304" i="2"/>
  <c r="H306" i="2"/>
  <c r="H303" i="2"/>
  <c r="H310" i="2"/>
  <c r="H309" i="2"/>
  <c r="H308" i="2"/>
  <c r="H311" i="2"/>
  <c r="H313" i="2"/>
  <c r="H312" i="2"/>
  <c r="H307" i="2"/>
  <c r="H314" i="2"/>
  <c r="H320" i="2"/>
  <c r="H321" i="2"/>
  <c r="H316" i="2"/>
  <c r="H318" i="2"/>
  <c r="H319" i="2"/>
  <c r="H315" i="2"/>
  <c r="H317" i="2"/>
  <c r="H322" i="2"/>
  <c r="H323" i="2"/>
  <c r="H327" i="2"/>
  <c r="H326" i="2"/>
  <c r="H325" i="2"/>
  <c r="H324" i="2"/>
  <c r="H330" i="2"/>
  <c r="H329" i="2"/>
  <c r="H331" i="2"/>
  <c r="H332" i="2"/>
  <c r="H333" i="2"/>
  <c r="H336" i="2"/>
  <c r="H335" i="2"/>
  <c r="H337" i="2"/>
  <c r="H334" i="2"/>
  <c r="H338" i="2"/>
  <c r="H340" i="2"/>
  <c r="H339" i="2"/>
  <c r="H342" i="2"/>
  <c r="H341" i="2"/>
  <c r="H343" i="2"/>
  <c r="H346" i="2"/>
  <c r="H344" i="2"/>
  <c r="H345" i="2"/>
  <c r="H347" i="2"/>
  <c r="H348" i="2"/>
  <c r="H350" i="2"/>
  <c r="H351" i="2"/>
  <c r="H349" i="2"/>
  <c r="H352" i="2"/>
  <c r="H353" i="2"/>
  <c r="F2" i="2"/>
  <c r="F12" i="2"/>
  <c r="F11" i="2"/>
  <c r="F10" i="2"/>
  <c r="F7" i="2"/>
  <c r="F3" i="2"/>
  <c r="F4" i="2"/>
  <c r="F6" i="2"/>
  <c r="F8" i="2"/>
  <c r="F9" i="2"/>
  <c r="F5" i="2"/>
  <c r="F14" i="2"/>
  <c r="F13" i="2"/>
  <c r="F15" i="2"/>
  <c r="F16" i="2"/>
  <c r="F18" i="2"/>
  <c r="F17" i="2"/>
  <c r="F20" i="2"/>
  <c r="F19" i="2"/>
  <c r="F22" i="2"/>
  <c r="F23" i="2"/>
  <c r="F26" i="2"/>
  <c r="F24" i="2"/>
  <c r="F25" i="2"/>
  <c r="F21" i="2"/>
  <c r="F28" i="2"/>
  <c r="F27" i="2"/>
  <c r="F31" i="2"/>
  <c r="F32" i="2"/>
  <c r="F30" i="2"/>
  <c r="F29" i="2"/>
  <c r="F35" i="2"/>
  <c r="F34" i="2"/>
  <c r="F33" i="2"/>
  <c r="F39" i="2"/>
  <c r="F36" i="2"/>
  <c r="F37" i="2"/>
  <c r="F38" i="2"/>
  <c r="F40" i="2"/>
  <c r="F41" i="2"/>
  <c r="F43" i="2"/>
  <c r="F42" i="2"/>
  <c r="F44" i="2"/>
  <c r="F46" i="2"/>
  <c r="F45" i="2"/>
  <c r="F50" i="2"/>
  <c r="F48" i="2"/>
  <c r="F47" i="2"/>
  <c r="F49" i="2"/>
  <c r="F51" i="2"/>
  <c r="F52" i="2"/>
  <c r="F53" i="2"/>
  <c r="F55" i="2"/>
  <c r="F57" i="2"/>
  <c r="F56" i="2"/>
  <c r="F54" i="2"/>
  <c r="F59" i="2"/>
  <c r="F58" i="2"/>
  <c r="F63" i="2"/>
  <c r="F60" i="2"/>
  <c r="F62" i="2"/>
  <c r="F61" i="2"/>
  <c r="F64" i="2"/>
  <c r="F66" i="2"/>
  <c r="F65" i="2"/>
  <c r="F67" i="2"/>
  <c r="F68" i="2"/>
  <c r="F69" i="2"/>
  <c r="F70" i="2"/>
  <c r="F72" i="2"/>
  <c r="F73" i="2"/>
  <c r="F71" i="2"/>
  <c r="F74" i="2"/>
  <c r="F76" i="2"/>
  <c r="F75" i="2"/>
  <c r="F77" i="2"/>
  <c r="F80" i="2"/>
  <c r="F82" i="2"/>
  <c r="F83" i="2"/>
  <c r="F84" i="2"/>
  <c r="F81" i="2"/>
  <c r="F78" i="2"/>
  <c r="F86" i="2"/>
  <c r="F79" i="2"/>
  <c r="F85" i="2"/>
  <c r="F92" i="2"/>
  <c r="F90" i="2"/>
  <c r="F91" i="2"/>
  <c r="F93" i="2"/>
  <c r="F95" i="2"/>
  <c r="F94" i="2"/>
  <c r="F250" i="2"/>
  <c r="F96" i="2"/>
  <c r="F97" i="2"/>
  <c r="F98" i="2"/>
  <c r="F100" i="2"/>
  <c r="F101" i="2"/>
  <c r="F99" i="2"/>
  <c r="F106" i="2"/>
  <c r="F104" i="2"/>
  <c r="F105" i="2"/>
  <c r="F108" i="2"/>
  <c r="F107" i="2"/>
  <c r="F103" i="2"/>
  <c r="F102" i="2"/>
  <c r="F112" i="2"/>
  <c r="F114" i="2"/>
  <c r="F110" i="2"/>
  <c r="F111" i="2"/>
  <c r="F113" i="2"/>
  <c r="F109" i="2"/>
  <c r="F115" i="2"/>
  <c r="F117" i="2"/>
  <c r="F116" i="2"/>
  <c r="F121" i="2"/>
  <c r="F120" i="2"/>
  <c r="F118" i="2"/>
  <c r="F119" i="2"/>
  <c r="F123" i="2"/>
  <c r="F122" i="2"/>
  <c r="F124" i="2"/>
  <c r="F126" i="2"/>
  <c r="F125" i="2"/>
  <c r="F127" i="2"/>
  <c r="F128" i="2"/>
  <c r="F129" i="2"/>
  <c r="F133" i="2"/>
  <c r="F138" i="2"/>
  <c r="F136" i="2"/>
  <c r="F137" i="2"/>
  <c r="F134" i="2"/>
  <c r="F130" i="2"/>
  <c r="F131" i="2"/>
  <c r="F132" i="2"/>
  <c r="F135" i="2"/>
  <c r="F139" i="2"/>
  <c r="F143" i="2"/>
  <c r="F145" i="2"/>
  <c r="F140" i="2"/>
  <c r="F142" i="2"/>
  <c r="F141" i="2"/>
  <c r="F144" i="2"/>
  <c r="F146" i="2"/>
  <c r="F148" i="2"/>
  <c r="F147" i="2"/>
  <c r="F149" i="2"/>
  <c r="F153" i="2"/>
  <c r="F152" i="2"/>
  <c r="F150" i="2"/>
  <c r="F151" i="2"/>
  <c r="F154" i="2"/>
  <c r="F155" i="2"/>
  <c r="F158" i="2"/>
  <c r="F156" i="2"/>
  <c r="F157" i="2"/>
  <c r="F159" i="2"/>
  <c r="F160" i="2"/>
  <c r="F166" i="2"/>
  <c r="F169" i="2"/>
  <c r="F164" i="2"/>
  <c r="F165" i="2"/>
  <c r="F167" i="2"/>
  <c r="F170" i="2"/>
  <c r="F161" i="2"/>
  <c r="F163" i="2"/>
  <c r="F162" i="2"/>
  <c r="F168" i="2"/>
  <c r="F171" i="2"/>
  <c r="F173" i="2"/>
  <c r="F172" i="2"/>
  <c r="F177" i="2"/>
  <c r="F174" i="2"/>
  <c r="F175" i="2"/>
  <c r="F176" i="2"/>
  <c r="F179" i="2"/>
  <c r="F180" i="2"/>
  <c r="F178" i="2"/>
  <c r="F181" i="2"/>
  <c r="F185" i="2"/>
  <c r="F182" i="2"/>
  <c r="F184" i="2"/>
  <c r="F183" i="2"/>
  <c r="F186" i="2"/>
  <c r="F187" i="2"/>
  <c r="F188" i="2"/>
  <c r="F189" i="2"/>
  <c r="F190" i="2"/>
  <c r="F191" i="2"/>
  <c r="F197" i="2"/>
  <c r="F199" i="2"/>
  <c r="F194" i="2"/>
  <c r="F196" i="2"/>
  <c r="F201" i="2"/>
  <c r="F192" i="2"/>
  <c r="F193" i="2"/>
  <c r="F195" i="2"/>
  <c r="F198" i="2"/>
  <c r="F200" i="2"/>
  <c r="F203" i="2"/>
  <c r="F202" i="2"/>
  <c r="F206" i="2"/>
  <c r="F207" i="2"/>
  <c r="F204" i="2"/>
  <c r="F205" i="2"/>
  <c r="F211" i="2"/>
  <c r="F208" i="2"/>
  <c r="F209" i="2"/>
  <c r="F210" i="2"/>
  <c r="F212" i="2"/>
  <c r="F214" i="2"/>
  <c r="F213" i="2"/>
  <c r="F216" i="2"/>
  <c r="F215" i="2"/>
  <c r="F217" i="2"/>
  <c r="F219" i="2"/>
  <c r="F220" i="2"/>
  <c r="F221" i="2"/>
  <c r="F218" i="2"/>
  <c r="F222" i="2"/>
  <c r="F223" i="2"/>
  <c r="F224" i="2"/>
  <c r="F225" i="2"/>
  <c r="F227" i="2"/>
  <c r="F226" i="2"/>
  <c r="F228" i="2"/>
  <c r="F229" i="2"/>
  <c r="F232" i="2"/>
  <c r="F233" i="2"/>
  <c r="F231" i="2"/>
  <c r="F234" i="2"/>
  <c r="F230" i="2"/>
  <c r="F239" i="2"/>
  <c r="F238" i="2"/>
  <c r="F240" i="2"/>
  <c r="F243" i="2"/>
  <c r="F236" i="2"/>
  <c r="F242" i="2"/>
  <c r="F241" i="2"/>
  <c r="F237" i="2"/>
  <c r="F235" i="2"/>
  <c r="F244" i="2"/>
  <c r="F245" i="2"/>
  <c r="F246" i="2"/>
  <c r="F247" i="2"/>
  <c r="F248" i="2"/>
  <c r="F249" i="2"/>
  <c r="F256" i="2"/>
  <c r="F252" i="2"/>
  <c r="F251" i="2"/>
  <c r="F254" i="2"/>
  <c r="F253" i="2"/>
  <c r="F255" i="2"/>
  <c r="F257" i="2"/>
  <c r="F258" i="2"/>
  <c r="F259" i="2"/>
  <c r="F260" i="2"/>
  <c r="F262" i="2"/>
  <c r="F261" i="2"/>
  <c r="F263" i="2"/>
  <c r="F264" i="2"/>
  <c r="F270" i="2"/>
  <c r="F269" i="2"/>
  <c r="F271" i="2"/>
  <c r="F275" i="2"/>
  <c r="F266" i="2"/>
  <c r="F274" i="2"/>
  <c r="F272" i="2"/>
  <c r="F267" i="2"/>
  <c r="F273" i="2"/>
  <c r="F265" i="2"/>
  <c r="F268" i="2"/>
  <c r="F281" i="2"/>
  <c r="F283" i="2"/>
  <c r="F286" i="2"/>
  <c r="F284" i="2"/>
  <c r="F285" i="2"/>
  <c r="F279" i="2"/>
  <c r="F282" i="2"/>
  <c r="F287" i="2"/>
  <c r="F277" i="2"/>
  <c r="F276" i="2"/>
  <c r="F278" i="2"/>
  <c r="F280" i="2"/>
  <c r="F297" i="2"/>
  <c r="F293" i="2"/>
  <c r="F298" i="2"/>
  <c r="F289" i="2"/>
  <c r="F291" i="2"/>
  <c r="F290" i="2"/>
  <c r="F292" i="2"/>
  <c r="F296" i="2"/>
  <c r="F288" i="2"/>
  <c r="F295" i="2"/>
  <c r="F294" i="2"/>
  <c r="F299" i="2"/>
  <c r="F301" i="2"/>
  <c r="F300" i="2"/>
  <c r="F302" i="2"/>
  <c r="F305" i="2"/>
  <c r="F304" i="2"/>
  <c r="F306" i="2"/>
  <c r="F303" i="2"/>
  <c r="F310" i="2"/>
  <c r="F309" i="2"/>
  <c r="F308" i="2"/>
  <c r="F311" i="2"/>
  <c r="F313" i="2"/>
  <c r="F312" i="2"/>
  <c r="F307" i="2"/>
  <c r="F314" i="2"/>
  <c r="F320" i="2"/>
  <c r="F321" i="2"/>
  <c r="F316" i="2"/>
  <c r="F318" i="2"/>
  <c r="F319" i="2"/>
  <c r="F315" i="2"/>
  <c r="F317" i="2"/>
  <c r="F322" i="2"/>
  <c r="F323" i="2"/>
  <c r="F327" i="2"/>
  <c r="F326" i="2"/>
  <c r="F325" i="2"/>
  <c r="F324" i="2"/>
  <c r="F330" i="2"/>
  <c r="F329" i="2"/>
  <c r="F331" i="2"/>
  <c r="F332" i="2"/>
  <c r="F333" i="2"/>
  <c r="F336" i="2"/>
  <c r="F335" i="2"/>
  <c r="F337" i="2"/>
  <c r="F334" i="2"/>
  <c r="F338" i="2"/>
  <c r="F340" i="2"/>
  <c r="F339" i="2"/>
  <c r="F342" i="2"/>
  <c r="F341" i="2"/>
  <c r="F343" i="2"/>
  <c r="F346" i="2"/>
  <c r="F344" i="2"/>
  <c r="F345" i="2"/>
  <c r="F347" i="2"/>
  <c r="F348" i="2"/>
  <c r="F350" i="2"/>
  <c r="F351" i="2"/>
  <c r="F349" i="2"/>
  <c r="F352" i="2"/>
  <c r="F353" i="2"/>
  <c r="D4" i="4" l="1" a="1"/>
  <c r="D4" i="4" s="1"/>
  <c r="Q328" i="2"/>
  <c r="R328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7" i="2"/>
  <c r="R132" i="2"/>
  <c r="R103" i="2"/>
  <c r="Q338" i="2"/>
  <c r="Q251" i="2"/>
  <c r="Q54" i="2"/>
  <c r="S54" i="2" s="1"/>
  <c r="Q135" i="2"/>
  <c r="Q187" i="2"/>
  <c r="Q43" i="2"/>
  <c r="S43" i="2" s="1"/>
  <c r="R279" i="2"/>
  <c r="R139" i="2"/>
  <c r="Q127" i="2"/>
  <c r="Q285" i="2"/>
  <c r="Q253" i="2"/>
  <c r="R150" i="2"/>
  <c r="Q252" i="2"/>
  <c r="Q128" i="2"/>
  <c r="R55" i="2"/>
  <c r="Q293" i="2"/>
  <c r="Q350" i="2"/>
  <c r="R26" i="2"/>
  <c r="Q301" i="2"/>
  <c r="Q104" i="2"/>
  <c r="Q22" i="2"/>
  <c r="S22" i="2" s="1"/>
  <c r="R348" i="2"/>
  <c r="Q57" i="2"/>
  <c r="S57" i="2" s="1"/>
  <c r="R34" i="2"/>
  <c r="Q344" i="2"/>
  <c r="Q272" i="2"/>
  <c r="Q125" i="2"/>
  <c r="Q130" i="2"/>
  <c r="R290" i="2"/>
  <c r="R108" i="2"/>
  <c r="R23" i="2"/>
  <c r="Q216" i="2"/>
  <c r="Q53" i="2"/>
  <c r="S53" i="2" s="1"/>
  <c r="Q347" i="2"/>
  <c r="R234" i="2"/>
  <c r="Q312" i="2"/>
  <c r="Q334" i="2"/>
  <c r="Q233" i="2"/>
  <c r="R277" i="2"/>
  <c r="Q264" i="2"/>
  <c r="Q224" i="2"/>
  <c r="R298" i="2"/>
  <c r="R338" i="2"/>
  <c r="Q230" i="2"/>
  <c r="Q195" i="2"/>
  <c r="Q297" i="2"/>
  <c r="Q46" i="2"/>
  <c r="S46" i="2" s="1"/>
  <c r="Q120" i="2"/>
  <c r="R260" i="2"/>
  <c r="Q217" i="2"/>
  <c r="R201" i="2"/>
  <c r="R202" i="2"/>
  <c r="Q247" i="2"/>
  <c r="R198" i="2"/>
  <c r="R32" i="2"/>
  <c r="R257" i="2"/>
  <c r="Q190" i="2"/>
  <c r="Q44" i="2"/>
  <c r="S44" i="2" s="1"/>
  <c r="R255" i="2"/>
  <c r="R31" i="2"/>
  <c r="Q107" i="2"/>
  <c r="Q206" i="2"/>
  <c r="R343" i="2"/>
  <c r="R181" i="2"/>
  <c r="Q204" i="2"/>
  <c r="Q157" i="2"/>
  <c r="Q94" i="2"/>
  <c r="R346" i="2"/>
  <c r="R313" i="2"/>
  <c r="R296" i="2"/>
  <c r="R263" i="2"/>
  <c r="R246" i="2"/>
  <c r="R232" i="2"/>
  <c r="R193" i="2"/>
  <c r="R170" i="2"/>
  <c r="R121" i="2"/>
  <c r="R39" i="2"/>
  <c r="R311" i="2"/>
  <c r="Q337" i="2"/>
  <c r="Q199" i="2"/>
  <c r="R47" i="2"/>
  <c r="Q335" i="2"/>
  <c r="R110" i="2"/>
  <c r="Q140" i="2"/>
  <c r="R303" i="2"/>
  <c r="Q349" i="2"/>
  <c r="R111" i="2"/>
  <c r="R127" i="2"/>
  <c r="R306" i="2"/>
  <c r="R197" i="2"/>
  <c r="R304" i="2"/>
  <c r="Q342" i="2"/>
  <c r="Q352" i="2"/>
  <c r="R149" i="2"/>
  <c r="R293" i="2"/>
  <c r="Q277" i="2"/>
  <c r="Q202" i="2"/>
  <c r="R91" i="2"/>
  <c r="Q25" i="2"/>
  <c r="S25" i="2" s="1"/>
  <c r="Q260" i="2"/>
  <c r="Q148" i="2"/>
  <c r="Q319" i="2"/>
  <c r="R153" i="2"/>
  <c r="Q318" i="2"/>
  <c r="Q278" i="2"/>
  <c r="Q254" i="2"/>
  <c r="R33" i="2"/>
  <c r="R45" i="2"/>
  <c r="R334" i="2"/>
  <c r="R174" i="2"/>
  <c r="R46" i="2"/>
  <c r="R301" i="2"/>
  <c r="R252" i="2"/>
  <c r="R171" i="2"/>
  <c r="Q71" i="2"/>
  <c r="Q300" i="2"/>
  <c r="Q276" i="2"/>
  <c r="Q173" i="2"/>
  <c r="Q143" i="2"/>
  <c r="R345" i="2"/>
  <c r="R307" i="2"/>
  <c r="R270" i="2"/>
  <c r="R248" i="2"/>
  <c r="R163" i="2"/>
  <c r="R118" i="2"/>
  <c r="R85" i="2"/>
  <c r="R239" i="2"/>
  <c r="R297" i="2"/>
  <c r="R192" i="2"/>
  <c r="R230" i="2"/>
  <c r="Q180" i="2"/>
  <c r="R269" i="2"/>
  <c r="R292" i="2"/>
  <c r="Q222" i="2"/>
  <c r="R220" i="2"/>
  <c r="Q249" i="2"/>
  <c r="R20" i="2"/>
  <c r="Q139" i="2"/>
  <c r="Q63" i="2"/>
  <c r="S63" i="2" s="1"/>
  <c r="R350" i="2"/>
  <c r="R284" i="2"/>
  <c r="Q309" i="2"/>
  <c r="Q210" i="2"/>
  <c r="Q305" i="2"/>
  <c r="Q243" i="2"/>
  <c r="Q177" i="2"/>
  <c r="R134" i="2"/>
  <c r="R52" i="2"/>
  <c r="Q298" i="2"/>
  <c r="R51" i="2"/>
  <c r="R224" i="2"/>
  <c r="R128" i="2"/>
  <c r="R267" i="2"/>
  <c r="Q333" i="2"/>
  <c r="Q239" i="2"/>
  <c r="Q103" i="2"/>
  <c r="Q314" i="2"/>
  <c r="Q234" i="2"/>
  <c r="Q72" i="2"/>
  <c r="Q26" i="2"/>
  <c r="S26" i="2" s="1"/>
  <c r="R229" i="2"/>
  <c r="Q69" i="2"/>
  <c r="R213" i="2"/>
  <c r="Q327" i="2"/>
  <c r="Q226" i="2"/>
  <c r="Q115" i="2"/>
  <c r="Q280" i="2"/>
  <c r="Q114" i="2"/>
  <c r="Q75" i="2"/>
  <c r="Q27" i="2"/>
  <c r="S27" i="2" s="1"/>
  <c r="Q302" i="2"/>
  <c r="Q274" i="2"/>
  <c r="Q336" i="2"/>
  <c r="Q221" i="2"/>
  <c r="R191" i="2"/>
  <c r="R321" i="2"/>
  <c r="R187" i="2"/>
  <c r="R54" i="2"/>
  <c r="Q282" i="2"/>
  <c r="Q132" i="2"/>
  <c r="R57" i="2"/>
  <c r="R286" i="2"/>
  <c r="R116" i="2"/>
  <c r="Q330" i="2"/>
  <c r="R106" i="2"/>
  <c r="R68" i="2"/>
  <c r="R19" i="2"/>
  <c r="Q290" i="2"/>
  <c r="Q201" i="2"/>
  <c r="Q178" i="2"/>
  <c r="Q117" i="2"/>
  <c r="Q65" i="2"/>
  <c r="S65" i="2" s="1"/>
  <c r="Q34" i="2"/>
  <c r="S34" i="2" s="1"/>
  <c r="R135" i="2"/>
  <c r="R162" i="2"/>
  <c r="Q92" i="2"/>
  <c r="Q171" i="2"/>
  <c r="Q162" i="2"/>
  <c r="R168" i="2"/>
  <c r="R242" i="2"/>
  <c r="R223" i="2"/>
  <c r="R14" i="2"/>
  <c r="Q79" i="2"/>
  <c r="Q81" i="2"/>
  <c r="R86" i="2"/>
  <c r="Q165" i="2"/>
  <c r="R78" i="2"/>
  <c r="R160" i="2"/>
  <c r="R141" i="2"/>
  <c r="R80" i="2"/>
  <c r="R142" i="2"/>
  <c r="Q5" i="2"/>
  <c r="S5" i="2" s="1"/>
  <c r="R3" i="2"/>
  <c r="R7" i="2"/>
  <c r="Q10" i="2"/>
  <c r="S10" i="2" s="1"/>
  <c r="R11" i="2"/>
  <c r="Q331" i="2"/>
  <c r="R77" i="2"/>
  <c r="Q223" i="2"/>
  <c r="Q161" i="2"/>
  <c r="R199" i="2"/>
  <c r="Q348" i="2"/>
  <c r="Q262" i="2"/>
  <c r="R262" i="2"/>
  <c r="Q168" i="2"/>
  <c r="Q244" i="2"/>
  <c r="R244" i="2"/>
  <c r="Q212" i="2"/>
  <c r="R212" i="2"/>
  <c r="Q339" i="2"/>
  <c r="R339" i="2"/>
  <c r="Q323" i="2"/>
  <c r="R323" i="2"/>
  <c r="Q310" i="2"/>
  <c r="R310" i="2"/>
  <c r="Q289" i="2"/>
  <c r="R289" i="2"/>
  <c r="Q268" i="2"/>
  <c r="R268" i="2"/>
  <c r="Q259" i="2"/>
  <c r="R259" i="2"/>
  <c r="Q237" i="2"/>
  <c r="R237" i="2"/>
  <c r="Q227" i="2"/>
  <c r="R227" i="2"/>
  <c r="Q209" i="2"/>
  <c r="R209" i="2"/>
  <c r="Q194" i="2"/>
  <c r="R194" i="2"/>
  <c r="Q179" i="2"/>
  <c r="R179" i="2"/>
  <c r="Q169" i="2"/>
  <c r="R169" i="2"/>
  <c r="Q146" i="2"/>
  <c r="R146" i="2"/>
  <c r="Q133" i="2"/>
  <c r="R133" i="2"/>
  <c r="Q109" i="2"/>
  <c r="R109" i="2"/>
  <c r="Q98" i="2"/>
  <c r="R98" i="2"/>
  <c r="Q83" i="2"/>
  <c r="R83" i="2"/>
  <c r="Q64" i="2"/>
  <c r="S64" i="2" s="1"/>
  <c r="R64" i="2"/>
  <c r="Q48" i="2"/>
  <c r="S48" i="2" s="1"/>
  <c r="R48" i="2"/>
  <c r="Q29" i="2"/>
  <c r="S29" i="2" s="1"/>
  <c r="R29" i="2"/>
  <c r="Q16" i="2"/>
  <c r="S16" i="2" s="1"/>
  <c r="R16" i="2"/>
  <c r="R332" i="2"/>
  <c r="Q332" i="2"/>
  <c r="Q320" i="2"/>
  <c r="R320" i="2"/>
  <c r="R299" i="2"/>
  <c r="Q299" i="2"/>
  <c r="Q287" i="2"/>
  <c r="R287" i="2"/>
  <c r="R271" i="2"/>
  <c r="Q271" i="2"/>
  <c r="Q256" i="2"/>
  <c r="R256" i="2"/>
  <c r="Q219" i="2"/>
  <c r="R219" i="2"/>
  <c r="R203" i="2"/>
  <c r="Q203" i="2"/>
  <c r="R186" i="2"/>
  <c r="Q186" i="2"/>
  <c r="R154" i="2"/>
  <c r="Q154" i="2"/>
  <c r="Q123" i="2"/>
  <c r="R123" i="2"/>
  <c r="R90" i="2"/>
  <c r="Q90" i="2"/>
  <c r="R73" i="2"/>
  <c r="Q73" i="2"/>
  <c r="Q56" i="2"/>
  <c r="S56" i="2" s="1"/>
  <c r="R56" i="2"/>
  <c r="R40" i="2"/>
  <c r="Q40" i="2"/>
  <c r="S40" i="2" s="1"/>
  <c r="Q24" i="2"/>
  <c r="S24" i="2" s="1"/>
  <c r="R24" i="2"/>
  <c r="R4" i="2"/>
  <c r="Q4" i="2"/>
  <c r="S4" i="2" s="1"/>
  <c r="Q303" i="2"/>
  <c r="Q326" i="2"/>
  <c r="R326" i="2"/>
  <c r="Q341" i="2"/>
  <c r="R341" i="2"/>
  <c r="Q308" i="2"/>
  <c r="R308" i="2"/>
  <c r="Q283" i="2"/>
  <c r="R283" i="2"/>
  <c r="Q228" i="2"/>
  <c r="R228" i="2"/>
  <c r="R340" i="2"/>
  <c r="Q340" i="2"/>
  <c r="Q322" i="2"/>
  <c r="R322" i="2"/>
  <c r="R265" i="2"/>
  <c r="Q265" i="2"/>
  <c r="Q258" i="2"/>
  <c r="R258" i="2"/>
  <c r="R241" i="2"/>
  <c r="Q241" i="2"/>
  <c r="Q225" i="2"/>
  <c r="R225" i="2"/>
  <c r="Q208" i="2"/>
  <c r="R208" i="2"/>
  <c r="Q176" i="2"/>
  <c r="R176" i="2"/>
  <c r="R166" i="2"/>
  <c r="Q166" i="2"/>
  <c r="Q144" i="2"/>
  <c r="R144" i="2"/>
  <c r="R129" i="2"/>
  <c r="Q129" i="2"/>
  <c r="R113" i="2"/>
  <c r="Q113" i="2"/>
  <c r="R97" i="2"/>
  <c r="Q97" i="2"/>
  <c r="R82" i="2"/>
  <c r="Q82" i="2"/>
  <c r="Q61" i="2"/>
  <c r="S61" i="2" s="1"/>
  <c r="R61" i="2"/>
  <c r="R50" i="2"/>
  <c r="Q50" i="2"/>
  <c r="S50" i="2" s="1"/>
  <c r="Q30" i="2"/>
  <c r="S30" i="2" s="1"/>
  <c r="R30" i="2"/>
  <c r="R15" i="2"/>
  <c r="Q15" i="2"/>
  <c r="S15" i="2" s="1"/>
  <c r="Q200" i="2"/>
  <c r="R200" i="2"/>
  <c r="R119" i="2"/>
  <c r="Q119" i="2"/>
  <c r="R245" i="2"/>
  <c r="R214" i="2"/>
  <c r="R167" i="2"/>
  <c r="R99" i="2"/>
  <c r="Q306" i="2"/>
  <c r="Q174" i="2"/>
  <c r="R309" i="2"/>
  <c r="Q136" i="2"/>
  <c r="R136" i="2"/>
  <c r="Q49" i="2"/>
  <c r="S49" i="2" s="1"/>
  <c r="R49" i="2"/>
  <c r="Q17" i="2"/>
  <c r="S17" i="2" s="1"/>
  <c r="R17" i="2"/>
  <c r="Q304" i="2"/>
  <c r="Q257" i="2"/>
  <c r="Q91" i="2"/>
  <c r="R148" i="2"/>
  <c r="Q147" i="2"/>
  <c r="R147" i="2"/>
  <c r="Q101" i="2"/>
  <c r="R101" i="2"/>
  <c r="Q291" i="2"/>
  <c r="R291" i="2"/>
  <c r="Q281" i="2"/>
  <c r="R281" i="2"/>
  <c r="Q235" i="2"/>
  <c r="R235" i="2"/>
  <c r="Q196" i="2"/>
  <c r="R196" i="2"/>
  <c r="Q164" i="2"/>
  <c r="R164" i="2"/>
  <c r="Q138" i="2"/>
  <c r="R138" i="2"/>
  <c r="Q100" i="2"/>
  <c r="R100" i="2"/>
  <c r="Q84" i="2"/>
  <c r="Q66" i="2"/>
  <c r="S66" i="2" s="1"/>
  <c r="Q47" i="2"/>
  <c r="S47" i="2" s="1"/>
  <c r="Q35" i="2"/>
  <c r="S35" i="2" s="1"/>
  <c r="R35" i="2"/>
  <c r="Q18" i="2"/>
  <c r="S18" i="2" s="1"/>
  <c r="R18" i="2"/>
  <c r="Q255" i="2"/>
  <c r="Q220" i="2"/>
  <c r="Q45" i="2"/>
  <c r="S45" i="2" s="1"/>
  <c r="Q41" i="2"/>
  <c r="S41" i="2" s="1"/>
  <c r="R41" i="2"/>
  <c r="Q80" i="2"/>
  <c r="Q31" i="2"/>
  <c r="S31" i="2" s="1"/>
  <c r="R342" i="2"/>
  <c r="R178" i="2"/>
  <c r="R81" i="2"/>
  <c r="R25" i="2"/>
  <c r="R352" i="2"/>
  <c r="R337" i="2"/>
  <c r="R319" i="2"/>
  <c r="R305" i="2"/>
  <c r="R280" i="2"/>
  <c r="R272" i="2"/>
  <c r="R253" i="2"/>
  <c r="R243" i="2"/>
  <c r="R222" i="2"/>
  <c r="R204" i="2"/>
  <c r="R190" i="2"/>
  <c r="R177" i="2"/>
  <c r="R157" i="2"/>
  <c r="R140" i="2"/>
  <c r="R125" i="2"/>
  <c r="R114" i="2"/>
  <c r="R94" i="2"/>
  <c r="R75" i="2"/>
  <c r="R63" i="2"/>
  <c r="R44" i="2"/>
  <c r="R27" i="2"/>
  <c r="R5" i="2"/>
  <c r="Q77" i="2"/>
  <c r="R333" i="2"/>
  <c r="R282" i="2"/>
  <c r="R180" i="2"/>
  <c r="R84" i="2"/>
  <c r="R273" i="2"/>
  <c r="Q273" i="2"/>
  <c r="R211" i="2"/>
  <c r="Q211" i="2"/>
  <c r="R96" i="2"/>
  <c r="Q96" i="2"/>
  <c r="R236" i="2"/>
  <c r="Q236" i="2"/>
  <c r="R274" i="2"/>
  <c r="Q110" i="2"/>
  <c r="R315" i="2"/>
  <c r="Q315" i="2"/>
  <c r="R205" i="2"/>
  <c r="Q205" i="2"/>
  <c r="R159" i="2"/>
  <c r="Q159" i="2"/>
  <c r="R250" i="2"/>
  <c r="Q250" i="2"/>
  <c r="R155" i="2"/>
  <c r="Q155" i="2"/>
  <c r="R122" i="2"/>
  <c r="Q122" i="2"/>
  <c r="R6" i="2"/>
  <c r="Q6" i="2"/>
  <c r="S6" i="2" s="1"/>
  <c r="R349" i="2"/>
  <c r="R302" i="2"/>
  <c r="R254" i="2"/>
  <c r="R218" i="2"/>
  <c r="R189" i="2"/>
  <c r="R156" i="2"/>
  <c r="R126" i="2"/>
  <c r="R95" i="2"/>
  <c r="R58" i="2"/>
  <c r="R9" i="2"/>
  <c r="R71" i="2"/>
  <c r="R351" i="2"/>
  <c r="Q351" i="2"/>
  <c r="R336" i="2"/>
  <c r="R316" i="2"/>
  <c r="R300" i="2"/>
  <c r="R276" i="2"/>
  <c r="R266" i="2"/>
  <c r="Q266" i="2"/>
  <c r="R251" i="2"/>
  <c r="R238" i="2"/>
  <c r="Q238" i="2"/>
  <c r="R221" i="2"/>
  <c r="R206" i="2"/>
  <c r="R188" i="2"/>
  <c r="Q188" i="2"/>
  <c r="R173" i="2"/>
  <c r="R158" i="2"/>
  <c r="R143" i="2"/>
  <c r="R124" i="2"/>
  <c r="Q124" i="2"/>
  <c r="R102" i="2"/>
  <c r="R93" i="2"/>
  <c r="Q93" i="2"/>
  <c r="R74" i="2"/>
  <c r="R59" i="2"/>
  <c r="R43" i="2"/>
  <c r="R21" i="2"/>
  <c r="Q21" i="2"/>
  <c r="S21" i="2" s="1"/>
  <c r="R8" i="2"/>
  <c r="Q8" i="2"/>
  <c r="S8" i="2" s="1"/>
  <c r="R231" i="2"/>
  <c r="R105" i="2"/>
  <c r="Q242" i="2"/>
  <c r="Q111" i="2"/>
  <c r="Q74" i="2"/>
  <c r="R327" i="2"/>
  <c r="R226" i="2"/>
  <c r="R65" i="2"/>
  <c r="Q316" i="2"/>
  <c r="Q158" i="2"/>
  <c r="R66" i="2"/>
  <c r="Q321" i="2"/>
  <c r="Q197" i="2"/>
  <c r="R117" i="2"/>
  <c r="R317" i="2"/>
  <c r="Q317" i="2"/>
  <c r="R318" i="2"/>
  <c r="R261" i="2"/>
  <c r="R175" i="2"/>
  <c r="Q175" i="2"/>
  <c r="R62" i="2"/>
  <c r="Q62" i="2"/>
  <c r="S62" i="2" s="1"/>
  <c r="R13" i="2"/>
  <c r="Q13" i="2"/>
  <c r="S13" i="2" s="1"/>
  <c r="Q32" i="2"/>
  <c r="S32" i="2" s="1"/>
  <c r="R353" i="2"/>
  <c r="Q353" i="2"/>
  <c r="R60" i="2"/>
  <c r="Q60" i="2"/>
  <c r="S60" i="2" s="1"/>
  <c r="R275" i="2"/>
  <c r="Q275" i="2"/>
  <c r="R335" i="2"/>
  <c r="R278" i="2"/>
  <c r="R240" i="2"/>
  <c r="R207" i="2"/>
  <c r="R172" i="2"/>
  <c r="R145" i="2"/>
  <c r="R112" i="2"/>
  <c r="R76" i="2"/>
  <c r="R42" i="2"/>
  <c r="R28" i="2"/>
  <c r="Q160" i="2"/>
  <c r="R347" i="2"/>
  <c r="R331" i="2"/>
  <c r="R294" i="2"/>
  <c r="Q294" i="2"/>
  <c r="Q269" i="2"/>
  <c r="R249" i="2"/>
  <c r="R217" i="2"/>
  <c r="R183" i="2"/>
  <c r="Q183" i="2"/>
  <c r="R151" i="2"/>
  <c r="Q151" i="2"/>
  <c r="Q108" i="2"/>
  <c r="R92" i="2"/>
  <c r="R72" i="2"/>
  <c r="R38" i="2"/>
  <c r="Q38" i="2"/>
  <c r="S38" i="2" s="1"/>
  <c r="Q3" i="2"/>
  <c r="S3" i="2" s="1"/>
  <c r="R137" i="2"/>
  <c r="Q191" i="2"/>
  <c r="Q141" i="2"/>
  <c r="Q102" i="2"/>
  <c r="R314" i="2"/>
  <c r="R210" i="2"/>
  <c r="R115" i="2"/>
  <c r="R131" i="2"/>
  <c r="Q267" i="2"/>
  <c r="Q142" i="2"/>
  <c r="Q59" i="2"/>
  <c r="S59" i="2" s="1"/>
  <c r="Q14" i="2"/>
  <c r="S14" i="2" s="1"/>
  <c r="R165" i="2"/>
  <c r="Q329" i="2"/>
  <c r="Q295" i="2"/>
  <c r="Q270" i="2"/>
  <c r="Q215" i="2"/>
  <c r="Q163" i="2"/>
  <c r="Q131" i="2"/>
  <c r="Q105" i="2"/>
  <c r="Q70" i="2"/>
  <c r="Q37" i="2"/>
  <c r="S37" i="2" s="1"/>
  <c r="Q7" i="2"/>
  <c r="S7" i="2" s="1"/>
  <c r="R215" i="2"/>
  <c r="Q345" i="2"/>
  <c r="Q307" i="2"/>
  <c r="Q279" i="2"/>
  <c r="Q248" i="2"/>
  <c r="Q231" i="2"/>
  <c r="Q198" i="2"/>
  <c r="Q184" i="2"/>
  <c r="Q150" i="2"/>
  <c r="Q118" i="2"/>
  <c r="Q85" i="2"/>
  <c r="Q55" i="2"/>
  <c r="S55" i="2" s="1"/>
  <c r="Q23" i="2"/>
  <c r="S23" i="2" s="1"/>
  <c r="R344" i="2"/>
  <c r="R330" i="2"/>
  <c r="R312" i="2"/>
  <c r="R288" i="2"/>
  <c r="R285" i="2"/>
  <c r="R264" i="2"/>
  <c r="R247" i="2"/>
  <c r="R233" i="2"/>
  <c r="R216" i="2"/>
  <c r="R195" i="2"/>
  <c r="R182" i="2"/>
  <c r="R161" i="2"/>
  <c r="R152" i="2"/>
  <c r="R130" i="2"/>
  <c r="R120" i="2"/>
  <c r="R104" i="2"/>
  <c r="R79" i="2"/>
  <c r="R69" i="2"/>
  <c r="R53" i="2"/>
  <c r="R36" i="2"/>
  <c r="R22" i="2"/>
  <c r="R10" i="2"/>
  <c r="Q182" i="2"/>
  <c r="R329" i="2"/>
  <c r="R70" i="2"/>
  <c r="Q324" i="2"/>
  <c r="Q296" i="2"/>
  <c r="Q263" i="2"/>
  <c r="Q232" i="2"/>
  <c r="Q193" i="2"/>
  <c r="Q153" i="2"/>
  <c r="Q121" i="2"/>
  <c r="Q86" i="2"/>
  <c r="Q52" i="2"/>
  <c r="S52" i="2" s="1"/>
  <c r="Q19" i="2"/>
  <c r="S19" i="2" s="1"/>
  <c r="Q288" i="2"/>
  <c r="Q36" i="2"/>
  <c r="S36" i="2" s="1"/>
  <c r="R324" i="2"/>
  <c r="R184" i="2"/>
  <c r="Q346" i="2"/>
  <c r="Q313" i="2"/>
  <c r="Q284" i="2"/>
  <c r="Q246" i="2"/>
  <c r="Q213" i="2"/>
  <c r="Q185" i="2"/>
  <c r="Q170" i="2"/>
  <c r="Q134" i="2"/>
  <c r="Q106" i="2"/>
  <c r="Q68" i="2"/>
  <c r="S68" i="2" s="1"/>
  <c r="Q39" i="2"/>
  <c r="S39" i="2" s="1"/>
  <c r="Q11" i="2"/>
  <c r="S11" i="2" s="1"/>
  <c r="Q343" i="2"/>
  <c r="Q325" i="2"/>
  <c r="Q311" i="2"/>
  <c r="Q292" i="2"/>
  <c r="Q286" i="2"/>
  <c r="Q261" i="2"/>
  <c r="Q245" i="2"/>
  <c r="Q229" i="2"/>
  <c r="Q214" i="2"/>
  <c r="Q192" i="2"/>
  <c r="Q181" i="2"/>
  <c r="Q167" i="2"/>
  <c r="Q149" i="2"/>
  <c r="Q137" i="2"/>
  <c r="Q116" i="2"/>
  <c r="Q99" i="2"/>
  <c r="Q78" i="2"/>
  <c r="Q67" i="2"/>
  <c r="S67" i="2" s="1"/>
  <c r="Q51" i="2"/>
  <c r="S51" i="2" s="1"/>
  <c r="Q33" i="2"/>
  <c r="S33" i="2" s="1"/>
  <c r="Q20" i="2"/>
  <c r="S20" i="2" s="1"/>
  <c r="Q152" i="2"/>
  <c r="R325" i="2"/>
  <c r="R295" i="2"/>
  <c r="R185" i="2"/>
  <c r="R67" i="2"/>
  <c r="R37" i="2"/>
  <c r="Q240" i="2"/>
  <c r="Q218" i="2"/>
  <c r="Q207" i="2"/>
  <c r="Q189" i="2"/>
  <c r="Q172" i="2"/>
  <c r="Q156" i="2"/>
  <c r="Q145" i="2"/>
  <c r="Q126" i="2"/>
  <c r="Q112" i="2"/>
  <c r="Q95" i="2"/>
  <c r="Q76" i="2"/>
  <c r="Q58" i="2"/>
  <c r="S58" i="2" s="1"/>
  <c r="Q42" i="2"/>
  <c r="S42" i="2" s="1"/>
  <c r="Q28" i="2"/>
  <c r="S28" i="2" s="1"/>
  <c r="Q9" i="2"/>
  <c r="S9" i="2" s="1"/>
  <c r="R12" i="2"/>
  <c r="Q2" i="2"/>
  <c r="S2" i="2" s="1"/>
  <c r="R2" i="2"/>
  <c r="Q12" i="2"/>
  <c r="S12" i="2" s="1"/>
  <c r="I14" i="4" l="1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<sst xmlns="http://schemas.openxmlformats.org/spreadsheetml/2006/main" count="2323" uniqueCount="419">
  <si>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</si>
  <si>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</si>
  <si>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</si>
  <si>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</si>
  <si>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</si>
  <si>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</si>
  <si>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</si>
  <si>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</si>
  <si>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</si>
  <si>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</si>
  <si>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</si>
  <si>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</si>
  <si>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</si>
  <si>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</si>
  <si>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</si>
  <si>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</si>
  <si>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</si>
  <si>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</si>
  <si>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</si>
  <si>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</si>
  <si>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</si>
  <si>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</si>
  <si>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</si>
  <si>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</si>
  <si>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</si>
  <si>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</si>
  <si>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</si>
  <si>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</si>
  <si>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</si>
  <si>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</si>
  <si>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</si>
  <si>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</si>
  <si>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</si>
  <si>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</si>
  <si>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</si>
  <si>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</si>
  <si>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</si>
  <si>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</si>
  <si>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</si>
  <si>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</si>
  <si>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</si>
  <si>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</si>
  <si>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</si>
  <si>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</si>
  <si>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</si>
  <si>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</si>
  <si>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</si>
  <si>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</si>
  <si>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</si>
  <si>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</si>
  <si>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</si>
  <si>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</si>
  <si>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</si>
  <si>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</si>
  <si>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</si>
  <si>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</si>
  <si>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</si>
  <si>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</si>
  <si>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</si>
  <si>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</si>
  <si>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</si>
  <si>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</si>
  <si>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</si>
  <si>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</si>
  <si>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</si>
  <si>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</si>
  <si>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</si>
  <si>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</si>
  <si>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</si>
  <si>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</si>
  <si>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</si>
  <si>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</si>
  <si>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</si>
  <si>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</si>
  <si>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</si>
  <si>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</si>
  <si>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</si>
  <si>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</si>
  <si>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</si>
  <si>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</si>
  <si>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</si>
  <si>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</si>
  <si>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</si>
  <si>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</si>
  <si>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</si>
  <si>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</si>
  <si>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</si>
  <si>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</si>
  <si>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</si>
  <si>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</si>
  <si>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</si>
  <si>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</si>
  <si>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</si>
  <si>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</si>
  <si>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</si>
  <si>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</si>
  <si>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</si>
  <si>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</si>
  <si>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</si>
  <si>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</si>
  <si>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</si>
  <si>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</si>
  <si>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</si>
  <si>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</si>
  <si>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</si>
  <si>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</si>
  <si>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</si>
  <si>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</si>
  <si>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</si>
  <si>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</si>
  <si>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</si>
  <si>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</si>
  <si>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</si>
  <si>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</si>
  <si>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</si>
  <si>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</si>
  <si>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</si>
  <si>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</si>
  <si>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</si>
  <si>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</si>
  <si>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</si>
  <si>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</si>
  <si>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</si>
  <si>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</si>
  <si>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</si>
  <si>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</si>
  <si>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</si>
  <si>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</si>
  <si>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</si>
  <si>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</si>
  <si>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</si>
  <si>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</si>
  <si>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</si>
  <si>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</si>
  <si>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</si>
  <si>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</si>
  <si>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</si>
  <si>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</si>
  <si>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</si>
  <si>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</si>
  <si>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</si>
  <si>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</si>
  <si>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</si>
  <si>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</si>
  <si>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</si>
  <si>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</si>
  <si>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</si>
  <si>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</si>
  <si>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</si>
  <si>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</si>
  <si>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</si>
  <si>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</si>
  <si>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</si>
  <si>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</si>
  <si>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</si>
  <si>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</si>
  <si>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</si>
  <si>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</si>
  <si>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</si>
  <si>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</si>
  <si>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</si>
  <si>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</si>
  <si>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</si>
  <si>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</si>
  <si>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</si>
  <si>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</si>
  <si>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</si>
  <si>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</si>
  <si>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</si>
  <si>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</si>
  <si>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</si>
  <si>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</si>
  <si>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</si>
  <si>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</si>
  <si>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</si>
  <si>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</si>
  <si>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</si>
  <si>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</si>
  <si>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</si>
  <si>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</si>
  <si>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</si>
  <si>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</si>
  <si>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</si>
  <si>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</si>
  <si>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</si>
  <si>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</si>
  <si>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</si>
  <si>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</si>
  <si>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</si>
  <si>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</si>
  <si>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</si>
  <si>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</si>
  <si>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</si>
  <si>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</si>
  <si>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</si>
  <si>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</si>
  <si>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</si>
  <si>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</si>
  <si>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</si>
  <si>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</si>
  <si>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</si>
  <si>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</si>
  <si>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</si>
  <si>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</si>
  <si>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</si>
  <si>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</si>
  <si>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</si>
  <si>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</si>
  <si>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</si>
  <si>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</si>
  <si>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</si>
  <si>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</si>
  <si>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</si>
  <si>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</si>
  <si>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</si>
  <si>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</si>
  <si>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</si>
  <si>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</si>
  <si>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</si>
  <si>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</si>
  <si>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</si>
  <si>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</si>
  <si>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</si>
  <si>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</si>
  <si>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</si>
  <si>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</si>
  <si>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</si>
  <si>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</si>
  <si>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</si>
  <si>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</si>
  <si>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</si>
  <si>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</si>
  <si>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</si>
  <si>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</si>
  <si>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</si>
  <si>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</si>
  <si>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</si>
  <si>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</si>
  <si>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</si>
  <si>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</si>
  <si>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</si>
  <si>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</si>
  <si>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</si>
  <si>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</si>
  <si>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</si>
  <si>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</si>
  <si>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</si>
  <si>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</si>
  <si>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</si>
  <si>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</si>
  <si>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</si>
  <si>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</si>
  <si>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</si>
  <si>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</si>
  <si>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</si>
  <si>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</si>
  <si>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</si>
  <si>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</si>
  <si>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</si>
  <si>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</si>
  <si>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</si>
  <si>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</si>
  <si>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</si>
  <si>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</si>
  <si>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</si>
  <si>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</si>
  <si>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</si>
  <si>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</si>
  <si>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</si>
  <si>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</si>
  <si>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</si>
  <si>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</si>
  <si>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</si>
  <si>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</si>
  <si>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</si>
  <si>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</si>
  <si>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</si>
  <si>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</si>
  <si>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</si>
  <si>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</si>
  <si>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</si>
  <si>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</si>
  <si>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</si>
  <si>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</si>
  <si>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</si>
  <si>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</si>
  <si>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</si>
  <si>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</si>
  <si>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</si>
  <si>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</si>
  <si>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</si>
  <si>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</si>
  <si>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</si>
  <si>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</si>
  <si>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</si>
  <si>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</si>
  <si>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</si>
  <si>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</si>
  <si>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</si>
  <si>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</si>
  <si>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</si>
  <si>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</si>
  <si>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</si>
  <si>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</si>
  <si>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</si>
  <si>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</si>
  <si>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</si>
  <si>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</si>
  <si>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</si>
  <si>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</si>
  <si>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</si>
  <si>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</si>
  <si>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</si>
  <si>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</si>
  <si>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</si>
  <si>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</si>
  <si>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</si>
  <si>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</si>
  <si>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</si>
  <si>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</si>
  <si>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</si>
  <si>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</si>
  <si>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</si>
  <si>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</si>
  <si>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</si>
  <si>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</si>
  <si>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</si>
  <si>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</si>
  <si>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</si>
  <si>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</si>
  <si>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</si>
  <si>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</si>
  <si>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</si>
  <si>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</si>
  <si>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</si>
  <si>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</si>
  <si>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</si>
  <si>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</si>
  <si>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</si>
  <si>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</si>
  <si>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</si>
  <si>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</si>
  <si>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</si>
  <si>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</si>
  <si>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</si>
  <si>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</si>
  <si>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</si>
  <si>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</si>
  <si>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</si>
  <si>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</si>
  <si>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</si>
  <si>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</si>
  <si>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</si>
  <si>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</si>
  <si>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</si>
  <si>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</si>
  <si>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</si>
  <si>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</si>
  <si>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</si>
  <si>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</si>
  <si>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</si>
  <si>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</si>
  <si>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</si>
  <si>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</si>
  <si>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</si>
  <si>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</si>
  <si>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</si>
  <si>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</si>
  <si>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</si>
  <si>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</si>
  <si>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</si>
  <si>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</si>
  <si>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</si>
  <si>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</si>
  <si>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</si>
  <si>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</si>
  <si>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</si>
  <si>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</si>
  <si>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</si>
  <si>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</si>
  <si>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</si>
  <si>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</si>
  <si>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</si>
  <si>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</si>
  <si>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</si>
  <si>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</si>
  <si>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</si>
  <si>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</si>
  <si>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</si>
  <si>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</si>
  <si>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</si>
  <si>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</si>
  <si>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</si>
  <si>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</si>
  <si>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</si>
  <si>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</si>
  <si>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</si>
  <si>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</si>
  <si>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</si>
  <si>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</si>
  <si>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</si>
  <si>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</si>
  <si>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</si>
  <si>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</si>
  <si>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</si>
  <si>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</si>
  <si>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</si>
  <si>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</si>
  <si>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</si>
  <si>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</si>
  <si>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</si>
  <si>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</si>
  <si>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</si>
  <si>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</si>
  <si>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</si>
  <si>
    <t>Theo Rothdram</t>
  </si>
  <si>
    <t>Oliver Silcock</t>
  </si>
  <si>
    <t>Benjamin Hill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</si>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</sst>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0" fillId="0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45">
    <dxf>
      <fill>
        <patternFill>
          <bgColor theme="0" tint="-4.9989318521683403E-2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3" totalsRowShown="0" headerRowDxfId="43">
  <autoFilter ref="A1:S353" xr:uid="{4732A653-9976-4BC3-B1BB-3377C0BE5451}"/>
  <sortState xmlns:xlrd2="http://schemas.microsoft.com/office/spreadsheetml/2017/richdata2" ref="A2:S353">
    <sortCondition ref="S1:S353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5" xr3:uid="{C4BC7103-4C35-4FC3-8F18-8455C41D4783}" name="R1 Place" dataDxfId="41"/>
    <tableColumn id="6" xr3:uid="{F003CE6A-1709-47C7-A52B-4E78A06B55BC}" name="R1 Pts" dataDxfId="40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9"/>
    <tableColumn id="8" xr3:uid="{D5BD0204-BF0C-4CD7-84CF-355F4C709D84}" name="R2 Pts" dataDxfId="38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7"/>
    <tableColumn id="10" xr3:uid="{129B956B-A68A-4A58-B03A-5E88F63F4109}" name="R3 Pts" dataDxfId="36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5"/>
    <tableColumn id="12" xr3:uid="{8F6D618C-1190-4F5C-A449-77BB8AFE782C}" name="R4 Pts" dataDxfId="34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3"/>
    <tableColumn id="14" xr3:uid="{0630E922-C5AC-4446-B509-709B7EECF31A}" name="R5 Pts" dataDxfId="32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1"/>
    <tableColumn id="16" xr3:uid="{183BA364-7ECF-4FCA-8D96-4CEAFE4D6897}" name="R6 Pts" dataDxfId="30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9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8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1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2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3"/>
    <tableColumn id="5" xr3:uid="{76D035DA-EC5A-4955-8134-6D150CD5B699}" name="y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7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6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5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2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20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3"/>
  <sheetViews>
    <sheetView tabSelected="1"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7" sqref="I7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54</v>
      </c>
      <c r="B2" t="s">
        <v>10</v>
      </c>
      <c r="C2" t="s">
        <v>7</v>
      </c>
      <c r="D2" s="3">
        <v>8009</v>
      </c>
      <c r="E2" s="3">
        <v>15</v>
      </c>
      <c r="F2" s="3">
        <f>IF(E2="","",IF(E2="DNS",0,IF(E2="DQ",0,IF(E2="DNF",1,IF(AND(ISNUMBER(E2),E2&gt;59),1,_xlfn.XLOOKUP(E2,tbl_points[Place],tbl_points[Points],""))))))</f>
        <v>45</v>
      </c>
      <c r="G2" s="3">
        <v>25</v>
      </c>
      <c r="H2" s="3">
        <f>IF(G2="","",IF(G2="DNS",0,IF(G2="DQ",0,IF(G2="DNF",1,IF(AND(ISNUMBER(G2),G2&gt;59),1,_xlfn.XLOOKUP(G2,tbl_points[Place],tbl_points[Points],""))))))</f>
        <v>35</v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2" s="3">
        <f>tbl_individual[[#This Row],[Total]]</f>
        <v>80</v>
      </c>
    </row>
    <row r="3" spans="1:19" x14ac:dyDescent="0.4">
      <c r="A3" t="s">
        <v>61</v>
      </c>
      <c r="B3" t="s">
        <v>11</v>
      </c>
      <c r="C3" t="s">
        <v>7</v>
      </c>
      <c r="D3" s="3">
        <v>8147</v>
      </c>
      <c r="E3" s="3" t="s">
        <v>413</v>
      </c>
      <c r="F3" s="3">
        <f>IF(E3="","",IF(E3="DNS",0,IF(E3="DQ",0,IF(E3="DNF",1,IF(AND(ISNUMBER(E3),E3&gt;59),1,_xlfn.XLOOKUP(E3,tbl_points[Place],tbl_points[Points],""))))))</f>
        <v>0</v>
      </c>
      <c r="G3" s="3">
        <v>1</v>
      </c>
      <c r="H3" s="3">
        <f>IF(G3="","",IF(G3="DNS",0,IF(G3="DQ",0,IF(G3="DNF",1,IF(AND(ISNUMBER(G3),G3&gt;59),1,_xlfn.XLOOKUP(G3,tbl_points[Place],tbl_points[Points],""))))))</f>
        <v>100</v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</f>
        <v>100</v>
      </c>
    </row>
    <row r="4" spans="1:19" x14ac:dyDescent="0.4">
      <c r="A4" t="s">
        <v>62</v>
      </c>
      <c r="B4" t="s">
        <v>11</v>
      </c>
      <c r="C4" t="s">
        <v>7</v>
      </c>
      <c r="D4" s="3">
        <v>8154</v>
      </c>
      <c r="E4" s="3">
        <v>2</v>
      </c>
      <c r="F4" s="3">
        <f>IF(E4="","",IF(E4="DNS",0,IF(E4="DQ",0,IF(E4="DNF",1,IF(AND(ISNUMBER(E4),E4&gt;59),1,_xlfn.XLOOKUP(E4,tbl_points[Place],tbl_points[Points],""))))))</f>
        <v>95</v>
      </c>
      <c r="G4" s="3" t="s">
        <v>413</v>
      </c>
      <c r="H4" s="3">
        <f>IF(G4="","",IF(G4="DNS",0,IF(G4="DQ",0,IF(G4="DNF",1,IF(AND(ISNUMBER(G4),G4&gt;59),1,_xlfn.XLOOKUP(G4,tbl_points[Place],tbl_points[Points],""))))))</f>
        <v>0</v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" s="3">
        <f>tbl_individual[[#This Row],[Total]]</f>
        <v>95</v>
      </c>
    </row>
    <row r="5" spans="1:19" x14ac:dyDescent="0.4">
      <c r="A5" t="s">
        <v>66</v>
      </c>
      <c r="B5" t="s">
        <v>11</v>
      </c>
      <c r="C5" t="s">
        <v>7</v>
      </c>
      <c r="D5" s="3">
        <v>8186</v>
      </c>
      <c r="E5" s="3">
        <v>4</v>
      </c>
      <c r="F5" s="3">
        <f>IF(E5="","",IF(E5="DNS",0,IF(E5="DQ",0,IF(E5="DNF",1,IF(AND(ISNUMBER(E5),E5&gt;59),1,_xlfn.XLOOKUP(E5,tbl_points[Place],tbl_points[Points],""))))))</f>
        <v>85</v>
      </c>
      <c r="G5" s="3">
        <v>20</v>
      </c>
      <c r="H5" s="3">
        <f>IF(G5="","",IF(G5="DNS",0,IF(G5="DQ",0,IF(G5="DNF",1,IF(AND(ISNUMBER(G5),G5&gt;59),1,_xlfn.XLOOKUP(G5,tbl_points[Place],tbl_points[Points],""))))))</f>
        <v>40</v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5" s="3">
        <f>tbl_individual[[#This Row],[Total]]</f>
        <v>125</v>
      </c>
    </row>
    <row r="6" spans="1:19" x14ac:dyDescent="0.4">
      <c r="A6" t="s">
        <v>63</v>
      </c>
      <c r="B6" t="s">
        <v>11</v>
      </c>
      <c r="C6" t="s">
        <v>7</v>
      </c>
      <c r="D6" s="3">
        <v>8177</v>
      </c>
      <c r="E6" s="3">
        <v>18</v>
      </c>
      <c r="F6" s="3">
        <f>IF(E6="","",IF(E6="DNS",0,IF(E6="DQ",0,IF(E6="DNF",1,IF(AND(ISNUMBER(E6),E6&gt;59),1,_xlfn.XLOOKUP(E6,tbl_points[Place],tbl_points[Points],""))))))</f>
        <v>42</v>
      </c>
      <c r="G6" s="3">
        <v>34</v>
      </c>
      <c r="H6" s="3">
        <f>IF(G6="","",IF(G6="DNS",0,IF(G6="DQ",0,IF(G6="DNF",1,IF(AND(ISNUMBER(G6),G6&gt;59),1,_xlfn.XLOOKUP(G6,tbl_points[Place],tbl_points[Points],""))))))</f>
        <v>26</v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6" s="3">
        <f>tbl_individual[[#This Row],[Total]]</f>
        <v>68</v>
      </c>
    </row>
    <row r="7" spans="1:19" x14ac:dyDescent="0.4">
      <c r="A7" t="s">
        <v>60</v>
      </c>
      <c r="B7" t="s">
        <v>11</v>
      </c>
      <c r="C7" t="s">
        <v>7</v>
      </c>
      <c r="D7" s="3">
        <v>8140</v>
      </c>
      <c r="E7" s="3" t="s">
        <v>413</v>
      </c>
      <c r="F7" s="3">
        <f>IF(E7="","",IF(E7="DNS",0,IF(E7="DQ",0,IF(E7="DNF",1,IF(AND(ISNUMBER(E7),E7&gt;59),1,_xlfn.XLOOKUP(E7,tbl_points[Place],tbl_points[Points],""))))))</f>
        <v>0</v>
      </c>
      <c r="G7" s="3">
        <v>16</v>
      </c>
      <c r="H7" s="3">
        <f>IF(G7="","",IF(G7="DNS",0,IF(G7="DQ",0,IF(G7="DNF",1,IF(AND(ISNUMBER(G7),G7&gt;59),1,_xlfn.XLOOKUP(G7,tbl_points[Place],tbl_points[Points],""))))))</f>
        <v>44</v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</f>
        <v>44</v>
      </c>
    </row>
    <row r="8" spans="1:19" x14ac:dyDescent="0.4">
      <c r="A8" t="s">
        <v>64</v>
      </c>
      <c r="B8" t="s">
        <v>11</v>
      </c>
      <c r="C8" t="s">
        <v>7</v>
      </c>
      <c r="D8" s="3">
        <v>8181</v>
      </c>
      <c r="E8" s="3">
        <v>17</v>
      </c>
      <c r="F8" s="3">
        <f>IF(E8="","",IF(E8="DNS",0,IF(E8="DQ",0,IF(E8="DNF",1,IF(AND(ISNUMBER(E8),E8&gt;59),1,_xlfn.XLOOKUP(E8,tbl_points[Place],tbl_points[Points],""))))))</f>
        <v>43</v>
      </c>
      <c r="G8" s="3">
        <v>11</v>
      </c>
      <c r="H8" s="3">
        <f>IF(G8="","",IF(G8="DNS",0,IF(G8="DQ",0,IF(G8="DNF",1,IF(AND(ISNUMBER(G8),G8&gt;59),1,_xlfn.XLOOKUP(G8,tbl_points[Place],tbl_points[Points],""))))))</f>
        <v>53</v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8" s="3">
        <f>tbl_individual[[#This Row],[Total]]</f>
        <v>96</v>
      </c>
    </row>
    <row r="9" spans="1:19" x14ac:dyDescent="0.4">
      <c r="A9" t="s">
        <v>65</v>
      </c>
      <c r="B9" t="s">
        <v>11</v>
      </c>
      <c r="C9" t="s">
        <v>7</v>
      </c>
      <c r="D9" s="3">
        <v>8185</v>
      </c>
      <c r="E9" s="3">
        <v>38</v>
      </c>
      <c r="F9" s="3">
        <f>IF(E9="","",IF(E9="DNS",0,IF(E9="DQ",0,IF(E9="DNF",1,IF(AND(ISNUMBER(E9),E9&gt;59),1,_xlfn.XLOOKUP(E9,tbl_points[Place],tbl_points[Points],""))))))</f>
        <v>22</v>
      </c>
      <c r="G9" s="3">
        <v>23</v>
      </c>
      <c r="H9" s="3">
        <f>IF(G9="","",IF(G9="DNS",0,IF(G9="DQ",0,IF(G9="DNF",1,IF(AND(ISNUMBER(G9),G9&gt;59),1,_xlfn.XLOOKUP(G9,tbl_points[Place],tbl_points[Points],""))))))</f>
        <v>37</v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9" s="3">
        <f>tbl_individual[[#This Row],[Total]]</f>
        <v>59</v>
      </c>
    </row>
    <row r="10" spans="1:19" x14ac:dyDescent="0.4">
      <c r="A10" t="s">
        <v>59</v>
      </c>
      <c r="B10" t="s">
        <v>11</v>
      </c>
      <c r="C10" t="s">
        <v>7</v>
      </c>
      <c r="D10" s="3">
        <v>8086</v>
      </c>
      <c r="E10" s="3" t="s">
        <v>413</v>
      </c>
      <c r="F10" s="3">
        <f>IF(E10="","",IF(E10="DNS",0,IF(E10="DQ",0,IF(E10="DNF",1,IF(AND(ISNUMBER(E10),E10&gt;59),1,_xlfn.XLOOKUP(E10,tbl_points[Place],tbl_points[Points],""))))))</f>
        <v>0</v>
      </c>
      <c r="G10" s="3">
        <v>28</v>
      </c>
      <c r="H10" s="3">
        <f>IF(G10="","",IF(G10="DNS",0,IF(G10="DQ",0,IF(G10="DNF",1,IF(AND(ISNUMBER(G10),G10&gt;59),1,_xlfn.XLOOKUP(G10,tbl_points[Place],tbl_points[Points],""))))))</f>
        <v>32</v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</f>
        <v>32</v>
      </c>
    </row>
    <row r="11" spans="1:19" x14ac:dyDescent="0.4">
      <c r="A11" t="s">
        <v>58</v>
      </c>
      <c r="B11" t="s">
        <v>11</v>
      </c>
      <c r="C11" t="s">
        <v>7</v>
      </c>
      <c r="D11" s="3">
        <v>8049</v>
      </c>
      <c r="E11" s="3">
        <v>24</v>
      </c>
      <c r="F11" s="3">
        <f>IF(E11="","",IF(E11="DNS",0,IF(E11="DQ",0,IF(E11="DNF",1,IF(AND(ISNUMBER(E11),E11&gt;59),1,_xlfn.XLOOKUP(E11,tbl_points[Place],tbl_points[Points],""))))))</f>
        <v>36</v>
      </c>
      <c r="G11" s="3">
        <v>21</v>
      </c>
      <c r="H11" s="3">
        <f>IF(G11="","",IF(G11="DNS",0,IF(G11="DQ",0,IF(G11="DNF",1,IF(AND(ISNUMBER(G11),G11&gt;59),1,_xlfn.XLOOKUP(G11,tbl_points[Place],tbl_points[Points],""))))))</f>
        <v>39</v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1" s="3">
        <f>tbl_individual[[#This Row],[Total]]</f>
        <v>75</v>
      </c>
    </row>
    <row r="12" spans="1:19" x14ac:dyDescent="0.4">
      <c r="A12" t="s">
        <v>57</v>
      </c>
      <c r="B12" t="s">
        <v>11</v>
      </c>
      <c r="C12" t="s">
        <v>7</v>
      </c>
      <c r="D12" s="3">
        <v>8010</v>
      </c>
      <c r="E12" s="3">
        <v>31</v>
      </c>
      <c r="F12" s="3">
        <f>IF(E12="","",IF(E12="DNS",0,IF(E12="DQ",0,IF(E12="DNF",1,IF(AND(ISNUMBER(E12),E12&gt;59),1,_xlfn.XLOOKUP(E12,tbl_points[Place],tbl_points[Points],""))))))</f>
        <v>29</v>
      </c>
      <c r="G12" s="3">
        <v>40</v>
      </c>
      <c r="H12" s="3">
        <f>IF(G12="","",IF(G12="DNS",0,IF(G12="DQ",0,IF(G12="DNF",1,IF(AND(ISNUMBER(G12),G12&gt;59),1,_xlfn.XLOOKUP(G12,tbl_points[Place],tbl_points[Points],""))))))</f>
        <v>20</v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12" s="3">
        <f>tbl_individual[[#This Row],[Total]]</f>
        <v>49</v>
      </c>
    </row>
    <row r="13" spans="1:19" x14ac:dyDescent="0.4">
      <c r="A13" t="s">
        <v>109</v>
      </c>
      <c r="B13" t="s">
        <v>12</v>
      </c>
      <c r="C13" t="s">
        <v>7</v>
      </c>
      <c r="D13" s="3">
        <v>8190</v>
      </c>
      <c r="E13" s="3" t="s">
        <v>413</v>
      </c>
      <c r="F13" s="3">
        <f>IF(E13="","",IF(E13="DNS",0,IF(E13="DQ",0,IF(E13="DNF",1,IF(AND(ISNUMBER(E13),E13&gt;59),1,_xlfn.XLOOKUP(E13,tbl_points[Place],tbl_points[Points],""))))))</f>
        <v>0</v>
      </c>
      <c r="G13" s="3">
        <v>4</v>
      </c>
      <c r="H13" s="3">
        <f>IF(G13="","",IF(G13="DNS",0,IF(G13="DQ",0,IF(G13="DNF",1,IF(AND(ISNUMBER(G13),G13&gt;59),1,_xlfn.XLOOKUP(G13,tbl_points[Place],tbl_points[Points],""))))))</f>
        <v>85</v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85</v>
      </c>
    </row>
    <row r="14" spans="1:19" x14ac:dyDescent="0.4">
      <c r="A14" t="s">
        <v>108</v>
      </c>
      <c r="B14" t="s">
        <v>12</v>
      </c>
      <c r="C14" t="s">
        <v>7</v>
      </c>
      <c r="D14" s="3">
        <v>8189</v>
      </c>
      <c r="E14" s="3" t="s">
        <v>413</v>
      </c>
      <c r="F14" s="3">
        <f>IF(E14="","",IF(E14="DNS",0,IF(E14="DQ",0,IF(E14="DNF",1,IF(AND(ISNUMBER(E14),E14&gt;59),1,_xlfn.XLOOKUP(E14,tbl_points[Place],tbl_points[Points],""))))))</f>
        <v>0</v>
      </c>
      <c r="G14" s="3">
        <v>17</v>
      </c>
      <c r="H14" s="3">
        <f>IF(G14="","",IF(G14="DNS",0,IF(G14="DQ",0,IF(G14="DNF",1,IF(AND(ISNUMBER(G14),G14&gt;59),1,_xlfn.XLOOKUP(G14,tbl_points[Place],tbl_points[Points],""))))))</f>
        <v>43</v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43</v>
      </c>
    </row>
    <row r="15" spans="1:19" x14ac:dyDescent="0.4">
      <c r="A15" t="s">
        <v>118</v>
      </c>
      <c r="B15" t="s">
        <v>13</v>
      </c>
      <c r="C15" t="s">
        <v>7</v>
      </c>
      <c r="D15" s="3">
        <v>8191</v>
      </c>
      <c r="E15" s="3" t="s">
        <v>413</v>
      </c>
      <c r="F15" s="3">
        <f>IF(E15="","",IF(E15="DNS",0,IF(E15="DQ",0,IF(E15="DNF",1,IF(AND(ISNUMBER(E15),E15&gt;59),1,_xlfn.XLOOKUP(E15,tbl_points[Place],tbl_points[Points],""))))))</f>
        <v>0</v>
      </c>
      <c r="G15" s="3">
        <v>41</v>
      </c>
      <c r="H15" s="3">
        <f>IF(G15="","",IF(G15="DNS",0,IF(G15="DQ",0,IF(G15="DNF",1,IF(AND(ISNUMBER(G15),G15&gt;59),1,_xlfn.XLOOKUP(G15,tbl_points[Place],tbl_points[Points],""))))))</f>
        <v>19</v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19</v>
      </c>
    </row>
    <row r="16" spans="1:19" x14ac:dyDescent="0.4">
      <c r="A16" t="s">
        <v>119</v>
      </c>
      <c r="B16" t="s">
        <v>13</v>
      </c>
      <c r="C16" t="s">
        <v>7</v>
      </c>
      <c r="D16" s="3">
        <v>8192</v>
      </c>
      <c r="E16" s="3" t="s">
        <v>413</v>
      </c>
      <c r="F16" s="3">
        <f>IF(E16="","",IF(E16="DNS",0,IF(E16="DQ",0,IF(E16="DNF",1,IF(AND(ISNUMBER(E16),E16&gt;59),1,_xlfn.XLOOKUP(E16,tbl_points[Place],tbl_points[Points],""))))))</f>
        <v>0</v>
      </c>
      <c r="G16" s="3" t="s">
        <v>413</v>
      </c>
      <c r="H16" s="3">
        <f>IF(G16="","",IF(G16="DNS",0,IF(G16="DQ",0,IF(G16="DNF",1,IF(AND(ISNUMBER(G16),G16&gt;59),1,_xlfn.XLOOKUP(G16,tbl_points[Place],tbl_points[Points],""))))))</f>
        <v>0</v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0</v>
      </c>
    </row>
    <row r="17" spans="1:19" x14ac:dyDescent="0.4">
      <c r="A17" t="s">
        <v>128</v>
      </c>
      <c r="B17" t="s">
        <v>14</v>
      </c>
      <c r="C17" t="s">
        <v>7</v>
      </c>
      <c r="D17" s="3">
        <v>8194</v>
      </c>
      <c r="E17" s="3">
        <v>7</v>
      </c>
      <c r="F17" s="3">
        <f>IF(E17="","",IF(E17="DNS",0,IF(E17="DQ",0,IF(E17="DNF",1,IF(AND(ISNUMBER(E17),E17&gt;59),1,_xlfn.XLOOKUP(E17,tbl_points[Place],tbl_points[Points],""))))))</f>
        <v>70</v>
      </c>
      <c r="G17" s="3" t="s">
        <v>413</v>
      </c>
      <c r="H17" s="3">
        <f>IF(G17="","",IF(G17="DNS",0,IF(G17="DQ",0,IF(G17="DNF",1,IF(AND(ISNUMBER(G17),G17&gt;59),1,_xlfn.XLOOKUP(G17,tbl_points[Place],tbl_points[Points],""))))))</f>
        <v>0</v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</f>
        <v>70</v>
      </c>
    </row>
    <row r="18" spans="1:19" x14ac:dyDescent="0.4">
      <c r="A18" t="s">
        <v>127</v>
      </c>
      <c r="B18" t="s">
        <v>14</v>
      </c>
      <c r="C18" t="s">
        <v>7</v>
      </c>
      <c r="D18" s="3">
        <v>8193</v>
      </c>
      <c r="E18" s="3" t="s">
        <v>413</v>
      </c>
      <c r="F18" s="3">
        <f>IF(E18="","",IF(E18="DNS",0,IF(E18="DQ",0,IF(E18="DNF",1,IF(AND(ISNUMBER(E18),E18&gt;59),1,_xlfn.XLOOKUP(E18,tbl_points[Place],tbl_points[Points],""))))))</f>
        <v>0</v>
      </c>
      <c r="G18" s="3" t="s">
        <v>413</v>
      </c>
      <c r="H18" s="3">
        <f>IF(G18="","",IF(G18="DNS",0,IF(G18="DQ",0,IF(G18="DNF",1,IF(AND(ISNUMBER(G18),G18&gt;59),1,_xlfn.XLOOKUP(G18,tbl_points[Place],tbl_points[Points],""))))))</f>
        <v>0</v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x14ac:dyDescent="0.4">
      <c r="A19" t="s">
        <v>145</v>
      </c>
      <c r="B19" t="s">
        <v>15</v>
      </c>
      <c r="C19" t="s">
        <v>7</v>
      </c>
      <c r="D19" s="3">
        <v>8196</v>
      </c>
      <c r="E19" s="3" t="s">
        <v>413</v>
      </c>
      <c r="F19" s="3">
        <f>IF(E19="","",IF(E19="DNS",0,IF(E19="DQ",0,IF(E19="DNF",1,IF(AND(ISNUMBER(E19),E19&gt;59),1,_xlfn.XLOOKUP(E19,tbl_points[Place],tbl_points[Points],""))))))</f>
        <v>0</v>
      </c>
      <c r="G19" s="3">
        <v>2</v>
      </c>
      <c r="H19" s="3">
        <f>IF(G19="","",IF(G19="DNS",0,IF(G19="DQ",0,IF(G19="DNF",1,IF(AND(ISNUMBER(G19),G19&gt;59),1,_xlfn.XLOOKUP(G19,tbl_points[Place],tbl_points[Points],""))))))</f>
        <v>95</v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</f>
        <v>95</v>
      </c>
    </row>
    <row r="20" spans="1:19" x14ac:dyDescent="0.4">
      <c r="A20" t="s">
        <v>144</v>
      </c>
      <c r="B20" t="s">
        <v>15</v>
      </c>
      <c r="C20" t="s">
        <v>7</v>
      </c>
      <c r="D20" s="3">
        <v>8195</v>
      </c>
      <c r="E20" s="3">
        <v>3</v>
      </c>
      <c r="F20" s="3">
        <f>IF(E20="","",IF(E20="DNS",0,IF(E20="DQ",0,IF(E20="DNF",1,IF(AND(ISNUMBER(E20),E20&gt;59),1,_xlfn.XLOOKUP(E20,tbl_points[Place],tbl_points[Points],""))))))</f>
        <v>90</v>
      </c>
      <c r="G20" s="3" t="s">
        <v>413</v>
      </c>
      <c r="H20" s="3">
        <f>IF(G20="","",IF(G20="DNS",0,IF(G20="DQ",0,IF(G20="DNF",1,IF(AND(ISNUMBER(G20),G20&gt;59),1,_xlfn.XLOOKUP(G20,tbl_points[Place],tbl_points[Points],""))))))</f>
        <v>0</v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" s="3">
        <f>tbl_individual[[#This Row],[Total]]</f>
        <v>90</v>
      </c>
    </row>
    <row r="21" spans="1:19" x14ac:dyDescent="0.4">
      <c r="A21" t="s">
        <v>152</v>
      </c>
      <c r="B21" t="s">
        <v>16</v>
      </c>
      <c r="C21" t="s">
        <v>7</v>
      </c>
      <c r="D21" s="3">
        <v>802</v>
      </c>
      <c r="E21" s="3">
        <v>41</v>
      </c>
      <c r="F21" s="3">
        <f>IF(E21="","",IF(E21="DNS",0,IF(E21="DQ",0,IF(E21="DNF",1,IF(AND(ISNUMBER(E21),E21&gt;59),1,_xlfn.XLOOKUP(E21,tbl_points[Place],tbl_points[Points],""))))))</f>
        <v>19</v>
      </c>
      <c r="G21" s="3" t="s">
        <v>413</v>
      </c>
      <c r="H21" s="3">
        <f>IF(G21="","",IF(G21="DNS",0,IF(G21="DQ",0,IF(G21="DNF",1,IF(AND(ISNUMBER(G21),G21&gt;59),1,_xlfn.XLOOKUP(G21,tbl_points[Place],tbl_points[Points],""))))))</f>
        <v>0</v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</f>
        <v>19</v>
      </c>
    </row>
    <row r="22" spans="1:19" x14ac:dyDescent="0.4">
      <c r="A22" t="s">
        <v>147</v>
      </c>
      <c r="B22" t="s">
        <v>16</v>
      </c>
      <c r="C22" t="s">
        <v>7</v>
      </c>
      <c r="D22" s="3">
        <v>8197</v>
      </c>
      <c r="E22" s="3">
        <v>16</v>
      </c>
      <c r="F22" s="3">
        <f>IF(E22="","",IF(E22="DNS",0,IF(E22="DQ",0,IF(E22="DNF",1,IF(AND(ISNUMBER(E22),E22&gt;59),1,_xlfn.XLOOKUP(E22,tbl_points[Place],tbl_points[Points],""))))))</f>
        <v>44</v>
      </c>
      <c r="G22" s="3">
        <v>12</v>
      </c>
      <c r="H22" s="3">
        <f>IF(G22="","",IF(G22="DNS",0,IF(G22="DQ",0,IF(G22="DNF",1,IF(AND(ISNUMBER(G22),G22&gt;59),1,_xlfn.XLOOKUP(G22,tbl_points[Place],tbl_points[Points],""))))))</f>
        <v>51</v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2" s="3">
        <f>tbl_individual[[#This Row],[Total]]</f>
        <v>95</v>
      </c>
    </row>
    <row r="23" spans="1:19" x14ac:dyDescent="0.4">
      <c r="A23" t="s">
        <v>148</v>
      </c>
      <c r="B23" t="s">
        <v>16</v>
      </c>
      <c r="C23" t="s">
        <v>7</v>
      </c>
      <c r="D23" s="3">
        <v>8198</v>
      </c>
      <c r="E23" s="3">
        <v>33</v>
      </c>
      <c r="F23" s="3">
        <f>IF(E23="","",IF(E23="DNS",0,IF(E23="DQ",0,IF(E23="DNF",1,IF(AND(ISNUMBER(E23),E23&gt;59),1,_xlfn.XLOOKUP(E23,tbl_points[Place],tbl_points[Points],""))))))</f>
        <v>27</v>
      </c>
      <c r="G23" s="3">
        <v>6</v>
      </c>
      <c r="H23" s="3">
        <f>IF(G23="","",IF(G23="DNS",0,IF(G23="DQ",0,IF(G23="DNF",1,IF(AND(ISNUMBER(G23),G23&gt;59),1,_xlfn.XLOOKUP(G23,tbl_points[Place],tbl_points[Points],""))))))</f>
        <v>75</v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3" s="3">
        <f>tbl_individual[[#This Row],[Total]]</f>
        <v>102</v>
      </c>
    </row>
    <row r="24" spans="1:19" x14ac:dyDescent="0.4">
      <c r="A24" t="s">
        <v>150</v>
      </c>
      <c r="B24" t="s">
        <v>16</v>
      </c>
      <c r="C24" t="s">
        <v>7</v>
      </c>
      <c r="D24" s="3">
        <v>800</v>
      </c>
      <c r="E24" s="3">
        <v>12</v>
      </c>
      <c r="F24" s="3">
        <f>IF(E24="","",IF(E24="DNS",0,IF(E24="DQ",0,IF(E24="DNF",1,IF(AND(ISNUMBER(E24),E24&gt;59),1,_xlfn.XLOOKUP(E24,tbl_points[Place],tbl_points[Points],""))))))</f>
        <v>51</v>
      </c>
      <c r="G24" s="3">
        <v>39</v>
      </c>
      <c r="H24" s="3">
        <f>IF(G24="","",IF(G24="DNS",0,IF(G24="DQ",0,IF(G24="DNF",1,IF(AND(ISNUMBER(G24),G24&gt;59),1,_xlfn.XLOOKUP(G24,tbl_points[Place],tbl_points[Points],""))))))</f>
        <v>21</v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72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24" s="3">
        <f>tbl_individual[[#This Row],[Total]]</f>
        <v>72</v>
      </c>
    </row>
    <row r="25" spans="1:19" x14ac:dyDescent="0.4">
      <c r="A25" t="s">
        <v>151</v>
      </c>
      <c r="B25" t="s">
        <v>16</v>
      </c>
      <c r="C25" t="s">
        <v>7</v>
      </c>
      <c r="D25" s="3">
        <v>801</v>
      </c>
      <c r="E25" s="3" t="s">
        <v>414</v>
      </c>
      <c r="F25" s="3">
        <f>IF(E25="","",IF(E25="DNS",0,IF(E25="DQ",0,IF(E25="DNF",1,IF(AND(ISNUMBER(E25),E25&gt;59),1,_xlfn.XLOOKUP(E25,tbl_points[Place],tbl_points[Points],""))))))</f>
        <v>1</v>
      </c>
      <c r="G25" s="3">
        <v>9</v>
      </c>
      <c r="H25" s="3">
        <f>IF(G25="","",IF(G25="DNS",0,IF(G25="DQ",0,IF(G25="DNF",1,IF(AND(ISNUMBER(G25),G25&gt;59),1,_xlfn.XLOOKUP(G25,tbl_points[Place],tbl_points[Points],""))))))</f>
        <v>60</v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5" s="3">
        <f>tbl_individual[[#This Row],[Total]]</f>
        <v>61</v>
      </c>
    </row>
    <row r="26" spans="1:19" x14ac:dyDescent="0.4">
      <c r="A26" t="s">
        <v>149</v>
      </c>
      <c r="B26" t="s">
        <v>16</v>
      </c>
      <c r="C26" t="s">
        <v>7</v>
      </c>
      <c r="D26" s="3">
        <v>8199</v>
      </c>
      <c r="E26" s="3">
        <v>9</v>
      </c>
      <c r="F26" s="3">
        <f>IF(E26="","",IF(E26="DNS",0,IF(E26="DQ",0,IF(E26="DNF",1,IF(AND(ISNUMBER(E26),E26&gt;59),1,_xlfn.XLOOKUP(E26,tbl_points[Place],tbl_points[Points],""))))))</f>
        <v>60</v>
      </c>
      <c r="G26" s="3">
        <v>42</v>
      </c>
      <c r="H26" s="3">
        <f>IF(G26="","",IF(G26="DNS",0,IF(G26="DQ",0,IF(G26="DNF",1,IF(AND(ISNUMBER(G26),G26&gt;59),1,_xlfn.XLOOKUP(G26,tbl_points[Place],tbl_points[Points],""))))))</f>
        <v>18</v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26" s="3">
        <f>tbl_individual[[#This Row],[Total]]</f>
        <v>78</v>
      </c>
    </row>
    <row r="27" spans="1:19" x14ac:dyDescent="0.4">
      <c r="A27" t="s">
        <v>160</v>
      </c>
      <c r="B27" t="s">
        <v>17</v>
      </c>
      <c r="C27" t="s">
        <v>7</v>
      </c>
      <c r="D27" s="3">
        <v>804</v>
      </c>
      <c r="E27" s="3">
        <v>34</v>
      </c>
      <c r="F27" s="3">
        <f>IF(E27="","",IF(E27="DNS",0,IF(E27="DQ",0,IF(E27="DNF",1,IF(AND(ISNUMBER(E27),E27&gt;59),1,_xlfn.XLOOKUP(E27,tbl_points[Place],tbl_points[Points],""))))))</f>
        <v>26</v>
      </c>
      <c r="G27" s="3">
        <v>36</v>
      </c>
      <c r="H27" s="3">
        <f>IF(G27="","",IF(G27="DNS",0,IF(G27="DQ",0,IF(G27="DNF",1,IF(AND(ISNUMBER(G27),G27&gt;59),1,_xlfn.XLOOKUP(G27,tbl_points[Place],tbl_points[Points],""))))))</f>
        <v>24</v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7" s="3">
        <f>tbl_individual[[#This Row],[Total]]</f>
        <v>50</v>
      </c>
    </row>
    <row r="28" spans="1:19" x14ac:dyDescent="0.4">
      <c r="A28" t="s">
        <v>159</v>
      </c>
      <c r="B28" t="s">
        <v>17</v>
      </c>
      <c r="C28" t="s">
        <v>7</v>
      </c>
      <c r="D28" s="3">
        <v>803</v>
      </c>
      <c r="E28" s="3" t="s">
        <v>413</v>
      </c>
      <c r="F28" s="3">
        <f>IF(E28="","",IF(E28="DNS",0,IF(E28="DQ",0,IF(E28="DNF",1,IF(AND(ISNUMBER(E28),E28&gt;59),1,_xlfn.XLOOKUP(E28,tbl_points[Place],tbl_points[Points],""))))))</f>
        <v>0</v>
      </c>
      <c r="G28" s="3">
        <v>19</v>
      </c>
      <c r="H28" s="3">
        <f>IF(G28="","",IF(G28="DNS",0,IF(G28="DQ",0,IF(G28="DNF",1,IF(AND(ISNUMBER(G28),G28&gt;59),1,_xlfn.XLOOKUP(G28,tbl_points[Place],tbl_points[Points],""))))))</f>
        <v>41</v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</f>
        <v>41</v>
      </c>
    </row>
    <row r="29" spans="1:19" x14ac:dyDescent="0.4">
      <c r="A29" t="s">
        <v>175</v>
      </c>
      <c r="B29" t="s">
        <v>18</v>
      </c>
      <c r="C29" t="s">
        <v>7</v>
      </c>
      <c r="D29" s="3">
        <v>840</v>
      </c>
      <c r="E29" s="3" t="s">
        <v>413</v>
      </c>
      <c r="F29" s="3">
        <f>IF(E29="","",IF(E29="DNS",0,IF(E29="DQ",0,IF(E29="DNF",1,IF(AND(ISNUMBER(E29),E29&gt;59),1,_xlfn.XLOOKUP(E29,tbl_points[Place],tbl_points[Points],""))))))</f>
        <v>0</v>
      </c>
      <c r="G29" s="3">
        <v>14</v>
      </c>
      <c r="H29" s="3">
        <f>IF(G29="","",IF(G29="DNS",0,IF(G29="DQ",0,IF(G29="DNF",1,IF(AND(ISNUMBER(G29),G29&gt;59),1,_xlfn.XLOOKUP(G29,tbl_points[Place],tbl_points[Points],""))))))</f>
        <v>47</v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47</v>
      </c>
    </row>
    <row r="30" spans="1:19" x14ac:dyDescent="0.4">
      <c r="A30" t="s">
        <v>174</v>
      </c>
      <c r="B30" t="s">
        <v>18</v>
      </c>
      <c r="C30" t="s">
        <v>7</v>
      </c>
      <c r="D30" s="3">
        <v>839</v>
      </c>
      <c r="E30" s="3">
        <v>1</v>
      </c>
      <c r="F30" s="3">
        <f>IF(E30="","",IF(E30="DNS",0,IF(E30="DQ",0,IF(E30="DNF",1,IF(AND(ISNUMBER(E30),E30&gt;59),1,_xlfn.XLOOKUP(E30,tbl_points[Place],tbl_points[Points],""))))))</f>
        <v>100</v>
      </c>
      <c r="G30" s="3" t="s">
        <v>413</v>
      </c>
      <c r="H30" s="3">
        <f>IF(G30="","",IF(G30="DNS",0,IF(G30="DQ",0,IF(G30="DNF",1,IF(AND(ISNUMBER(G30),G30&gt;59),1,_xlfn.XLOOKUP(G30,tbl_points[Place],tbl_points[Points],""))))))</f>
        <v>0</v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100</v>
      </c>
    </row>
    <row r="31" spans="1:19" x14ac:dyDescent="0.4">
      <c r="A31" t="s">
        <v>172</v>
      </c>
      <c r="B31" t="s">
        <v>18</v>
      </c>
      <c r="C31" t="s">
        <v>7</v>
      </c>
      <c r="D31" s="3">
        <v>837</v>
      </c>
      <c r="E31" s="3">
        <v>42</v>
      </c>
      <c r="F31" s="3">
        <f>IF(E31="","",IF(E31="DNS",0,IF(E31="DQ",0,IF(E31="DNF",1,IF(AND(ISNUMBER(E31),E31&gt;59),1,_xlfn.XLOOKUP(E31,tbl_points[Place],tbl_points[Points],""))))))</f>
        <v>18</v>
      </c>
      <c r="G31" s="3" t="s">
        <v>413</v>
      </c>
      <c r="H31" s="3">
        <f>IF(G31="","",IF(G31="DNS",0,IF(G31="DQ",0,IF(G31="DNF",1,IF(AND(ISNUMBER(G31),G31&gt;59),1,_xlfn.XLOOKUP(G31,tbl_points[Place],tbl_points[Points],""))))))</f>
        <v>0</v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</f>
        <v>18</v>
      </c>
    </row>
    <row r="32" spans="1:19" x14ac:dyDescent="0.4">
      <c r="A32" t="s">
        <v>173</v>
      </c>
      <c r="B32" t="s">
        <v>18</v>
      </c>
      <c r="C32" t="s">
        <v>7</v>
      </c>
      <c r="D32" s="3">
        <v>838</v>
      </c>
      <c r="E32" s="3">
        <v>32</v>
      </c>
      <c r="F32" s="3">
        <f>IF(E32="","",IF(E32="DNS",0,IF(E32="DQ",0,IF(E32="DNF",1,IF(AND(ISNUMBER(E32),E32&gt;59),1,_xlfn.XLOOKUP(E32,tbl_points[Place],tbl_points[Points],""))))))</f>
        <v>28</v>
      </c>
      <c r="G32" s="3" t="s">
        <v>413</v>
      </c>
      <c r="H32" s="3">
        <f>IF(G32="","",IF(G32="DNS",0,IF(G32="DQ",0,IF(G32="DNF",1,IF(AND(ISNUMBER(G32),G32&gt;59),1,_xlfn.XLOOKUP(G32,tbl_points[Place],tbl_points[Points],""))))))</f>
        <v>0</v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</f>
        <v>28</v>
      </c>
    </row>
    <row r="33" spans="1:19" x14ac:dyDescent="0.4">
      <c r="A33" t="s">
        <v>181</v>
      </c>
      <c r="B33" t="s">
        <v>19</v>
      </c>
      <c r="C33" t="s">
        <v>7</v>
      </c>
      <c r="D33" s="3">
        <v>808</v>
      </c>
      <c r="E33" s="3">
        <v>35</v>
      </c>
      <c r="F33" s="3">
        <f>IF(E33="","",IF(E33="DNS",0,IF(E33="DQ",0,IF(E33="DNF",1,IF(AND(ISNUMBER(E33),E33&gt;59),1,_xlfn.XLOOKUP(E33,tbl_points[Place],tbl_points[Points],""))))))</f>
        <v>25</v>
      </c>
      <c r="G33" s="3">
        <v>8</v>
      </c>
      <c r="H33" s="3">
        <f>IF(G33="","",IF(G33="DNS",0,IF(G33="DQ",0,IF(G33="DNF",1,IF(AND(ISNUMBER(G33),G33&gt;59),1,_xlfn.XLOOKUP(G33,tbl_points[Place],tbl_points[Points],""))))))</f>
        <v>65</v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33" s="3">
        <f>tbl_individual[[#This Row],[Total]]</f>
        <v>90</v>
      </c>
    </row>
    <row r="34" spans="1:19" x14ac:dyDescent="0.4">
      <c r="A34" t="s">
        <v>180</v>
      </c>
      <c r="B34" t="s">
        <v>19</v>
      </c>
      <c r="C34" t="s">
        <v>7</v>
      </c>
      <c r="D34" s="3">
        <v>807</v>
      </c>
      <c r="E34" s="3">
        <v>14</v>
      </c>
      <c r="F34" s="3">
        <f>IF(E34="","",IF(E34="DNS",0,IF(E34="DQ",0,IF(E34="DNF",1,IF(AND(ISNUMBER(E34),E34&gt;59),1,_xlfn.XLOOKUP(E34,tbl_points[Place],tbl_points[Points],""))))))</f>
        <v>47</v>
      </c>
      <c r="G34" s="3">
        <v>38</v>
      </c>
      <c r="H34" s="3">
        <f>IF(G34="","",IF(G34="DNS",0,IF(G34="DQ",0,IF(G34="DNF",1,IF(AND(ISNUMBER(G34),G34&gt;59),1,_xlfn.XLOOKUP(G34,tbl_points[Place],tbl_points[Points],""))))))</f>
        <v>22</v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34" s="3">
        <f>tbl_individual[[#This Row],[Total]]</f>
        <v>69</v>
      </c>
    </row>
    <row r="35" spans="1:19" x14ac:dyDescent="0.4">
      <c r="A35" t="s">
        <v>179</v>
      </c>
      <c r="B35" t="s">
        <v>19</v>
      </c>
      <c r="C35" t="s">
        <v>7</v>
      </c>
      <c r="D35" s="3">
        <v>806</v>
      </c>
      <c r="E35" s="3">
        <v>22</v>
      </c>
      <c r="F35" s="3">
        <f>IF(E35="","",IF(E35="DNS",0,IF(E35="DQ",0,IF(E35="DNF",1,IF(AND(ISNUMBER(E35),E35&gt;59),1,_xlfn.XLOOKUP(E35,tbl_points[Place],tbl_points[Points],""))))))</f>
        <v>38</v>
      </c>
      <c r="G35" s="3" t="s">
        <v>413</v>
      </c>
      <c r="H35" s="3">
        <f>IF(G35="","",IF(G35="DNS",0,IF(G35="DQ",0,IF(G35="DNF",1,IF(AND(ISNUMBER(G35),G35&gt;59),1,_xlfn.XLOOKUP(G35,tbl_points[Place],tbl_points[Points],""))))))</f>
        <v>0</v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38</v>
      </c>
    </row>
    <row r="36" spans="1:19" x14ac:dyDescent="0.4">
      <c r="A36" t="s">
        <v>191</v>
      </c>
      <c r="B36" t="s">
        <v>21</v>
      </c>
      <c r="C36" t="s">
        <v>7</v>
      </c>
      <c r="D36" s="3">
        <v>810</v>
      </c>
      <c r="E36" s="3">
        <v>11</v>
      </c>
      <c r="F36" s="3">
        <f>IF(E36="","",IF(E36="DNS",0,IF(E36="DQ",0,IF(E36="DNF",1,IF(AND(ISNUMBER(E36),E36&gt;59),1,_xlfn.XLOOKUP(E36,tbl_points[Place],tbl_points[Points],""))))))</f>
        <v>53</v>
      </c>
      <c r="G36" s="3">
        <v>29</v>
      </c>
      <c r="H36" s="3">
        <f>IF(G36="","",IF(G36="DNS",0,IF(G36="DQ",0,IF(G36="DNF",1,IF(AND(ISNUMBER(G36),G36&gt;59),1,_xlfn.XLOOKUP(G36,tbl_points[Place],tbl_points[Points],""))))))</f>
        <v>31</v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36" s="3">
        <f>tbl_individual[[#This Row],[Total]]</f>
        <v>84</v>
      </c>
    </row>
    <row r="37" spans="1:19" x14ac:dyDescent="0.4">
      <c r="A37" t="s">
        <v>192</v>
      </c>
      <c r="B37" t="s">
        <v>21</v>
      </c>
      <c r="C37" t="s">
        <v>7</v>
      </c>
      <c r="D37" s="3">
        <v>811</v>
      </c>
      <c r="E37" s="3">
        <v>30</v>
      </c>
      <c r="F37" s="3">
        <f>IF(E37="","",IF(E37="DNS",0,IF(E37="DQ",0,IF(E37="DNF",1,IF(AND(ISNUMBER(E37),E37&gt;59),1,_xlfn.XLOOKUP(E37,tbl_points[Place],tbl_points[Points],""))))))</f>
        <v>30</v>
      </c>
      <c r="G37" s="3">
        <v>13</v>
      </c>
      <c r="H37" s="3">
        <f>IF(G37="","",IF(G37="DNS",0,IF(G37="DQ",0,IF(G37="DNF",1,IF(AND(ISNUMBER(G37),G37&gt;59),1,_xlfn.XLOOKUP(G37,tbl_points[Place],tbl_points[Points],""))))))</f>
        <v>49</v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79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7" s="3">
        <f>tbl_individual[[#This Row],[Total]]</f>
        <v>79</v>
      </c>
    </row>
    <row r="38" spans="1:19" x14ac:dyDescent="0.4">
      <c r="A38" t="s">
        <v>193</v>
      </c>
      <c r="B38" t="s">
        <v>21</v>
      </c>
      <c r="C38" t="s">
        <v>7</v>
      </c>
      <c r="D38" s="3">
        <v>812</v>
      </c>
      <c r="E38" s="3" t="s">
        <v>413</v>
      </c>
      <c r="F38" s="3">
        <f>IF(E38="","",IF(E38="DNS",0,IF(E38="DQ",0,IF(E38="DNF",1,IF(AND(ISNUMBER(E38),E38&gt;59),1,_xlfn.XLOOKUP(E38,tbl_points[Place],tbl_points[Points],""))))))</f>
        <v>0</v>
      </c>
      <c r="G38" s="3" t="s">
        <v>413</v>
      </c>
      <c r="H38" s="3">
        <f>IF(G38="","",IF(G38="DNS",0,IF(G38="DQ",0,IF(G38="DNF",1,IF(AND(ISNUMBER(G38),G38&gt;59),1,_xlfn.XLOOKUP(G38,tbl_points[Place],tbl_points[Points],""))))))</f>
        <v>0</v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x14ac:dyDescent="0.4">
      <c r="A39" t="s">
        <v>190</v>
      </c>
      <c r="B39" t="s">
        <v>21</v>
      </c>
      <c r="C39" t="s">
        <v>7</v>
      </c>
      <c r="D39" s="3">
        <v>809</v>
      </c>
      <c r="E39" s="3">
        <v>8</v>
      </c>
      <c r="F39" s="3">
        <f>IF(E39="","",IF(E39="DNS",0,IF(E39="DQ",0,IF(E39="DNF",1,IF(AND(ISNUMBER(E39),E39&gt;59),1,_xlfn.XLOOKUP(E39,tbl_points[Place],tbl_points[Points],""))))))</f>
        <v>65</v>
      </c>
      <c r="G39" s="3" t="s">
        <v>413</v>
      </c>
      <c r="H39" s="3">
        <f>IF(G39="","",IF(G39="DNS",0,IF(G39="DQ",0,IF(G39="DNF",1,IF(AND(ISNUMBER(G39),G39&gt;59),1,_xlfn.XLOOKUP(G39,tbl_points[Place],tbl_points[Points],""))))))</f>
        <v>0</v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65</v>
      </c>
    </row>
    <row r="40" spans="1:19" x14ac:dyDescent="0.4">
      <c r="A40" t="s">
        <v>243</v>
      </c>
      <c r="B40" t="s">
        <v>23</v>
      </c>
      <c r="C40" t="s">
        <v>7</v>
      </c>
      <c r="D40" s="3">
        <v>813</v>
      </c>
      <c r="E40" s="3">
        <v>23</v>
      </c>
      <c r="F40" s="3">
        <f>IF(E40="","",IF(E40="DNS",0,IF(E40="DQ",0,IF(E40="DNF",1,IF(AND(ISNUMBER(E40),E40&gt;59),1,_xlfn.XLOOKUP(E40,tbl_points[Place],tbl_points[Points],""))))))</f>
        <v>37</v>
      </c>
      <c r="G40" s="3">
        <v>31</v>
      </c>
      <c r="H40" s="3">
        <f>IF(G40="","",IF(G40="DNS",0,IF(G40="DQ",0,IF(G40="DNF",1,IF(AND(ISNUMBER(G40),G40&gt;59),1,_xlfn.XLOOKUP(G40,tbl_points[Place],tbl_points[Points],""))))))</f>
        <v>29</v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40" s="3">
        <f>tbl_individual[[#This Row],[Total]]</f>
        <v>66</v>
      </c>
    </row>
    <row r="41" spans="1:19" x14ac:dyDescent="0.4">
      <c r="A41" t="s">
        <v>244</v>
      </c>
      <c r="B41" t="s">
        <v>23</v>
      </c>
      <c r="C41" t="s">
        <v>7</v>
      </c>
      <c r="D41" s="3">
        <v>814</v>
      </c>
      <c r="E41" s="3">
        <v>10</v>
      </c>
      <c r="F41" s="3">
        <f>IF(E41="","",IF(E41="DNS",0,IF(E41="DQ",0,IF(E41="DNF",1,IF(AND(ISNUMBER(E41),E41&gt;59),1,_xlfn.XLOOKUP(E41,tbl_points[Place],tbl_points[Points],""))))))</f>
        <v>55</v>
      </c>
      <c r="G41" s="3">
        <v>30</v>
      </c>
      <c r="H41" s="3">
        <f>IF(G41="","",IF(G41="DNS",0,IF(G41="DQ",0,IF(G41="DNF",1,IF(AND(ISNUMBER(G41),G41&gt;59),1,_xlfn.XLOOKUP(G41,tbl_points[Place],tbl_points[Points],""))))))</f>
        <v>30</v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41" s="3">
        <f>tbl_individual[[#This Row],[Total]]</f>
        <v>85</v>
      </c>
    </row>
    <row r="42" spans="1:19" x14ac:dyDescent="0.4">
      <c r="A42" t="s">
        <v>252</v>
      </c>
      <c r="B42" t="s">
        <v>24</v>
      </c>
      <c r="C42" t="s">
        <v>7</v>
      </c>
      <c r="D42" s="3">
        <v>816</v>
      </c>
      <c r="E42" s="3">
        <v>28</v>
      </c>
      <c r="F42" s="3">
        <f>IF(E42="","",IF(E42="DNS",0,IF(E42="DQ",0,IF(E42="DNF",1,IF(AND(ISNUMBER(E42),E42&gt;59),1,_xlfn.XLOOKUP(E42,tbl_points[Place],tbl_points[Points],""))))))</f>
        <v>32</v>
      </c>
      <c r="G42" s="3">
        <v>27</v>
      </c>
      <c r="H42" s="3">
        <f>IF(G42="","",IF(G42="DNS",0,IF(G42="DQ",0,IF(G42="DNF",1,IF(AND(ISNUMBER(G42),G42&gt;59),1,_xlfn.XLOOKUP(G42,tbl_points[Place],tbl_points[Points],""))))))</f>
        <v>33</v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42" s="3">
        <f>tbl_individual[[#This Row],[Total]]</f>
        <v>65</v>
      </c>
    </row>
    <row r="43" spans="1:19" x14ac:dyDescent="0.4">
      <c r="A43" t="s">
        <v>251</v>
      </c>
      <c r="B43" t="s">
        <v>24</v>
      </c>
      <c r="C43" t="s">
        <v>7</v>
      </c>
      <c r="D43" s="3">
        <v>815</v>
      </c>
      <c r="E43" s="3">
        <v>5</v>
      </c>
      <c r="F43" s="3">
        <f>IF(E43="","",IF(E43="DNS",0,IF(E43="DQ",0,IF(E43="DNF",1,IF(AND(ISNUMBER(E43),E43&gt;59),1,_xlfn.XLOOKUP(E43,tbl_points[Place],tbl_points[Points],""))))))</f>
        <v>80</v>
      </c>
      <c r="G43" s="3">
        <v>35</v>
      </c>
      <c r="H43" s="3">
        <f>IF(G43="","",IF(G43="DNS",0,IF(G43="DQ",0,IF(G43="DNF",1,IF(AND(ISNUMBER(G43),G43&gt;59),1,_xlfn.XLOOKUP(G43,tbl_points[Place],tbl_points[Points],""))))))</f>
        <v>25</v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43" s="3">
        <f>tbl_individual[[#This Row],[Total]]</f>
        <v>105</v>
      </c>
    </row>
    <row r="44" spans="1:19" x14ac:dyDescent="0.4">
      <c r="A44" t="s">
        <v>253</v>
      </c>
      <c r="B44" t="s">
        <v>24</v>
      </c>
      <c r="C44" t="s">
        <v>7</v>
      </c>
      <c r="D44" s="3">
        <v>817</v>
      </c>
      <c r="E44" s="3">
        <v>29</v>
      </c>
      <c r="F44" s="3">
        <f>IF(E44="","",IF(E44="DNS",0,IF(E44="DQ",0,IF(E44="DNF",1,IF(AND(ISNUMBER(E44),E44&gt;59),1,_xlfn.XLOOKUP(E44,tbl_points[Place],tbl_points[Points],""))))))</f>
        <v>31</v>
      </c>
      <c r="G44" s="3">
        <v>10</v>
      </c>
      <c r="H44" s="3">
        <f>IF(G44="","",IF(G44="DNS",0,IF(G44="DQ",0,IF(G44="DNF",1,IF(AND(ISNUMBER(G44),G44&gt;59),1,_xlfn.XLOOKUP(G44,tbl_points[Place],tbl_points[Points],""))))))</f>
        <v>55</v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44" s="3">
        <f>tbl_individual[[#This Row],[Total]]</f>
        <v>86</v>
      </c>
    </row>
    <row r="45" spans="1:19" x14ac:dyDescent="0.4">
      <c r="A45" t="s">
        <v>288</v>
      </c>
      <c r="B45" t="s">
        <v>25</v>
      </c>
      <c r="C45" t="s">
        <v>7</v>
      </c>
      <c r="D45" s="3">
        <v>819</v>
      </c>
      <c r="E45" s="3">
        <v>6</v>
      </c>
      <c r="F45" s="3">
        <f>IF(E45="","",IF(E45="DNS",0,IF(E45="DQ",0,IF(E45="DNF",1,IF(AND(ISNUMBER(E45),E45&gt;59),1,_xlfn.XLOOKUP(E45,tbl_points[Place],tbl_points[Points],""))))))</f>
        <v>75</v>
      </c>
      <c r="G45" s="3">
        <v>46</v>
      </c>
      <c r="H45" s="3">
        <f>IF(G45="","",IF(G45="DNS",0,IF(G45="DQ",0,IF(G45="DNF",1,IF(AND(ISNUMBER(G45),G45&gt;59),1,_xlfn.XLOOKUP(G45,tbl_points[Place],tbl_points[Points],""))))))</f>
        <v>14</v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S45" s="3">
        <f>tbl_individual[[#This Row],[Total]]</f>
        <v>89</v>
      </c>
    </row>
    <row r="46" spans="1:19" x14ac:dyDescent="0.4">
      <c r="A46" t="s">
        <v>287</v>
      </c>
      <c r="B46" t="s">
        <v>25</v>
      </c>
      <c r="C46" t="s">
        <v>7</v>
      </c>
      <c r="D46" s="3">
        <v>818</v>
      </c>
      <c r="E46" s="3">
        <v>40</v>
      </c>
      <c r="F46" s="3">
        <f>IF(E46="","",IF(E46="DNS",0,IF(E46="DQ",0,IF(E46="DNF",1,IF(AND(ISNUMBER(E46),E46&gt;59),1,_xlfn.XLOOKUP(E46,tbl_points[Place],tbl_points[Points],""))))))</f>
        <v>20</v>
      </c>
      <c r="G46" s="3">
        <v>3</v>
      </c>
      <c r="H46" s="3">
        <f>IF(G46="","",IF(G46="DNS",0,IF(G46="DQ",0,IF(G46="DNF",1,IF(AND(ISNUMBER(G46),G46&gt;59),1,_xlfn.XLOOKUP(G46,tbl_points[Place],tbl_points[Points],""))))))</f>
        <v>90</v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6" s="3">
        <f>tbl_individual[[#This Row],[Total]]</f>
        <v>110</v>
      </c>
    </row>
    <row r="47" spans="1:19" x14ac:dyDescent="0.4">
      <c r="A47" t="s">
        <v>311</v>
      </c>
      <c r="B47" t="s">
        <v>27</v>
      </c>
      <c r="C47" t="s">
        <v>7</v>
      </c>
      <c r="D47" s="3">
        <v>822</v>
      </c>
      <c r="E47" s="3">
        <v>27</v>
      </c>
      <c r="F47" s="3">
        <f>IF(E47="","",IF(E47="DNS",0,IF(E47="DQ",0,IF(E47="DNF",1,IF(AND(ISNUMBER(E47),E47&gt;59),1,_xlfn.XLOOKUP(E47,tbl_points[Place],tbl_points[Points],""))))))</f>
        <v>33</v>
      </c>
      <c r="G47" s="3" t="s">
        <v>413</v>
      </c>
      <c r="H47" s="3">
        <f>IF(G47="","",IF(G47="DNS",0,IF(G47="DQ",0,IF(G47="DNF",1,IF(AND(ISNUMBER(G47),G47&gt;59),1,_xlfn.XLOOKUP(G47,tbl_points[Place],tbl_points[Points],""))))))</f>
        <v>0</v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33</v>
      </c>
    </row>
    <row r="48" spans="1:19" x14ac:dyDescent="0.4">
      <c r="A48" t="s">
        <v>310</v>
      </c>
      <c r="B48" t="s">
        <v>27</v>
      </c>
      <c r="C48" t="s">
        <v>7</v>
      </c>
      <c r="D48" s="3">
        <v>821</v>
      </c>
      <c r="E48" s="3">
        <v>20</v>
      </c>
      <c r="F48" s="3">
        <f>IF(E48="","",IF(E48="DNS",0,IF(E48="DQ",0,IF(E48="DNF",1,IF(AND(ISNUMBER(E48),E48&gt;59),1,_xlfn.XLOOKUP(E48,tbl_points[Place],tbl_points[Points],""))))))</f>
        <v>40</v>
      </c>
      <c r="G48" s="3">
        <v>7</v>
      </c>
      <c r="H48" s="3">
        <f>IF(G48="","",IF(G48="DNS",0,IF(G48="DQ",0,IF(G48="DNF",1,IF(AND(ISNUMBER(G48),G48&gt;59),1,_xlfn.XLOOKUP(G48,tbl_points[Place],tbl_points[Points],""))))))</f>
        <v>70</v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48" s="3">
        <f>tbl_individual[[#This Row],[Total]]</f>
        <v>110</v>
      </c>
    </row>
    <row r="49" spans="1:19" x14ac:dyDescent="0.4">
      <c r="A49" t="s">
        <v>312</v>
      </c>
      <c r="B49" t="s">
        <v>27</v>
      </c>
      <c r="C49" t="s">
        <v>7</v>
      </c>
      <c r="D49" s="3">
        <v>823</v>
      </c>
      <c r="E49" s="3">
        <v>37</v>
      </c>
      <c r="F49" s="3">
        <f>IF(E49="","",IF(E49="DNS",0,IF(E49="DQ",0,IF(E49="DNF",1,IF(AND(ISNUMBER(E49),E49&gt;59),1,_xlfn.XLOOKUP(E49,tbl_points[Place],tbl_points[Points],""))))))</f>
        <v>23</v>
      </c>
      <c r="G49" s="3">
        <v>43</v>
      </c>
      <c r="H49" s="3">
        <f>IF(G49="","",IF(G49="DNS",0,IF(G49="DQ",0,IF(G49="DNF",1,IF(AND(ISNUMBER(G49),G49&gt;59),1,_xlfn.XLOOKUP(G49,tbl_points[Place],tbl_points[Points],""))))))</f>
        <v>17</v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49" s="3">
        <f>tbl_individual[[#This Row],[Total]]</f>
        <v>40</v>
      </c>
    </row>
    <row r="50" spans="1:19" x14ac:dyDescent="0.4">
      <c r="A50" t="s">
        <v>309</v>
      </c>
      <c r="B50" t="s">
        <v>27</v>
      </c>
      <c r="C50" t="s">
        <v>7</v>
      </c>
      <c r="D50" s="3">
        <v>820</v>
      </c>
      <c r="E50" s="3">
        <v>19</v>
      </c>
      <c r="F50" s="3">
        <f>IF(E50="","",IF(E50="DNS",0,IF(E50="DQ",0,IF(E50="DNF",1,IF(AND(ISNUMBER(E50),E50&gt;59),1,_xlfn.XLOOKUP(E50,tbl_points[Place],tbl_points[Points],""))))))</f>
        <v>41</v>
      </c>
      <c r="G50" s="3" t="s">
        <v>413</v>
      </c>
      <c r="H50" s="3">
        <f>IF(G50="","",IF(G50="DNS",0,IF(G50="DQ",0,IF(G50="DNF",1,IF(AND(ISNUMBER(G50),G50&gt;59),1,_xlfn.XLOOKUP(G50,tbl_points[Place],tbl_points[Points],""))))))</f>
        <v>0</v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41</v>
      </c>
    </row>
    <row r="51" spans="1:19" x14ac:dyDescent="0.4">
      <c r="A51" t="s">
        <v>320</v>
      </c>
      <c r="B51" t="s">
        <v>28</v>
      </c>
      <c r="C51" t="s">
        <v>7</v>
      </c>
      <c r="D51" s="3">
        <v>824</v>
      </c>
      <c r="E51" s="3">
        <v>25</v>
      </c>
      <c r="F51" s="3">
        <f>IF(E51="","",IF(E51="DNS",0,IF(E51="DQ",0,IF(E51="DNF",1,IF(AND(ISNUMBER(E51),E51&gt;59),1,_xlfn.XLOOKUP(E51,tbl_points[Place],tbl_points[Points],""))))))</f>
        <v>35</v>
      </c>
      <c r="G51" s="3">
        <v>24</v>
      </c>
      <c r="H51" s="3">
        <f>IF(G51="","",IF(G51="DNS",0,IF(G51="DQ",0,IF(G51="DNF",1,IF(AND(ISNUMBER(G51),G51&gt;59),1,_xlfn.XLOOKUP(G51,tbl_points[Place],tbl_points[Points],""))))))</f>
        <v>36</v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71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51" s="3">
        <f>tbl_individual[[#This Row],[Total]]</f>
        <v>71</v>
      </c>
    </row>
    <row r="52" spans="1:19" x14ac:dyDescent="0.4">
      <c r="A52" t="s">
        <v>321</v>
      </c>
      <c r="B52" t="s">
        <v>28</v>
      </c>
      <c r="C52" t="s">
        <v>7</v>
      </c>
      <c r="D52" s="3">
        <v>825</v>
      </c>
      <c r="E52" s="3">
        <v>26</v>
      </c>
      <c r="F52" s="3">
        <f>IF(E52="","",IF(E52="DNS",0,IF(E52="DQ",0,IF(E52="DNF",1,IF(AND(ISNUMBER(E52),E52&gt;59),1,_xlfn.XLOOKUP(E52,tbl_points[Place],tbl_points[Points],""))))))</f>
        <v>34</v>
      </c>
      <c r="G52" s="3">
        <v>32</v>
      </c>
      <c r="H52" s="3">
        <f>IF(G52="","",IF(G52="DNS",0,IF(G52="DQ",0,IF(G52="DNF",1,IF(AND(ISNUMBER(G52),G52&gt;59),1,_xlfn.XLOOKUP(G52,tbl_points[Place],tbl_points[Points],""))))))</f>
        <v>28</v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52" s="3">
        <f>tbl_individual[[#This Row],[Total]]</f>
        <v>62</v>
      </c>
    </row>
    <row r="53" spans="1:19" x14ac:dyDescent="0.4">
      <c r="A53" t="s">
        <v>338</v>
      </c>
      <c r="B53" t="s">
        <v>29</v>
      </c>
      <c r="C53" t="s">
        <v>7</v>
      </c>
      <c r="D53" s="3">
        <v>826</v>
      </c>
      <c r="E53" s="3" t="s">
        <v>413</v>
      </c>
      <c r="F53" s="3">
        <f>IF(E53="","",IF(E53="DNS",0,IF(E53="DQ",0,IF(E53="DNF",1,IF(AND(ISNUMBER(E53),E53&gt;59),1,_xlfn.XLOOKUP(E53,tbl_points[Place],tbl_points[Points],""))))))</f>
        <v>0</v>
      </c>
      <c r="G53" s="3">
        <v>26</v>
      </c>
      <c r="H53" s="3">
        <f>IF(G53="","",IF(G53="DNS",0,IF(G53="DQ",0,IF(G53="DNF",1,IF(AND(ISNUMBER(G53),G53&gt;59),1,_xlfn.XLOOKUP(G53,tbl_points[Place],tbl_points[Points],""))))))</f>
        <v>34</v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34</v>
      </c>
    </row>
    <row r="54" spans="1:19" x14ac:dyDescent="0.4">
      <c r="A54" t="s">
        <v>342</v>
      </c>
      <c r="B54" t="s">
        <v>29</v>
      </c>
      <c r="C54" t="s">
        <v>7</v>
      </c>
      <c r="D54" s="3">
        <v>830</v>
      </c>
      <c r="E54" s="3" t="s">
        <v>413</v>
      </c>
      <c r="F54" s="3">
        <f>IF(E54="","",IF(E54="DNS",0,IF(E54="DQ",0,IF(E54="DNF",1,IF(AND(ISNUMBER(E54),E54&gt;59),1,_xlfn.XLOOKUP(E54,tbl_points[Place],tbl_points[Points],""))))))</f>
        <v>0</v>
      </c>
      <c r="G54" s="3">
        <v>47</v>
      </c>
      <c r="H54" s="3">
        <f>IF(G54="","",IF(G54="DNS",0,IF(G54="DQ",0,IF(G54="DNF",1,IF(AND(ISNUMBER(G54),G54&gt;59),1,_xlfn.XLOOKUP(G54,tbl_points[Place],tbl_points[Points],""))))))</f>
        <v>13</v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13</v>
      </c>
    </row>
    <row r="55" spans="1:19" x14ac:dyDescent="0.4">
      <c r="A55" t="s">
        <v>339</v>
      </c>
      <c r="B55" t="s">
        <v>29</v>
      </c>
      <c r="C55" t="s">
        <v>7</v>
      </c>
      <c r="D55" s="3">
        <v>827</v>
      </c>
      <c r="E55" s="3">
        <v>39</v>
      </c>
      <c r="F55" s="3">
        <f>IF(E55="","",IF(E55="DNS",0,IF(E55="DQ",0,IF(E55="DNF",1,IF(AND(ISNUMBER(E55),E55&gt;59),1,_xlfn.XLOOKUP(E55,tbl_points[Place],tbl_points[Points],""))))))</f>
        <v>21</v>
      </c>
      <c r="G55" s="3">
        <v>45</v>
      </c>
      <c r="H55" s="3">
        <f>IF(G55="","",IF(G55="DNS",0,IF(G55="DQ",0,IF(G55="DNF",1,IF(AND(ISNUMBER(G55),G55&gt;59),1,_xlfn.XLOOKUP(G55,tbl_points[Place],tbl_points[Points],""))))))</f>
        <v>15</v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S55" s="3">
        <f>tbl_individual[[#This Row],[Total]]</f>
        <v>36</v>
      </c>
    </row>
    <row r="56" spans="1:19" x14ac:dyDescent="0.4">
      <c r="A56" t="s">
        <v>341</v>
      </c>
      <c r="B56" t="s">
        <v>29</v>
      </c>
      <c r="C56" t="s">
        <v>7</v>
      </c>
      <c r="D56" s="3">
        <v>829</v>
      </c>
      <c r="E56" s="3" t="s">
        <v>413</v>
      </c>
      <c r="F56" s="3">
        <f>IF(E56="","",IF(E56="DNS",0,IF(E56="DQ",0,IF(E56="DNF",1,IF(AND(ISNUMBER(E56),E56&gt;59),1,_xlfn.XLOOKUP(E56,tbl_points[Place],tbl_points[Points],""))))))</f>
        <v>0</v>
      </c>
      <c r="G56" s="3" t="s">
        <v>413</v>
      </c>
      <c r="H56" s="3">
        <f>IF(G56="","",IF(G56="DNS",0,IF(G56="DQ",0,IF(G56="DNF",1,IF(AND(ISNUMBER(G56),G56&gt;59),1,_xlfn.XLOOKUP(G56,tbl_points[Place],tbl_points[Points],""))))))</f>
        <v>0</v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340</v>
      </c>
      <c r="B57" t="s">
        <v>29</v>
      </c>
      <c r="C57" t="s">
        <v>7</v>
      </c>
      <c r="D57" s="3">
        <v>828</v>
      </c>
      <c r="E57" s="3">
        <v>13</v>
      </c>
      <c r="F57" s="3">
        <f>IF(E57="","",IF(E57="DNS",0,IF(E57="DQ",0,IF(E57="DNF",1,IF(AND(ISNUMBER(E57),E57&gt;59),1,_xlfn.XLOOKUP(E57,tbl_points[Place],tbl_points[Points],""))))))</f>
        <v>49</v>
      </c>
      <c r="G57" s="3" t="s">
        <v>413</v>
      </c>
      <c r="H57" s="3">
        <f>IF(G57="","",IF(G57="DNS",0,IF(G57="DQ",0,IF(G57="DNF",1,IF(AND(ISNUMBER(G57),G57&gt;59),1,_xlfn.XLOOKUP(G57,tbl_points[Place],tbl_points[Points],""))))))</f>
        <v>0</v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</f>
        <v>49</v>
      </c>
    </row>
    <row r="58" spans="1:19" x14ac:dyDescent="0.4">
      <c r="A58" s="12" t="s">
        <v>359</v>
      </c>
      <c r="B58" s="12" t="s">
        <v>30</v>
      </c>
      <c r="C58" s="12" t="s">
        <v>7</v>
      </c>
      <c r="D58" s="3">
        <v>832</v>
      </c>
      <c r="E58" s="3">
        <v>43</v>
      </c>
      <c r="F58" s="3">
        <f>IF(E58="","",IF(E58="DNS",0,IF(E58="DQ",0,IF(E58="DNF",1,IF(AND(ISNUMBER(E58),E58&gt;59),1,_xlfn.XLOOKUP(E58,tbl_points[Place],tbl_points[Points],""))))))</f>
        <v>17</v>
      </c>
      <c r="G58" s="3">
        <v>33</v>
      </c>
      <c r="H58" s="3">
        <f>IF(G58="","",IF(G58="DNS",0,IF(G58="DQ",0,IF(G58="DNF",1,IF(AND(ISNUMBER(G58),G58&gt;59),1,_xlfn.XLOOKUP(G58,tbl_points[Place],tbl_points[Points],""))))))</f>
        <v>27</v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58" s="3">
        <f>tbl_individual[[#This Row],[Total]]</f>
        <v>44</v>
      </c>
    </row>
    <row r="59" spans="1:19" x14ac:dyDescent="0.4">
      <c r="A59" s="12" t="s">
        <v>358</v>
      </c>
      <c r="B59" s="12" t="s">
        <v>30</v>
      </c>
      <c r="C59" s="12" t="s">
        <v>7</v>
      </c>
      <c r="D59" s="3">
        <v>831</v>
      </c>
      <c r="E59" s="3" t="s">
        <v>413</v>
      </c>
      <c r="F59" s="3">
        <f>IF(E59="","",IF(E59="DNS",0,IF(E59="DQ",0,IF(E59="DNF",1,IF(AND(ISNUMBER(E59),E59&gt;59),1,_xlfn.XLOOKUP(E59,tbl_points[Place],tbl_points[Points],""))))))</f>
        <v>0</v>
      </c>
      <c r="G59" s="3">
        <v>44</v>
      </c>
      <c r="H59" s="3">
        <f>IF(G59="","",IF(G59="DNS",0,IF(G59="DQ",0,IF(G59="DNF",1,IF(AND(ISNUMBER(G59),G59&gt;59),1,_xlfn.XLOOKUP(G59,tbl_points[Place],tbl_points[Points],""))))))</f>
        <v>16</v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</f>
        <v>16</v>
      </c>
    </row>
    <row r="60" spans="1:19" x14ac:dyDescent="0.4">
      <c r="A60" t="s">
        <v>365</v>
      </c>
      <c r="B60" t="s">
        <v>31</v>
      </c>
      <c r="C60" t="s">
        <v>7</v>
      </c>
      <c r="D60" s="3">
        <v>834</v>
      </c>
      <c r="E60" s="3" t="s">
        <v>413</v>
      </c>
      <c r="F60" s="3">
        <f>IF(E60="","",IF(E60="DNS",0,IF(E60="DQ",0,IF(E60="DNF",1,IF(AND(ISNUMBER(E60),E60&gt;59),1,_xlfn.XLOOKUP(E60,tbl_points[Place],tbl_points[Points],""))))))</f>
        <v>0</v>
      </c>
      <c r="G60" s="3">
        <v>15</v>
      </c>
      <c r="H60" s="3">
        <f>IF(G60="","",IF(G60="DNS",0,IF(G60="DQ",0,IF(G60="DNF",1,IF(AND(ISNUMBER(G60),G60&gt;59),1,_xlfn.XLOOKUP(G60,tbl_points[Place],tbl_points[Points],""))))))</f>
        <v>45</v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45</v>
      </c>
    </row>
    <row r="61" spans="1:19" x14ac:dyDescent="0.4">
      <c r="A61" t="s">
        <v>367</v>
      </c>
      <c r="B61" t="s">
        <v>31</v>
      </c>
      <c r="C61" t="s">
        <v>7</v>
      </c>
      <c r="D61" s="3">
        <v>836</v>
      </c>
      <c r="E61" s="3" t="s">
        <v>413</v>
      </c>
      <c r="F61" s="3">
        <f>IF(E61="","",IF(E61="DNS",0,IF(E61="DQ",0,IF(E61="DNF",1,IF(AND(ISNUMBER(E61),E61&gt;59),1,_xlfn.XLOOKUP(E61,tbl_points[Place],tbl_points[Points],""))))))</f>
        <v>0</v>
      </c>
      <c r="G61" s="3">
        <v>48</v>
      </c>
      <c r="H61" s="3">
        <f>IF(G61="","",IF(G61="DNS",0,IF(G61="DQ",0,IF(G61="DNF",1,IF(AND(ISNUMBER(G61),G61&gt;59),1,_xlfn.XLOOKUP(G61,tbl_points[Place],tbl_points[Points],""))))))</f>
        <v>12</v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12</v>
      </c>
    </row>
    <row r="62" spans="1:19" x14ac:dyDescent="0.4">
      <c r="A62" t="s">
        <v>366</v>
      </c>
      <c r="B62" t="s">
        <v>31</v>
      </c>
      <c r="C62" t="s">
        <v>7</v>
      </c>
      <c r="D62" s="3">
        <v>835</v>
      </c>
      <c r="E62" s="3" t="s">
        <v>413</v>
      </c>
      <c r="F62" s="3">
        <f>IF(E62="","",IF(E62="DNS",0,IF(E62="DQ",0,IF(E62="DNF",1,IF(AND(ISNUMBER(E62),E62&gt;59),1,_xlfn.XLOOKUP(E62,tbl_points[Place],tbl_points[Points],""))))))</f>
        <v>0</v>
      </c>
      <c r="G62" s="3">
        <v>37</v>
      </c>
      <c r="H62" s="3">
        <f>IF(G62="","",IF(G62="DNS",0,IF(G62="DQ",0,IF(G62="DNF",1,IF(AND(ISNUMBER(G62),G62&gt;59),1,_xlfn.XLOOKUP(G62,tbl_points[Place],tbl_points[Points],""))))))</f>
        <v>23</v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23</v>
      </c>
    </row>
    <row r="63" spans="1:19" x14ac:dyDescent="0.4">
      <c r="A63" t="s">
        <v>364</v>
      </c>
      <c r="B63" t="s">
        <v>31</v>
      </c>
      <c r="C63" t="s">
        <v>7</v>
      </c>
      <c r="D63" s="3">
        <v>833</v>
      </c>
      <c r="E63" s="3" t="s">
        <v>413</v>
      </c>
      <c r="F63" s="3">
        <f>IF(E63="","",IF(E63="DNS",0,IF(E63="DQ",0,IF(E63="DNF",1,IF(AND(ISNUMBER(E63),E63&gt;59),1,_xlfn.XLOOKUP(E63,tbl_points[Place],tbl_points[Points],""))))))</f>
        <v>0</v>
      </c>
      <c r="G63" s="3" t="s">
        <v>413</v>
      </c>
      <c r="H63" s="3">
        <f>IF(G63="","",IF(G63="DNS",0,IF(G63="DQ",0,IF(G63="DNF",1,IF(AND(ISNUMBER(G63),G63&gt;59),1,_xlfn.XLOOKUP(G63,tbl_points[Place],tbl_points[Points],""))))))</f>
        <v>0</v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392</v>
      </c>
      <c r="B64" t="s">
        <v>32</v>
      </c>
      <c r="C64" t="s">
        <v>7</v>
      </c>
      <c r="D64" s="3">
        <v>8084</v>
      </c>
      <c r="E64" s="3" t="s">
        <v>413</v>
      </c>
      <c r="F64" s="3">
        <f>IF(E64="","",IF(E64="DNS",0,IF(E64="DQ",0,IF(E64="DNF",1,IF(AND(ISNUMBER(E64),E64&gt;59),1,_xlfn.XLOOKUP(E64,tbl_points[Place],tbl_points[Points],""))))))</f>
        <v>0</v>
      </c>
      <c r="G64" s="3">
        <v>5</v>
      </c>
      <c r="H64" s="3">
        <f>IF(G64="","",IF(G64="DNS",0,IF(G64="DQ",0,IF(G64="DNF",1,IF(AND(ISNUMBER(G64),G64&gt;59),1,_xlfn.XLOOKUP(G64,tbl_points[Place],tbl_points[Points],""))))))</f>
        <v>80</v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80</v>
      </c>
    </row>
    <row r="65" spans="1:19" x14ac:dyDescent="0.4">
      <c r="A65" t="s">
        <v>154</v>
      </c>
      <c r="B65" t="s">
        <v>16</v>
      </c>
      <c r="C65" t="s">
        <v>8</v>
      </c>
      <c r="D65" s="3">
        <v>854</v>
      </c>
      <c r="F65" s="3" t="str">
        <f>IF(E65="","",IF(E65="DNS",0,IF(E65="DQ",0,IF(E65="DNF",1,IF(AND(ISNUMBER(E65),E65&gt;59),1,_xlfn.XLOOKUP(E65,tbl_points[Place],tbl_points[Points],""))))))</f>
        <v/>
      </c>
      <c r="G65" s="3">
        <v>18</v>
      </c>
      <c r="H65" s="3">
        <f>IF(G65="","",IF(G65="DNS",0,IF(G65="DQ",0,IF(G65="DNF",1,IF(AND(ISNUMBER(G65),G65&gt;59),1,_xlfn.XLOOKUP(G65,tbl_points[Place],tbl_points[Points],""))))))</f>
        <v>42</v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65" s="3">
        <f>tbl_individual[[#This Row],[Total]]</f>
        <v>42</v>
      </c>
    </row>
    <row r="66" spans="1:19" x14ac:dyDescent="0.4">
      <c r="A66" t="s">
        <v>153</v>
      </c>
      <c r="B66" t="s">
        <v>16</v>
      </c>
      <c r="C66" t="s">
        <v>8</v>
      </c>
      <c r="D66" s="3">
        <v>825</v>
      </c>
      <c r="F66" s="3" t="str">
        <f>IF(E66="","",IF(E66="DNS",0,IF(E66="DQ",0,IF(E66="DNF",1,IF(AND(ISNUMBER(E66),E66&gt;59),1,_xlfn.XLOOKUP(E66,tbl_points[Place],tbl_points[Points],""))))))</f>
        <v/>
      </c>
      <c r="G66" s="3">
        <v>22</v>
      </c>
      <c r="H66" s="3">
        <f>IF(G66="","",IF(G66="DNS",0,IF(G66="DQ",0,IF(G66="DNF",1,IF(AND(ISNUMBER(G66),G66&gt;59),1,_xlfn.XLOOKUP(G66,tbl_points[Place],tbl_points[Points],""))))))</f>
        <v>38</v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66" s="3">
        <f>tbl_individual[[#This Row],[Total]]</f>
        <v>38</v>
      </c>
    </row>
    <row r="67" spans="1:19" x14ac:dyDescent="0.4">
      <c r="A67" t="s">
        <v>169</v>
      </c>
      <c r="B67" t="s">
        <v>18</v>
      </c>
      <c r="C67" t="s">
        <v>8</v>
      </c>
      <c r="D67" s="3">
        <v>859</v>
      </c>
      <c r="F67" s="3" t="str">
        <f>IF(E67="","",IF(E67="DNS",0,IF(E67="DQ",0,IF(E67="DNF",1,IF(AND(ISNUMBER(E67),E67&gt;59),1,_xlfn.XLOOKUP(E67,tbl_points[Place],tbl_points[Points],""))))))</f>
        <v/>
      </c>
      <c r="G67" s="3" t="s">
        <v>413</v>
      </c>
      <c r="H67" s="3">
        <f>IF(G67="","",IF(G67="DNS",0,IF(G67="DQ",0,IF(G67="DNF",1,IF(AND(ISNUMBER(G67),G67&gt;59),1,_xlfn.XLOOKUP(G67,tbl_points[Place],tbl_points[Points],""))))))</f>
        <v>0</v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x14ac:dyDescent="0.4">
      <c r="A68" t="s">
        <v>170</v>
      </c>
      <c r="B68" t="s">
        <v>18</v>
      </c>
      <c r="C68" t="s">
        <v>8</v>
      </c>
      <c r="D68" s="3">
        <v>860</v>
      </c>
      <c r="F68" s="3" t="str">
        <f>IF(E68="","",IF(E68="DNS",0,IF(E68="DQ",0,IF(E68="DNF",1,IF(AND(ISNUMBER(E68),E68&gt;59),1,_xlfn.XLOOKUP(E68,tbl_points[Place],tbl_points[Points],""))))))</f>
        <v/>
      </c>
      <c r="G68" s="3" t="s">
        <v>413</v>
      </c>
      <c r="H68" s="3">
        <f>IF(G68="","",IF(G68="DNS",0,IF(G68="DQ",0,IF(G68="DNF",1,IF(AND(ISNUMBER(G68),G68&gt;59),1,_xlfn.XLOOKUP(G68,tbl_points[Place],tbl_points[Points],""))))))</f>
        <v>0</v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x14ac:dyDescent="0.4">
      <c r="A69" t="s">
        <v>171</v>
      </c>
      <c r="B69" t="s">
        <v>18</v>
      </c>
      <c r="C69" t="s">
        <v>8</v>
      </c>
      <c r="D69" s="3">
        <v>861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182</v>
      </c>
      <c r="B70" t="s">
        <v>19</v>
      </c>
      <c r="C70" t="s">
        <v>8</v>
      </c>
      <c r="D70" s="3">
        <v>868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250</v>
      </c>
      <c r="B71" t="s">
        <v>24</v>
      </c>
      <c r="C71" t="s">
        <v>8</v>
      </c>
      <c r="D71" s="3">
        <v>864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248</v>
      </c>
      <c r="B72" t="s">
        <v>24</v>
      </c>
      <c r="C72" t="s">
        <v>8</v>
      </c>
      <c r="D72" s="3">
        <v>862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249</v>
      </c>
      <c r="B73" t="s">
        <v>24</v>
      </c>
      <c r="C73" t="s">
        <v>8</v>
      </c>
      <c r="D73" s="3">
        <v>863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x14ac:dyDescent="0.4">
      <c r="A74" t="s">
        <v>293</v>
      </c>
      <c r="B74" t="s">
        <v>26</v>
      </c>
      <c r="C74" t="s">
        <v>8</v>
      </c>
      <c r="D74" s="3">
        <v>865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x14ac:dyDescent="0.4">
      <c r="A75" t="s">
        <v>323</v>
      </c>
      <c r="B75" t="s">
        <v>28</v>
      </c>
      <c r="C75" t="s">
        <v>8</v>
      </c>
      <c r="D75" s="3">
        <v>867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x14ac:dyDescent="0.4">
      <c r="A76" t="s">
        <v>322</v>
      </c>
      <c r="B76" t="s">
        <v>28</v>
      </c>
      <c r="C76" t="s">
        <v>8</v>
      </c>
      <c r="D76" s="3">
        <v>866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x14ac:dyDescent="0.4">
      <c r="A77" t="s">
        <v>55</v>
      </c>
      <c r="B77" t="s">
        <v>10</v>
      </c>
      <c r="C77" t="s">
        <v>3</v>
      </c>
      <c r="D77" s="3">
        <v>10065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x14ac:dyDescent="0.4">
      <c r="A78" t="s">
        <v>94</v>
      </c>
      <c r="B78" t="s">
        <v>11</v>
      </c>
      <c r="C78" t="s">
        <v>3</v>
      </c>
      <c r="D78" s="3">
        <v>10119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x14ac:dyDescent="0.4">
      <c r="A79" t="s">
        <v>96</v>
      </c>
      <c r="B79" t="s">
        <v>11</v>
      </c>
      <c r="C79" t="s">
        <v>3</v>
      </c>
      <c r="D79" s="3">
        <v>10150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t="s">
        <v>89</v>
      </c>
      <c r="B80" t="s">
        <v>11</v>
      </c>
      <c r="C80" t="s">
        <v>3</v>
      </c>
      <c r="D80" s="3">
        <v>10110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93</v>
      </c>
      <c r="B81" t="s">
        <v>11</v>
      </c>
      <c r="C81" t="s">
        <v>3</v>
      </c>
      <c r="D81" s="3">
        <v>10117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90</v>
      </c>
      <c r="B82" t="s">
        <v>11</v>
      </c>
      <c r="C82" t="s">
        <v>3</v>
      </c>
      <c r="D82" s="3">
        <v>10111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91</v>
      </c>
      <c r="B83" t="s">
        <v>11</v>
      </c>
      <c r="C83" t="s">
        <v>3</v>
      </c>
      <c r="D83" s="3">
        <v>10114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92</v>
      </c>
      <c r="B84" t="s">
        <v>11</v>
      </c>
      <c r="C84" t="s">
        <v>3</v>
      </c>
      <c r="D84" s="3">
        <v>10115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97</v>
      </c>
      <c r="B85" t="s">
        <v>11</v>
      </c>
      <c r="C85" t="s">
        <v>3</v>
      </c>
      <c r="D85" s="3">
        <v>10151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t="s">
        <v>95</v>
      </c>
      <c r="B86" t="s">
        <v>11</v>
      </c>
      <c r="C86" t="s">
        <v>3</v>
      </c>
      <c r="D86" s="3">
        <v>10126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s="11" t="s">
        <v>97</v>
      </c>
      <c r="B87" s="11" t="s">
        <v>11</v>
      </c>
      <c r="C87" s="11" t="s">
        <v>3</v>
      </c>
      <c r="F87" s="16" t="str">
        <f>IF(E87="","",IF(E87="DNS",0,IF(E87="DQ",0,IF(E87="DNF",1,IF(AND(ISNUMBER(E87),E87&gt;59),1,_xlfn.XLOOKUP(E87,tbl_points[Place],tbl_points[Points],""))))))</f>
        <v/>
      </c>
      <c r="H87" s="16" t="str">
        <f>IF(G87="","",IF(G87="DNS",0,IF(G87="DQ",0,IF(G87="DNF",1,IF(AND(ISNUMBER(G87),G87&gt;59),1,_xlfn.XLOOKUP(G87,tbl_points[Place],tbl_points[Points],""))))))</f>
        <v/>
      </c>
      <c r="I87" s="16"/>
      <c r="J87" s="16" t="str">
        <f>IF(I87="","",IF(I87="DNS",0,IF(I87="DQ",0,IF(I87="DNF",1,IF(AND(ISNUMBER(I87),I87&gt;59),1,_xlfn.XLOOKUP(I87,tbl_points[Place],tbl_points[Points],""))))))</f>
        <v/>
      </c>
      <c r="K87" s="16"/>
      <c r="L87" s="16" t="str">
        <f>IF(K87="","",IF(K87="DNS",0,IF(K87="DQ",0,IF(K87="DNF",1,IF(AND(ISNUMBER(K87),K87&gt;59),1,_xlfn.XLOOKUP(K87,tbl_points[Place],tbl_points[Points],""))))))</f>
        <v/>
      </c>
      <c r="M87" s="16"/>
      <c r="N87" s="16" t="str">
        <f>IF(M87="","",IF(M87="DNS",0,IF(M87="DQ",0,IF(M87="DNF",1,IF(AND(ISNUMBER(M87),M87&gt;59),1,_xlfn.XLOOKUP(M87,tbl_points[Place],tbl_points[Points],""))))))</f>
        <v/>
      </c>
      <c r="O87" s="16"/>
      <c r="P87" s="16" t="str">
        <f>IF(O87="","",IF(O87="DNS",0,IF(O87="DQ",0,IF(O87="DNF",1,IF(AND(ISNUMBER(O87),O87&gt;59),1,_xlfn.XLOOKUP(O87,tbl_points[Place],tbl_points[Points],""))))))</f>
        <v/>
      </c>
      <c r="Q87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16">
        <f>tbl_individual[[#This Row],[Total]]</f>
        <v>0</v>
      </c>
    </row>
    <row r="88" spans="1:19" x14ac:dyDescent="0.4">
      <c r="A88" s="11" t="s">
        <v>416</v>
      </c>
      <c r="B88" s="11" t="s">
        <v>11</v>
      </c>
      <c r="C88" s="11" t="s">
        <v>3</v>
      </c>
      <c r="F88" s="16" t="str">
        <f>IF(E88="","",IF(E88="DNS",0,IF(E88="DQ",0,IF(E88="DNF",1,IF(AND(ISNUMBER(E88),E88&gt;59),1,_xlfn.XLOOKUP(E88,tbl_points[Place],tbl_points[Points],""))))))</f>
        <v/>
      </c>
      <c r="H88" s="16" t="str">
        <f>IF(G88="","",IF(G88="DNS",0,IF(G88="DQ",0,IF(G88="DNF",1,IF(AND(ISNUMBER(G88),G88&gt;59),1,_xlfn.XLOOKUP(G88,tbl_points[Place],tbl_points[Points],""))))))</f>
        <v/>
      </c>
      <c r="I88" s="16"/>
      <c r="J88" s="16" t="str">
        <f>IF(I88="","",IF(I88="DNS",0,IF(I88="DQ",0,IF(I88="DNF",1,IF(AND(ISNUMBER(I88),I88&gt;59),1,_xlfn.XLOOKUP(I88,tbl_points[Place],tbl_points[Points],""))))))</f>
        <v/>
      </c>
      <c r="K88" s="16"/>
      <c r="L88" s="16" t="str">
        <f>IF(K88="","",IF(K88="DNS",0,IF(K88="DQ",0,IF(K88="DNF",1,IF(AND(ISNUMBER(K88),K88&gt;59),1,_xlfn.XLOOKUP(K88,tbl_points[Place],tbl_points[Points],""))))))</f>
        <v/>
      </c>
      <c r="M88" s="16"/>
      <c r="N88" s="16" t="str">
        <f>IF(M88="","",IF(M88="DNS",0,IF(M88="DQ",0,IF(M88="DNF",1,IF(AND(ISNUMBER(M88),M88&gt;59),1,_xlfn.XLOOKUP(M88,tbl_points[Place],tbl_points[Points],""))))))</f>
        <v/>
      </c>
      <c r="O88" s="16"/>
      <c r="P88" s="16" t="str">
        <f>IF(O88="","",IF(O88="DNS",0,IF(O88="DQ",0,IF(O88="DNF",1,IF(AND(ISNUMBER(O88),O88&gt;59),1,_xlfn.XLOOKUP(O88,tbl_points[Place],tbl_points[Points],""))))))</f>
        <v/>
      </c>
      <c r="Q88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16">
        <f>tbl_individual[[#This Row],[Total]]</f>
        <v>0</v>
      </c>
    </row>
    <row r="89" spans="1:19" x14ac:dyDescent="0.4">
      <c r="A89" s="11" t="s">
        <v>417</v>
      </c>
      <c r="B89" s="11" t="s">
        <v>11</v>
      </c>
      <c r="C89" s="11" t="s">
        <v>3</v>
      </c>
      <c r="F89" s="16" t="str">
        <f>IF(E89="","",IF(E89="DNS",0,IF(E89="DQ",0,IF(E89="DNF",1,IF(AND(ISNUMBER(E89),E89&gt;59),1,_xlfn.XLOOKUP(E89,tbl_points[Place],tbl_points[Points],""))))))</f>
        <v/>
      </c>
      <c r="H89" s="16" t="str">
        <f>IF(G89="","",IF(G89="DNS",0,IF(G89="DQ",0,IF(G89="DNF",1,IF(AND(ISNUMBER(G89),G89&gt;59),1,_xlfn.XLOOKUP(G89,tbl_points[Place],tbl_points[Points],""))))))</f>
        <v/>
      </c>
      <c r="I89" s="16"/>
      <c r="J89" s="16" t="str">
        <f>IF(I89="","",IF(I89="DNS",0,IF(I89="DQ",0,IF(I89="DNF",1,IF(AND(ISNUMBER(I89),I89&gt;59),1,_xlfn.XLOOKUP(I89,tbl_points[Place],tbl_points[Points],""))))))</f>
        <v/>
      </c>
      <c r="K89" s="16"/>
      <c r="L89" s="16" t="str">
        <f>IF(K89="","",IF(K89="DNS",0,IF(K89="DQ",0,IF(K89="DNF",1,IF(AND(ISNUMBER(K89),K89&gt;59),1,_xlfn.XLOOKUP(K89,tbl_points[Place],tbl_points[Points],""))))))</f>
        <v/>
      </c>
      <c r="M89" s="16"/>
      <c r="N89" s="16" t="str">
        <f>IF(M89="","",IF(M89="DNS",0,IF(M89="DQ",0,IF(M89="DNF",1,IF(AND(ISNUMBER(M89),M89&gt;59),1,_xlfn.XLOOKUP(M89,tbl_points[Place],tbl_points[Points],""))))))</f>
        <v/>
      </c>
      <c r="O89" s="16"/>
      <c r="P89" s="16" t="str">
        <f>IF(O89="","",IF(O89="DNS",0,IF(O89="DQ",0,IF(O89="DNF",1,IF(AND(ISNUMBER(O89),O89&gt;59),1,_xlfn.XLOOKUP(O89,tbl_points[Place],tbl_points[Points],""))))))</f>
        <v/>
      </c>
      <c r="Q89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16">
        <f>tbl_individual[[#This Row],[Total]]</f>
        <v>0</v>
      </c>
    </row>
    <row r="90" spans="1:19" x14ac:dyDescent="0.4">
      <c r="A90" t="s">
        <v>113</v>
      </c>
      <c r="B90" t="s">
        <v>12</v>
      </c>
      <c r="C90" t="s">
        <v>3</v>
      </c>
      <c r="D90" s="3">
        <v>10153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x14ac:dyDescent="0.4">
      <c r="A91" t="s">
        <v>114</v>
      </c>
      <c r="B91" t="s">
        <v>12</v>
      </c>
      <c r="C91" t="s">
        <v>3</v>
      </c>
      <c r="D91" s="3">
        <v>10154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x14ac:dyDescent="0.4">
      <c r="A92" t="s">
        <v>112</v>
      </c>
      <c r="B92" t="s">
        <v>12</v>
      </c>
      <c r="C92" t="s">
        <v>3</v>
      </c>
      <c r="D92" s="3">
        <v>10152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x14ac:dyDescent="0.4">
      <c r="A93" t="s">
        <v>115</v>
      </c>
      <c r="B93" t="s">
        <v>12</v>
      </c>
      <c r="C93" t="s">
        <v>3</v>
      </c>
      <c r="D93" s="3">
        <v>10155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121</v>
      </c>
      <c r="B94" t="s">
        <v>13</v>
      </c>
      <c r="C94" t="s">
        <v>3</v>
      </c>
      <c r="D94" s="3">
        <v>10157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x14ac:dyDescent="0.4">
      <c r="A95" t="s">
        <v>120</v>
      </c>
      <c r="B95" t="s">
        <v>13</v>
      </c>
      <c r="C95" t="s">
        <v>3</v>
      </c>
      <c r="D95" s="3">
        <v>10156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x14ac:dyDescent="0.4">
      <c r="A96" t="s">
        <v>132</v>
      </c>
      <c r="B96" t="s">
        <v>14</v>
      </c>
      <c r="C96" t="s">
        <v>3</v>
      </c>
      <c r="D96" s="3">
        <v>10159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x14ac:dyDescent="0.4">
      <c r="A97" t="s">
        <v>156</v>
      </c>
      <c r="B97" t="s">
        <v>16</v>
      </c>
      <c r="C97" t="s">
        <v>3</v>
      </c>
      <c r="D97" s="3">
        <v>10160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x14ac:dyDescent="0.4">
      <c r="A98" t="s">
        <v>166</v>
      </c>
      <c r="B98" t="s">
        <v>17</v>
      </c>
      <c r="C98" t="s">
        <v>3</v>
      </c>
      <c r="D98" s="3">
        <v>10161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</f>
        <v>0</v>
      </c>
    </row>
    <row r="99" spans="1:19" x14ac:dyDescent="0.4">
      <c r="A99" t="s">
        <v>187</v>
      </c>
      <c r="B99" t="s">
        <v>20</v>
      </c>
      <c r="C99" t="s">
        <v>3</v>
      </c>
      <c r="D99" s="3">
        <v>10164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</f>
        <v>0</v>
      </c>
    </row>
    <row r="100" spans="1:19" x14ac:dyDescent="0.4">
      <c r="A100" t="s">
        <v>185</v>
      </c>
      <c r="B100" t="s">
        <v>20</v>
      </c>
      <c r="C100" t="s">
        <v>3</v>
      </c>
      <c r="D100" s="3">
        <v>10162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x14ac:dyDescent="0.4">
      <c r="A101" t="s">
        <v>186</v>
      </c>
      <c r="B101" t="s">
        <v>20</v>
      </c>
      <c r="C101" t="s">
        <v>3</v>
      </c>
      <c r="D101" s="3">
        <v>10163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x14ac:dyDescent="0.4">
      <c r="A102" t="s">
        <v>204</v>
      </c>
      <c r="B102" t="s">
        <v>21</v>
      </c>
      <c r="C102" t="s">
        <v>3</v>
      </c>
      <c r="D102" s="3">
        <v>10171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x14ac:dyDescent="0.4">
      <c r="A103" t="s">
        <v>203</v>
      </c>
      <c r="B103" t="s">
        <v>21</v>
      </c>
      <c r="C103" t="s">
        <v>3</v>
      </c>
      <c r="D103" s="3">
        <v>10170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x14ac:dyDescent="0.4">
      <c r="A104" t="s">
        <v>199</v>
      </c>
      <c r="B104" t="s">
        <v>21</v>
      </c>
      <c r="C104" t="s">
        <v>3</v>
      </c>
      <c r="D104" s="3">
        <v>10166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x14ac:dyDescent="0.4">
      <c r="A105" t="s">
        <v>200</v>
      </c>
      <c r="B105" t="s">
        <v>21</v>
      </c>
      <c r="C105" t="s">
        <v>3</v>
      </c>
      <c r="D105" s="3">
        <v>10167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198</v>
      </c>
      <c r="B106" t="s">
        <v>21</v>
      </c>
      <c r="C106" t="s">
        <v>3</v>
      </c>
      <c r="D106" s="3">
        <v>10165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202</v>
      </c>
      <c r="B107" t="s">
        <v>21</v>
      </c>
      <c r="C107" t="s">
        <v>3</v>
      </c>
      <c r="D107" s="3">
        <v>10169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x14ac:dyDescent="0.4">
      <c r="A108" t="s">
        <v>201</v>
      </c>
      <c r="B108" t="s">
        <v>21</v>
      </c>
      <c r="C108" t="s">
        <v>3</v>
      </c>
      <c r="D108" s="3">
        <v>10168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x14ac:dyDescent="0.4">
      <c r="A109" t="s">
        <v>227</v>
      </c>
      <c r="B109" t="s">
        <v>22</v>
      </c>
      <c r="C109" t="s">
        <v>3</v>
      </c>
      <c r="D109" s="3">
        <v>10177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x14ac:dyDescent="0.4">
      <c r="A110" t="s">
        <v>224</v>
      </c>
      <c r="B110" t="s">
        <v>22</v>
      </c>
      <c r="C110" t="s">
        <v>3</v>
      </c>
      <c r="D110" s="3">
        <v>10174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x14ac:dyDescent="0.4">
      <c r="A111" t="s">
        <v>225</v>
      </c>
      <c r="B111" t="s">
        <v>22</v>
      </c>
      <c r="C111" t="s">
        <v>3</v>
      </c>
      <c r="D111" s="3">
        <v>10175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x14ac:dyDescent="0.4">
      <c r="A112" t="s">
        <v>222</v>
      </c>
      <c r="B112" t="s">
        <v>22</v>
      </c>
      <c r="C112" t="s">
        <v>3</v>
      </c>
      <c r="D112" s="3">
        <v>10172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x14ac:dyDescent="0.4">
      <c r="A113" t="s">
        <v>226</v>
      </c>
      <c r="B113" t="s">
        <v>22</v>
      </c>
      <c r="C113" t="s">
        <v>3</v>
      </c>
      <c r="D113" s="3">
        <v>10176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x14ac:dyDescent="0.4">
      <c r="A114" t="s">
        <v>223</v>
      </c>
      <c r="B114" t="s">
        <v>22</v>
      </c>
      <c r="C114" t="s">
        <v>3</v>
      </c>
      <c r="D114" s="3">
        <v>10173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x14ac:dyDescent="0.4">
      <c r="A115" t="s">
        <v>228</v>
      </c>
      <c r="B115" t="s">
        <v>22</v>
      </c>
      <c r="C115" t="s">
        <v>3</v>
      </c>
      <c r="D115" s="3">
        <v>10178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247</v>
      </c>
      <c r="B116" t="s">
        <v>23</v>
      </c>
      <c r="C116" t="s">
        <v>3</v>
      </c>
      <c r="D116" s="3">
        <v>10180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246</v>
      </c>
      <c r="B117" t="s">
        <v>23</v>
      </c>
      <c r="C117" t="s">
        <v>3</v>
      </c>
      <c r="D117" s="3">
        <v>10179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268</v>
      </c>
      <c r="B118" t="s">
        <v>24</v>
      </c>
      <c r="C118" t="s">
        <v>3</v>
      </c>
      <c r="D118" s="3">
        <v>10183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x14ac:dyDescent="0.4">
      <c r="A119" t="s">
        <v>269</v>
      </c>
      <c r="B119" t="s">
        <v>24</v>
      </c>
      <c r="C119" t="s">
        <v>3</v>
      </c>
      <c r="D119" s="3">
        <v>10184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x14ac:dyDescent="0.4">
      <c r="A120" t="s">
        <v>267</v>
      </c>
      <c r="B120" t="s">
        <v>24</v>
      </c>
      <c r="C120" t="s">
        <v>3</v>
      </c>
      <c r="D120" s="3">
        <v>10182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</f>
        <v>0</v>
      </c>
    </row>
    <row r="121" spans="1:19" x14ac:dyDescent="0.4">
      <c r="A121" t="s">
        <v>266</v>
      </c>
      <c r="B121" t="s">
        <v>24</v>
      </c>
      <c r="C121" t="s">
        <v>3</v>
      </c>
      <c r="D121" s="3">
        <v>10181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</f>
        <v>0</v>
      </c>
    </row>
    <row r="122" spans="1:19" x14ac:dyDescent="0.4">
      <c r="A122" t="s">
        <v>271</v>
      </c>
      <c r="B122" t="s">
        <v>24</v>
      </c>
      <c r="C122" t="s">
        <v>3</v>
      </c>
      <c r="D122" s="3">
        <v>10186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x14ac:dyDescent="0.4">
      <c r="A123" t="s">
        <v>270</v>
      </c>
      <c r="B123" t="s">
        <v>24</v>
      </c>
      <c r="C123" t="s">
        <v>3</v>
      </c>
      <c r="D123" s="3">
        <v>10185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x14ac:dyDescent="0.4">
      <c r="A124" t="s">
        <v>289</v>
      </c>
      <c r="B124" t="s">
        <v>25</v>
      </c>
      <c r="C124" t="s">
        <v>3</v>
      </c>
      <c r="D124" s="3">
        <v>10187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307</v>
      </c>
      <c r="B125" t="s">
        <v>26</v>
      </c>
      <c r="C125" t="s">
        <v>3</v>
      </c>
      <c r="D125" s="3">
        <v>10189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x14ac:dyDescent="0.4">
      <c r="A126" t="s">
        <v>306</v>
      </c>
      <c r="B126" t="s">
        <v>26</v>
      </c>
      <c r="C126" t="s">
        <v>3</v>
      </c>
      <c r="D126" s="3">
        <v>10188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x14ac:dyDescent="0.4">
      <c r="A127" t="s">
        <v>315</v>
      </c>
      <c r="B127" t="s">
        <v>27</v>
      </c>
      <c r="C127" t="s">
        <v>3</v>
      </c>
      <c r="D127" s="3">
        <v>10190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x14ac:dyDescent="0.4">
      <c r="A128" t="s">
        <v>328</v>
      </c>
      <c r="B128" t="s">
        <v>28</v>
      </c>
      <c r="C128" t="s">
        <v>3</v>
      </c>
      <c r="D128" s="3">
        <v>10191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t="s">
        <v>348</v>
      </c>
      <c r="B129" t="s">
        <v>29</v>
      </c>
      <c r="C129" t="s">
        <v>3</v>
      </c>
      <c r="D129" s="3">
        <v>10192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x14ac:dyDescent="0.4">
      <c r="A130" s="15" t="s">
        <v>381</v>
      </c>
      <c r="B130" s="15" t="s">
        <v>31</v>
      </c>
      <c r="C130" s="15" t="s">
        <v>3</v>
      </c>
      <c r="D130" s="14">
        <v>10198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x14ac:dyDescent="0.4">
      <c r="A131" t="s">
        <v>382</v>
      </c>
      <c r="B131" t="s">
        <v>31</v>
      </c>
      <c r="C131" t="s">
        <v>3</v>
      </c>
      <c r="D131" s="3">
        <v>10199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383</v>
      </c>
      <c r="B132" t="s">
        <v>31</v>
      </c>
      <c r="C132" t="s">
        <v>3</v>
      </c>
      <c r="D132" s="3">
        <v>10200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x14ac:dyDescent="0.4">
      <c r="A133" t="s">
        <v>376</v>
      </c>
      <c r="B133" t="s">
        <v>31</v>
      </c>
      <c r="C133" t="s">
        <v>3</v>
      </c>
      <c r="D133" s="3">
        <v>10193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380</v>
      </c>
      <c r="B134" t="s">
        <v>31</v>
      </c>
      <c r="C134" t="s">
        <v>3</v>
      </c>
      <c r="D134" s="3">
        <v>10197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x14ac:dyDescent="0.4">
      <c r="A135" t="s">
        <v>384</v>
      </c>
      <c r="B135" t="s">
        <v>31</v>
      </c>
      <c r="C135" t="s">
        <v>3</v>
      </c>
      <c r="D135" s="3">
        <v>10201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x14ac:dyDescent="0.4">
      <c r="A136" t="s">
        <v>378</v>
      </c>
      <c r="B136" t="s">
        <v>31</v>
      </c>
      <c r="C136" t="s">
        <v>3</v>
      </c>
      <c r="D136" s="3">
        <v>10195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379</v>
      </c>
      <c r="B137" t="s">
        <v>31</v>
      </c>
      <c r="C137" t="s">
        <v>3</v>
      </c>
      <c r="D137" s="3">
        <v>10196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377</v>
      </c>
      <c r="B138" t="s">
        <v>31</v>
      </c>
      <c r="C138" t="s">
        <v>3</v>
      </c>
      <c r="D138" s="3">
        <v>10194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x14ac:dyDescent="0.4">
      <c r="A139" t="s">
        <v>396</v>
      </c>
      <c r="B139" t="s">
        <v>32</v>
      </c>
      <c r="C139" t="s">
        <v>3</v>
      </c>
      <c r="D139" s="3">
        <v>10202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x14ac:dyDescent="0.4">
      <c r="A140" t="s">
        <v>85</v>
      </c>
      <c r="B140" t="s">
        <v>11</v>
      </c>
      <c r="C140" t="s">
        <v>4</v>
      </c>
      <c r="D140" s="3">
        <v>1027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</f>
        <v>0</v>
      </c>
    </row>
    <row r="141" spans="1:19" x14ac:dyDescent="0.4">
      <c r="A141" t="s">
        <v>87</v>
      </c>
      <c r="B141" t="s">
        <v>11</v>
      </c>
      <c r="C141" t="s">
        <v>4</v>
      </c>
      <c r="D141" s="3">
        <v>1029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x14ac:dyDescent="0.4">
      <c r="A142" t="s">
        <v>86</v>
      </c>
      <c r="B142" t="s">
        <v>11</v>
      </c>
      <c r="C142" t="s">
        <v>4</v>
      </c>
      <c r="D142" s="3">
        <v>1028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</f>
        <v>0</v>
      </c>
    </row>
    <row r="143" spans="1:19" x14ac:dyDescent="0.4">
      <c r="A143" t="s">
        <v>83</v>
      </c>
      <c r="B143" t="s">
        <v>11</v>
      </c>
      <c r="C143" t="s">
        <v>4</v>
      </c>
      <c r="D143" s="3">
        <v>1019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x14ac:dyDescent="0.4">
      <c r="A144" t="s">
        <v>88</v>
      </c>
      <c r="B144" t="s">
        <v>11</v>
      </c>
      <c r="C144" t="s">
        <v>4</v>
      </c>
      <c r="D144" s="3">
        <v>1030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x14ac:dyDescent="0.4">
      <c r="A145" t="s">
        <v>84</v>
      </c>
      <c r="B145" t="s">
        <v>11</v>
      </c>
      <c r="C145" t="s">
        <v>4</v>
      </c>
      <c r="D145" s="3">
        <v>1020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x14ac:dyDescent="0.4">
      <c r="A146" t="s">
        <v>183</v>
      </c>
      <c r="B146" t="s">
        <v>19</v>
      </c>
      <c r="C146" t="s">
        <v>4</v>
      </c>
      <c r="D146" s="3">
        <v>1032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x14ac:dyDescent="0.4">
      <c r="A147" t="s">
        <v>220</v>
      </c>
      <c r="B147" t="s">
        <v>22</v>
      </c>
      <c r="C147" t="s">
        <v>4</v>
      </c>
      <c r="D147" s="3">
        <v>1034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x14ac:dyDescent="0.4">
      <c r="A148" t="s">
        <v>219</v>
      </c>
      <c r="B148" t="s">
        <v>22</v>
      </c>
      <c r="C148" t="s">
        <v>4</v>
      </c>
      <c r="D148" s="3">
        <v>1033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x14ac:dyDescent="0.4">
      <c r="A149" t="s">
        <v>221</v>
      </c>
      <c r="B149" t="s">
        <v>22</v>
      </c>
      <c r="C149" t="s">
        <v>4</v>
      </c>
      <c r="D149" s="3">
        <v>1035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x14ac:dyDescent="0.4">
      <c r="A150" t="s">
        <v>264</v>
      </c>
      <c r="B150" t="s">
        <v>24</v>
      </c>
      <c r="C150" t="s">
        <v>4</v>
      </c>
      <c r="D150" s="3">
        <v>1038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x14ac:dyDescent="0.4">
      <c r="A151" t="s">
        <v>265</v>
      </c>
      <c r="B151" t="s">
        <v>24</v>
      </c>
      <c r="C151" t="s">
        <v>4</v>
      </c>
      <c r="D151" s="3">
        <v>1039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x14ac:dyDescent="0.4">
      <c r="A152" t="s">
        <v>263</v>
      </c>
      <c r="B152" t="s">
        <v>24</v>
      </c>
      <c r="C152" t="s">
        <v>4</v>
      </c>
      <c r="D152" s="3">
        <v>1037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x14ac:dyDescent="0.4">
      <c r="A153" t="s">
        <v>262</v>
      </c>
      <c r="B153" t="s">
        <v>24</v>
      </c>
      <c r="C153" t="s">
        <v>4</v>
      </c>
      <c r="D153" s="3">
        <v>1036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305</v>
      </c>
      <c r="B154" t="s">
        <v>26</v>
      </c>
      <c r="C154" t="s">
        <v>4</v>
      </c>
      <c r="D154" s="3">
        <v>1031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329</v>
      </c>
      <c r="B155" t="s">
        <v>28</v>
      </c>
      <c r="C155" t="s">
        <v>4</v>
      </c>
      <c r="D155" s="3">
        <v>1040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374</v>
      </c>
      <c r="B156" t="s">
        <v>31</v>
      </c>
      <c r="C156" t="s">
        <v>4</v>
      </c>
      <c r="D156" s="3">
        <v>1042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375</v>
      </c>
      <c r="B157" t="s">
        <v>31</v>
      </c>
      <c r="C157" t="s">
        <v>4</v>
      </c>
      <c r="D157" s="3">
        <v>1043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373</v>
      </c>
      <c r="B158" t="s">
        <v>31</v>
      </c>
      <c r="C158" t="s">
        <v>4</v>
      </c>
      <c r="D158" s="3">
        <v>1041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397</v>
      </c>
      <c r="B159" t="s">
        <v>32</v>
      </c>
      <c r="C159" t="s">
        <v>4</v>
      </c>
      <c r="D159" s="3">
        <v>1044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72</v>
      </c>
      <c r="B160" t="s">
        <v>11</v>
      </c>
      <c r="C160" t="s">
        <v>5</v>
      </c>
      <c r="D160" s="3">
        <v>900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79</v>
      </c>
      <c r="B161" t="s">
        <v>11</v>
      </c>
      <c r="C161" t="s">
        <v>5</v>
      </c>
      <c r="D161" s="3">
        <v>907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81</v>
      </c>
      <c r="B162" t="s">
        <v>11</v>
      </c>
      <c r="C162" t="s">
        <v>5</v>
      </c>
      <c r="D162" s="3">
        <v>909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80</v>
      </c>
      <c r="B163" t="s">
        <v>11</v>
      </c>
      <c r="C163" t="s">
        <v>5</v>
      </c>
      <c r="D163" s="3">
        <v>908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75</v>
      </c>
      <c r="B164" t="s">
        <v>11</v>
      </c>
      <c r="C164" t="s">
        <v>5</v>
      </c>
      <c r="D164" s="3">
        <v>903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x14ac:dyDescent="0.4">
      <c r="A165" t="s">
        <v>76</v>
      </c>
      <c r="B165" t="s">
        <v>11</v>
      </c>
      <c r="C165" t="s">
        <v>5</v>
      </c>
      <c r="D165" s="3">
        <v>904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x14ac:dyDescent="0.4">
      <c r="A166" t="s">
        <v>73</v>
      </c>
      <c r="B166" t="s">
        <v>11</v>
      </c>
      <c r="C166" t="s">
        <v>5</v>
      </c>
      <c r="D166" s="3">
        <v>901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77</v>
      </c>
      <c r="B167" t="s">
        <v>11</v>
      </c>
      <c r="C167" t="s">
        <v>5</v>
      </c>
      <c r="D167" s="3">
        <v>905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x14ac:dyDescent="0.4">
      <c r="A168" t="s">
        <v>82</v>
      </c>
      <c r="B168" t="s">
        <v>11</v>
      </c>
      <c r="C168" t="s">
        <v>5</v>
      </c>
      <c r="D168" s="3">
        <v>910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x14ac:dyDescent="0.4">
      <c r="A169" t="s">
        <v>74</v>
      </c>
      <c r="B169" t="s">
        <v>11</v>
      </c>
      <c r="C169" t="s">
        <v>5</v>
      </c>
      <c r="D169" s="3">
        <v>902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x14ac:dyDescent="0.4">
      <c r="A170" t="s">
        <v>78</v>
      </c>
      <c r="B170" t="s">
        <v>11</v>
      </c>
      <c r="C170" t="s">
        <v>5</v>
      </c>
      <c r="D170" s="3">
        <v>906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x14ac:dyDescent="0.4">
      <c r="A171" t="s">
        <v>110</v>
      </c>
      <c r="B171" t="s">
        <v>12</v>
      </c>
      <c r="C171" t="s">
        <v>5</v>
      </c>
      <c r="D171" s="3">
        <v>911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x14ac:dyDescent="0.4">
      <c r="A172" t="s">
        <v>130</v>
      </c>
      <c r="B172" t="s">
        <v>14</v>
      </c>
      <c r="C172" t="s">
        <v>5</v>
      </c>
      <c r="D172" s="3">
        <v>913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x14ac:dyDescent="0.4">
      <c r="A173" t="s">
        <v>129</v>
      </c>
      <c r="B173" t="s">
        <v>14</v>
      </c>
      <c r="C173" t="s">
        <v>5</v>
      </c>
      <c r="D173" s="3">
        <v>912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x14ac:dyDescent="0.4">
      <c r="A174" t="s">
        <v>162</v>
      </c>
      <c r="B174" t="s">
        <v>17</v>
      </c>
      <c r="C174" t="s">
        <v>5</v>
      </c>
      <c r="D174" s="3">
        <v>915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x14ac:dyDescent="0.4">
      <c r="A175" t="s">
        <v>163</v>
      </c>
      <c r="B175" t="s">
        <v>17</v>
      </c>
      <c r="C175" t="s">
        <v>5</v>
      </c>
      <c r="D175" s="3">
        <v>916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x14ac:dyDescent="0.4">
      <c r="A176" t="s">
        <v>164</v>
      </c>
      <c r="B176" t="s">
        <v>17</v>
      </c>
      <c r="C176" t="s">
        <v>5</v>
      </c>
      <c r="D176" s="3">
        <v>917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x14ac:dyDescent="0.4">
      <c r="A177" t="s">
        <v>161</v>
      </c>
      <c r="B177" t="s">
        <v>17</v>
      </c>
      <c r="C177" t="s">
        <v>5</v>
      </c>
      <c r="D177" s="3">
        <v>914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t="s">
        <v>178</v>
      </c>
      <c r="B178" t="s">
        <v>18</v>
      </c>
      <c r="C178" t="s">
        <v>5</v>
      </c>
      <c r="D178" s="3">
        <v>957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176</v>
      </c>
      <c r="B179" t="s">
        <v>18</v>
      </c>
      <c r="C179" t="s">
        <v>5</v>
      </c>
      <c r="D179" s="3">
        <v>955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177</v>
      </c>
      <c r="B180" t="s">
        <v>18</v>
      </c>
      <c r="C180" t="s">
        <v>5</v>
      </c>
      <c r="D180" s="3">
        <v>956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184</v>
      </c>
      <c r="B181" t="s">
        <v>20</v>
      </c>
      <c r="C181" t="s">
        <v>5</v>
      </c>
      <c r="D181" s="3">
        <v>918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195</v>
      </c>
      <c r="B182" t="s">
        <v>21</v>
      </c>
      <c r="C182" t="s">
        <v>5</v>
      </c>
      <c r="D182" s="3">
        <v>920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197</v>
      </c>
      <c r="B183" t="s">
        <v>21</v>
      </c>
      <c r="C183" t="s">
        <v>5</v>
      </c>
      <c r="D183" s="3">
        <v>922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196</v>
      </c>
      <c r="B184" t="s">
        <v>21</v>
      </c>
      <c r="C184" t="s">
        <v>5</v>
      </c>
      <c r="D184" s="3">
        <v>921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194</v>
      </c>
      <c r="B185" t="s">
        <v>21</v>
      </c>
      <c r="C185" t="s">
        <v>5</v>
      </c>
      <c r="D185" s="3">
        <v>919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245</v>
      </c>
      <c r="B186" t="s">
        <v>23</v>
      </c>
      <c r="C186" t="s">
        <v>5</v>
      </c>
      <c r="D186" s="3">
        <v>923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257</v>
      </c>
      <c r="B187" t="s">
        <v>24</v>
      </c>
      <c r="C187" t="s">
        <v>5</v>
      </c>
      <c r="D187" s="3">
        <v>924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258</v>
      </c>
      <c r="B188" t="s">
        <v>24</v>
      </c>
      <c r="C188" t="s">
        <v>5</v>
      </c>
      <c r="D188" s="3">
        <v>925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259</v>
      </c>
      <c r="B189" t="s">
        <v>24</v>
      </c>
      <c r="C189" t="s">
        <v>5</v>
      </c>
      <c r="D189" s="3">
        <v>926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x14ac:dyDescent="0.4">
      <c r="A190" t="s">
        <v>260</v>
      </c>
      <c r="B190" t="s">
        <v>24</v>
      </c>
      <c r="C190" t="s">
        <v>5</v>
      </c>
      <c r="D190" s="3">
        <v>927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x14ac:dyDescent="0.4">
      <c r="A191" t="s">
        <v>261</v>
      </c>
      <c r="B191" t="s">
        <v>24</v>
      </c>
      <c r="C191" t="s">
        <v>5</v>
      </c>
      <c r="D191" s="3">
        <v>928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x14ac:dyDescent="0.4">
      <c r="A192" t="s">
        <v>299</v>
      </c>
      <c r="B192" t="s">
        <v>26</v>
      </c>
      <c r="C192" t="s">
        <v>5</v>
      </c>
      <c r="D192" s="3">
        <v>934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x14ac:dyDescent="0.4">
      <c r="A193" t="s">
        <v>300</v>
      </c>
      <c r="B193" t="s">
        <v>26</v>
      </c>
      <c r="C193" t="s">
        <v>5</v>
      </c>
      <c r="D193" s="3">
        <v>935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296</v>
      </c>
      <c r="B194" t="s">
        <v>26</v>
      </c>
      <c r="C194" t="s">
        <v>5</v>
      </c>
      <c r="D194" s="3">
        <v>931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x14ac:dyDescent="0.4">
      <c r="A195" t="s">
        <v>301</v>
      </c>
      <c r="B195" t="s">
        <v>26</v>
      </c>
      <c r="C195" t="s">
        <v>5</v>
      </c>
      <c r="D195" s="3">
        <v>936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x14ac:dyDescent="0.4">
      <c r="A196" t="s">
        <v>297</v>
      </c>
      <c r="B196" t="s">
        <v>26</v>
      </c>
      <c r="C196" t="s">
        <v>5</v>
      </c>
      <c r="D196" s="3">
        <v>932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x14ac:dyDescent="0.4">
      <c r="A197" t="s">
        <v>294</v>
      </c>
      <c r="B197" t="s">
        <v>26</v>
      </c>
      <c r="C197" t="s">
        <v>5</v>
      </c>
      <c r="D197" s="3">
        <v>929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x14ac:dyDescent="0.4">
      <c r="A198" t="s">
        <v>302</v>
      </c>
      <c r="B198" t="s">
        <v>26</v>
      </c>
      <c r="C198" t="s">
        <v>5</v>
      </c>
      <c r="D198" s="3">
        <v>937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295</v>
      </c>
      <c r="B199" t="s">
        <v>26</v>
      </c>
      <c r="C199" t="s">
        <v>5</v>
      </c>
      <c r="D199" s="3">
        <v>930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x14ac:dyDescent="0.4">
      <c r="A200" t="s">
        <v>303</v>
      </c>
      <c r="B200" t="s">
        <v>26</v>
      </c>
      <c r="C200" t="s">
        <v>5</v>
      </c>
      <c r="D200" s="3">
        <v>938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x14ac:dyDescent="0.4">
      <c r="A201" t="s">
        <v>298</v>
      </c>
      <c r="B201" t="s">
        <v>26</v>
      </c>
      <c r="C201" t="s">
        <v>5</v>
      </c>
      <c r="D201" s="3">
        <v>933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x14ac:dyDescent="0.4">
      <c r="A202" t="s">
        <v>314</v>
      </c>
      <c r="B202" t="s">
        <v>27</v>
      </c>
      <c r="C202" t="s">
        <v>5</v>
      </c>
      <c r="D202" s="3">
        <v>940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x14ac:dyDescent="0.4">
      <c r="A203" t="s">
        <v>313</v>
      </c>
      <c r="B203" t="s">
        <v>27</v>
      </c>
      <c r="C203" t="s">
        <v>5</v>
      </c>
      <c r="D203" s="3">
        <v>939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x14ac:dyDescent="0.4">
      <c r="A204" t="s">
        <v>326</v>
      </c>
      <c r="B204" t="s">
        <v>28</v>
      </c>
      <c r="C204" t="s">
        <v>5</v>
      </c>
      <c r="D204" s="3">
        <v>943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x14ac:dyDescent="0.4">
      <c r="A205" t="s">
        <v>327</v>
      </c>
      <c r="B205" t="s">
        <v>28</v>
      </c>
      <c r="C205" t="s">
        <v>5</v>
      </c>
      <c r="D205" s="3">
        <v>944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x14ac:dyDescent="0.4">
      <c r="A206" t="s">
        <v>324</v>
      </c>
      <c r="B206" t="s">
        <v>28</v>
      </c>
      <c r="C206" t="s">
        <v>5</v>
      </c>
      <c r="D206" s="3">
        <v>941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x14ac:dyDescent="0.4">
      <c r="A207" t="s">
        <v>325</v>
      </c>
      <c r="B207" t="s">
        <v>28</v>
      </c>
      <c r="C207" t="s">
        <v>5</v>
      </c>
      <c r="D207" s="3">
        <v>942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x14ac:dyDescent="0.4">
      <c r="A208" t="s">
        <v>344</v>
      </c>
      <c r="B208" t="s">
        <v>29</v>
      </c>
      <c r="C208" t="s">
        <v>5</v>
      </c>
      <c r="D208" s="3">
        <v>946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x14ac:dyDescent="0.4">
      <c r="A209" t="s">
        <v>345</v>
      </c>
      <c r="B209" t="s">
        <v>29</v>
      </c>
      <c r="C209" t="s">
        <v>5</v>
      </c>
      <c r="D209" s="3">
        <v>947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x14ac:dyDescent="0.4">
      <c r="A210" t="s">
        <v>346</v>
      </c>
      <c r="B210" t="s">
        <v>29</v>
      </c>
      <c r="C210" t="s">
        <v>5</v>
      </c>
      <c r="D210" s="3">
        <v>948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x14ac:dyDescent="0.4">
      <c r="A211" t="s">
        <v>343</v>
      </c>
      <c r="B211" t="s">
        <v>29</v>
      </c>
      <c r="C211" t="s">
        <v>5</v>
      </c>
      <c r="D211" s="3">
        <v>945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x14ac:dyDescent="0.4">
      <c r="A212" t="s">
        <v>347</v>
      </c>
      <c r="B212" t="s">
        <v>29</v>
      </c>
      <c r="C212" t="s">
        <v>5</v>
      </c>
      <c r="D212" s="3">
        <v>949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x14ac:dyDescent="0.4">
      <c r="A213" t="s">
        <v>361</v>
      </c>
      <c r="B213" t="s">
        <v>30</v>
      </c>
      <c r="C213" t="s">
        <v>5</v>
      </c>
      <c r="D213" s="3">
        <v>951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x14ac:dyDescent="0.4">
      <c r="A214" t="s">
        <v>360</v>
      </c>
      <c r="B214" t="s">
        <v>30</v>
      </c>
      <c r="C214" t="s">
        <v>5</v>
      </c>
      <c r="D214" s="3">
        <v>950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x14ac:dyDescent="0.4">
      <c r="A215" t="s">
        <v>394</v>
      </c>
      <c r="B215" t="s">
        <v>32</v>
      </c>
      <c r="C215" t="s">
        <v>5</v>
      </c>
      <c r="D215" s="3">
        <v>953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x14ac:dyDescent="0.4">
      <c r="A216" t="s">
        <v>393</v>
      </c>
      <c r="B216" t="s">
        <v>32</v>
      </c>
      <c r="C216" t="s">
        <v>5</v>
      </c>
      <c r="D216" s="3">
        <v>952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x14ac:dyDescent="0.4">
      <c r="A217" t="s">
        <v>395</v>
      </c>
      <c r="B217" t="s">
        <v>32</v>
      </c>
      <c r="C217" t="s">
        <v>5</v>
      </c>
      <c r="D217" s="3">
        <v>954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x14ac:dyDescent="0.4">
      <c r="A218" t="s">
        <v>70</v>
      </c>
      <c r="B218" t="s">
        <v>11</v>
      </c>
      <c r="C218" t="s">
        <v>6</v>
      </c>
      <c r="D218" s="3">
        <v>9471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x14ac:dyDescent="0.4">
      <c r="A219" t="s">
        <v>67</v>
      </c>
      <c r="B219" t="s">
        <v>11</v>
      </c>
      <c r="C219" t="s">
        <v>6</v>
      </c>
      <c r="D219" s="3">
        <v>918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x14ac:dyDescent="0.4">
      <c r="A220" t="s">
        <v>68</v>
      </c>
      <c r="B220" t="s">
        <v>11</v>
      </c>
      <c r="C220" t="s">
        <v>6</v>
      </c>
      <c r="D220" s="3">
        <v>9421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69</v>
      </c>
      <c r="B221" t="s">
        <v>11</v>
      </c>
      <c r="C221" t="s">
        <v>6</v>
      </c>
      <c r="D221" s="3">
        <v>9451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71</v>
      </c>
      <c r="B222" t="s">
        <v>11</v>
      </c>
      <c r="C222" t="s">
        <v>6</v>
      </c>
      <c r="D222" s="3">
        <v>9481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111</v>
      </c>
      <c r="B223" t="s">
        <v>12</v>
      </c>
      <c r="C223" t="s">
        <v>6</v>
      </c>
      <c r="D223" s="3">
        <v>929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155</v>
      </c>
      <c r="B224" t="s">
        <v>16</v>
      </c>
      <c r="C224" t="s">
        <v>6</v>
      </c>
      <c r="D224" s="3">
        <v>9491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165</v>
      </c>
      <c r="B225" t="s">
        <v>17</v>
      </c>
      <c r="C225" t="s">
        <v>6</v>
      </c>
      <c r="D225" s="3">
        <v>925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255</v>
      </c>
      <c r="B226" t="s">
        <v>24</v>
      </c>
      <c r="C226" t="s">
        <v>6</v>
      </c>
      <c r="D226" s="3">
        <v>927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254</v>
      </c>
      <c r="B227" t="s">
        <v>24</v>
      </c>
      <c r="C227" t="s">
        <v>6</v>
      </c>
      <c r="D227" s="3">
        <v>926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256</v>
      </c>
      <c r="B228" t="s">
        <v>24</v>
      </c>
      <c r="C228" t="s">
        <v>6</v>
      </c>
      <c r="D228" s="3">
        <v>928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304</v>
      </c>
      <c r="B229" t="s">
        <v>26</v>
      </c>
      <c r="C229" t="s">
        <v>6</v>
      </c>
      <c r="D229" s="3">
        <v>920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372</v>
      </c>
      <c r="B230" t="s">
        <v>31</v>
      </c>
      <c r="C230" t="s">
        <v>6</v>
      </c>
      <c r="D230" s="3">
        <v>935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370</v>
      </c>
      <c r="B231" t="s">
        <v>31</v>
      </c>
      <c r="C231" t="s">
        <v>6</v>
      </c>
      <c r="D231" s="3">
        <v>933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x14ac:dyDescent="0.4">
      <c r="A232" t="s">
        <v>368</v>
      </c>
      <c r="B232" t="s">
        <v>31</v>
      </c>
      <c r="C232" t="s">
        <v>6</v>
      </c>
      <c r="D232" s="3">
        <v>931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x14ac:dyDescent="0.4">
      <c r="A233" t="s">
        <v>369</v>
      </c>
      <c r="B233" t="s">
        <v>31</v>
      </c>
      <c r="C233" t="s">
        <v>6</v>
      </c>
      <c r="D233" s="3">
        <v>932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x14ac:dyDescent="0.4">
      <c r="A234" t="s">
        <v>371</v>
      </c>
      <c r="B234" t="s">
        <v>31</v>
      </c>
      <c r="C234" t="s">
        <v>6</v>
      </c>
      <c r="D234" s="3">
        <v>934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x14ac:dyDescent="0.4">
      <c r="A235" t="s">
        <v>107</v>
      </c>
      <c r="B235" t="s">
        <v>11</v>
      </c>
      <c r="C235" t="s">
        <v>1</v>
      </c>
      <c r="D235" s="3">
        <v>12017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x14ac:dyDescent="0.4">
      <c r="A236" t="s">
        <v>103</v>
      </c>
      <c r="B236" t="s">
        <v>11</v>
      </c>
      <c r="C236" t="s">
        <v>1</v>
      </c>
      <c r="D236" s="3">
        <v>12013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x14ac:dyDescent="0.4">
      <c r="A237" t="s">
        <v>106</v>
      </c>
      <c r="B237" t="s">
        <v>11</v>
      </c>
      <c r="C237" t="s">
        <v>1</v>
      </c>
      <c r="D237" s="3">
        <v>12016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100</v>
      </c>
      <c r="B238" t="s">
        <v>11</v>
      </c>
      <c r="C238" t="s">
        <v>1</v>
      </c>
      <c r="D238" s="3">
        <v>12005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99</v>
      </c>
      <c r="B239" t="s">
        <v>11</v>
      </c>
      <c r="C239" t="s">
        <v>1</v>
      </c>
      <c r="D239" s="3">
        <v>12001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101</v>
      </c>
      <c r="B240" t="s">
        <v>11</v>
      </c>
      <c r="C240" t="s">
        <v>1</v>
      </c>
      <c r="D240" s="3">
        <v>12009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105</v>
      </c>
      <c r="B241" t="s">
        <v>11</v>
      </c>
      <c r="C241" t="s">
        <v>1</v>
      </c>
      <c r="D241" s="3">
        <v>12015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x14ac:dyDescent="0.4">
      <c r="A242" t="s">
        <v>104</v>
      </c>
      <c r="B242" t="s">
        <v>11</v>
      </c>
      <c r="C242" t="s">
        <v>1</v>
      </c>
      <c r="D242" s="3">
        <v>12014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x14ac:dyDescent="0.4">
      <c r="A243" t="s">
        <v>102</v>
      </c>
      <c r="B243" t="s">
        <v>11</v>
      </c>
      <c r="C243" t="s">
        <v>1</v>
      </c>
      <c r="D243" s="3">
        <v>12012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116</v>
      </c>
      <c r="B244" t="s">
        <v>12</v>
      </c>
      <c r="C244" t="s">
        <v>1</v>
      </c>
      <c r="D244" s="3">
        <v>12018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x14ac:dyDescent="0.4">
      <c r="A245" t="s">
        <v>117</v>
      </c>
      <c r="B245" t="s">
        <v>12</v>
      </c>
      <c r="C245" t="s">
        <v>1</v>
      </c>
      <c r="D245" s="3">
        <v>12019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x14ac:dyDescent="0.4">
      <c r="A246" t="s">
        <v>122</v>
      </c>
      <c r="B246" t="s">
        <v>13</v>
      </c>
      <c r="C246" t="s">
        <v>1</v>
      </c>
      <c r="D246" s="3">
        <v>12020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x14ac:dyDescent="0.4">
      <c r="A247" t="s">
        <v>123</v>
      </c>
      <c r="B247" t="s">
        <v>13</v>
      </c>
      <c r="C247" t="s">
        <v>1</v>
      </c>
      <c r="D247" s="3">
        <v>12021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x14ac:dyDescent="0.4">
      <c r="A248" t="s">
        <v>124</v>
      </c>
      <c r="B248" t="s">
        <v>13</v>
      </c>
      <c r="C248" t="s">
        <v>1</v>
      </c>
      <c r="D248" s="3">
        <v>12022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x14ac:dyDescent="0.4">
      <c r="A249" t="s">
        <v>125</v>
      </c>
      <c r="B249" t="s">
        <v>13</v>
      </c>
      <c r="C249" t="s">
        <v>1</v>
      </c>
      <c r="D249" s="3">
        <v>12023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x14ac:dyDescent="0.4">
      <c r="A250" s="11" t="s">
        <v>131</v>
      </c>
      <c r="B250" s="11" t="s">
        <v>14</v>
      </c>
      <c r="C250" s="11" t="s">
        <v>1</v>
      </c>
      <c r="D250" s="3">
        <v>10158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x14ac:dyDescent="0.4">
      <c r="A251" t="s">
        <v>135</v>
      </c>
      <c r="B251" t="s">
        <v>14</v>
      </c>
      <c r="C251" t="s">
        <v>1</v>
      </c>
      <c r="D251" s="3">
        <v>12026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x14ac:dyDescent="0.4">
      <c r="A252" t="s">
        <v>134</v>
      </c>
      <c r="B252" t="s">
        <v>14</v>
      </c>
      <c r="C252" t="s">
        <v>1</v>
      </c>
      <c r="D252" s="3">
        <v>12025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x14ac:dyDescent="0.4">
      <c r="A253" t="s">
        <v>137</v>
      </c>
      <c r="B253" t="s">
        <v>14</v>
      </c>
      <c r="C253" t="s">
        <v>1</v>
      </c>
      <c r="D253" s="3">
        <v>12028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x14ac:dyDescent="0.4">
      <c r="A254" t="s">
        <v>136</v>
      </c>
      <c r="B254" t="s">
        <v>14</v>
      </c>
      <c r="C254" t="s">
        <v>1</v>
      </c>
      <c r="D254" s="3">
        <v>12027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x14ac:dyDescent="0.4">
      <c r="A255" t="s">
        <v>138</v>
      </c>
      <c r="B255" t="s">
        <v>14</v>
      </c>
      <c r="C255" t="s">
        <v>1</v>
      </c>
      <c r="D255" s="3">
        <v>12029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133</v>
      </c>
      <c r="B256" t="s">
        <v>14</v>
      </c>
      <c r="C256" t="s">
        <v>1</v>
      </c>
      <c r="D256" s="3">
        <v>12024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139</v>
      </c>
      <c r="B257" t="s">
        <v>14</v>
      </c>
      <c r="C257" t="s">
        <v>1</v>
      </c>
      <c r="D257" s="3">
        <v>12030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146</v>
      </c>
      <c r="B258" t="s">
        <v>15</v>
      </c>
      <c r="C258" t="s">
        <v>1</v>
      </c>
      <c r="D258" s="3">
        <v>12031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157</v>
      </c>
      <c r="B259" t="s">
        <v>16</v>
      </c>
      <c r="C259" t="s">
        <v>1</v>
      </c>
      <c r="D259" s="3">
        <v>12032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158</v>
      </c>
      <c r="B260" t="s">
        <v>16</v>
      </c>
      <c r="C260" t="s">
        <v>1</v>
      </c>
      <c r="D260" s="3">
        <v>12033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168</v>
      </c>
      <c r="B261" t="s">
        <v>17</v>
      </c>
      <c r="C261" t="s">
        <v>1</v>
      </c>
      <c r="D261" s="3">
        <v>12035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167</v>
      </c>
      <c r="B262" t="s">
        <v>17</v>
      </c>
      <c r="C262" t="s">
        <v>1</v>
      </c>
      <c r="D262" s="3">
        <v>12034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x14ac:dyDescent="0.4">
      <c r="A263" t="s">
        <v>188</v>
      </c>
      <c r="B263" t="s">
        <v>20</v>
      </c>
      <c r="C263" t="s">
        <v>1</v>
      </c>
      <c r="D263" s="3">
        <v>12036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x14ac:dyDescent="0.4">
      <c r="A264" t="s">
        <v>189</v>
      </c>
      <c r="B264" t="s">
        <v>20</v>
      </c>
      <c r="C264" t="s">
        <v>1</v>
      </c>
      <c r="D264" s="3">
        <v>12037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214</v>
      </c>
      <c r="B265" t="s">
        <v>21</v>
      </c>
      <c r="C265" t="s">
        <v>1</v>
      </c>
      <c r="D265" s="3">
        <v>12047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209</v>
      </c>
      <c r="B266" t="s">
        <v>21</v>
      </c>
      <c r="C266" t="s">
        <v>1</v>
      </c>
      <c r="D266" s="3">
        <v>12042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212</v>
      </c>
      <c r="B267" t="s">
        <v>21</v>
      </c>
      <c r="C267" t="s">
        <v>1</v>
      </c>
      <c r="D267" s="3">
        <v>12045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215</v>
      </c>
      <c r="B268" t="s">
        <v>21</v>
      </c>
      <c r="C268" t="s">
        <v>1</v>
      </c>
      <c r="D268" s="3">
        <v>12048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x14ac:dyDescent="0.4">
      <c r="A269" t="s">
        <v>206</v>
      </c>
      <c r="B269" t="s">
        <v>21</v>
      </c>
      <c r="C269" t="s">
        <v>1</v>
      </c>
      <c r="D269" s="3">
        <v>12039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x14ac:dyDescent="0.4">
      <c r="A270" t="s">
        <v>205</v>
      </c>
      <c r="B270" t="s">
        <v>21</v>
      </c>
      <c r="C270" t="s">
        <v>1</v>
      </c>
      <c r="D270" s="3">
        <v>12038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x14ac:dyDescent="0.4">
      <c r="A271" t="s">
        <v>207</v>
      </c>
      <c r="B271" t="s">
        <v>21</v>
      </c>
      <c r="C271" t="s">
        <v>1</v>
      </c>
      <c r="D271" s="3">
        <v>12040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x14ac:dyDescent="0.4">
      <c r="A272" t="s">
        <v>211</v>
      </c>
      <c r="B272" t="s">
        <v>21</v>
      </c>
      <c r="C272" t="s">
        <v>1</v>
      </c>
      <c r="D272" s="3">
        <v>12044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213</v>
      </c>
      <c r="B273" t="s">
        <v>21</v>
      </c>
      <c r="C273" t="s">
        <v>1</v>
      </c>
      <c r="D273" s="3">
        <v>12046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210</v>
      </c>
      <c r="B274" t="s">
        <v>21</v>
      </c>
      <c r="C274" t="s">
        <v>1</v>
      </c>
      <c r="D274" s="3">
        <v>12043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x14ac:dyDescent="0.4">
      <c r="A275" t="s">
        <v>208</v>
      </c>
      <c r="B275" t="s">
        <v>21</v>
      </c>
      <c r="C275" t="s">
        <v>1</v>
      </c>
      <c r="D275" s="3">
        <v>12041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x14ac:dyDescent="0.4">
      <c r="A276" t="s">
        <v>240</v>
      </c>
      <c r="B276" t="s">
        <v>22</v>
      </c>
      <c r="C276" t="s">
        <v>1</v>
      </c>
      <c r="D276" s="3">
        <v>12058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239</v>
      </c>
      <c r="B277" t="s">
        <v>22</v>
      </c>
      <c r="C277" t="s">
        <v>1</v>
      </c>
      <c r="D277" s="3">
        <v>12057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241</v>
      </c>
      <c r="B278" t="s">
        <v>22</v>
      </c>
      <c r="C278" t="s">
        <v>1</v>
      </c>
      <c r="D278" s="3">
        <v>12059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236</v>
      </c>
      <c r="B279" t="s">
        <v>22</v>
      </c>
      <c r="C279" t="s">
        <v>1</v>
      </c>
      <c r="D279" s="3">
        <v>12054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242</v>
      </c>
      <c r="B280" t="s">
        <v>22</v>
      </c>
      <c r="C280" t="s">
        <v>1</v>
      </c>
      <c r="D280" s="3">
        <v>12060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231</v>
      </c>
      <c r="B281" t="s">
        <v>22</v>
      </c>
      <c r="C281" t="s">
        <v>1</v>
      </c>
      <c r="D281" s="3">
        <v>12049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237</v>
      </c>
      <c r="B282" t="s">
        <v>22</v>
      </c>
      <c r="C282" t="s">
        <v>1</v>
      </c>
      <c r="D282" s="3">
        <v>12055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232</v>
      </c>
      <c r="B283" t="s">
        <v>22</v>
      </c>
      <c r="C283" t="s">
        <v>1</v>
      </c>
      <c r="D283" s="3">
        <v>12050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234</v>
      </c>
      <c r="B284" t="s">
        <v>22</v>
      </c>
      <c r="C284" t="s">
        <v>1</v>
      </c>
      <c r="D284" s="3">
        <v>12052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235</v>
      </c>
      <c r="B285" t="s">
        <v>22</v>
      </c>
      <c r="C285" t="s">
        <v>1</v>
      </c>
      <c r="D285" s="3">
        <v>12053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x14ac:dyDescent="0.4">
      <c r="A286" t="s">
        <v>233</v>
      </c>
      <c r="B286" t="s">
        <v>22</v>
      </c>
      <c r="C286" t="s">
        <v>1</v>
      </c>
      <c r="D286" s="3">
        <v>12051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x14ac:dyDescent="0.4">
      <c r="A287" t="s">
        <v>238</v>
      </c>
      <c r="B287" t="s">
        <v>22</v>
      </c>
      <c r="C287" t="s">
        <v>1</v>
      </c>
      <c r="D287" s="3">
        <v>12056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x14ac:dyDescent="0.4">
      <c r="A288" t="s">
        <v>284</v>
      </c>
      <c r="B288" t="s">
        <v>24</v>
      </c>
      <c r="C288" t="s">
        <v>1</v>
      </c>
      <c r="D288" s="3">
        <v>12069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x14ac:dyDescent="0.4">
      <c r="A289" t="s">
        <v>279</v>
      </c>
      <c r="B289" t="s">
        <v>24</v>
      </c>
      <c r="C289" t="s">
        <v>1</v>
      </c>
      <c r="D289" s="3">
        <v>12064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x14ac:dyDescent="0.4">
      <c r="A290" t="s">
        <v>281</v>
      </c>
      <c r="B290" t="s">
        <v>24</v>
      </c>
      <c r="C290" t="s">
        <v>1</v>
      </c>
      <c r="D290" s="3">
        <v>12066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x14ac:dyDescent="0.4">
      <c r="A291" t="s">
        <v>280</v>
      </c>
      <c r="B291" t="s">
        <v>24</v>
      </c>
      <c r="C291" t="s">
        <v>1</v>
      </c>
      <c r="D291" s="3">
        <v>12065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x14ac:dyDescent="0.4">
      <c r="A292" t="s">
        <v>282</v>
      </c>
      <c r="B292" t="s">
        <v>24</v>
      </c>
      <c r="C292" t="s">
        <v>1</v>
      </c>
      <c r="D292" s="3">
        <v>12067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x14ac:dyDescent="0.4">
      <c r="A293" t="s">
        <v>277</v>
      </c>
      <c r="B293" t="s">
        <v>24</v>
      </c>
      <c r="C293" t="s">
        <v>1</v>
      </c>
      <c r="D293" s="3">
        <v>12062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286</v>
      </c>
      <c r="B294" t="s">
        <v>24</v>
      </c>
      <c r="C294" t="s">
        <v>1</v>
      </c>
      <c r="D294" s="3">
        <v>12071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x14ac:dyDescent="0.4">
      <c r="A295" t="s">
        <v>285</v>
      </c>
      <c r="B295" t="s">
        <v>24</v>
      </c>
      <c r="C295" t="s">
        <v>1</v>
      </c>
      <c r="D295" s="3">
        <v>12070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283</v>
      </c>
      <c r="B296" t="s">
        <v>24</v>
      </c>
      <c r="C296" t="s">
        <v>1</v>
      </c>
      <c r="D296" s="3">
        <v>12068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276</v>
      </c>
      <c r="B297" t="s">
        <v>24</v>
      </c>
      <c r="C297" t="s">
        <v>1</v>
      </c>
      <c r="D297" s="3">
        <v>12061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278</v>
      </c>
      <c r="B298" t="s">
        <v>24</v>
      </c>
      <c r="C298" t="s">
        <v>1</v>
      </c>
      <c r="D298" s="3">
        <v>12063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290</v>
      </c>
      <c r="B299" t="s">
        <v>25</v>
      </c>
      <c r="C299" t="s">
        <v>1</v>
      </c>
      <c r="D299" s="3">
        <v>12072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292</v>
      </c>
      <c r="B300" t="s">
        <v>25</v>
      </c>
      <c r="C300" t="s">
        <v>1</v>
      </c>
      <c r="D300" s="3">
        <v>12074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291</v>
      </c>
      <c r="B301" t="s">
        <v>25</v>
      </c>
      <c r="C301" t="s">
        <v>1</v>
      </c>
      <c r="D301" s="3">
        <v>12073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308</v>
      </c>
      <c r="B302" t="s">
        <v>26</v>
      </c>
      <c r="C302" t="s">
        <v>1</v>
      </c>
      <c r="D302" s="3">
        <v>12075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319</v>
      </c>
      <c r="B303" t="s">
        <v>27</v>
      </c>
      <c r="C303" t="s">
        <v>1</v>
      </c>
      <c r="D303" s="3">
        <v>12079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317</v>
      </c>
      <c r="B304" t="s">
        <v>27</v>
      </c>
      <c r="C304" t="s">
        <v>1</v>
      </c>
      <c r="D304" s="3">
        <v>12077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316</v>
      </c>
      <c r="B305" t="s">
        <v>27</v>
      </c>
      <c r="C305" t="s">
        <v>1</v>
      </c>
      <c r="D305" s="3">
        <v>12076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318</v>
      </c>
      <c r="B306" t="s">
        <v>27</v>
      </c>
      <c r="C306" t="s">
        <v>1</v>
      </c>
      <c r="D306" s="3">
        <v>12078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x14ac:dyDescent="0.4">
      <c r="A307" t="s">
        <v>336</v>
      </c>
      <c r="B307" t="s">
        <v>28</v>
      </c>
      <c r="C307" t="s">
        <v>1</v>
      </c>
      <c r="D307" s="3">
        <v>12086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x14ac:dyDescent="0.4">
      <c r="A308" t="s">
        <v>332</v>
      </c>
      <c r="B308" t="s">
        <v>28</v>
      </c>
      <c r="C308" t="s">
        <v>1</v>
      </c>
      <c r="D308" s="3">
        <v>12082</v>
      </c>
      <c r="F308" s="3" t="str">
        <f>IF(E308="","",IF(E308="DNS",0,IF(E308="DQ",0,IF(E308="DNF",1,IF(AND(ISNUMBER(E308),E308&gt;59),1,_xlfn.XLOOKUP(E308,tbl_points[Place],tbl_points[Points],""))))))</f>
        <v/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x14ac:dyDescent="0.4">
      <c r="A309" t="s">
        <v>331</v>
      </c>
      <c r="B309" t="s">
        <v>28</v>
      </c>
      <c r="C309" t="s">
        <v>1</v>
      </c>
      <c r="D309" s="3">
        <v>12081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x14ac:dyDescent="0.4">
      <c r="A310" t="s">
        <v>330</v>
      </c>
      <c r="B310" t="s">
        <v>28</v>
      </c>
      <c r="C310" t="s">
        <v>1</v>
      </c>
      <c r="D310" s="3">
        <v>12080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s="15" customFormat="1" x14ac:dyDescent="0.4">
      <c r="A311" t="s">
        <v>333</v>
      </c>
      <c r="B311" t="s">
        <v>28</v>
      </c>
      <c r="C311" t="s">
        <v>1</v>
      </c>
      <c r="D311" s="3">
        <v>12083</v>
      </c>
      <c r="E311" s="3"/>
      <c r="F311" s="3" t="str">
        <f>IF(E311="","",IF(E311="DNS",0,IF(E311="DQ",0,IF(E311="DNF",1,IF(AND(ISNUMBER(E311),E311&gt;59),1,_xlfn.XLOOKUP(E311,tbl_points[Place],tbl_points[Points],""))))))</f>
        <v/>
      </c>
      <c r="G311" s="3"/>
      <c r="H311" s="3" t="str">
        <f>IF(G311="","",IF(G311="DNS",0,IF(G311="DQ",0,IF(G311="DNF",1,IF(AND(ISNUMBER(G311),G311&gt;59),1,_xlfn.XLOOKUP(G311,tbl_points[Place],tbl_points[Points],""))))))</f>
        <v/>
      </c>
      <c r="I311" s="3"/>
      <c r="J311" s="3" t="str">
        <f>IF(I311="","",IF(I311="DNS",0,IF(I311="DQ",0,IF(I311="DNF",1,IF(AND(ISNUMBER(I311),I311&gt;59),1,_xlfn.XLOOKUP(I311,tbl_points[Place],tbl_points[Points],""))))))</f>
        <v/>
      </c>
      <c r="K311" s="3"/>
      <c r="L311" s="3" t="str">
        <f>IF(K311="","",IF(K311="DNS",0,IF(K311="DQ",0,IF(K311="DNF",1,IF(AND(ISNUMBER(K311),K311&gt;59),1,_xlfn.XLOOKUP(K311,tbl_points[Place],tbl_points[Points],""))))))</f>
        <v/>
      </c>
      <c r="M311" s="3"/>
      <c r="N311" s="3" t="str">
        <f>IF(M311="","",IF(M311="DNS",0,IF(M311="DQ",0,IF(M311="DNF",1,IF(AND(ISNUMBER(M311),M311&gt;59),1,_xlfn.XLOOKUP(M311,tbl_points[Place],tbl_points[Points],""))))))</f>
        <v/>
      </c>
      <c r="O311" s="3"/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335</v>
      </c>
      <c r="B312" t="s">
        <v>28</v>
      </c>
      <c r="C312" t="s">
        <v>1</v>
      </c>
      <c r="D312" s="3">
        <v>12085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x14ac:dyDescent="0.4">
      <c r="A313" t="s">
        <v>334</v>
      </c>
      <c r="B313" t="s">
        <v>28</v>
      </c>
      <c r="C313" t="s">
        <v>1</v>
      </c>
      <c r="D313" s="3">
        <v>12084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350</v>
      </c>
      <c r="B314" t="s">
        <v>29</v>
      </c>
      <c r="C314" t="s">
        <v>1</v>
      </c>
      <c r="D314" s="3">
        <v>12087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x14ac:dyDescent="0.4">
      <c r="A315" t="s">
        <v>356</v>
      </c>
      <c r="B315" t="s">
        <v>29</v>
      </c>
      <c r="C315" t="s">
        <v>1</v>
      </c>
      <c r="D315" s="3">
        <v>12093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x14ac:dyDescent="0.4">
      <c r="A316" t="s">
        <v>353</v>
      </c>
      <c r="B316" t="s">
        <v>29</v>
      </c>
      <c r="C316" t="s">
        <v>1</v>
      </c>
      <c r="D316" s="3">
        <v>12090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x14ac:dyDescent="0.4">
      <c r="A317" t="s">
        <v>357</v>
      </c>
      <c r="B317" t="s">
        <v>29</v>
      </c>
      <c r="C317" t="s">
        <v>1</v>
      </c>
      <c r="D317" s="3">
        <v>12094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x14ac:dyDescent="0.4">
      <c r="A318" t="s">
        <v>354</v>
      </c>
      <c r="B318" t="s">
        <v>29</v>
      </c>
      <c r="C318" t="s">
        <v>1</v>
      </c>
      <c r="D318" s="3">
        <v>12091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x14ac:dyDescent="0.4">
      <c r="A319" t="s">
        <v>355</v>
      </c>
      <c r="B319" t="s">
        <v>29</v>
      </c>
      <c r="C319" t="s">
        <v>1</v>
      </c>
      <c r="D319" s="3">
        <v>12092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x14ac:dyDescent="0.4">
      <c r="A320" t="s">
        <v>351</v>
      </c>
      <c r="B320" t="s">
        <v>29</v>
      </c>
      <c r="C320" t="s">
        <v>1</v>
      </c>
      <c r="D320" s="3">
        <v>12088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x14ac:dyDescent="0.4">
      <c r="A321" t="s">
        <v>352</v>
      </c>
      <c r="B321" t="s">
        <v>29</v>
      </c>
      <c r="C321" t="s">
        <v>1</v>
      </c>
      <c r="D321" s="3">
        <v>12089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x14ac:dyDescent="0.4">
      <c r="A322" t="s">
        <v>362</v>
      </c>
      <c r="B322" t="s">
        <v>30</v>
      </c>
      <c r="C322" t="s">
        <v>1</v>
      </c>
      <c r="D322" s="3">
        <v>12095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</f>
        <v>0</v>
      </c>
    </row>
    <row r="323" spans="1:19" x14ac:dyDescent="0.4">
      <c r="A323" s="13" t="s">
        <v>363</v>
      </c>
      <c r="B323" s="13" t="s">
        <v>30</v>
      </c>
      <c r="C323" s="13" t="s">
        <v>1</v>
      </c>
      <c r="D323" s="14">
        <v>12096</v>
      </c>
      <c r="E323" s="14"/>
      <c r="F323" s="14" t="str">
        <f>IF(E323="","",IF(E323="DNS",0,IF(E323="DQ",0,IF(E323="DNF",1,IF(AND(ISNUMBER(E323),E323&gt;59),1,_xlfn.XLOOKUP(E323,tbl_points[Place],tbl_points[Points],""))))))</f>
        <v/>
      </c>
      <c r="G323" s="14"/>
      <c r="H323" s="14" t="str">
        <f>IF(G323="","",IF(G323="DNS",0,IF(G323="DQ",0,IF(G323="DNF",1,IF(AND(ISNUMBER(G323),G323&gt;59),1,_xlfn.XLOOKUP(G323,tbl_points[Place],tbl_points[Points],""))))))</f>
        <v/>
      </c>
      <c r="I323" s="14"/>
      <c r="J323" s="14" t="str">
        <f>IF(I323="","",IF(I323="DNS",0,IF(I323="DQ",0,IF(I323="DNF",1,IF(AND(ISNUMBER(I323),I323&gt;59),1,_xlfn.XLOOKUP(I323,tbl_points[Place],tbl_points[Points],""))))))</f>
        <v/>
      </c>
      <c r="K323" s="14"/>
      <c r="L323" s="14" t="str">
        <f>IF(K323="","",IF(K323="DNS",0,IF(K323="DQ",0,IF(K323="DNF",1,IF(AND(ISNUMBER(K323),K323&gt;59),1,_xlfn.XLOOKUP(K323,tbl_points[Place],tbl_points[Points],""))))))</f>
        <v/>
      </c>
      <c r="M323" s="14"/>
      <c r="N323" s="14" t="str">
        <f>IF(M323="","",IF(M323="DNS",0,IF(M323="DQ",0,IF(M323="DNF",1,IF(AND(ISNUMBER(M323),M323&gt;59),1,_xlfn.XLOOKUP(M323,tbl_points[Place],tbl_points[Points],""))))))</f>
        <v/>
      </c>
      <c r="O323" s="14"/>
      <c r="P323" s="14" t="str">
        <f>IF(O323="","",IF(O323="DNS",0,IF(O323="DQ",0,IF(O323="DNF",1,IF(AND(ISNUMBER(O323),O323&gt;59),1,_xlfn.XLOOKUP(O323,tbl_points[Place],tbl_points[Points],""))))))</f>
        <v/>
      </c>
      <c r="Q323" s="14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14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14">
        <f>tbl_individual[[#This Row],[Total]]</f>
        <v>0</v>
      </c>
    </row>
    <row r="324" spans="1:19" x14ac:dyDescent="0.4">
      <c r="A324" t="s">
        <v>391</v>
      </c>
      <c r="B324" t="s">
        <v>31</v>
      </c>
      <c r="C324" t="s">
        <v>1</v>
      </c>
      <c r="D324" s="3">
        <v>12100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x14ac:dyDescent="0.4">
      <c r="A325" t="s">
        <v>390</v>
      </c>
      <c r="B325" t="s">
        <v>31</v>
      </c>
      <c r="C325" t="s">
        <v>1</v>
      </c>
      <c r="D325" s="3">
        <v>12099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x14ac:dyDescent="0.4">
      <c r="A326" t="s">
        <v>389</v>
      </c>
      <c r="B326" t="s">
        <v>31</v>
      </c>
      <c r="C326" t="s">
        <v>1</v>
      </c>
      <c r="D326" s="3">
        <v>12098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x14ac:dyDescent="0.4">
      <c r="A327" t="s">
        <v>388</v>
      </c>
      <c r="B327" t="s">
        <v>31</v>
      </c>
      <c r="C327" t="s">
        <v>1</v>
      </c>
      <c r="D327" s="3">
        <v>12097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x14ac:dyDescent="0.4">
      <c r="A328" s="11" t="s">
        <v>415</v>
      </c>
      <c r="B328" s="11" t="s">
        <v>31</v>
      </c>
      <c r="C328" s="11" t="s">
        <v>1</v>
      </c>
      <c r="D328" s="3">
        <v>12906</v>
      </c>
      <c r="F328" s="16" t="str">
        <f>IF(E328="","",IF(E328="DNS",0,IF(E328="DQ",0,IF(E328="DNF",1,IF(AND(ISNUMBER(E328),E328&gt;59),1,_xlfn.XLOOKUP(E328,tbl_points[Place],tbl_points[Points],""))))))</f>
        <v/>
      </c>
      <c r="H328" s="16" t="str">
        <f>IF(G328="","",IF(G328="DNS",0,IF(G328="DQ",0,IF(G328="DNF",1,IF(AND(ISNUMBER(G328),G328&gt;59),1,_xlfn.XLOOKUP(G328,tbl_points[Place],tbl_points[Points],""))))))</f>
        <v/>
      </c>
      <c r="I328" s="16"/>
      <c r="J328" s="16" t="str">
        <f>IF(I328="","",IF(I328="DNS",0,IF(I328="DQ",0,IF(I328="DNF",1,IF(AND(ISNUMBER(I328),I328&gt;59),1,_xlfn.XLOOKUP(I328,tbl_points[Place],tbl_points[Points],""))))))</f>
        <v/>
      </c>
      <c r="K328" s="16"/>
      <c r="L328" s="16" t="str">
        <f>IF(K328="","",IF(K328="DNS",0,IF(K328="DQ",0,IF(K328="DNF",1,IF(AND(ISNUMBER(K328),K328&gt;59),1,_xlfn.XLOOKUP(K328,tbl_points[Place],tbl_points[Points],""))))))</f>
        <v/>
      </c>
      <c r="M328" s="16"/>
      <c r="N328" s="16" t="str">
        <f>IF(M328="","",IF(M328="DNS",0,IF(M328="DQ",0,IF(M328="DNF",1,IF(AND(ISNUMBER(M328),M328&gt;59),1,_xlfn.XLOOKUP(M328,tbl_points[Place],tbl_points[Points],""))))))</f>
        <v/>
      </c>
      <c r="O328" s="16"/>
      <c r="P328" s="16" t="str">
        <f>IF(O328="","",IF(O328="DNS",0,IF(O328="DQ",0,IF(O328="DNF",1,IF(AND(ISNUMBER(O328),O328&gt;59),1,_xlfn.XLOOKUP(O328,tbl_points[Place],tbl_points[Points],""))))))</f>
        <v/>
      </c>
      <c r="Q328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16">
        <f>tbl_individual[[#This Row],[Total]]</f>
        <v>0</v>
      </c>
    </row>
    <row r="329" spans="1:19" x14ac:dyDescent="0.4">
      <c r="A329" t="s">
        <v>399</v>
      </c>
      <c r="B329" t="s">
        <v>32</v>
      </c>
      <c r="C329" t="s">
        <v>1</v>
      </c>
      <c r="D329" s="3">
        <v>12102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x14ac:dyDescent="0.4">
      <c r="A330" t="s">
        <v>398</v>
      </c>
      <c r="B330" t="s">
        <v>32</v>
      </c>
      <c r="C330" t="s">
        <v>1</v>
      </c>
      <c r="D330" s="3">
        <v>12101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x14ac:dyDescent="0.4">
      <c r="A331" t="s">
        <v>56</v>
      </c>
      <c r="B331" t="s">
        <v>10</v>
      </c>
      <c r="C331" t="s">
        <v>2</v>
      </c>
      <c r="D331" s="3">
        <v>1212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x14ac:dyDescent="0.4">
      <c r="A332" s="13" t="s">
        <v>98</v>
      </c>
      <c r="B332" s="13" t="s">
        <v>11</v>
      </c>
      <c r="C332" s="13" t="s">
        <v>2</v>
      </c>
      <c r="D332" s="17">
        <v>1226</v>
      </c>
      <c r="E332" s="17"/>
      <c r="F332" s="17" t="str">
        <f>IF(E332="","",IF(E332="DNS",0,IF(E332="DQ",0,IF(E332="DNF",1,IF(AND(ISNUMBER(E332),E332&gt;59),1,_xlfn.XLOOKUP(E332,tbl_points[Place],tbl_points[Points],""))))))</f>
        <v/>
      </c>
      <c r="G332" s="17"/>
      <c r="H332" s="17" t="str">
        <f>IF(G332="","",IF(G332="DNS",0,IF(G332="DQ",0,IF(G332="DNF",1,IF(AND(ISNUMBER(G332),G332&gt;59),1,_xlfn.XLOOKUP(G332,tbl_points[Place],tbl_points[Points],""))))))</f>
        <v/>
      </c>
      <c r="I332" s="17"/>
      <c r="J332" s="17" t="str">
        <f>IF(I332="","",IF(I332="DNS",0,IF(I332="DQ",0,IF(I332="DNF",1,IF(AND(ISNUMBER(I332),I332&gt;59),1,_xlfn.XLOOKUP(I332,tbl_points[Place],tbl_points[Points],""))))))</f>
        <v/>
      </c>
      <c r="K332" s="17"/>
      <c r="L332" s="17" t="str">
        <f>IF(K332="","",IF(K332="DNS",0,IF(K332="DQ",0,IF(K332="DNF",1,IF(AND(ISNUMBER(K332),K332&gt;59),1,_xlfn.XLOOKUP(K332,tbl_points[Place],tbl_points[Points],""))))))</f>
        <v/>
      </c>
      <c r="M332" s="17"/>
      <c r="N332" s="17" t="str">
        <f>IF(M332="","",IF(M332="DNS",0,IF(M332="DQ",0,IF(M332="DNF",1,IF(AND(ISNUMBER(M332),M332&gt;59),1,_xlfn.XLOOKUP(M332,tbl_points[Place],tbl_points[Points],""))))))</f>
        <v/>
      </c>
      <c r="O332" s="17"/>
      <c r="P332" s="17" t="str">
        <f>IF(O332="","",IF(O332="DNS",0,IF(O332="DQ",0,IF(O332="DNF",1,IF(AND(ISNUMBER(O332),O332&gt;59),1,_xlfn.XLOOKUP(O332,tbl_points[Place],tbl_points[Points],""))))))</f>
        <v/>
      </c>
      <c r="Q332" s="17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17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17">
        <f>tbl_individual[[#This Row],[Total]]</f>
        <v>0</v>
      </c>
    </row>
    <row r="333" spans="1:19" x14ac:dyDescent="0.4">
      <c r="A333" t="s">
        <v>126</v>
      </c>
      <c r="B333" t="s">
        <v>13</v>
      </c>
      <c r="C333" t="s">
        <v>2</v>
      </c>
      <c r="D333" s="3">
        <v>1227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x14ac:dyDescent="0.4">
      <c r="A334" t="s">
        <v>143</v>
      </c>
      <c r="B334" t="s">
        <v>14</v>
      </c>
      <c r="C334" t="s">
        <v>2</v>
      </c>
      <c r="D334" s="3">
        <v>1233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141</v>
      </c>
      <c r="B335" t="s">
        <v>14</v>
      </c>
      <c r="C335" t="s">
        <v>2</v>
      </c>
      <c r="D335" s="3">
        <v>1231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140</v>
      </c>
      <c r="B336" t="s">
        <v>14</v>
      </c>
      <c r="C336" t="s">
        <v>2</v>
      </c>
      <c r="D336" s="3">
        <v>1230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142</v>
      </c>
      <c r="B337" t="s">
        <v>14</v>
      </c>
      <c r="C337" t="s">
        <v>2</v>
      </c>
      <c r="D337" s="3">
        <v>1232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216</v>
      </c>
      <c r="B338" t="s">
        <v>21</v>
      </c>
      <c r="C338" t="s">
        <v>2</v>
      </c>
      <c r="D338" s="3">
        <v>1234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x14ac:dyDescent="0.4">
      <c r="A339" t="s">
        <v>218</v>
      </c>
      <c r="B339" t="s">
        <v>21</v>
      </c>
      <c r="C339" t="s">
        <v>2</v>
      </c>
      <c r="D339" s="3">
        <v>1236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x14ac:dyDescent="0.4">
      <c r="A340" t="s">
        <v>217</v>
      </c>
      <c r="B340" t="s">
        <v>21</v>
      </c>
      <c r="C340" t="s">
        <v>2</v>
      </c>
      <c r="D340" s="3">
        <v>1235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x14ac:dyDescent="0.4">
      <c r="A341" t="s">
        <v>230</v>
      </c>
      <c r="B341" t="s">
        <v>22</v>
      </c>
      <c r="C341" t="s">
        <v>2</v>
      </c>
      <c r="D341" s="3">
        <v>1238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x14ac:dyDescent="0.4">
      <c r="A342" t="s">
        <v>229</v>
      </c>
      <c r="B342" t="s">
        <v>22</v>
      </c>
      <c r="C342" t="s">
        <v>2</v>
      </c>
      <c r="D342" s="3">
        <v>1237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x14ac:dyDescent="0.4">
      <c r="A343" t="s">
        <v>272</v>
      </c>
      <c r="B343" t="s">
        <v>24</v>
      </c>
      <c r="C343" t="s">
        <v>2</v>
      </c>
      <c r="D343" s="3">
        <v>1239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x14ac:dyDescent="0.4">
      <c r="A344" t="s">
        <v>274</v>
      </c>
      <c r="B344" t="s">
        <v>24</v>
      </c>
      <c r="C344" t="s">
        <v>2</v>
      </c>
      <c r="D344" s="3">
        <v>1241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x14ac:dyDescent="0.4">
      <c r="A345" t="s">
        <v>275</v>
      </c>
      <c r="B345" t="s">
        <v>24</v>
      </c>
      <c r="C345" t="s">
        <v>2</v>
      </c>
      <c r="D345" s="3">
        <v>1242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273</v>
      </c>
      <c r="B346" t="s">
        <v>24</v>
      </c>
      <c r="C346" t="s">
        <v>2</v>
      </c>
      <c r="D346" s="3">
        <v>1240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337</v>
      </c>
      <c r="B347" t="s">
        <v>28</v>
      </c>
      <c r="C347" t="s">
        <v>2</v>
      </c>
      <c r="D347" s="3">
        <v>1243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349</v>
      </c>
      <c r="B348" t="s">
        <v>29</v>
      </c>
      <c r="C348" t="s">
        <v>2</v>
      </c>
      <c r="D348" s="3">
        <v>1244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387</v>
      </c>
      <c r="B349" t="s">
        <v>31</v>
      </c>
      <c r="C349" t="s">
        <v>2</v>
      </c>
      <c r="D349" s="3">
        <v>1247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x14ac:dyDescent="0.4">
      <c r="A350" t="s">
        <v>385</v>
      </c>
      <c r="B350" t="s">
        <v>31</v>
      </c>
      <c r="C350" t="s">
        <v>2</v>
      </c>
      <c r="D350" s="3">
        <v>1245</v>
      </c>
      <c r="F350" s="3" t="str">
        <f>IF(E350="","",IF(E350="DNS",0,IF(E350="DQ",0,IF(E350="DNF",1,IF(AND(ISNUMBER(E350),E350&gt;59),1,_xlfn.XLOOKUP(E350,tbl_points[Place],tbl_points[Points],""))))))</f>
        <v/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x14ac:dyDescent="0.4">
      <c r="A351" t="s">
        <v>386</v>
      </c>
      <c r="B351" t="s">
        <v>31</v>
      </c>
      <c r="C351" t="s">
        <v>2</v>
      </c>
      <c r="D351" s="3">
        <v>1246</v>
      </c>
      <c r="F351" s="3" t="str">
        <f>IF(E351="","",IF(E351="DNS",0,IF(E351="DQ",0,IF(E351="DNF",1,IF(AND(ISNUMBER(E351),E351&gt;59),1,_xlfn.XLOOKUP(E351,tbl_points[Place],tbl_points[Points],""))))))</f>
        <v/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x14ac:dyDescent="0.4">
      <c r="A352" t="s">
        <v>400</v>
      </c>
      <c r="B352" t="s">
        <v>32</v>
      </c>
      <c r="C352" t="s">
        <v>2</v>
      </c>
      <c r="D352" s="3">
        <v>1248</v>
      </c>
      <c r="F352" s="3" t="str">
        <f>IF(E352="","",IF(E352="DNS",0,IF(E352="DQ",0,IF(E352="DNF",1,IF(AND(ISNUMBER(E352),E352&gt;59),1,_xlfn.XLOOKUP(E352,tbl_points[Place],tbl_points[Points],""))))))</f>
        <v/>
      </c>
      <c r="H352" s="3" t="str">
        <f>IF(G352="","",IF(G352="DNS",0,IF(G352="DQ",0,IF(G352="DNF",1,IF(AND(ISNUMBER(G352),G352&gt;59),1,_xlfn.XLOOKUP(G352,tbl_points[Place],tbl_points[Points],""))))))</f>
        <v/>
      </c>
      <c r="J352" s="3" t="str">
        <f>IF(I352="","",IF(I352="DNS",0,IF(I352="DQ",0,IF(I352="DNF",1,IF(AND(ISNUMBER(I352),I352&gt;59),1,_xlfn.XLOOKUP(I352,tbl_points[Place],tbl_points[Points],""))))))</f>
        <v/>
      </c>
      <c r="L352" s="3" t="str">
        <f>IF(K352="","",IF(K352="DNS",0,IF(K352="DQ",0,IF(K352="DNF",1,IF(AND(ISNUMBER(K352),K352&gt;59),1,_xlfn.XLOOKUP(K352,tbl_points[Place],tbl_points[Points],""))))))</f>
        <v/>
      </c>
      <c r="N352" s="3" t="str">
        <f>IF(M352="","",IF(M352="DNS",0,IF(M352="DQ",0,IF(M352="DNF",1,IF(AND(ISNUMBER(M352),M352&gt;59),1,_xlfn.XLOOKUP(M352,tbl_points[Place],tbl_points[Points],""))))))</f>
        <v/>
      </c>
      <c r="P352" s="3" t="str">
        <f>IF(O352="","",IF(O352="DNS",0,IF(O352="DQ",0,IF(O352="DNF",1,IF(AND(ISNUMBER(O352),O352&gt;59),1,_xlfn.XLOOKUP(O352,tbl_points[Place],tbl_points[Points],""))))))</f>
        <v/>
      </c>
      <c r="Q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3">
        <f>tbl_individual[[#This Row],[Total]]</f>
        <v>0</v>
      </c>
    </row>
    <row r="353" spans="1:19" x14ac:dyDescent="0.4">
      <c r="A353" t="s">
        <v>401</v>
      </c>
      <c r="B353" t="s">
        <v>32</v>
      </c>
      <c r="C353" t="s">
        <v>2</v>
      </c>
      <c r="D353" s="3">
        <v>1249</v>
      </c>
      <c r="F353" s="3" t="str">
        <f>IF(E353="","",IF(E353="DNS",0,IF(E353="DQ",0,IF(E353="DNF",1,IF(AND(ISNUMBER(E353),E353&gt;59),1,_xlfn.XLOOKUP(E353,tbl_points[Place],tbl_points[Points],""))))))</f>
        <v/>
      </c>
      <c r="H353" s="3" t="str">
        <f>IF(G353="","",IF(G353="DNS",0,IF(G353="DQ",0,IF(G353="DNF",1,IF(AND(ISNUMBER(G353),G353&gt;59),1,_xlfn.XLOOKUP(G353,tbl_points[Place],tbl_points[Points],""))))))</f>
        <v/>
      </c>
      <c r="J353" s="3" t="str">
        <f>IF(I353="","",IF(I353="DNS",0,IF(I353="DQ",0,IF(I353="DNF",1,IF(AND(ISNUMBER(I353),I353&gt;59),1,_xlfn.XLOOKUP(I353,tbl_points[Place],tbl_points[Points],""))))))</f>
        <v/>
      </c>
      <c r="L353" s="3" t="str">
        <f>IF(K353="","",IF(K353="DNS",0,IF(K353="DQ",0,IF(K353="DNF",1,IF(AND(ISNUMBER(K353),K353&gt;59),1,_xlfn.XLOOKUP(K353,tbl_points[Place],tbl_points[Points],""))))))</f>
        <v/>
      </c>
      <c r="N353" s="3" t="str">
        <f>IF(M353="","",IF(M353="DNS",0,IF(M353="DQ",0,IF(M353="DNF",1,IF(AND(ISNUMBER(M353),M353&gt;59),1,_xlfn.XLOOKUP(M353,tbl_points[Place],tbl_points[Points],""))))))</f>
        <v/>
      </c>
      <c r="P353" s="3" t="str">
        <f>IF(O353="","",IF(O353="DNS",0,IF(O353="DQ",0,IF(O353="DNF",1,IF(AND(ISNUMBER(O353),O353&gt;59),1,_xlfn.XLOOKUP(O353,tbl_points[Place],tbl_points[Points],""))))))</f>
        <v/>
      </c>
      <c r="Q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3" s="3">
        <f>tbl_individual[[#This Row],[Total]]</f>
        <v>0</v>
      </c>
    </row>
  </sheetData>
  <conditionalFormatting sqref="D2:D384">
    <cfRule type="expression" dxfId="19" priority="1">
      <formula>$C2="Bant Boys"</formula>
    </cfRule>
    <cfRule type="expression" dxfId="18" priority="2">
      <formula>$C2="Bant Girls"</formula>
    </cfRule>
    <cfRule type="expression" dxfId="17" priority="3">
      <formula>$C2="Juv Girls"</formula>
    </cfRule>
    <cfRule type="expression" dxfId="16" priority="4">
      <formula>$C2="Juv Boys"</formula>
    </cfRule>
    <cfRule type="expression" dxfId="15" priority="5">
      <formula>$C2="Jr Girls"</formula>
    </cfRule>
    <cfRule type="expression" dxfId="14" priority="6">
      <formula>$C2="Jr Boys"</formula>
    </cfRule>
    <cfRule type="expression" dxfId="13" priority="7">
      <formula>$C2="Sr Boys"</formula>
    </cfRule>
    <cfRule type="expression" dxfId="12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B2:B353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418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416</v>
      </c>
      <c r="B25" s="11" t="s">
        <v>11</v>
      </c>
      <c r="C25" s="11" t="s">
        <v>3</v>
      </c>
    </row>
    <row r="26" spans="1:4" x14ac:dyDescent="0.4">
      <c r="A26" s="11" t="s">
        <v>417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3" t="s">
        <v>98</v>
      </c>
      <c r="B58" s="13" t="s">
        <v>11</v>
      </c>
      <c r="C58" s="13" t="s">
        <v>2</v>
      </c>
      <c r="D58" s="17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s="12" t="s">
        <v>359</v>
      </c>
      <c r="B309" s="12" t="s">
        <v>30</v>
      </c>
      <c r="C309" s="12" t="s">
        <v>7</v>
      </c>
      <c r="D309" s="3">
        <v>832</v>
      </c>
    </row>
    <row r="310" spans="1:4" x14ac:dyDescent="0.4">
      <c r="A310" s="12" t="s">
        <v>358</v>
      </c>
      <c r="B310" s="12" t="s">
        <v>30</v>
      </c>
      <c r="C310" s="12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3" t="s">
        <v>363</v>
      </c>
      <c r="B314" s="13" t="s">
        <v>30</v>
      </c>
      <c r="C314" s="13" t="s">
        <v>1</v>
      </c>
      <c r="D314" s="14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5" t="s">
        <v>381</v>
      </c>
      <c r="B319" s="15" t="s">
        <v>31</v>
      </c>
      <c r="C319" s="15" t="s">
        <v>3</v>
      </c>
      <c r="D319" s="14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415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11" priority="1">
      <formula>$C2="Bant Boys"</formula>
    </cfRule>
    <cfRule type="expression" dxfId="10" priority="2">
      <formula>$C2="Bant Girls"</formula>
    </cfRule>
    <cfRule type="expression" dxfId="9" priority="3">
      <formula>$C2="Juv Girls"</formula>
    </cfRule>
    <cfRule type="expression" dxfId="8" priority="4">
      <formula>$C2="Juv Boys"</formula>
    </cfRule>
    <cfRule type="expression" dxfId="7" priority="5">
      <formula>$C2="Jr Girls"</formula>
    </cfRule>
    <cfRule type="expression" dxfId="6" priority="6">
      <formula>$C2="Jr Boys"</formula>
    </cfRule>
    <cfRule type="expression" dxfId="5" priority="7">
      <formula>$C2="Sr Boys"</formula>
    </cfRule>
    <cfRule type="expression" dxfId="4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265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502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207</v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389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80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80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146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t="str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110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148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143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113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256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137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62</v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62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80</v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80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helper</vt:lpstr>
      <vt:lpstr>Individual Results</vt:lpstr>
      <vt:lpstr>Enduro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2026-04-07T19:30:51Z</dcterms:modified>
</cp:coreProperties>
</file>