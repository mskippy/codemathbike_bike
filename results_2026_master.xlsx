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9247\Documents\codemathbike\codemathbike_bike\"/>
    </mc:Choice>
  </mc:AlternateContent>
  <xr:revisionPtr revIDLastSave="0" documentId="8_{664B8494-D610-4794-BC65-01A5E31E96EA}" xr6:coauthVersionLast="47" xr6:coauthVersionMax="47" xr10:uidLastSave="{00000000-0000-0000-0000-000000000000}"/>
  <bookViews>
    <workbookView xWindow="-108" yWindow="-108" windowWidth="23256" windowHeight="13896" tabRatio="762" firstSheet="1" activeTab="1" xr2:uid="{E4CCCC36-747C-4C6A-A938-400850181E6F}"/>
  </bookViews>
  <sheets>
    <sheet name="helper" sheetId="1" r:id="rId1"/>
    <sheet name="Individual Results" sheetId="2" r:id="rId2"/>
    <sheet name="Division Export" sheetId="7" r:id="rId3"/>
    <sheet name="TeamPoints" sheetId="4" r:id="rId4"/>
    <sheet name="For Print" sheetId="5" r:id="rId5"/>
    <sheet name="Attendance" sheetId="10" r:id="rId6"/>
    <sheet name="EnduroPrint" sheetId="11" r:id="rId7"/>
  </sheets>
  <definedNames>
    <definedName name="_xlnm.Print_Area" localSheetId="4">'For Print'!$A$3:$G$103</definedName>
    <definedName name="_xlnm.Print_Titles" localSheetId="6">EnduroPrint!$1:$1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5" i="2" l="1"/>
  <c r="K265" i="2"/>
  <c r="M265" i="2"/>
  <c r="O265" i="2"/>
  <c r="Q265" i="2"/>
  <c r="S265" i="2"/>
  <c r="I94" i="2"/>
  <c r="K94" i="2"/>
  <c r="M94" i="2"/>
  <c r="O94" i="2"/>
  <c r="Q94" i="2"/>
  <c r="S94" i="2"/>
  <c r="E9" i="10"/>
  <c r="E8" i="10"/>
  <c r="E7" i="10"/>
  <c r="E6" i="10"/>
  <c r="E5" i="10"/>
  <c r="E4" i="10"/>
  <c r="I128" i="2"/>
  <c r="K128" i="2"/>
  <c r="M128" i="2"/>
  <c r="O128" i="2"/>
  <c r="Q128" i="2"/>
  <c r="S128" i="2"/>
  <c r="I263" i="2"/>
  <c r="K263" i="2"/>
  <c r="M263" i="2"/>
  <c r="O263" i="2"/>
  <c r="Q263" i="2"/>
  <c r="S263" i="2"/>
  <c r="I127" i="2"/>
  <c r="K127" i="2"/>
  <c r="M127" i="2"/>
  <c r="O127" i="2"/>
  <c r="Q127" i="2"/>
  <c r="S127" i="2"/>
  <c r="U265" i="2" l="1"/>
  <c r="T265" i="2"/>
  <c r="V265" i="2" s="1"/>
  <c r="T94" i="2"/>
  <c r="V94" i="2" s="1"/>
  <c r="U94" i="2"/>
  <c r="U128" i="2"/>
  <c r="T128" i="2"/>
  <c r="V128" i="2" s="1"/>
  <c r="T263" i="2"/>
  <c r="V263" i="2" s="1"/>
  <c r="U263" i="2"/>
  <c r="U127" i="2"/>
  <c r="T127" i="2"/>
  <c r="V127" i="2" s="1"/>
  <c r="I272" i="2"/>
  <c r="K272" i="2"/>
  <c r="M272" i="2"/>
  <c r="O272" i="2"/>
  <c r="Q272" i="2"/>
  <c r="S272" i="2"/>
  <c r="I98" i="2"/>
  <c r="K98" i="2"/>
  <c r="M98" i="2"/>
  <c r="O98" i="2"/>
  <c r="Q98" i="2"/>
  <c r="S98" i="2"/>
  <c r="I149" i="2"/>
  <c r="K149" i="2"/>
  <c r="M149" i="2"/>
  <c r="O149" i="2"/>
  <c r="Q149" i="2"/>
  <c r="S149" i="2"/>
  <c r="I103" i="2"/>
  <c r="K103" i="2"/>
  <c r="M103" i="2"/>
  <c r="O103" i="2"/>
  <c r="Q103" i="2"/>
  <c r="S103" i="2"/>
  <c r="I326" i="2"/>
  <c r="K326" i="2"/>
  <c r="M326" i="2"/>
  <c r="O326" i="2"/>
  <c r="Q326" i="2"/>
  <c r="S326" i="2"/>
  <c r="T272" i="2" l="1"/>
  <c r="V272" i="2" s="1"/>
  <c r="U272" i="2"/>
  <c r="T98" i="2"/>
  <c r="V98" i="2" s="1"/>
  <c r="U98" i="2"/>
  <c r="U149" i="2"/>
  <c r="T149" i="2"/>
  <c r="V149" i="2" s="1"/>
  <c r="T103" i="2"/>
  <c r="V103" i="2" s="1"/>
  <c r="U103" i="2"/>
  <c r="T326" i="2"/>
  <c r="V326" i="2" s="1"/>
  <c r="U326" i="2"/>
  <c r="I292" i="2"/>
  <c r="K292" i="2"/>
  <c r="M292" i="2"/>
  <c r="O292" i="2"/>
  <c r="Q292" i="2"/>
  <c r="S292" i="2"/>
  <c r="I290" i="2"/>
  <c r="K290" i="2"/>
  <c r="M290" i="2"/>
  <c r="O290" i="2"/>
  <c r="Q290" i="2"/>
  <c r="S290" i="2"/>
  <c r="I108" i="2"/>
  <c r="K108" i="2"/>
  <c r="M108" i="2"/>
  <c r="O108" i="2"/>
  <c r="Q108" i="2"/>
  <c r="S108" i="2"/>
  <c r="I325" i="2"/>
  <c r="K325" i="2"/>
  <c r="M325" i="2"/>
  <c r="O325" i="2"/>
  <c r="Q325" i="2"/>
  <c r="S325" i="2"/>
  <c r="T290" i="2" l="1"/>
  <c r="V290" i="2" s="1"/>
  <c r="U290" i="2"/>
  <c r="U292" i="2"/>
  <c r="T292" i="2"/>
  <c r="V292" i="2" s="1"/>
  <c r="T108" i="2"/>
  <c r="V108" i="2" s="1"/>
  <c r="U108" i="2"/>
  <c r="T325" i="2"/>
  <c r="V325" i="2" s="1"/>
  <c r="U325" i="2"/>
  <c r="I107" i="2" l="1"/>
  <c r="K107" i="2"/>
  <c r="M107" i="2"/>
  <c r="O107" i="2"/>
  <c r="Q107" i="2"/>
  <c r="S107" i="2"/>
  <c r="B3" i="10"/>
  <c r="B4" i="10"/>
  <c r="B5" i="10"/>
  <c r="B6" i="10"/>
  <c r="B7" i="10"/>
  <c r="B8" i="10"/>
  <c r="B9" i="10"/>
  <c r="B2" i="10"/>
  <c r="C10" i="10"/>
  <c r="I57" i="2"/>
  <c r="K57" i="2"/>
  <c r="M57" i="2"/>
  <c r="O57" i="2"/>
  <c r="Q57" i="2"/>
  <c r="S57" i="2"/>
  <c r="I39" i="2"/>
  <c r="K39" i="2"/>
  <c r="M39" i="2"/>
  <c r="O39" i="2"/>
  <c r="Q39" i="2"/>
  <c r="S39" i="2"/>
  <c r="I97" i="2"/>
  <c r="K97" i="2"/>
  <c r="M97" i="2"/>
  <c r="O97" i="2"/>
  <c r="Q97" i="2"/>
  <c r="S97" i="2"/>
  <c r="I269" i="2"/>
  <c r="K269" i="2"/>
  <c r="M269" i="2"/>
  <c r="O269" i="2"/>
  <c r="Q269" i="2"/>
  <c r="S269" i="2"/>
  <c r="I23" i="2"/>
  <c r="K23" i="2"/>
  <c r="M23" i="2"/>
  <c r="O23" i="2"/>
  <c r="Q23" i="2"/>
  <c r="S23" i="2"/>
  <c r="I264" i="2"/>
  <c r="K264" i="2"/>
  <c r="M264" i="2"/>
  <c r="O264" i="2"/>
  <c r="Q264" i="2"/>
  <c r="S264" i="2"/>
  <c r="I126" i="2"/>
  <c r="K126" i="2"/>
  <c r="M126" i="2"/>
  <c r="O126" i="2"/>
  <c r="Q126" i="2"/>
  <c r="S126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I163" i="2"/>
  <c r="K163" i="2"/>
  <c r="M163" i="2"/>
  <c r="O163" i="2"/>
  <c r="Q163" i="2"/>
  <c r="S163" i="2"/>
  <c r="I104" i="2"/>
  <c r="K104" i="2"/>
  <c r="M104" i="2"/>
  <c r="O104" i="2"/>
  <c r="Q104" i="2"/>
  <c r="S104" i="2"/>
  <c r="U107" i="2" l="1"/>
  <c r="T107" i="2"/>
  <c r="V107" i="2" s="1"/>
  <c r="B10" i="10"/>
  <c r="C11" i="10" s="1"/>
  <c r="T57" i="2"/>
  <c r="V57" i="2" s="1"/>
  <c r="U57" i="2"/>
  <c r="T39" i="2"/>
  <c r="V39" i="2" s="1"/>
  <c r="T269" i="2"/>
  <c r="V269" i="2" s="1"/>
  <c r="U97" i="2"/>
  <c r="U39" i="2"/>
  <c r="T97" i="2"/>
  <c r="V97" i="2" s="1"/>
  <c r="U269" i="2"/>
  <c r="T264" i="2"/>
  <c r="V264" i="2" s="1"/>
  <c r="T23" i="2"/>
  <c r="V23" i="2" s="1"/>
  <c r="U23" i="2"/>
  <c r="U264" i="2"/>
  <c r="T126" i="2"/>
  <c r="V126" i="2" s="1"/>
  <c r="U126" i="2"/>
  <c r="T163" i="2"/>
  <c r="V163" i="2" s="1"/>
  <c r="U163" i="2"/>
  <c r="C24" i="1"/>
  <c r="T104" i="2"/>
  <c r="V104" i="2" s="1"/>
  <c r="U104" i="2"/>
  <c r="I41" i="2" l="1"/>
  <c r="K41" i="2"/>
  <c r="M41" i="2"/>
  <c r="O41" i="2"/>
  <c r="Q41" i="2"/>
  <c r="S41" i="2"/>
  <c r="I40" i="2"/>
  <c r="K40" i="2"/>
  <c r="M40" i="2"/>
  <c r="O40" i="2"/>
  <c r="Q40" i="2"/>
  <c r="S40" i="2"/>
  <c r="K29" i="2"/>
  <c r="M29" i="2"/>
  <c r="O29" i="2"/>
  <c r="Q29" i="2"/>
  <c r="S29" i="2"/>
  <c r="U40" i="2" l="1"/>
  <c r="U29" i="2"/>
  <c r="U41" i="2"/>
  <c r="T41" i="2"/>
  <c r="V41" i="2" s="1"/>
  <c r="T40" i="2"/>
  <c r="V40" i="2" s="1"/>
  <c r="T29" i="2"/>
  <c r="V29" i="2" s="1"/>
  <c r="I352" i="2" l="1"/>
  <c r="K352" i="2"/>
  <c r="M352" i="2"/>
  <c r="O352" i="2"/>
  <c r="Q352" i="2"/>
  <c r="S352" i="2"/>
  <c r="K11" i="2"/>
  <c r="K8" i="2"/>
  <c r="K5" i="2"/>
  <c r="K9" i="2"/>
  <c r="K10" i="2"/>
  <c r="S2" i="2"/>
  <c r="S3" i="2"/>
  <c r="S4" i="2"/>
  <c r="S5" i="2"/>
  <c r="S6" i="2"/>
  <c r="S7" i="2"/>
  <c r="S8" i="2"/>
  <c r="S9" i="2"/>
  <c r="S10" i="2"/>
  <c r="S11" i="2"/>
  <c r="S30" i="2"/>
  <c r="S31" i="2"/>
  <c r="S32" i="2"/>
  <c r="S35" i="2"/>
  <c r="S36" i="2"/>
  <c r="S37" i="2"/>
  <c r="S38" i="2"/>
  <c r="S42" i="2"/>
  <c r="S43" i="2"/>
  <c r="S44" i="2"/>
  <c r="S45" i="2"/>
  <c r="S46" i="2"/>
  <c r="S47" i="2"/>
  <c r="S12" i="2"/>
  <c r="S13" i="2"/>
  <c r="S14" i="2"/>
  <c r="S15" i="2"/>
  <c r="S19" i="2"/>
  <c r="S20" i="2"/>
  <c r="S21" i="2"/>
  <c r="S22" i="2"/>
  <c r="S24" i="2"/>
  <c r="S25" i="2"/>
  <c r="S26" i="2"/>
  <c r="S27" i="2"/>
  <c r="S28" i="2"/>
  <c r="S48" i="2"/>
  <c r="S49" i="2"/>
  <c r="S50" i="2"/>
  <c r="S51" i="2"/>
  <c r="S54" i="2"/>
  <c r="S55" i="2"/>
  <c r="S56" i="2"/>
  <c r="S58" i="2"/>
  <c r="S59" i="2"/>
  <c r="S62" i="2"/>
  <c r="S63" i="2"/>
  <c r="S64" i="2"/>
  <c r="S65" i="2"/>
  <c r="S60" i="2"/>
  <c r="S61" i="2"/>
  <c r="S66" i="2"/>
  <c r="S67" i="2"/>
  <c r="S71" i="2"/>
  <c r="S72" i="2"/>
  <c r="S73" i="2"/>
  <c r="S74" i="2"/>
  <c r="S75" i="2"/>
  <c r="S76" i="2"/>
  <c r="S77" i="2"/>
  <c r="S78" i="2"/>
  <c r="S89" i="2"/>
  <c r="S81" i="2"/>
  <c r="S79" i="2"/>
  <c r="S80" i="2"/>
  <c r="S82" i="2"/>
  <c r="S85" i="2"/>
  <c r="S86" i="2"/>
  <c r="S87" i="2"/>
  <c r="S88" i="2"/>
  <c r="S90" i="2"/>
  <c r="S91" i="2"/>
  <c r="S92" i="2"/>
  <c r="S93" i="2"/>
  <c r="S95" i="2"/>
  <c r="S96" i="2"/>
  <c r="S99" i="2"/>
  <c r="S105" i="2"/>
  <c r="S106" i="2"/>
  <c r="S102" i="2"/>
  <c r="S110" i="2"/>
  <c r="S109" i="2"/>
  <c r="S112" i="2"/>
  <c r="S111" i="2"/>
  <c r="S113" i="2"/>
  <c r="S114" i="2"/>
  <c r="S115" i="2"/>
  <c r="S116" i="2"/>
  <c r="S117" i="2"/>
  <c r="S118" i="2"/>
  <c r="S119" i="2"/>
  <c r="S120" i="2"/>
  <c r="S122" i="2"/>
  <c r="S130" i="2"/>
  <c r="S131" i="2"/>
  <c r="S132" i="2"/>
  <c r="S133" i="2"/>
  <c r="S134" i="2"/>
  <c r="S135" i="2"/>
  <c r="S124" i="2"/>
  <c r="S125" i="2"/>
  <c r="S136" i="2"/>
  <c r="S137" i="2"/>
  <c r="S138" i="2"/>
  <c r="S140" i="2"/>
  <c r="S142" i="2"/>
  <c r="S143" i="2"/>
  <c r="S144" i="2"/>
  <c r="S141" i="2"/>
  <c r="S145" i="2"/>
  <c r="S146" i="2"/>
  <c r="S147" i="2"/>
  <c r="S148" i="2"/>
  <c r="S151" i="2"/>
  <c r="S150" i="2"/>
  <c r="S156" i="2"/>
  <c r="S157" i="2"/>
  <c r="S158" i="2"/>
  <c r="S159" i="2"/>
  <c r="S161" i="2"/>
  <c r="S162" i="2"/>
  <c r="S152" i="2"/>
  <c r="S153" i="2"/>
  <c r="S154" i="2"/>
  <c r="S155" i="2"/>
  <c r="S164" i="2"/>
  <c r="S165" i="2"/>
  <c r="S166" i="2"/>
  <c r="S167" i="2"/>
  <c r="S168" i="2"/>
  <c r="S169" i="2"/>
  <c r="S170" i="2"/>
  <c r="S171" i="2"/>
  <c r="S172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5" i="2"/>
  <c r="S207" i="2"/>
  <c r="S208" i="2"/>
  <c r="S209" i="2"/>
  <c r="S210" i="2"/>
  <c r="S211" i="2"/>
  <c r="S212" i="2"/>
  <c r="S221" i="2"/>
  <c r="S222" i="2"/>
  <c r="S223" i="2"/>
  <c r="S224" i="2"/>
  <c r="S225" i="2"/>
  <c r="S226" i="2"/>
  <c r="S227" i="2"/>
  <c r="S228" i="2"/>
  <c r="S215" i="2"/>
  <c r="S216" i="2"/>
  <c r="S217" i="2"/>
  <c r="S218" i="2"/>
  <c r="S219" i="2"/>
  <c r="S220" i="2"/>
  <c r="S231" i="2"/>
  <c r="S232" i="2"/>
  <c r="S233" i="2"/>
  <c r="S234" i="2"/>
  <c r="S235" i="2"/>
  <c r="S236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70" i="2"/>
  <c r="S253" i="2"/>
  <c r="S254" i="2"/>
  <c r="S255" i="2"/>
  <c r="S256" i="2"/>
  <c r="S257" i="2"/>
  <c r="S258" i="2"/>
  <c r="S259" i="2"/>
  <c r="S260" i="2"/>
  <c r="S261" i="2"/>
  <c r="S262" i="2"/>
  <c r="S266" i="2"/>
  <c r="S271" i="2"/>
  <c r="S273" i="2"/>
  <c r="S275" i="2"/>
  <c r="S276" i="2"/>
  <c r="S277" i="2"/>
  <c r="S278" i="2"/>
  <c r="S280" i="2"/>
  <c r="S281" i="2"/>
  <c r="S282" i="2"/>
  <c r="S283" i="2"/>
  <c r="S284" i="2"/>
  <c r="S285" i="2"/>
  <c r="S286" i="2"/>
  <c r="S287" i="2"/>
  <c r="S293" i="2"/>
  <c r="S289" i="2"/>
  <c r="S291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3" i="2"/>
  <c r="S314" i="2"/>
  <c r="S315" i="2"/>
  <c r="S316" i="2"/>
  <c r="S317" i="2"/>
  <c r="S318" i="2"/>
  <c r="S319" i="2"/>
  <c r="S320" i="2"/>
  <c r="S322" i="2"/>
  <c r="S323" i="2"/>
  <c r="S324" i="2"/>
  <c r="S327" i="2"/>
  <c r="S328" i="2"/>
  <c r="S329" i="2"/>
  <c r="S330" i="2"/>
  <c r="S331" i="2"/>
  <c r="S337" i="2"/>
  <c r="S338" i="2"/>
  <c r="S339" i="2"/>
  <c r="S340" i="2"/>
  <c r="S341" i="2"/>
  <c r="S344" i="2"/>
  <c r="S345" i="2"/>
  <c r="S346" i="2"/>
  <c r="S347" i="2"/>
  <c r="S332" i="2"/>
  <c r="S333" i="2"/>
  <c r="S334" i="2"/>
  <c r="S335" i="2"/>
  <c r="S336" i="2"/>
  <c r="S348" i="2"/>
  <c r="S349" i="2"/>
  <c r="S350" i="2"/>
  <c r="S351" i="2"/>
  <c r="S353" i="2"/>
  <c r="S356" i="2"/>
  <c r="S360" i="2"/>
  <c r="S361" i="2"/>
  <c r="S357" i="2"/>
  <c r="S358" i="2"/>
  <c r="S359" i="2"/>
  <c r="S362" i="2"/>
  <c r="S363" i="2"/>
  <c r="S364" i="2"/>
  <c r="S365" i="2"/>
  <c r="Q2" i="2"/>
  <c r="Q3" i="2"/>
  <c r="Q4" i="2"/>
  <c r="Q5" i="2"/>
  <c r="Q6" i="2"/>
  <c r="Q7" i="2"/>
  <c r="Q8" i="2"/>
  <c r="Q9" i="2"/>
  <c r="Q10" i="2"/>
  <c r="Q11" i="2"/>
  <c r="Q30" i="2"/>
  <c r="Q31" i="2"/>
  <c r="Q32" i="2"/>
  <c r="Q33" i="2"/>
  <c r="Q34" i="2"/>
  <c r="Q35" i="2"/>
  <c r="Q36" i="2"/>
  <c r="Q37" i="2"/>
  <c r="Q38" i="2"/>
  <c r="Q42" i="2"/>
  <c r="Q43" i="2"/>
  <c r="Q44" i="2"/>
  <c r="Q45" i="2"/>
  <c r="Q46" i="2"/>
  <c r="Q47" i="2"/>
  <c r="Q12" i="2"/>
  <c r="Q13" i="2"/>
  <c r="Q14" i="2"/>
  <c r="Q15" i="2"/>
  <c r="Q16" i="2"/>
  <c r="Q17" i="2"/>
  <c r="Q18" i="2"/>
  <c r="Q19" i="2"/>
  <c r="Q20" i="2"/>
  <c r="Q21" i="2"/>
  <c r="Q22" i="2"/>
  <c r="Q24" i="2"/>
  <c r="Q25" i="2"/>
  <c r="Q26" i="2"/>
  <c r="Q27" i="2"/>
  <c r="Q28" i="2"/>
  <c r="Q48" i="2"/>
  <c r="Q49" i="2"/>
  <c r="Q50" i="2"/>
  <c r="Q51" i="2"/>
  <c r="Q52" i="2"/>
  <c r="Q53" i="2"/>
  <c r="Q54" i="2"/>
  <c r="Q55" i="2"/>
  <c r="Q56" i="2"/>
  <c r="Q59" i="2"/>
  <c r="Q62" i="2"/>
  <c r="Q63" i="2"/>
  <c r="Q64" i="2"/>
  <c r="Q65" i="2"/>
  <c r="Q60" i="2"/>
  <c r="Q61" i="2"/>
  <c r="Q66" i="2"/>
  <c r="Q67" i="2"/>
  <c r="Q68" i="2"/>
  <c r="Q69" i="2"/>
  <c r="Q70" i="2"/>
  <c r="Q71" i="2"/>
  <c r="Q72" i="2"/>
  <c r="Q73" i="2"/>
  <c r="Q75" i="2"/>
  <c r="Q76" i="2"/>
  <c r="Q77" i="2"/>
  <c r="Q78" i="2"/>
  <c r="Q89" i="2"/>
  <c r="Q81" i="2"/>
  <c r="Q79" i="2"/>
  <c r="Q80" i="2"/>
  <c r="Q82" i="2"/>
  <c r="Q83" i="2"/>
  <c r="Q84" i="2"/>
  <c r="Q85" i="2"/>
  <c r="Q86" i="2"/>
  <c r="Q90" i="2"/>
  <c r="Q91" i="2"/>
  <c r="Q92" i="2"/>
  <c r="Q93" i="2"/>
  <c r="Q95" i="2"/>
  <c r="Q96" i="2"/>
  <c r="Q99" i="2"/>
  <c r="Q105" i="2"/>
  <c r="Q106" i="2"/>
  <c r="Q102" i="2"/>
  <c r="Q100" i="2"/>
  <c r="Q101" i="2"/>
  <c r="Q110" i="2"/>
  <c r="Q111" i="2"/>
  <c r="Q114" i="2"/>
  <c r="Q115" i="2"/>
  <c r="Q116" i="2"/>
  <c r="Q117" i="2"/>
  <c r="Q118" i="2"/>
  <c r="Q119" i="2"/>
  <c r="Q120" i="2"/>
  <c r="Q121" i="2"/>
  <c r="Q122" i="2"/>
  <c r="Q123" i="2"/>
  <c r="Q129" i="2"/>
  <c r="Q130" i="2"/>
  <c r="Q131" i="2"/>
  <c r="Q132" i="2"/>
  <c r="Q133" i="2"/>
  <c r="Q134" i="2"/>
  <c r="Q135" i="2"/>
  <c r="Q124" i="2"/>
  <c r="Q125" i="2"/>
  <c r="Q136" i="2"/>
  <c r="Q137" i="2"/>
  <c r="Q138" i="2"/>
  <c r="Q139" i="2"/>
  <c r="Q140" i="2"/>
  <c r="Q142" i="2"/>
  <c r="Q143" i="2"/>
  <c r="Q144" i="2"/>
  <c r="Q145" i="2"/>
  <c r="Q146" i="2"/>
  <c r="Q147" i="2"/>
  <c r="Q148" i="2"/>
  <c r="Q151" i="2"/>
  <c r="Q150" i="2"/>
  <c r="Q156" i="2"/>
  <c r="Q157" i="2"/>
  <c r="Q158" i="2"/>
  <c r="Q159" i="2"/>
  <c r="Q160" i="2"/>
  <c r="Q161" i="2"/>
  <c r="Q162" i="2"/>
  <c r="Q152" i="2"/>
  <c r="Q153" i="2"/>
  <c r="Q154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5" i="2"/>
  <c r="Q206" i="2"/>
  <c r="Q204" i="2"/>
  <c r="Q207" i="2"/>
  <c r="Q208" i="2"/>
  <c r="Q210" i="2"/>
  <c r="Q211" i="2"/>
  <c r="Q212" i="2"/>
  <c r="Q221" i="2"/>
  <c r="Q222" i="2"/>
  <c r="Q223" i="2"/>
  <c r="Q224" i="2"/>
  <c r="Q225" i="2"/>
  <c r="Q226" i="2"/>
  <c r="Q227" i="2"/>
  <c r="Q228" i="2"/>
  <c r="Q229" i="2"/>
  <c r="Q230" i="2"/>
  <c r="Q213" i="2"/>
  <c r="Q214" i="2"/>
  <c r="Q215" i="2"/>
  <c r="Q216" i="2"/>
  <c r="Q217" i="2"/>
  <c r="Q218" i="2"/>
  <c r="Q219" i="2"/>
  <c r="Q22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67" i="2"/>
  <c r="Q268" i="2"/>
  <c r="Q270" i="2"/>
  <c r="Q253" i="2"/>
  <c r="Q257" i="2"/>
  <c r="Q258" i="2"/>
  <c r="Q259" i="2"/>
  <c r="Q260" i="2"/>
  <c r="Q261" i="2"/>
  <c r="Q262" i="2"/>
  <c r="Q266" i="2"/>
  <c r="Q271" i="2"/>
  <c r="Q273" i="2"/>
  <c r="Q274" i="2"/>
  <c r="Q275" i="2"/>
  <c r="Q276" i="2"/>
  <c r="Q279" i="2"/>
  <c r="Q278" i="2"/>
  <c r="Q280" i="2"/>
  <c r="Q281" i="2"/>
  <c r="Q282" i="2"/>
  <c r="Q283" i="2"/>
  <c r="Q284" i="2"/>
  <c r="Q285" i="2"/>
  <c r="Q286" i="2"/>
  <c r="Q287" i="2"/>
  <c r="Q293" i="2"/>
  <c r="Q288" i="2"/>
  <c r="Q289" i="2"/>
  <c r="Q291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12" i="2"/>
  <c r="Q311" i="2"/>
  <c r="Q306" i="2"/>
  <c r="Q307" i="2"/>
  <c r="Q308" i="2"/>
  <c r="Q309" i="2"/>
  <c r="Q310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8" i="2"/>
  <c r="Q329" i="2"/>
  <c r="Q330" i="2"/>
  <c r="Q331" i="2"/>
  <c r="Q337" i="2"/>
  <c r="Q338" i="2"/>
  <c r="Q339" i="2"/>
  <c r="Q340" i="2"/>
  <c r="Q341" i="2"/>
  <c r="Q342" i="2"/>
  <c r="Q343" i="2"/>
  <c r="Q344" i="2"/>
  <c r="Q345" i="2"/>
  <c r="Q346" i="2"/>
  <c r="Q347" i="2"/>
  <c r="Q332" i="2"/>
  <c r="Q333" i="2"/>
  <c r="Q334" i="2"/>
  <c r="Q335" i="2"/>
  <c r="Q336" i="2"/>
  <c r="Q348" i="2"/>
  <c r="Q349" i="2"/>
  <c r="Q350" i="2"/>
  <c r="Q351" i="2"/>
  <c r="Q353" i="2"/>
  <c r="Q354" i="2"/>
  <c r="Q355" i="2"/>
  <c r="Q356" i="2"/>
  <c r="Q360" i="2"/>
  <c r="Q361" i="2"/>
  <c r="Q357" i="2"/>
  <c r="Q358" i="2"/>
  <c r="Q359" i="2"/>
  <c r="Q362" i="2"/>
  <c r="Q363" i="2"/>
  <c r="Q364" i="2"/>
  <c r="Q365" i="2"/>
  <c r="O2" i="2"/>
  <c r="O3" i="2"/>
  <c r="O4" i="2"/>
  <c r="O5" i="2"/>
  <c r="O6" i="2"/>
  <c r="O7" i="2"/>
  <c r="O8" i="2"/>
  <c r="O9" i="2"/>
  <c r="O10" i="2"/>
  <c r="O11" i="2"/>
  <c r="O30" i="2"/>
  <c r="O31" i="2"/>
  <c r="O32" i="2"/>
  <c r="O33" i="2"/>
  <c r="O34" i="2"/>
  <c r="O35" i="2"/>
  <c r="O36" i="2"/>
  <c r="O37" i="2"/>
  <c r="O38" i="2"/>
  <c r="O42" i="2"/>
  <c r="O43" i="2"/>
  <c r="O44" i="2"/>
  <c r="O45" i="2"/>
  <c r="O46" i="2"/>
  <c r="O47" i="2"/>
  <c r="O12" i="2"/>
  <c r="O13" i="2"/>
  <c r="O14" i="2"/>
  <c r="O15" i="2"/>
  <c r="O16" i="2"/>
  <c r="O17" i="2"/>
  <c r="O18" i="2"/>
  <c r="O19" i="2"/>
  <c r="O20" i="2"/>
  <c r="O21" i="2"/>
  <c r="O22" i="2"/>
  <c r="O24" i="2"/>
  <c r="O26" i="2"/>
  <c r="O27" i="2"/>
  <c r="O28" i="2"/>
  <c r="O48" i="2"/>
  <c r="O49" i="2"/>
  <c r="O50" i="2"/>
  <c r="O51" i="2"/>
  <c r="O52" i="2"/>
  <c r="O53" i="2"/>
  <c r="O54" i="2"/>
  <c r="O55" i="2"/>
  <c r="O56" i="2"/>
  <c r="O58" i="2"/>
  <c r="O59" i="2"/>
  <c r="O65" i="2"/>
  <c r="O60" i="2"/>
  <c r="O61" i="2"/>
  <c r="O66" i="2"/>
  <c r="O67" i="2"/>
  <c r="O68" i="2"/>
  <c r="O69" i="2"/>
  <c r="O70" i="2"/>
  <c r="O71" i="2"/>
  <c r="O72" i="2"/>
  <c r="O73" i="2"/>
  <c r="O74" i="2"/>
  <c r="O75" i="2"/>
  <c r="O77" i="2"/>
  <c r="O78" i="2"/>
  <c r="O89" i="2"/>
  <c r="O81" i="2"/>
  <c r="O79" i="2"/>
  <c r="O80" i="2"/>
  <c r="O82" i="2"/>
  <c r="O83" i="2"/>
  <c r="O84" i="2"/>
  <c r="O85" i="2"/>
  <c r="O86" i="2"/>
  <c r="O87" i="2"/>
  <c r="O88" i="2"/>
  <c r="O90" i="2"/>
  <c r="O91" i="2"/>
  <c r="O92" i="2"/>
  <c r="O93" i="2"/>
  <c r="O95" i="2"/>
  <c r="O96" i="2"/>
  <c r="O99" i="2"/>
  <c r="O105" i="2"/>
  <c r="O106" i="2"/>
  <c r="O102" i="2"/>
  <c r="O100" i="2"/>
  <c r="O101" i="2"/>
  <c r="O110" i="2"/>
  <c r="O109" i="2"/>
  <c r="O112" i="2"/>
  <c r="O111" i="2"/>
  <c r="O113" i="2"/>
  <c r="O114" i="2"/>
  <c r="O115" i="2"/>
  <c r="O116" i="2"/>
  <c r="O117" i="2"/>
  <c r="O118" i="2"/>
  <c r="O119" i="2"/>
  <c r="O120" i="2"/>
  <c r="O121" i="2"/>
  <c r="O122" i="2"/>
  <c r="O123" i="2"/>
  <c r="O129" i="2"/>
  <c r="O130" i="2"/>
  <c r="O131" i="2"/>
  <c r="O132" i="2"/>
  <c r="O133" i="2"/>
  <c r="O135" i="2"/>
  <c r="O124" i="2"/>
  <c r="O125" i="2"/>
  <c r="O136" i="2"/>
  <c r="O137" i="2"/>
  <c r="O138" i="2"/>
  <c r="O139" i="2"/>
  <c r="O140" i="2"/>
  <c r="O142" i="2"/>
  <c r="O143" i="2"/>
  <c r="O144" i="2"/>
  <c r="O141" i="2"/>
  <c r="O145" i="2"/>
  <c r="O146" i="2"/>
  <c r="O147" i="2"/>
  <c r="O148" i="2"/>
  <c r="O151" i="2"/>
  <c r="O150" i="2"/>
  <c r="O156" i="2"/>
  <c r="O157" i="2"/>
  <c r="O158" i="2"/>
  <c r="O159" i="2"/>
  <c r="O160" i="2"/>
  <c r="O161" i="2"/>
  <c r="O162" i="2"/>
  <c r="O152" i="2"/>
  <c r="O153" i="2"/>
  <c r="O154" i="2"/>
  <c r="O155" i="2"/>
  <c r="O164" i="2"/>
  <c r="O165" i="2"/>
  <c r="O166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5" i="2"/>
  <c r="O206" i="2"/>
  <c r="O204" i="2"/>
  <c r="O207" i="2"/>
  <c r="O208" i="2"/>
  <c r="O209" i="2"/>
  <c r="O210" i="2"/>
  <c r="O211" i="2"/>
  <c r="O212" i="2"/>
  <c r="O221" i="2"/>
  <c r="O222" i="2"/>
  <c r="O224" i="2"/>
  <c r="O225" i="2"/>
  <c r="O226" i="2"/>
  <c r="O227" i="2"/>
  <c r="O228" i="2"/>
  <c r="O229" i="2"/>
  <c r="O230" i="2"/>
  <c r="O213" i="2"/>
  <c r="O214" i="2"/>
  <c r="O215" i="2"/>
  <c r="O216" i="2"/>
  <c r="O217" i="2"/>
  <c r="O218" i="2"/>
  <c r="O219" i="2"/>
  <c r="O22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67" i="2"/>
  <c r="O268" i="2"/>
  <c r="O270" i="2"/>
  <c r="O253" i="2"/>
  <c r="O254" i="2"/>
  <c r="O255" i="2"/>
  <c r="O256" i="2"/>
  <c r="O257" i="2"/>
  <c r="O258" i="2"/>
  <c r="O259" i="2"/>
  <c r="O260" i="2"/>
  <c r="O261" i="2"/>
  <c r="O262" i="2"/>
  <c r="O266" i="2"/>
  <c r="O271" i="2"/>
  <c r="O273" i="2"/>
  <c r="O274" i="2"/>
  <c r="O275" i="2"/>
  <c r="O276" i="2"/>
  <c r="O279" i="2"/>
  <c r="O277" i="2"/>
  <c r="O278" i="2"/>
  <c r="O280" i="2"/>
  <c r="O281" i="2"/>
  <c r="O282" i="2"/>
  <c r="O283" i="2"/>
  <c r="O284" i="2"/>
  <c r="O285" i="2"/>
  <c r="O286" i="2"/>
  <c r="O287" i="2"/>
  <c r="O293" i="2"/>
  <c r="O288" i="2"/>
  <c r="O289" i="2"/>
  <c r="O291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12" i="2"/>
  <c r="O311" i="2"/>
  <c r="O306" i="2"/>
  <c r="O307" i="2"/>
  <c r="O308" i="2"/>
  <c r="O309" i="2"/>
  <c r="O310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7" i="2"/>
  <c r="O328" i="2"/>
  <c r="O329" i="2"/>
  <c r="O330" i="2"/>
  <c r="O331" i="2"/>
  <c r="O337" i="2"/>
  <c r="O338" i="2"/>
  <c r="O339" i="2"/>
  <c r="O340" i="2"/>
  <c r="O341" i="2"/>
  <c r="O342" i="2"/>
  <c r="O343" i="2"/>
  <c r="O344" i="2"/>
  <c r="O345" i="2"/>
  <c r="O346" i="2"/>
  <c r="O347" i="2"/>
  <c r="O332" i="2"/>
  <c r="O333" i="2"/>
  <c r="O334" i="2"/>
  <c r="O335" i="2"/>
  <c r="O336" i="2"/>
  <c r="O348" i="2"/>
  <c r="O349" i="2"/>
  <c r="O350" i="2"/>
  <c r="O351" i="2"/>
  <c r="O353" i="2"/>
  <c r="O354" i="2"/>
  <c r="O355" i="2"/>
  <c r="O356" i="2"/>
  <c r="O360" i="2"/>
  <c r="O361" i="2"/>
  <c r="O357" i="2"/>
  <c r="O358" i="2"/>
  <c r="O359" i="2"/>
  <c r="O362" i="2"/>
  <c r="O363" i="2"/>
  <c r="O364" i="2"/>
  <c r="O365" i="2"/>
  <c r="M2" i="2"/>
  <c r="M3" i="2"/>
  <c r="M4" i="2"/>
  <c r="M5" i="2"/>
  <c r="M6" i="2"/>
  <c r="M7" i="2"/>
  <c r="M8" i="2"/>
  <c r="M9" i="2"/>
  <c r="M10" i="2"/>
  <c r="M11" i="2"/>
  <c r="M30" i="2"/>
  <c r="M31" i="2"/>
  <c r="M32" i="2"/>
  <c r="M33" i="2"/>
  <c r="M34" i="2"/>
  <c r="M35" i="2"/>
  <c r="M36" i="2"/>
  <c r="M37" i="2"/>
  <c r="M38" i="2"/>
  <c r="M42" i="2"/>
  <c r="M43" i="2"/>
  <c r="M44" i="2"/>
  <c r="M45" i="2"/>
  <c r="M46" i="2"/>
  <c r="M47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48" i="2"/>
  <c r="M49" i="2"/>
  <c r="M50" i="2"/>
  <c r="M51" i="2"/>
  <c r="M52" i="2"/>
  <c r="M53" i="2"/>
  <c r="M54" i="2"/>
  <c r="M55" i="2"/>
  <c r="M56" i="2"/>
  <c r="M58" i="2"/>
  <c r="M59" i="2"/>
  <c r="M62" i="2"/>
  <c r="M63" i="2"/>
  <c r="M64" i="2"/>
  <c r="M65" i="2"/>
  <c r="M60" i="2"/>
  <c r="M61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89" i="2"/>
  <c r="M81" i="2"/>
  <c r="M79" i="2"/>
  <c r="M80" i="2"/>
  <c r="M82" i="2"/>
  <c r="M83" i="2"/>
  <c r="M84" i="2"/>
  <c r="M85" i="2"/>
  <c r="M86" i="2"/>
  <c r="M87" i="2"/>
  <c r="M88" i="2"/>
  <c r="M90" i="2"/>
  <c r="M91" i="2"/>
  <c r="M92" i="2"/>
  <c r="M93" i="2"/>
  <c r="M95" i="2"/>
  <c r="M96" i="2"/>
  <c r="M99" i="2"/>
  <c r="M105" i="2"/>
  <c r="M106" i="2"/>
  <c r="M102" i="2"/>
  <c r="M100" i="2"/>
  <c r="M101" i="2"/>
  <c r="M110" i="2"/>
  <c r="M109" i="2"/>
  <c r="M112" i="2"/>
  <c r="M111" i="2"/>
  <c r="M113" i="2"/>
  <c r="M114" i="2"/>
  <c r="M115" i="2"/>
  <c r="M116" i="2"/>
  <c r="M117" i="2"/>
  <c r="M118" i="2"/>
  <c r="M119" i="2"/>
  <c r="M120" i="2"/>
  <c r="M121" i="2"/>
  <c r="M122" i="2"/>
  <c r="M123" i="2"/>
  <c r="M129" i="2"/>
  <c r="M130" i="2"/>
  <c r="M131" i="2"/>
  <c r="M132" i="2"/>
  <c r="M133" i="2"/>
  <c r="M134" i="2"/>
  <c r="M135" i="2"/>
  <c r="M124" i="2"/>
  <c r="M125" i="2"/>
  <c r="M136" i="2"/>
  <c r="M137" i="2"/>
  <c r="M138" i="2"/>
  <c r="M139" i="2"/>
  <c r="M140" i="2"/>
  <c r="M142" i="2"/>
  <c r="M143" i="2"/>
  <c r="M144" i="2"/>
  <c r="M141" i="2"/>
  <c r="M145" i="2"/>
  <c r="M146" i="2"/>
  <c r="M147" i="2"/>
  <c r="M148" i="2"/>
  <c r="M151" i="2"/>
  <c r="M150" i="2"/>
  <c r="M156" i="2"/>
  <c r="M157" i="2"/>
  <c r="M158" i="2"/>
  <c r="M159" i="2"/>
  <c r="M160" i="2"/>
  <c r="M161" i="2"/>
  <c r="M162" i="2"/>
  <c r="M152" i="2"/>
  <c r="M153" i="2"/>
  <c r="M154" i="2"/>
  <c r="M155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5" i="2"/>
  <c r="M206" i="2"/>
  <c r="M204" i="2"/>
  <c r="M207" i="2"/>
  <c r="M208" i="2"/>
  <c r="M209" i="2"/>
  <c r="M210" i="2"/>
  <c r="M211" i="2"/>
  <c r="M212" i="2"/>
  <c r="M221" i="2"/>
  <c r="M222" i="2"/>
  <c r="M223" i="2"/>
  <c r="M224" i="2"/>
  <c r="M225" i="2"/>
  <c r="M226" i="2"/>
  <c r="M227" i="2"/>
  <c r="M228" i="2"/>
  <c r="M229" i="2"/>
  <c r="M230" i="2"/>
  <c r="M213" i="2"/>
  <c r="M214" i="2"/>
  <c r="M215" i="2"/>
  <c r="M216" i="2"/>
  <c r="M217" i="2"/>
  <c r="M218" i="2"/>
  <c r="M219" i="2"/>
  <c r="M22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67" i="2"/>
  <c r="M268" i="2"/>
  <c r="M270" i="2"/>
  <c r="M253" i="2"/>
  <c r="M254" i="2"/>
  <c r="M255" i="2"/>
  <c r="M256" i="2"/>
  <c r="M257" i="2"/>
  <c r="M258" i="2"/>
  <c r="M259" i="2"/>
  <c r="M260" i="2"/>
  <c r="M261" i="2"/>
  <c r="M262" i="2"/>
  <c r="M266" i="2"/>
  <c r="M271" i="2"/>
  <c r="M273" i="2"/>
  <c r="M274" i="2"/>
  <c r="M275" i="2"/>
  <c r="M276" i="2"/>
  <c r="M279" i="2"/>
  <c r="M277" i="2"/>
  <c r="M278" i="2"/>
  <c r="M280" i="2"/>
  <c r="M281" i="2"/>
  <c r="M282" i="2"/>
  <c r="M283" i="2"/>
  <c r="M284" i="2"/>
  <c r="M285" i="2"/>
  <c r="M286" i="2"/>
  <c r="M287" i="2"/>
  <c r="M293" i="2"/>
  <c r="M288" i="2"/>
  <c r="M289" i="2"/>
  <c r="M291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12" i="2"/>
  <c r="M311" i="2"/>
  <c r="M306" i="2"/>
  <c r="M307" i="2"/>
  <c r="M308" i="2"/>
  <c r="M309" i="2"/>
  <c r="M310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7" i="2"/>
  <c r="M328" i="2"/>
  <c r="M329" i="2"/>
  <c r="M330" i="2"/>
  <c r="M331" i="2"/>
  <c r="M337" i="2"/>
  <c r="M338" i="2"/>
  <c r="M339" i="2"/>
  <c r="M340" i="2"/>
  <c r="M341" i="2"/>
  <c r="M342" i="2"/>
  <c r="M343" i="2"/>
  <c r="M344" i="2"/>
  <c r="M345" i="2"/>
  <c r="M346" i="2"/>
  <c r="M347" i="2"/>
  <c r="M332" i="2"/>
  <c r="M333" i="2"/>
  <c r="M334" i="2"/>
  <c r="M335" i="2"/>
  <c r="M336" i="2"/>
  <c r="M348" i="2"/>
  <c r="M349" i="2"/>
  <c r="M350" i="2"/>
  <c r="M351" i="2"/>
  <c r="M353" i="2"/>
  <c r="M354" i="2"/>
  <c r="M355" i="2"/>
  <c r="M356" i="2"/>
  <c r="M360" i="2"/>
  <c r="M361" i="2"/>
  <c r="M357" i="2"/>
  <c r="M358" i="2"/>
  <c r="M359" i="2"/>
  <c r="M362" i="2"/>
  <c r="M363" i="2"/>
  <c r="M364" i="2"/>
  <c r="M365" i="2"/>
  <c r="S68" i="2"/>
  <c r="S69" i="2"/>
  <c r="S100" i="2"/>
  <c r="S101" i="2"/>
  <c r="S129" i="2"/>
  <c r="S274" i="2"/>
  <c r="S312" i="2"/>
  <c r="S321" i="2"/>
  <c r="S139" i="2"/>
  <c r="S33" i="2"/>
  <c r="S34" i="2"/>
  <c r="S70" i="2"/>
  <c r="S160" i="2"/>
  <c r="S206" i="2"/>
  <c r="S267" i="2"/>
  <c r="S268" i="2"/>
  <c r="S279" i="2"/>
  <c r="S311" i="2"/>
  <c r="S342" i="2"/>
  <c r="S343" i="2"/>
  <c r="S229" i="2"/>
  <c r="S230" i="2"/>
  <c r="S16" i="2"/>
  <c r="S17" i="2"/>
  <c r="S18" i="2"/>
  <c r="S204" i="2"/>
  <c r="S213" i="2"/>
  <c r="S214" i="2"/>
  <c r="S288" i="2"/>
  <c r="S121" i="2"/>
  <c r="S52" i="2"/>
  <c r="S53" i="2"/>
  <c r="S83" i="2"/>
  <c r="S84" i="2"/>
  <c r="S123" i="2"/>
  <c r="S173" i="2"/>
  <c r="S174" i="2"/>
  <c r="S189" i="2"/>
  <c r="S190" i="2"/>
  <c r="S237" i="2"/>
  <c r="S175" i="2"/>
  <c r="S176" i="2"/>
  <c r="S354" i="2"/>
  <c r="S355" i="2"/>
  <c r="Q58" i="2"/>
  <c r="Q209" i="2"/>
  <c r="Q109" i="2"/>
  <c r="Q112" i="2"/>
  <c r="Q141" i="2"/>
  <c r="Q155" i="2"/>
  <c r="Q254" i="2"/>
  <c r="Q255" i="2"/>
  <c r="Q256" i="2"/>
  <c r="Q277" i="2"/>
  <c r="Q74" i="2"/>
  <c r="Q87" i="2"/>
  <c r="Q88" i="2"/>
  <c r="Q113" i="2"/>
  <c r="Q327" i="2"/>
  <c r="O134" i="2"/>
  <c r="O62" i="2"/>
  <c r="O63" i="2"/>
  <c r="O64" i="2"/>
  <c r="O223" i="2"/>
  <c r="O25" i="2"/>
  <c r="O167" i="2"/>
  <c r="O76" i="2"/>
  <c r="K2" i="2"/>
  <c r="K3" i="2"/>
  <c r="K4" i="2"/>
  <c r="K6" i="2"/>
  <c r="K7" i="2"/>
  <c r="K58" i="2"/>
  <c r="K59" i="2"/>
  <c r="K68" i="2"/>
  <c r="K69" i="2"/>
  <c r="K77" i="2"/>
  <c r="K78" i="2"/>
  <c r="K95" i="2"/>
  <c r="K96" i="2"/>
  <c r="K105" i="2"/>
  <c r="K106" i="2"/>
  <c r="K102" i="2"/>
  <c r="K100" i="2"/>
  <c r="K101" i="2"/>
  <c r="K115" i="2"/>
  <c r="K116" i="2"/>
  <c r="K129" i="2"/>
  <c r="K130" i="2"/>
  <c r="K131" i="2"/>
  <c r="K132" i="2"/>
  <c r="K136" i="2"/>
  <c r="K137" i="2"/>
  <c r="K138" i="2"/>
  <c r="K147" i="2"/>
  <c r="K148" i="2"/>
  <c r="K151" i="2"/>
  <c r="K150" i="2"/>
  <c r="K202" i="2"/>
  <c r="K203" i="2"/>
  <c r="K207" i="2"/>
  <c r="K208" i="2"/>
  <c r="K209" i="2"/>
  <c r="K246" i="2"/>
  <c r="K247" i="2"/>
  <c r="K273" i="2"/>
  <c r="K274" i="2"/>
  <c r="K275" i="2"/>
  <c r="K276" i="2"/>
  <c r="K284" i="2"/>
  <c r="K285" i="2"/>
  <c r="K302" i="2"/>
  <c r="K303" i="2"/>
  <c r="K304" i="2"/>
  <c r="K305" i="2"/>
  <c r="K312" i="2"/>
  <c r="K321" i="2"/>
  <c r="K322" i="2"/>
  <c r="K328" i="2"/>
  <c r="K329" i="2"/>
  <c r="K330" i="2"/>
  <c r="K331" i="2"/>
  <c r="K356" i="2"/>
  <c r="K110" i="2"/>
  <c r="K109" i="2"/>
  <c r="K133" i="2"/>
  <c r="K134" i="2"/>
  <c r="K135" i="2"/>
  <c r="K139" i="2"/>
  <c r="K210" i="2"/>
  <c r="K211" i="2"/>
  <c r="K212" i="2"/>
  <c r="K252" i="2"/>
  <c r="K286" i="2"/>
  <c r="K287" i="2"/>
  <c r="K30" i="2"/>
  <c r="K31" i="2"/>
  <c r="K32" i="2"/>
  <c r="K33" i="2"/>
  <c r="K34" i="2"/>
  <c r="K35" i="2"/>
  <c r="K36" i="2"/>
  <c r="K37" i="2"/>
  <c r="K38" i="2"/>
  <c r="K62" i="2"/>
  <c r="K63" i="2"/>
  <c r="K64" i="2"/>
  <c r="K65" i="2"/>
  <c r="K70" i="2"/>
  <c r="K71" i="2"/>
  <c r="K89" i="2"/>
  <c r="K81" i="2"/>
  <c r="K112" i="2"/>
  <c r="K142" i="2"/>
  <c r="K143" i="2"/>
  <c r="K144" i="2"/>
  <c r="K156" i="2"/>
  <c r="K157" i="2"/>
  <c r="K158" i="2"/>
  <c r="K159" i="2"/>
  <c r="K160" i="2"/>
  <c r="K161" i="2"/>
  <c r="K162" i="2"/>
  <c r="K178" i="2"/>
  <c r="K179" i="2"/>
  <c r="K180" i="2"/>
  <c r="K181" i="2"/>
  <c r="K182" i="2"/>
  <c r="K183" i="2"/>
  <c r="K184" i="2"/>
  <c r="K205" i="2"/>
  <c r="K206" i="2"/>
  <c r="K221" i="2"/>
  <c r="K222" i="2"/>
  <c r="K223" i="2"/>
  <c r="K224" i="2"/>
  <c r="K225" i="2"/>
  <c r="K226" i="2"/>
  <c r="K248" i="2"/>
  <c r="K267" i="2"/>
  <c r="K268" i="2"/>
  <c r="K279" i="2"/>
  <c r="K311" i="2"/>
  <c r="K337" i="2"/>
  <c r="K338" i="2"/>
  <c r="K339" i="2"/>
  <c r="K340" i="2"/>
  <c r="K341" i="2"/>
  <c r="K342" i="2"/>
  <c r="K343" i="2"/>
  <c r="K344" i="2"/>
  <c r="K360" i="2"/>
  <c r="K42" i="2"/>
  <c r="K43" i="2"/>
  <c r="K44" i="2"/>
  <c r="K45" i="2"/>
  <c r="K46" i="2"/>
  <c r="K47" i="2"/>
  <c r="K140" i="2"/>
  <c r="K185" i="2"/>
  <c r="K186" i="2"/>
  <c r="K187" i="2"/>
  <c r="K227" i="2"/>
  <c r="K228" i="2"/>
  <c r="K229" i="2"/>
  <c r="K230" i="2"/>
  <c r="K270" i="2"/>
  <c r="K293" i="2"/>
  <c r="K345" i="2"/>
  <c r="K346" i="2"/>
  <c r="K347" i="2"/>
  <c r="K361" i="2"/>
  <c r="K12" i="2"/>
  <c r="K13" i="2"/>
  <c r="K14" i="2"/>
  <c r="K15" i="2"/>
  <c r="K16" i="2"/>
  <c r="K17" i="2"/>
  <c r="K18" i="2"/>
  <c r="K19" i="2"/>
  <c r="K20" i="2"/>
  <c r="K21" i="2"/>
  <c r="K22" i="2"/>
  <c r="K60" i="2"/>
  <c r="K79" i="2"/>
  <c r="K80" i="2"/>
  <c r="K117" i="2"/>
  <c r="K118" i="2"/>
  <c r="K119" i="2"/>
  <c r="K120" i="2"/>
  <c r="K124" i="2"/>
  <c r="K125" i="2"/>
  <c r="K141" i="2"/>
  <c r="K152" i="2"/>
  <c r="K153" i="2"/>
  <c r="K154" i="2"/>
  <c r="K155" i="2"/>
  <c r="K204" i="2"/>
  <c r="K213" i="2"/>
  <c r="K214" i="2"/>
  <c r="K215" i="2"/>
  <c r="K216" i="2"/>
  <c r="K217" i="2"/>
  <c r="K253" i="2"/>
  <c r="K254" i="2"/>
  <c r="K255" i="2"/>
  <c r="K256" i="2"/>
  <c r="K257" i="2"/>
  <c r="K258" i="2"/>
  <c r="K259" i="2"/>
  <c r="K260" i="2"/>
  <c r="K261" i="2"/>
  <c r="K262" i="2"/>
  <c r="K277" i="2"/>
  <c r="K278" i="2"/>
  <c r="K288" i="2"/>
  <c r="K289" i="2"/>
  <c r="K291" i="2"/>
  <c r="K306" i="2"/>
  <c r="K307" i="2"/>
  <c r="K308" i="2"/>
  <c r="K309" i="2"/>
  <c r="K310" i="2"/>
  <c r="K323" i="2"/>
  <c r="K324" i="2"/>
  <c r="K357" i="2"/>
  <c r="K358" i="2"/>
  <c r="K359" i="2"/>
  <c r="K24" i="2"/>
  <c r="K25" i="2"/>
  <c r="K26" i="2"/>
  <c r="K27" i="2"/>
  <c r="K28" i="2"/>
  <c r="K61" i="2"/>
  <c r="K111" i="2"/>
  <c r="K121" i="2"/>
  <c r="K218" i="2"/>
  <c r="K219" i="2"/>
  <c r="K220" i="2"/>
  <c r="K266" i="2"/>
  <c r="K332" i="2"/>
  <c r="K333" i="2"/>
  <c r="K334" i="2"/>
  <c r="K335" i="2"/>
  <c r="K336" i="2"/>
  <c r="K48" i="2"/>
  <c r="K49" i="2"/>
  <c r="K50" i="2"/>
  <c r="K51" i="2"/>
  <c r="K52" i="2"/>
  <c r="K53" i="2"/>
  <c r="K54" i="2"/>
  <c r="K55" i="2"/>
  <c r="K56" i="2"/>
  <c r="K66" i="2"/>
  <c r="K67" i="2"/>
  <c r="K72" i="2"/>
  <c r="K73" i="2"/>
  <c r="K74" i="2"/>
  <c r="K75" i="2"/>
  <c r="K82" i="2"/>
  <c r="K83" i="2"/>
  <c r="K84" i="2"/>
  <c r="K85" i="2"/>
  <c r="K86" i="2"/>
  <c r="K87" i="2"/>
  <c r="K88" i="2"/>
  <c r="K99" i="2"/>
  <c r="K113" i="2"/>
  <c r="K114" i="2"/>
  <c r="K122" i="2"/>
  <c r="K123" i="2"/>
  <c r="K145" i="2"/>
  <c r="K146" i="2"/>
  <c r="K164" i="2"/>
  <c r="K165" i="2"/>
  <c r="K166" i="2"/>
  <c r="K167" i="2"/>
  <c r="K168" i="2"/>
  <c r="K169" i="2"/>
  <c r="K170" i="2"/>
  <c r="K171" i="2"/>
  <c r="K172" i="2"/>
  <c r="K173" i="2"/>
  <c r="K174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31" i="2"/>
  <c r="K232" i="2"/>
  <c r="K233" i="2"/>
  <c r="K234" i="2"/>
  <c r="K235" i="2"/>
  <c r="K236" i="2"/>
  <c r="K237" i="2"/>
  <c r="K238" i="2"/>
  <c r="K239" i="2"/>
  <c r="K240" i="2"/>
  <c r="K241" i="2"/>
  <c r="K249" i="2"/>
  <c r="K250" i="2"/>
  <c r="K251" i="2"/>
  <c r="K271" i="2"/>
  <c r="K280" i="2"/>
  <c r="K281" i="2"/>
  <c r="K282" i="2"/>
  <c r="K283" i="2"/>
  <c r="K294" i="2"/>
  <c r="K295" i="2"/>
  <c r="K296" i="2"/>
  <c r="K297" i="2"/>
  <c r="K298" i="2"/>
  <c r="K299" i="2"/>
  <c r="K300" i="2"/>
  <c r="K313" i="2"/>
  <c r="K314" i="2"/>
  <c r="K315" i="2"/>
  <c r="K316" i="2"/>
  <c r="K317" i="2"/>
  <c r="K318" i="2"/>
  <c r="K319" i="2"/>
  <c r="K327" i="2"/>
  <c r="K348" i="2"/>
  <c r="K349" i="2"/>
  <c r="K350" i="2"/>
  <c r="K351" i="2"/>
  <c r="K362" i="2"/>
  <c r="K363" i="2"/>
  <c r="K76" i="2"/>
  <c r="K90" i="2"/>
  <c r="K91" i="2"/>
  <c r="K92" i="2"/>
  <c r="K93" i="2"/>
  <c r="K175" i="2"/>
  <c r="K176" i="2"/>
  <c r="K177" i="2"/>
  <c r="K200" i="2"/>
  <c r="K201" i="2"/>
  <c r="K242" i="2"/>
  <c r="K243" i="2"/>
  <c r="K244" i="2"/>
  <c r="K245" i="2"/>
  <c r="K301" i="2"/>
  <c r="K320" i="2"/>
  <c r="K353" i="2"/>
  <c r="K354" i="2"/>
  <c r="K355" i="2"/>
  <c r="K364" i="2"/>
  <c r="K365" i="2"/>
  <c r="I2" i="2"/>
  <c r="I3" i="2"/>
  <c r="I4" i="2"/>
  <c r="I5" i="2"/>
  <c r="I6" i="2"/>
  <c r="I7" i="2"/>
  <c r="I8" i="2"/>
  <c r="I9" i="2"/>
  <c r="I10" i="2"/>
  <c r="I11" i="2"/>
  <c r="I58" i="2"/>
  <c r="I59" i="2"/>
  <c r="I68" i="2"/>
  <c r="I69" i="2"/>
  <c r="I77" i="2"/>
  <c r="I78" i="2"/>
  <c r="I95" i="2"/>
  <c r="I96" i="2"/>
  <c r="I105" i="2"/>
  <c r="I106" i="2"/>
  <c r="I102" i="2"/>
  <c r="I100" i="2"/>
  <c r="I101" i="2"/>
  <c r="I115" i="2"/>
  <c r="I116" i="2"/>
  <c r="I129" i="2"/>
  <c r="I130" i="2"/>
  <c r="I131" i="2"/>
  <c r="I132" i="2"/>
  <c r="I136" i="2"/>
  <c r="I137" i="2"/>
  <c r="I138" i="2"/>
  <c r="I147" i="2"/>
  <c r="I148" i="2"/>
  <c r="I151" i="2"/>
  <c r="I150" i="2"/>
  <c r="I202" i="2"/>
  <c r="I203" i="2"/>
  <c r="I207" i="2"/>
  <c r="I208" i="2"/>
  <c r="I209" i="2"/>
  <c r="I246" i="2"/>
  <c r="I247" i="2"/>
  <c r="I273" i="2"/>
  <c r="I274" i="2"/>
  <c r="I275" i="2"/>
  <c r="I276" i="2"/>
  <c r="I284" i="2"/>
  <c r="I285" i="2"/>
  <c r="I302" i="2"/>
  <c r="I303" i="2"/>
  <c r="I304" i="2"/>
  <c r="I305" i="2"/>
  <c r="I321" i="2"/>
  <c r="I322" i="2"/>
  <c r="I328" i="2"/>
  <c r="I329" i="2"/>
  <c r="I330" i="2"/>
  <c r="I331" i="2"/>
  <c r="I356" i="2"/>
  <c r="I110" i="2"/>
  <c r="I109" i="2"/>
  <c r="I133" i="2"/>
  <c r="I134" i="2"/>
  <c r="I135" i="2"/>
  <c r="I139" i="2"/>
  <c r="I210" i="2"/>
  <c r="I211" i="2"/>
  <c r="I212" i="2"/>
  <c r="I252" i="2"/>
  <c r="I286" i="2"/>
  <c r="I287" i="2"/>
  <c r="I30" i="2"/>
  <c r="I31" i="2"/>
  <c r="I32" i="2"/>
  <c r="I33" i="2"/>
  <c r="I34" i="2"/>
  <c r="I35" i="2"/>
  <c r="I36" i="2"/>
  <c r="I37" i="2"/>
  <c r="I38" i="2"/>
  <c r="I62" i="2"/>
  <c r="I63" i="2"/>
  <c r="I64" i="2"/>
  <c r="I65" i="2"/>
  <c r="I70" i="2"/>
  <c r="I71" i="2"/>
  <c r="I89" i="2"/>
  <c r="I81" i="2"/>
  <c r="I112" i="2"/>
  <c r="I142" i="2"/>
  <c r="I143" i="2"/>
  <c r="I144" i="2"/>
  <c r="I156" i="2"/>
  <c r="I157" i="2"/>
  <c r="I158" i="2"/>
  <c r="I159" i="2"/>
  <c r="I160" i="2"/>
  <c r="I161" i="2"/>
  <c r="I162" i="2"/>
  <c r="I178" i="2"/>
  <c r="I179" i="2"/>
  <c r="I180" i="2"/>
  <c r="I181" i="2"/>
  <c r="I182" i="2"/>
  <c r="I183" i="2"/>
  <c r="I184" i="2"/>
  <c r="I205" i="2"/>
  <c r="I206" i="2"/>
  <c r="I221" i="2"/>
  <c r="I222" i="2"/>
  <c r="I223" i="2"/>
  <c r="I224" i="2"/>
  <c r="I225" i="2"/>
  <c r="I226" i="2"/>
  <c r="I248" i="2"/>
  <c r="I267" i="2"/>
  <c r="I268" i="2"/>
  <c r="I279" i="2"/>
  <c r="I311" i="2"/>
  <c r="I337" i="2"/>
  <c r="I338" i="2"/>
  <c r="I339" i="2"/>
  <c r="I340" i="2"/>
  <c r="I341" i="2"/>
  <c r="I342" i="2"/>
  <c r="I343" i="2"/>
  <c r="I344" i="2"/>
  <c r="I360" i="2"/>
  <c r="I42" i="2"/>
  <c r="I43" i="2"/>
  <c r="I44" i="2"/>
  <c r="I45" i="2"/>
  <c r="I46" i="2"/>
  <c r="I47" i="2"/>
  <c r="I140" i="2"/>
  <c r="I185" i="2"/>
  <c r="I186" i="2"/>
  <c r="I187" i="2"/>
  <c r="I227" i="2"/>
  <c r="I228" i="2"/>
  <c r="I229" i="2"/>
  <c r="I230" i="2"/>
  <c r="I270" i="2"/>
  <c r="I293" i="2"/>
  <c r="I345" i="2"/>
  <c r="I346" i="2"/>
  <c r="I347" i="2"/>
  <c r="I361" i="2"/>
  <c r="I12" i="2"/>
  <c r="I13" i="2"/>
  <c r="I14" i="2"/>
  <c r="I15" i="2"/>
  <c r="I16" i="2"/>
  <c r="I17" i="2"/>
  <c r="I18" i="2"/>
  <c r="I19" i="2"/>
  <c r="I20" i="2"/>
  <c r="I21" i="2"/>
  <c r="I22" i="2"/>
  <c r="I60" i="2"/>
  <c r="I79" i="2"/>
  <c r="I80" i="2"/>
  <c r="I117" i="2"/>
  <c r="I118" i="2"/>
  <c r="I119" i="2"/>
  <c r="I120" i="2"/>
  <c r="I124" i="2"/>
  <c r="I125" i="2"/>
  <c r="I141" i="2"/>
  <c r="I152" i="2"/>
  <c r="I153" i="2"/>
  <c r="I154" i="2"/>
  <c r="I155" i="2"/>
  <c r="I204" i="2"/>
  <c r="I213" i="2"/>
  <c r="I214" i="2"/>
  <c r="I215" i="2"/>
  <c r="I216" i="2"/>
  <c r="I217" i="2"/>
  <c r="I253" i="2"/>
  <c r="I254" i="2"/>
  <c r="I255" i="2"/>
  <c r="I256" i="2"/>
  <c r="I257" i="2"/>
  <c r="I258" i="2"/>
  <c r="I259" i="2"/>
  <c r="I260" i="2"/>
  <c r="I261" i="2"/>
  <c r="I262" i="2"/>
  <c r="I277" i="2"/>
  <c r="I278" i="2"/>
  <c r="I288" i="2"/>
  <c r="I289" i="2"/>
  <c r="I291" i="2"/>
  <c r="I306" i="2"/>
  <c r="I307" i="2"/>
  <c r="I308" i="2"/>
  <c r="I309" i="2"/>
  <c r="I310" i="2"/>
  <c r="I323" i="2"/>
  <c r="I324" i="2"/>
  <c r="I357" i="2"/>
  <c r="I358" i="2"/>
  <c r="I359" i="2"/>
  <c r="I24" i="2"/>
  <c r="I25" i="2"/>
  <c r="I26" i="2"/>
  <c r="I27" i="2"/>
  <c r="I28" i="2"/>
  <c r="I61" i="2"/>
  <c r="I111" i="2"/>
  <c r="I121" i="2"/>
  <c r="I218" i="2"/>
  <c r="I219" i="2"/>
  <c r="I220" i="2"/>
  <c r="I266" i="2"/>
  <c r="I332" i="2"/>
  <c r="I333" i="2"/>
  <c r="I334" i="2"/>
  <c r="I335" i="2"/>
  <c r="I336" i="2"/>
  <c r="I48" i="2"/>
  <c r="I49" i="2"/>
  <c r="I50" i="2"/>
  <c r="I51" i="2"/>
  <c r="I52" i="2"/>
  <c r="I53" i="2"/>
  <c r="I54" i="2"/>
  <c r="I55" i="2"/>
  <c r="I56" i="2"/>
  <c r="I66" i="2"/>
  <c r="I67" i="2"/>
  <c r="I72" i="2"/>
  <c r="I73" i="2"/>
  <c r="I74" i="2"/>
  <c r="I75" i="2"/>
  <c r="I82" i="2"/>
  <c r="I83" i="2"/>
  <c r="I84" i="2"/>
  <c r="I85" i="2"/>
  <c r="I86" i="2"/>
  <c r="I87" i="2"/>
  <c r="I88" i="2"/>
  <c r="I99" i="2"/>
  <c r="I113" i="2"/>
  <c r="I114" i="2"/>
  <c r="I122" i="2"/>
  <c r="I123" i="2"/>
  <c r="I145" i="2"/>
  <c r="I146" i="2"/>
  <c r="I164" i="2"/>
  <c r="I165" i="2"/>
  <c r="I166" i="2"/>
  <c r="I167" i="2"/>
  <c r="I168" i="2"/>
  <c r="I169" i="2"/>
  <c r="I170" i="2"/>
  <c r="I171" i="2"/>
  <c r="I172" i="2"/>
  <c r="I173" i="2"/>
  <c r="I174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31" i="2"/>
  <c r="I232" i="2"/>
  <c r="I233" i="2"/>
  <c r="I234" i="2"/>
  <c r="I235" i="2"/>
  <c r="I236" i="2"/>
  <c r="I237" i="2"/>
  <c r="I238" i="2"/>
  <c r="I239" i="2"/>
  <c r="I240" i="2"/>
  <c r="I241" i="2"/>
  <c r="I249" i="2"/>
  <c r="I250" i="2"/>
  <c r="I251" i="2"/>
  <c r="I271" i="2"/>
  <c r="I280" i="2"/>
  <c r="I281" i="2"/>
  <c r="I282" i="2"/>
  <c r="I283" i="2"/>
  <c r="I294" i="2"/>
  <c r="I295" i="2"/>
  <c r="I296" i="2"/>
  <c r="I297" i="2"/>
  <c r="I298" i="2"/>
  <c r="I299" i="2"/>
  <c r="I300" i="2"/>
  <c r="I313" i="2"/>
  <c r="I314" i="2"/>
  <c r="I315" i="2"/>
  <c r="I316" i="2"/>
  <c r="I317" i="2"/>
  <c r="I318" i="2"/>
  <c r="I319" i="2"/>
  <c r="I327" i="2"/>
  <c r="I348" i="2"/>
  <c r="I349" i="2"/>
  <c r="I350" i="2"/>
  <c r="I351" i="2"/>
  <c r="I362" i="2"/>
  <c r="I363" i="2"/>
  <c r="I76" i="2"/>
  <c r="I90" i="2"/>
  <c r="I91" i="2"/>
  <c r="I92" i="2"/>
  <c r="I93" i="2"/>
  <c r="I175" i="2"/>
  <c r="I176" i="2"/>
  <c r="I177" i="2"/>
  <c r="I200" i="2"/>
  <c r="I201" i="2"/>
  <c r="I242" i="2"/>
  <c r="I243" i="2"/>
  <c r="I244" i="2"/>
  <c r="I245" i="2"/>
  <c r="I301" i="2"/>
  <c r="I320" i="2"/>
  <c r="I353" i="2"/>
  <c r="I354" i="2"/>
  <c r="I355" i="2"/>
  <c r="I364" i="2"/>
  <c r="I365" i="2"/>
  <c r="G3" i="4" l="1" a="1"/>
  <c r="G3" i="4" s="1"/>
  <c r="G23" i="4" a="1"/>
  <c r="G23" i="4" s="1"/>
  <c r="G45" i="4" a="1"/>
  <c r="G45" i="4" s="1"/>
  <c r="G12" i="4" a="1"/>
  <c r="G12" i="4" s="1"/>
  <c r="G26" i="4" a="1"/>
  <c r="G26" i="4" s="1"/>
  <c r="G36" i="4" a="1"/>
  <c r="G36" i="4" s="1"/>
  <c r="G31" i="4" a="1"/>
  <c r="G31" i="4" s="1"/>
  <c r="G5" i="4" a="1"/>
  <c r="G5" i="4" s="1"/>
  <c r="G11" i="4" a="1"/>
  <c r="G11" i="4" s="1"/>
  <c r="G48" i="4" a="1"/>
  <c r="G48" i="4" s="1"/>
  <c r="G33" i="4" a="1"/>
  <c r="G33" i="4" s="1"/>
  <c r="G13" i="4" a="1"/>
  <c r="G13" i="4" s="1"/>
  <c r="G18" i="4" a="1"/>
  <c r="G18" i="4" s="1"/>
  <c r="G39" i="4" a="1"/>
  <c r="G39" i="4" s="1"/>
  <c r="G14" i="4" a="1"/>
  <c r="G14" i="4" s="1"/>
  <c r="G19" i="4" a="1"/>
  <c r="G19" i="4" s="1"/>
  <c r="G30" i="4" a="1"/>
  <c r="G30" i="4" s="1"/>
  <c r="G46" i="4" a="1"/>
  <c r="G46" i="4" s="1"/>
  <c r="G15" i="4" a="1"/>
  <c r="G15" i="4" s="1"/>
  <c r="G25" i="4" a="1"/>
  <c r="G25" i="4" s="1"/>
  <c r="G16" i="4" a="1"/>
  <c r="G16" i="4" s="1"/>
  <c r="G7" i="4" a="1"/>
  <c r="G7" i="4" s="1"/>
  <c r="G22" i="4" a="1"/>
  <c r="G22" i="4" s="1"/>
  <c r="G17" i="4" a="1"/>
  <c r="G17" i="4" s="1"/>
  <c r="G35" i="4" a="1"/>
  <c r="G35" i="4" s="1"/>
  <c r="G9" i="4" a="1"/>
  <c r="G9" i="4" s="1"/>
  <c r="G29" i="4" a="1"/>
  <c r="G29" i="4" s="1"/>
  <c r="G2" i="4" a="1"/>
  <c r="G2" i="4" s="1"/>
  <c r="G24" i="4" a="1"/>
  <c r="G24" i="4" s="1"/>
  <c r="G43" i="4" a="1"/>
  <c r="G43" i="4" s="1"/>
  <c r="G40" i="4" a="1"/>
  <c r="G40" i="4" s="1"/>
  <c r="G34" i="4" a="1"/>
  <c r="G34" i="4" s="1"/>
  <c r="G8" i="4" a="1"/>
  <c r="G8" i="4" s="1"/>
  <c r="G4" i="4" a="1"/>
  <c r="G4" i="4" s="1"/>
  <c r="G20" i="4" a="1"/>
  <c r="G20" i="4" s="1"/>
  <c r="G41" i="4" a="1"/>
  <c r="G41" i="4" s="1"/>
  <c r="G10" i="4" a="1"/>
  <c r="G10" i="4" s="1"/>
  <c r="G21" i="4" a="1"/>
  <c r="G21" i="4" s="1"/>
  <c r="G47" i="4" a="1"/>
  <c r="G47" i="4" s="1"/>
  <c r="G42" i="4" a="1"/>
  <c r="G42" i="4" s="1"/>
  <c r="G37" i="4" a="1"/>
  <c r="G37" i="4" s="1"/>
  <c r="G32" i="4" a="1"/>
  <c r="G32" i="4" s="1"/>
  <c r="G27" i="4" a="1"/>
  <c r="G27" i="4" s="1"/>
  <c r="G44" i="4" a="1"/>
  <c r="G44" i="4" s="1"/>
  <c r="G38" i="4" a="1"/>
  <c r="G38" i="4" s="1"/>
  <c r="G6" i="4" a="1"/>
  <c r="G6" i="4" s="1"/>
  <c r="G28" i="4" a="1"/>
  <c r="G28" i="4" s="1"/>
  <c r="H24" i="4" a="1"/>
  <c r="H24" i="4" s="1"/>
  <c r="D24" i="4" a="1"/>
  <c r="D24" i="4" s="1"/>
  <c r="F24" i="4" a="1"/>
  <c r="F24" i="4" s="1"/>
  <c r="E24" i="4" a="1"/>
  <c r="E24" i="4" s="1"/>
  <c r="C24" i="4" a="1"/>
  <c r="C24" i="4" s="1"/>
  <c r="D13" i="4" a="1"/>
  <c r="D13" i="4" s="1"/>
  <c r="D22" i="4" a="1"/>
  <c r="D22" i="4" s="1"/>
  <c r="D41" i="4" a="1"/>
  <c r="D41" i="4" s="1"/>
  <c r="D36" i="4" a="1"/>
  <c r="D36" i="4" s="1"/>
  <c r="D3" i="4" a="1"/>
  <c r="D3" i="4" s="1"/>
  <c r="D45" i="4" a="1"/>
  <c r="D45" i="4" s="1"/>
  <c r="D46" i="4" a="1"/>
  <c r="D46" i="4" s="1"/>
  <c r="D26" i="4" a="1"/>
  <c r="D26" i="4" s="1"/>
  <c r="D14" i="4" a="1"/>
  <c r="D14" i="4" s="1"/>
  <c r="D25" i="4" a="1"/>
  <c r="D25" i="4" s="1"/>
  <c r="D40" i="4" a="1"/>
  <c r="D40" i="4" s="1"/>
  <c r="D15" i="4" a="1"/>
  <c r="D15" i="4" s="1"/>
  <c r="D29" i="4" a="1"/>
  <c r="D29" i="4" s="1"/>
  <c r="D48" i="4" a="1"/>
  <c r="D48" i="4" s="1"/>
  <c r="D43" i="4" a="1"/>
  <c r="D43" i="4" s="1"/>
  <c r="D16" i="4" a="1"/>
  <c r="D16" i="4" s="1"/>
  <c r="D6" i="4" a="1"/>
  <c r="D6" i="4" s="1"/>
  <c r="D37" i="4" a="1"/>
  <c r="D37" i="4" s="1"/>
  <c r="D12" i="4" a="1"/>
  <c r="D12" i="4" s="1"/>
  <c r="D30" i="4" a="1"/>
  <c r="D30" i="4" s="1"/>
  <c r="D47" i="4" a="1"/>
  <c r="D47" i="4" s="1"/>
  <c r="D34" i="4" a="1"/>
  <c r="D34" i="4" s="1"/>
  <c r="D44" i="4" a="1"/>
  <c r="D44" i="4" s="1"/>
  <c r="D35" i="4" a="1"/>
  <c r="D35" i="4" s="1"/>
  <c r="D38" i="4" a="1"/>
  <c r="D38" i="4" s="1"/>
  <c r="D11" i="4" a="1"/>
  <c r="D11" i="4" s="1"/>
  <c r="D4" i="4" a="1"/>
  <c r="D4" i="4" s="1"/>
  <c r="D17" i="4" a="1"/>
  <c r="D17" i="4" s="1"/>
  <c r="D18" i="4" a="1"/>
  <c r="D18" i="4" s="1"/>
  <c r="D42" i="4" a="1"/>
  <c r="D42" i="4" s="1"/>
  <c r="D21" i="4" a="1"/>
  <c r="D21" i="4" s="1"/>
  <c r="D28" i="4" a="1"/>
  <c r="D28" i="4" s="1"/>
  <c r="D31" i="4" a="1"/>
  <c r="D31" i="4" s="1"/>
  <c r="D2" i="4" a="1"/>
  <c r="D2" i="4" s="1"/>
  <c r="D10" i="4" a="1"/>
  <c r="D10" i="4" s="1"/>
  <c r="D20" i="4" a="1"/>
  <c r="D20" i="4" s="1"/>
  <c r="D5" i="4" a="1"/>
  <c r="D5" i="4" s="1"/>
  <c r="D39" i="4" a="1"/>
  <c r="D39" i="4" s="1"/>
  <c r="D7" i="4" a="1"/>
  <c r="D7" i="4" s="1"/>
  <c r="D32" i="4" a="1"/>
  <c r="D32" i="4" s="1"/>
  <c r="D19" i="4" a="1"/>
  <c r="D19" i="4" s="1"/>
  <c r="D33" i="4" a="1"/>
  <c r="D33" i="4" s="1"/>
  <c r="D9" i="4" a="1"/>
  <c r="D9" i="4" s="1"/>
  <c r="D27" i="4" a="1"/>
  <c r="D27" i="4" s="1"/>
  <c r="D23" i="4" a="1"/>
  <c r="D23" i="4" s="1"/>
  <c r="D8" i="4" a="1"/>
  <c r="D8" i="4" s="1"/>
  <c r="E9" i="4" a="1"/>
  <c r="E9" i="4" s="1"/>
  <c r="E28" i="4" a="1"/>
  <c r="E28" i="4" s="1"/>
  <c r="E39" i="4" a="1"/>
  <c r="E39" i="4" s="1"/>
  <c r="E44" i="4" a="1"/>
  <c r="E44" i="4" s="1"/>
  <c r="E21" i="4" a="1"/>
  <c r="E21" i="4" s="1"/>
  <c r="E19" i="4" a="1"/>
  <c r="E19" i="4" s="1"/>
  <c r="E8" i="4" a="1"/>
  <c r="E8" i="4" s="1"/>
  <c r="E26" i="4" a="1"/>
  <c r="E26" i="4" s="1"/>
  <c r="E38" i="4" a="1"/>
  <c r="E38" i="4" s="1"/>
  <c r="E13" i="4" a="1"/>
  <c r="E13" i="4" s="1"/>
  <c r="E22" i="4" a="1"/>
  <c r="E22" i="4" s="1"/>
  <c r="E41" i="4" a="1"/>
  <c r="E41" i="4" s="1"/>
  <c r="E18" i="4" a="1"/>
  <c r="E18" i="4" s="1"/>
  <c r="E33" i="4" a="1"/>
  <c r="E33" i="4" s="1"/>
  <c r="E14" i="4" a="1"/>
  <c r="E14" i="4" s="1"/>
  <c r="E25" i="4" a="1"/>
  <c r="E25" i="4" s="1"/>
  <c r="E40" i="4" a="1"/>
  <c r="E40" i="4" s="1"/>
  <c r="E29" i="4" a="1"/>
  <c r="E29" i="4" s="1"/>
  <c r="E11" i="4" a="1"/>
  <c r="E11" i="4" s="1"/>
  <c r="E43" i="4" a="1"/>
  <c r="E43" i="4" s="1"/>
  <c r="E35" i="4" a="1"/>
  <c r="E35" i="4" s="1"/>
  <c r="E16" i="4" a="1"/>
  <c r="E16" i="4" s="1"/>
  <c r="E3" i="4" a="1"/>
  <c r="E3" i="4" s="1"/>
  <c r="E15" i="4" a="1"/>
  <c r="E15" i="4" s="1"/>
  <c r="E48" i="4" a="1"/>
  <c r="E48" i="4" s="1"/>
  <c r="E34" i="4" a="1"/>
  <c r="E34" i="4" s="1"/>
  <c r="E31" i="4" a="1"/>
  <c r="E31" i="4" s="1"/>
  <c r="E17" i="4" a="1"/>
  <c r="E17" i="4" s="1"/>
  <c r="E10" i="4" a="1"/>
  <c r="E10" i="4" s="1"/>
  <c r="E12" i="4" a="1"/>
  <c r="E12" i="4" s="1"/>
  <c r="E30" i="4" a="1"/>
  <c r="E30" i="4" s="1"/>
  <c r="E47" i="4" a="1"/>
  <c r="E47" i="4" s="1"/>
  <c r="E42" i="4" a="1"/>
  <c r="E42" i="4" s="1"/>
  <c r="E4" i="4" a="1"/>
  <c r="E4" i="4" s="1"/>
  <c r="E2" i="4" a="1"/>
  <c r="E2" i="4" s="1"/>
  <c r="E5" i="4" a="1"/>
  <c r="E5" i="4" s="1"/>
  <c r="E23" i="4" a="1"/>
  <c r="E23" i="4" s="1"/>
  <c r="E6" i="4" a="1"/>
  <c r="E6" i="4" s="1"/>
  <c r="E27" i="4" a="1"/>
  <c r="E27" i="4" s="1"/>
  <c r="E7" i="4" a="1"/>
  <c r="E7" i="4" s="1"/>
  <c r="E32" i="4" a="1"/>
  <c r="E32" i="4" s="1"/>
  <c r="E20" i="4" a="1"/>
  <c r="E20" i="4" s="1"/>
  <c r="E36" i="4" a="1"/>
  <c r="E36" i="4" s="1"/>
  <c r="E37" i="4" a="1"/>
  <c r="E37" i="4" s="1"/>
  <c r="E45" i="4" a="1"/>
  <c r="E45" i="4" s="1"/>
  <c r="E46" i="4" a="1"/>
  <c r="E46" i="4" s="1"/>
  <c r="F4" i="4" a="1"/>
  <c r="F4" i="4" s="1"/>
  <c r="F13" i="4" a="1"/>
  <c r="F13" i="4" s="1"/>
  <c r="F11" i="4" a="1"/>
  <c r="F11" i="4" s="1"/>
  <c r="F23" i="4" a="1"/>
  <c r="F23" i="4" s="1"/>
  <c r="F22" i="4" a="1"/>
  <c r="F22" i="4" s="1"/>
  <c r="F46" i="4" a="1"/>
  <c r="F46" i="4" s="1"/>
  <c r="F38" i="4" a="1"/>
  <c r="F38" i="4" s="1"/>
  <c r="F45" i="4" a="1"/>
  <c r="F45" i="4" s="1"/>
  <c r="F34" i="4" a="1"/>
  <c r="F34" i="4" s="1"/>
  <c r="F36" i="4" a="1"/>
  <c r="F36" i="4" s="1"/>
  <c r="F3" i="4" a="1"/>
  <c r="F3" i="4" s="1"/>
  <c r="F48" i="4" a="1"/>
  <c r="F48" i="4" s="1"/>
  <c r="F19" i="4" a="1"/>
  <c r="F19" i="4" s="1"/>
  <c r="F21" i="4" a="1"/>
  <c r="F21" i="4" s="1"/>
  <c r="F6" i="4" a="1"/>
  <c r="F6" i="4" s="1"/>
  <c r="F41" i="4" a="1"/>
  <c r="F41" i="4" s="1"/>
  <c r="F2" i="4" a="1"/>
  <c r="F2" i="4" s="1"/>
  <c r="F14" i="4" a="1"/>
  <c r="F14" i="4" s="1"/>
  <c r="F30" i="4" a="1"/>
  <c r="F30" i="4" s="1"/>
  <c r="F5" i="4" a="1"/>
  <c r="F5" i="4" s="1"/>
  <c r="F16" i="4" a="1"/>
  <c r="F16" i="4" s="1"/>
  <c r="F27" i="4" a="1"/>
  <c r="F27" i="4" s="1"/>
  <c r="F25" i="4" a="1"/>
  <c r="F25" i="4" s="1"/>
  <c r="F31" i="4" a="1"/>
  <c r="F31" i="4" s="1"/>
  <c r="F39" i="4" a="1"/>
  <c r="F39" i="4" s="1"/>
  <c r="F7" i="4" a="1"/>
  <c r="F7" i="4" s="1"/>
  <c r="F28" i="4" a="1"/>
  <c r="F28" i="4" s="1"/>
  <c r="F44" i="4" a="1"/>
  <c r="F44" i="4" s="1"/>
  <c r="F33" i="4" a="1"/>
  <c r="F33" i="4" s="1"/>
  <c r="F47" i="4" a="1"/>
  <c r="F47" i="4" s="1"/>
  <c r="F18" i="4" a="1"/>
  <c r="F18" i="4" s="1"/>
  <c r="F15" i="4" a="1"/>
  <c r="F15" i="4" s="1"/>
  <c r="F35" i="4" a="1"/>
  <c r="F35" i="4" s="1"/>
  <c r="F10" i="4" a="1"/>
  <c r="F10" i="4" s="1"/>
  <c r="F29" i="4" a="1"/>
  <c r="F29" i="4" s="1"/>
  <c r="F9" i="4" a="1"/>
  <c r="F9" i="4" s="1"/>
  <c r="F37" i="4" a="1"/>
  <c r="F37" i="4" s="1"/>
  <c r="F12" i="4" a="1"/>
  <c r="F12" i="4" s="1"/>
  <c r="F42" i="4" a="1"/>
  <c r="F42" i="4" s="1"/>
  <c r="F17" i="4" a="1"/>
  <c r="F17" i="4" s="1"/>
  <c r="F32" i="4" a="1"/>
  <c r="F32" i="4" s="1"/>
  <c r="F43" i="4" a="1"/>
  <c r="F43" i="4" s="1"/>
  <c r="F20" i="4" a="1"/>
  <c r="F20" i="4" s="1"/>
  <c r="F26" i="4" a="1"/>
  <c r="F26" i="4" s="1"/>
  <c r="F8" i="4" a="1"/>
  <c r="F8" i="4" s="1"/>
  <c r="F40" i="4" a="1"/>
  <c r="F40" i="4" s="1"/>
  <c r="H30" i="4" a="1"/>
  <c r="H30" i="4" s="1"/>
  <c r="H32" i="4" a="1"/>
  <c r="H32" i="4" s="1"/>
  <c r="H33" i="4" a="1"/>
  <c r="H33" i="4" s="1"/>
  <c r="H44" i="4" a="1"/>
  <c r="H44" i="4" s="1"/>
  <c r="H35" i="4" a="1"/>
  <c r="H35" i="4" s="1"/>
  <c r="H26" i="4" a="1"/>
  <c r="H26" i="4" s="1"/>
  <c r="H20" i="4" a="1"/>
  <c r="H20" i="4" s="1"/>
  <c r="H40" i="4" a="1"/>
  <c r="H40" i="4" s="1"/>
  <c r="H43" i="4" a="1"/>
  <c r="H43" i="4" s="1"/>
  <c r="H41" i="4" a="1"/>
  <c r="H41" i="4" s="1"/>
  <c r="H4" i="4" a="1"/>
  <c r="H4" i="4" s="1"/>
  <c r="H3" i="4" a="1"/>
  <c r="H3" i="4" s="1"/>
  <c r="H13" i="4" a="1"/>
  <c r="H13" i="4" s="1"/>
  <c r="H17" i="4" a="1"/>
  <c r="H17" i="4" s="1"/>
  <c r="H23" i="4" a="1"/>
  <c r="H23" i="4" s="1"/>
  <c r="H46" i="4" a="1"/>
  <c r="H46" i="4" s="1"/>
  <c r="H7" i="4" a="1"/>
  <c r="H7" i="4" s="1"/>
  <c r="H27" i="4" a="1"/>
  <c r="H27" i="4" s="1"/>
  <c r="H6" i="4" a="1"/>
  <c r="H6" i="4" s="1"/>
  <c r="H42" i="4" a="1"/>
  <c r="H42" i="4" s="1"/>
  <c r="H8" i="4" a="1"/>
  <c r="H8" i="4" s="1"/>
  <c r="H22" i="4" a="1"/>
  <c r="H22" i="4" s="1"/>
  <c r="H34" i="4" a="1"/>
  <c r="H34" i="4" s="1"/>
  <c r="H25" i="4" a="1"/>
  <c r="H25" i="4" s="1"/>
  <c r="H39" i="4" a="1"/>
  <c r="H39" i="4" s="1"/>
  <c r="H11" i="4" a="1"/>
  <c r="H11" i="4" s="1"/>
  <c r="H36" i="4" a="1"/>
  <c r="H36" i="4" s="1"/>
  <c r="H48" i="4" a="1"/>
  <c r="H48" i="4" s="1"/>
  <c r="H16" i="4" a="1"/>
  <c r="H16" i="4" s="1"/>
  <c r="H21" i="4" a="1"/>
  <c r="H21" i="4" s="1"/>
  <c r="H2" i="4" a="1"/>
  <c r="H2" i="4" s="1"/>
  <c r="H14" i="4" a="1"/>
  <c r="H14" i="4" s="1"/>
  <c r="H12" i="4" a="1"/>
  <c r="H12" i="4" s="1"/>
  <c r="H19" i="4" a="1"/>
  <c r="H19" i="4" s="1"/>
  <c r="H5" i="4" a="1"/>
  <c r="H5" i="4" s="1"/>
  <c r="H18" i="4" a="1"/>
  <c r="H18" i="4" s="1"/>
  <c r="H31" i="4" a="1"/>
  <c r="H31" i="4" s="1"/>
  <c r="H47" i="4" a="1"/>
  <c r="H47" i="4" s="1"/>
  <c r="H28" i="4" a="1"/>
  <c r="H28" i="4" s="1"/>
  <c r="H45" i="4" a="1"/>
  <c r="H45" i="4" s="1"/>
  <c r="H10" i="4" a="1"/>
  <c r="H10" i="4" s="1"/>
  <c r="H9" i="4" a="1"/>
  <c r="H9" i="4" s="1"/>
  <c r="H15" i="4" a="1"/>
  <c r="H15" i="4" s="1"/>
  <c r="H29" i="4" a="1"/>
  <c r="H29" i="4" s="1"/>
  <c r="H37" i="4" a="1"/>
  <c r="H37" i="4" s="1"/>
  <c r="H38" i="4" a="1"/>
  <c r="H38" i="4" s="1"/>
  <c r="C15" i="4" a="1"/>
  <c r="C15" i="4" s="1"/>
  <c r="C29" i="4" a="1"/>
  <c r="C29" i="4" s="1"/>
  <c r="C48" i="4" a="1"/>
  <c r="C48" i="4" s="1"/>
  <c r="C36" i="4" a="1"/>
  <c r="C36" i="4" s="1"/>
  <c r="C6" i="4" a="1"/>
  <c r="C6" i="4" s="1"/>
  <c r="C12" i="4" a="1"/>
  <c r="C12" i="4" s="1"/>
  <c r="C30" i="4" a="1"/>
  <c r="C30" i="4" s="1"/>
  <c r="C47" i="4" a="1"/>
  <c r="C47" i="4" s="1"/>
  <c r="C14" i="4" a="1"/>
  <c r="C14" i="4" s="1"/>
  <c r="C34" i="4" a="1"/>
  <c r="C34" i="4" s="1"/>
  <c r="C44" i="4" a="1"/>
  <c r="C44" i="4" s="1"/>
  <c r="C17" i="4" a="1"/>
  <c r="C17" i="4" s="1"/>
  <c r="C10" i="4" a="1"/>
  <c r="C10" i="4" s="1"/>
  <c r="C23" i="4" a="1"/>
  <c r="C23" i="4" s="1"/>
  <c r="C38" i="4" a="1"/>
  <c r="C38" i="4" s="1"/>
  <c r="C25" i="4" a="1"/>
  <c r="C25" i="4" s="1"/>
  <c r="C11" i="4" a="1"/>
  <c r="C11" i="4" s="1"/>
  <c r="C42" i="4" a="1"/>
  <c r="C42" i="4" s="1"/>
  <c r="C32" i="4" a="1"/>
  <c r="C32" i="4" s="1"/>
  <c r="C33" i="4" a="1"/>
  <c r="C33" i="4" s="1"/>
  <c r="C20" i="4" a="1"/>
  <c r="C20" i="4" s="1"/>
  <c r="C46" i="4" a="1"/>
  <c r="C46" i="4" s="1"/>
  <c r="C18" i="4" a="1"/>
  <c r="C18" i="4" s="1"/>
  <c r="C31" i="4" a="1"/>
  <c r="C31" i="4" s="1"/>
  <c r="C43" i="4" a="1"/>
  <c r="C43" i="4" s="1"/>
  <c r="C19" i="4" a="1"/>
  <c r="C19" i="4" s="1"/>
  <c r="C27" i="4" a="1"/>
  <c r="C27" i="4" s="1"/>
  <c r="C9" i="4" a="1"/>
  <c r="C9" i="4" s="1"/>
  <c r="C4" i="4" a="1"/>
  <c r="C4" i="4" s="1"/>
  <c r="C21" i="4" a="1"/>
  <c r="C21" i="4" s="1"/>
  <c r="C35" i="4" a="1"/>
  <c r="C35" i="4" s="1"/>
  <c r="C7" i="4" a="1"/>
  <c r="C7" i="4" s="1"/>
  <c r="C2" i="4" a="1"/>
  <c r="C2" i="4" s="1"/>
  <c r="C16" i="4" a="1"/>
  <c r="C16" i="4" s="1"/>
  <c r="C3" i="4" a="1"/>
  <c r="C3" i="4" s="1"/>
  <c r="C8" i="4" a="1"/>
  <c r="C8" i="4" s="1"/>
  <c r="C40" i="4" a="1"/>
  <c r="C40" i="4" s="1"/>
  <c r="C5" i="4" a="1"/>
  <c r="C5" i="4" s="1"/>
  <c r="C13" i="4" a="1"/>
  <c r="C13" i="4" s="1"/>
  <c r="C37" i="4" a="1"/>
  <c r="C37" i="4" s="1"/>
  <c r="C45" i="4" a="1"/>
  <c r="C45" i="4" s="1"/>
  <c r="C26" i="4" a="1"/>
  <c r="C26" i="4" s="1"/>
  <c r="C28" i="4" a="1"/>
  <c r="C28" i="4" s="1"/>
  <c r="C39" i="4" a="1"/>
  <c r="C39" i="4" s="1"/>
  <c r="C41" i="4" a="1"/>
  <c r="C41" i="4" s="1"/>
  <c r="C22" i="4" a="1"/>
  <c r="C22" i="4" s="1"/>
  <c r="D3" i="10"/>
  <c r="D9" i="10"/>
  <c r="D4" i="10"/>
  <c r="D5" i="10"/>
  <c r="D8" i="10"/>
  <c r="D2" i="10"/>
  <c r="D7" i="10"/>
  <c r="E3" i="10"/>
  <c r="E2" i="10"/>
  <c r="D6" i="10"/>
  <c r="T352" i="2"/>
  <c r="V352" i="2" s="1"/>
  <c r="U352" i="2"/>
  <c r="U160" i="2"/>
  <c r="U343" i="2"/>
  <c r="U161" i="2"/>
  <c r="T175" i="2"/>
  <c r="V175" i="2" s="1"/>
  <c r="T84" i="2"/>
  <c r="V84" i="2" s="1"/>
  <c r="T312" i="2"/>
  <c r="V312" i="2" s="1"/>
  <c r="T344" i="2"/>
  <c r="V344" i="2" s="1"/>
  <c r="T213" i="2"/>
  <c r="V213" i="2" s="1"/>
  <c r="T207" i="2"/>
  <c r="V207" i="2" s="1"/>
  <c r="U193" i="2"/>
  <c r="U360" i="2"/>
  <c r="T279" i="2"/>
  <c r="V279" i="2" s="1"/>
  <c r="T192" i="2"/>
  <c r="V192" i="2" s="1"/>
  <c r="T86" i="2"/>
  <c r="V86" i="2" s="1"/>
  <c r="U229" i="2"/>
  <c r="T83" i="2"/>
  <c r="V83" i="2" s="1"/>
  <c r="U303" i="2"/>
  <c r="T232" i="2"/>
  <c r="V232" i="2" s="1"/>
  <c r="T353" i="2"/>
  <c r="V353" i="2" s="1"/>
  <c r="U102" i="2"/>
  <c r="T250" i="2"/>
  <c r="V250" i="2" s="1"/>
  <c r="T157" i="2"/>
  <c r="V157" i="2" s="1"/>
  <c r="T105" i="2"/>
  <c r="V105" i="2" s="1"/>
  <c r="U320" i="2"/>
  <c r="T304" i="2"/>
  <c r="V304" i="2" s="1"/>
  <c r="U137" i="2"/>
  <c r="T244" i="2"/>
  <c r="V244" i="2" s="1"/>
  <c r="T170" i="2"/>
  <c r="V170" i="2" s="1"/>
  <c r="T268" i="2"/>
  <c r="V268" i="2" s="1"/>
  <c r="U236" i="2"/>
  <c r="U159" i="2"/>
  <c r="U106" i="2"/>
  <c r="T357" i="2"/>
  <c r="V357" i="2" s="1"/>
  <c r="T302" i="2"/>
  <c r="V302" i="2" s="1"/>
  <c r="T301" i="2"/>
  <c r="V301" i="2" s="1"/>
  <c r="U335" i="2"/>
  <c r="T299" i="2"/>
  <c r="V299" i="2" s="1"/>
  <c r="T93" i="2"/>
  <c r="V93" i="2" s="1"/>
  <c r="T333" i="2"/>
  <c r="V333" i="2" s="1"/>
  <c r="U196" i="2"/>
  <c r="T146" i="2"/>
  <c r="V146" i="2" s="1"/>
  <c r="T111" i="2"/>
  <c r="V111" i="2" s="1"/>
  <c r="U233" i="2"/>
  <c r="U175" i="2"/>
  <c r="T336" i="2"/>
  <c r="V336" i="2" s="1"/>
  <c r="T260" i="2"/>
  <c r="V260" i="2" s="1"/>
  <c r="T231" i="2"/>
  <c r="V231" i="2" s="1"/>
  <c r="T246" i="2"/>
  <c r="V246" i="2" s="1"/>
  <c r="T222" i="2"/>
  <c r="V222" i="2" s="1"/>
  <c r="U114" i="2"/>
  <c r="T359" i="2"/>
  <c r="V359" i="2" s="1"/>
  <c r="U257" i="2"/>
  <c r="U278" i="2"/>
  <c r="T73" i="2"/>
  <c r="V73" i="2" s="1"/>
  <c r="U261" i="2"/>
  <c r="U130" i="2"/>
  <c r="U88" i="2"/>
  <c r="T216" i="2"/>
  <c r="V216" i="2" s="1"/>
  <c r="T209" i="2"/>
  <c r="V209" i="2" s="1"/>
  <c r="U87" i="2"/>
  <c r="U129" i="2"/>
  <c r="T160" i="2"/>
  <c r="V160" i="2" s="1"/>
  <c r="T288" i="2"/>
  <c r="V288" i="2" s="1"/>
  <c r="U242" i="2"/>
  <c r="U141" i="2"/>
  <c r="T347" i="2"/>
  <c r="V347" i="2" s="1"/>
  <c r="T71" i="2"/>
  <c r="V71" i="2" s="1"/>
  <c r="U243" i="2"/>
  <c r="U298" i="2"/>
  <c r="U238" i="2"/>
  <c r="U145" i="2"/>
  <c r="U72" i="2"/>
  <c r="U332" i="2"/>
  <c r="U259" i="2"/>
  <c r="U18" i="2"/>
  <c r="U221" i="2"/>
  <c r="U147" i="2"/>
  <c r="U297" i="2"/>
  <c r="T92" i="2"/>
  <c r="V92" i="2" s="1"/>
  <c r="T254" i="2"/>
  <c r="V254" i="2" s="1"/>
  <c r="U275" i="2"/>
  <c r="T91" i="2"/>
  <c r="V91" i="2" s="1"/>
  <c r="U180" i="2"/>
  <c r="T44" i="2"/>
  <c r="V44" i="2" s="1"/>
  <c r="U283" i="2"/>
  <c r="T355" i="2"/>
  <c r="V355" i="2" s="1"/>
  <c r="U181" i="2"/>
  <c r="U279" i="2"/>
  <c r="U282" i="2"/>
  <c r="U253" i="2"/>
  <c r="U281" i="2"/>
  <c r="T200" i="2"/>
  <c r="V200" i="2" s="1"/>
  <c r="T364" i="2"/>
  <c r="V364" i="2" s="1"/>
  <c r="U187" i="2"/>
  <c r="U232" i="2"/>
  <c r="T196" i="2"/>
  <c r="V196" i="2" s="1"/>
  <c r="T278" i="2"/>
  <c r="V278" i="2" s="1"/>
  <c r="U64" i="2"/>
  <c r="T101" i="2"/>
  <c r="V101" i="2" s="1"/>
  <c r="T114" i="2"/>
  <c r="V114" i="2" s="1"/>
  <c r="T185" i="2"/>
  <c r="V185" i="2" s="1"/>
  <c r="T317" i="2"/>
  <c r="V317" i="2" s="1"/>
  <c r="U227" i="2"/>
  <c r="T316" i="2"/>
  <c r="V316" i="2" s="1"/>
  <c r="T198" i="2"/>
  <c r="V198" i="2" s="1"/>
  <c r="T85" i="2"/>
  <c r="V85" i="2" s="1"/>
  <c r="U138" i="2"/>
  <c r="U247" i="2"/>
  <c r="U93" i="2"/>
  <c r="U118" i="2"/>
  <c r="U246" i="2"/>
  <c r="U250" i="2"/>
  <c r="U83" i="2"/>
  <c r="U60" i="2"/>
  <c r="T212" i="2"/>
  <c r="V212" i="2" s="1"/>
  <c r="T251" i="2"/>
  <c r="V251" i="2" s="1"/>
  <c r="T197" i="2"/>
  <c r="V197" i="2" s="1"/>
  <c r="T79" i="2"/>
  <c r="V79" i="2" s="1"/>
  <c r="T42" i="2"/>
  <c r="V42" i="2" s="1"/>
  <c r="U245" i="2"/>
  <c r="U300" i="2"/>
  <c r="U164" i="2"/>
  <c r="U74" i="2"/>
  <c r="U20" i="2"/>
  <c r="U223" i="2"/>
  <c r="U38" i="2"/>
  <c r="U48" i="2"/>
  <c r="U231" i="2"/>
  <c r="U258" i="2"/>
  <c r="U336" i="2"/>
  <c r="T124" i="2"/>
  <c r="V124" i="2" s="1"/>
  <c r="U165" i="2"/>
  <c r="U237" i="2"/>
  <c r="T28" i="2"/>
  <c r="V28" i="2" s="1"/>
  <c r="U25" i="2"/>
  <c r="T75" i="2"/>
  <c r="V75" i="2" s="1"/>
  <c r="U95" i="2"/>
  <c r="T360" i="2"/>
  <c r="V360" i="2" s="1"/>
  <c r="T328" i="2"/>
  <c r="V328" i="2" s="1"/>
  <c r="U353" i="2"/>
  <c r="U191" i="2"/>
  <c r="T295" i="2"/>
  <c r="V295" i="2" s="1"/>
  <c r="T309" i="2"/>
  <c r="V309" i="2" s="1"/>
  <c r="T280" i="2"/>
  <c r="V280" i="2" s="1"/>
  <c r="T51" i="2"/>
  <c r="V51" i="2" s="1"/>
  <c r="T117" i="2"/>
  <c r="V117" i="2" s="1"/>
  <c r="U341" i="2"/>
  <c r="U285" i="2"/>
  <c r="T233" i="2"/>
  <c r="V233" i="2" s="1"/>
  <c r="U284" i="2"/>
  <c r="U111" i="2"/>
  <c r="U171" i="2"/>
  <c r="T76" i="2"/>
  <c r="V76" i="2" s="1"/>
  <c r="T48" i="2"/>
  <c r="V48" i="2" s="1"/>
  <c r="T161" i="2"/>
  <c r="V161" i="2" s="1"/>
  <c r="T313" i="2"/>
  <c r="V313" i="2" s="1"/>
  <c r="T335" i="2"/>
  <c r="V335" i="2" s="1"/>
  <c r="T210" i="2"/>
  <c r="V210" i="2" s="1"/>
  <c r="T102" i="2"/>
  <c r="V102" i="2" s="1"/>
  <c r="U266" i="2"/>
  <c r="T135" i="2"/>
  <c r="V135" i="2" s="1"/>
  <c r="U324" i="2"/>
  <c r="T348" i="2"/>
  <c r="V348" i="2" s="1"/>
  <c r="T219" i="2"/>
  <c r="V219" i="2" s="1"/>
  <c r="T184" i="2"/>
  <c r="V184" i="2" s="1"/>
  <c r="T199" i="2"/>
  <c r="V199" i="2" s="1"/>
  <c r="T179" i="2"/>
  <c r="V179" i="2" s="1"/>
  <c r="T287" i="2"/>
  <c r="V287" i="2" s="1"/>
  <c r="T116" i="2"/>
  <c r="V116" i="2" s="1"/>
  <c r="T271" i="2"/>
  <c r="V271" i="2" s="1"/>
  <c r="T169" i="2"/>
  <c r="V169" i="2" s="1"/>
  <c r="T90" i="2"/>
  <c r="V90" i="2" s="1"/>
  <c r="T26" i="2"/>
  <c r="V26" i="2" s="1"/>
  <c r="U217" i="2"/>
  <c r="U314" i="2"/>
  <c r="U213" i="2"/>
  <c r="U312" i="2"/>
  <c r="T194" i="2"/>
  <c r="V194" i="2" s="1"/>
  <c r="T343" i="2"/>
  <c r="V343" i="2" s="1"/>
  <c r="U304" i="2"/>
  <c r="U190" i="2"/>
  <c r="U206" i="2"/>
  <c r="T362" i="2"/>
  <c r="V362" i="2" s="1"/>
  <c r="U156" i="2"/>
  <c r="U134" i="2"/>
  <c r="U96" i="2"/>
  <c r="T236" i="2"/>
  <c r="V236" i="2" s="1"/>
  <c r="T257" i="2"/>
  <c r="V257" i="2" s="1"/>
  <c r="T125" i="2"/>
  <c r="V125" i="2" s="1"/>
  <c r="T205" i="2"/>
  <c r="V205" i="2" s="1"/>
  <c r="T109" i="2"/>
  <c r="V109" i="2" s="1"/>
  <c r="T137" i="2"/>
  <c r="V137" i="2" s="1"/>
  <c r="U344" i="2"/>
  <c r="U21" i="2"/>
  <c r="T62" i="2"/>
  <c r="V62" i="2" s="1"/>
  <c r="T60" i="2"/>
  <c r="V60" i="2" s="1"/>
  <c r="T21" i="2"/>
  <c r="V21" i="2" s="1"/>
  <c r="U22" i="2"/>
  <c r="U53" i="2"/>
  <c r="U61" i="2"/>
  <c r="U58" i="2"/>
  <c r="T37" i="2"/>
  <c r="V37" i="2" s="1"/>
  <c r="T34" i="2"/>
  <c r="V34" i="2" s="1"/>
  <c r="U36" i="2"/>
  <c r="T16" i="2"/>
  <c r="V16" i="2" s="1"/>
  <c r="U35" i="2"/>
  <c r="U12" i="2"/>
  <c r="U46" i="2"/>
  <c r="U30" i="2"/>
  <c r="U45" i="2"/>
  <c r="T11" i="2"/>
  <c r="V11" i="2" s="1"/>
  <c r="U6" i="2"/>
  <c r="U5" i="2"/>
  <c r="T4" i="2"/>
  <c r="V4" i="2" s="1"/>
  <c r="U3" i="2"/>
  <c r="T61" i="2"/>
  <c r="V61" i="2" s="1"/>
  <c r="T19" i="2"/>
  <c r="V19" i="2" s="1"/>
  <c r="U254" i="2"/>
  <c r="T320" i="2"/>
  <c r="V320" i="2" s="1"/>
  <c r="T122" i="2"/>
  <c r="V122" i="2" s="1"/>
  <c r="U122" i="2"/>
  <c r="T22" i="2"/>
  <c r="V22" i="2" s="1"/>
  <c r="T66" i="2"/>
  <c r="V66" i="2" s="1"/>
  <c r="U66" i="2"/>
  <c r="T310" i="2"/>
  <c r="V310" i="2" s="1"/>
  <c r="U310" i="2"/>
  <c r="T177" i="2"/>
  <c r="V177" i="2" s="1"/>
  <c r="U177" i="2"/>
  <c r="T294" i="2"/>
  <c r="V294" i="2" s="1"/>
  <c r="U294" i="2"/>
  <c r="T234" i="2"/>
  <c r="V234" i="2" s="1"/>
  <c r="U234" i="2"/>
  <c r="T174" i="2"/>
  <c r="V174" i="2" s="1"/>
  <c r="U174" i="2"/>
  <c r="T113" i="2"/>
  <c r="V113" i="2" s="1"/>
  <c r="U113" i="2"/>
  <c r="T55" i="2"/>
  <c r="V55" i="2" s="1"/>
  <c r="U55" i="2"/>
  <c r="T218" i="2"/>
  <c r="V218" i="2" s="1"/>
  <c r="U218" i="2"/>
  <c r="T308" i="2"/>
  <c r="V308" i="2" s="1"/>
  <c r="U308" i="2"/>
  <c r="T255" i="2"/>
  <c r="V255" i="2" s="1"/>
  <c r="U255" i="2"/>
  <c r="T14" i="2"/>
  <c r="V14" i="2" s="1"/>
  <c r="U14" i="2"/>
  <c r="T140" i="2"/>
  <c r="V140" i="2" s="1"/>
  <c r="U140" i="2"/>
  <c r="T337" i="2"/>
  <c r="V337" i="2" s="1"/>
  <c r="U337" i="2"/>
  <c r="T183" i="2"/>
  <c r="V183" i="2" s="1"/>
  <c r="U183" i="2"/>
  <c r="T32" i="2"/>
  <c r="V32" i="2" s="1"/>
  <c r="U32" i="2"/>
  <c r="T356" i="2"/>
  <c r="V356" i="2" s="1"/>
  <c r="U356" i="2"/>
  <c r="T274" i="2"/>
  <c r="V274" i="2" s="1"/>
  <c r="U274" i="2"/>
  <c r="T132" i="2"/>
  <c r="V132" i="2" s="1"/>
  <c r="U132" i="2"/>
  <c r="T69" i="2"/>
  <c r="V69" i="2" s="1"/>
  <c r="U69" i="2"/>
  <c r="U249" i="2"/>
  <c r="T249" i="2"/>
  <c r="V249" i="2" s="1"/>
  <c r="T195" i="2"/>
  <c r="V195" i="2" s="1"/>
  <c r="U195" i="2"/>
  <c r="U166" i="2"/>
  <c r="T166" i="2"/>
  <c r="V166" i="2" s="1"/>
  <c r="T82" i="2"/>
  <c r="V82" i="2" s="1"/>
  <c r="U82" i="2"/>
  <c r="T24" i="2"/>
  <c r="V24" i="2" s="1"/>
  <c r="U24" i="2"/>
  <c r="U277" i="2"/>
  <c r="T277" i="2"/>
  <c r="V277" i="2" s="1"/>
  <c r="U204" i="2"/>
  <c r="T204" i="2"/>
  <c r="V204" i="2" s="1"/>
  <c r="U270" i="2"/>
  <c r="T270" i="2"/>
  <c r="V270" i="2" s="1"/>
  <c r="T225" i="2"/>
  <c r="V225" i="2" s="1"/>
  <c r="U225" i="2"/>
  <c r="U63" i="2"/>
  <c r="T63" i="2"/>
  <c r="V63" i="2" s="1"/>
  <c r="U211" i="2"/>
  <c r="T211" i="2"/>
  <c r="V211" i="2" s="1"/>
  <c r="T305" i="2"/>
  <c r="V305" i="2" s="1"/>
  <c r="U305" i="2"/>
  <c r="U202" i="2"/>
  <c r="T202" i="2"/>
  <c r="V202" i="2" s="1"/>
  <c r="T100" i="2"/>
  <c r="V100" i="2" s="1"/>
  <c r="U100" i="2"/>
  <c r="U7" i="2"/>
  <c r="T7" i="2"/>
  <c r="V7" i="2" s="1"/>
  <c r="T283" i="2"/>
  <c r="V283" i="2" s="1"/>
  <c r="T349" i="2"/>
  <c r="V349" i="2" s="1"/>
  <c r="U349" i="2"/>
  <c r="T201" i="2"/>
  <c r="V201" i="2" s="1"/>
  <c r="U201" i="2"/>
  <c r="T296" i="2"/>
  <c r="V296" i="2" s="1"/>
  <c r="U296" i="2"/>
  <c r="T189" i="2"/>
  <c r="V189" i="2" s="1"/>
  <c r="U189" i="2"/>
  <c r="T220" i="2"/>
  <c r="V220" i="2" s="1"/>
  <c r="U220" i="2"/>
  <c r="U176" i="2"/>
  <c r="T176" i="2"/>
  <c r="V176" i="2" s="1"/>
  <c r="T327" i="2"/>
  <c r="V327" i="2" s="1"/>
  <c r="U327" i="2"/>
  <c r="U173" i="2"/>
  <c r="T173" i="2"/>
  <c r="V173" i="2" s="1"/>
  <c r="T99" i="2"/>
  <c r="V99" i="2" s="1"/>
  <c r="U99" i="2"/>
  <c r="U54" i="2"/>
  <c r="T54" i="2"/>
  <c r="V54" i="2" s="1"/>
  <c r="T121" i="2"/>
  <c r="V121" i="2" s="1"/>
  <c r="U121" i="2"/>
  <c r="T307" i="2"/>
  <c r="V307" i="2" s="1"/>
  <c r="U307" i="2"/>
  <c r="T120" i="2"/>
  <c r="V120" i="2" s="1"/>
  <c r="U120" i="2"/>
  <c r="U13" i="2"/>
  <c r="T13" i="2"/>
  <c r="V13" i="2" s="1"/>
  <c r="T47" i="2"/>
  <c r="V47" i="2" s="1"/>
  <c r="U47" i="2"/>
  <c r="U311" i="2"/>
  <c r="T311" i="2"/>
  <c r="V311" i="2" s="1"/>
  <c r="U182" i="2"/>
  <c r="T182" i="2"/>
  <c r="V182" i="2" s="1"/>
  <c r="U112" i="2"/>
  <c r="T112" i="2"/>
  <c r="V112" i="2" s="1"/>
  <c r="U31" i="2"/>
  <c r="T31" i="2"/>
  <c r="V31" i="2" s="1"/>
  <c r="T331" i="2"/>
  <c r="V331" i="2" s="1"/>
  <c r="U331" i="2"/>
  <c r="U273" i="2"/>
  <c r="T273" i="2"/>
  <c r="V273" i="2" s="1"/>
  <c r="T131" i="2"/>
  <c r="V131" i="2" s="1"/>
  <c r="U131" i="2"/>
  <c r="U68" i="2"/>
  <c r="T68" i="2"/>
  <c r="V68" i="2" s="1"/>
  <c r="T262" i="2"/>
  <c r="V262" i="2" s="1"/>
  <c r="U262" i="2"/>
  <c r="U224" i="2"/>
  <c r="T224" i="2"/>
  <c r="V224" i="2" s="1"/>
  <c r="U67" i="2"/>
  <c r="U323" i="2"/>
  <c r="U17" i="2"/>
  <c r="U144" i="2"/>
  <c r="T282" i="2"/>
  <c r="V282" i="2" s="1"/>
  <c r="T118" i="2"/>
  <c r="V118" i="2" s="1"/>
  <c r="U295" i="2"/>
  <c r="T339" i="2"/>
  <c r="V339" i="2" s="1"/>
  <c r="U339" i="2"/>
  <c r="T276" i="2"/>
  <c r="V276" i="2" s="1"/>
  <c r="U276" i="2"/>
  <c r="T78" i="2"/>
  <c r="V78" i="2" s="1"/>
  <c r="U78" i="2"/>
  <c r="T281" i="2"/>
  <c r="V281" i="2" s="1"/>
  <c r="T88" i="2"/>
  <c r="V88" i="2" s="1"/>
  <c r="T64" i="2"/>
  <c r="V64" i="2" s="1"/>
  <c r="U185" i="2"/>
  <c r="T186" i="2"/>
  <c r="V186" i="2" s="1"/>
  <c r="U186" i="2"/>
  <c r="T143" i="2"/>
  <c r="V143" i="2" s="1"/>
  <c r="U143" i="2"/>
  <c r="T235" i="2"/>
  <c r="V235" i="2" s="1"/>
  <c r="U235" i="2"/>
  <c r="T188" i="2"/>
  <c r="V188" i="2" s="1"/>
  <c r="U188" i="2"/>
  <c r="T56" i="2"/>
  <c r="V56" i="2" s="1"/>
  <c r="U56" i="2"/>
  <c r="T256" i="2"/>
  <c r="V256" i="2" s="1"/>
  <c r="U256" i="2"/>
  <c r="T15" i="2"/>
  <c r="V15" i="2" s="1"/>
  <c r="U15" i="2"/>
  <c r="T338" i="2"/>
  <c r="V338" i="2" s="1"/>
  <c r="U338" i="2"/>
  <c r="T142" i="2"/>
  <c r="V142" i="2" s="1"/>
  <c r="U142" i="2"/>
  <c r="T33" i="2"/>
  <c r="V33" i="2" s="1"/>
  <c r="T110" i="2"/>
  <c r="V110" i="2" s="1"/>
  <c r="T275" i="2"/>
  <c r="V275" i="2" s="1"/>
  <c r="T136" i="2"/>
  <c r="V136" i="2" s="1"/>
  <c r="U136" i="2"/>
  <c r="T77" i="2"/>
  <c r="V77" i="2" s="1"/>
  <c r="U77" i="2"/>
  <c r="T87" i="2"/>
  <c r="V87" i="2" s="1"/>
  <c r="T25" i="2"/>
  <c r="V25" i="2" s="1"/>
  <c r="T247" i="2"/>
  <c r="V247" i="2" s="1"/>
  <c r="T203" i="2"/>
  <c r="V203" i="2" s="1"/>
  <c r="U203" i="2"/>
  <c r="T30" i="2"/>
  <c r="V30" i="2" s="1"/>
  <c r="T129" i="2"/>
  <c r="V129" i="2" s="1"/>
  <c r="U200" i="2"/>
  <c r="U125" i="2"/>
  <c r="U34" i="2"/>
  <c r="U101" i="2"/>
  <c r="U364" i="2"/>
  <c r="U92" i="2"/>
  <c r="U317" i="2"/>
  <c r="U280" i="2"/>
  <c r="U199" i="2"/>
  <c r="U170" i="2"/>
  <c r="U86" i="2"/>
  <c r="U51" i="2"/>
  <c r="U28" i="2"/>
  <c r="U216" i="2"/>
  <c r="U117" i="2"/>
  <c r="U347" i="2"/>
  <c r="U44" i="2"/>
  <c r="U268" i="2"/>
  <c r="U179" i="2"/>
  <c r="U71" i="2"/>
  <c r="U287" i="2"/>
  <c r="U328" i="2"/>
  <c r="U209" i="2"/>
  <c r="U116" i="2"/>
  <c r="U11" i="2"/>
  <c r="U76" i="2"/>
  <c r="U194" i="2"/>
  <c r="U124" i="2"/>
  <c r="U33" i="2"/>
  <c r="U172" i="2"/>
  <c r="T172" i="2"/>
  <c r="V172" i="2" s="1"/>
  <c r="U306" i="2"/>
  <c r="T306" i="2"/>
  <c r="V306" i="2" s="1"/>
  <c r="U81" i="2"/>
  <c r="T81" i="2"/>
  <c r="V81" i="2" s="1"/>
  <c r="U52" i="2"/>
  <c r="T52" i="2"/>
  <c r="V52" i="2" s="1"/>
  <c r="U169" i="2"/>
  <c r="T180" i="2"/>
  <c r="V180" i="2" s="1"/>
  <c r="U318" i="2"/>
  <c r="T318" i="2"/>
  <c r="V318" i="2" s="1"/>
  <c r="U291" i="2"/>
  <c r="T291" i="2"/>
  <c r="V291" i="2" s="1"/>
  <c r="U361" i="2"/>
  <c r="T361" i="2"/>
  <c r="V361" i="2" s="1"/>
  <c r="U89" i="2"/>
  <c r="T89" i="2"/>
  <c r="V89" i="2" s="1"/>
  <c r="U293" i="2"/>
  <c r="T293" i="2"/>
  <c r="V293" i="2" s="1"/>
  <c r="U226" i="2"/>
  <c r="T226" i="2"/>
  <c r="V226" i="2" s="1"/>
  <c r="U8" i="2"/>
  <c r="T8" i="2"/>
  <c r="V8" i="2" s="1"/>
  <c r="U355" i="2"/>
  <c r="U271" i="2"/>
  <c r="U85" i="2"/>
  <c r="U27" i="2"/>
  <c r="U215" i="2"/>
  <c r="U346" i="2"/>
  <c r="U267" i="2"/>
  <c r="U70" i="2"/>
  <c r="U322" i="2"/>
  <c r="U10" i="2"/>
  <c r="U212" i="2"/>
  <c r="U354" i="2"/>
  <c r="T354" i="2"/>
  <c r="V354" i="2" s="1"/>
  <c r="U90" i="2"/>
  <c r="U315" i="2"/>
  <c r="U251" i="2"/>
  <c r="U197" i="2"/>
  <c r="U168" i="2"/>
  <c r="T168" i="2"/>
  <c r="V168" i="2" s="1"/>
  <c r="U84" i="2"/>
  <c r="U49" i="2"/>
  <c r="T49" i="2"/>
  <c r="V49" i="2" s="1"/>
  <c r="U26" i="2"/>
  <c r="U288" i="2"/>
  <c r="U214" i="2"/>
  <c r="T214" i="2"/>
  <c r="V214" i="2" s="1"/>
  <c r="U79" i="2"/>
  <c r="U345" i="2"/>
  <c r="U42" i="2"/>
  <c r="U248" i="2"/>
  <c r="T248" i="2"/>
  <c r="V248" i="2" s="1"/>
  <c r="U162" i="2"/>
  <c r="U65" i="2"/>
  <c r="T65" i="2"/>
  <c r="V65" i="2" s="1"/>
  <c r="U252" i="2"/>
  <c r="U321" i="2"/>
  <c r="U207" i="2"/>
  <c r="U9" i="2"/>
  <c r="T9" i="2"/>
  <c r="V9" i="2" s="1"/>
  <c r="U334" i="2"/>
  <c r="U158" i="2"/>
  <c r="T53" i="2"/>
  <c r="V53" i="2" s="1"/>
  <c r="T181" i="2"/>
  <c r="V181" i="2" s="1"/>
  <c r="T252" i="2"/>
  <c r="V252" i="2" s="1"/>
  <c r="U348" i="2"/>
  <c r="U219" i="2"/>
  <c r="U109" i="2"/>
  <c r="T315" i="2"/>
  <c r="V315" i="2" s="1"/>
  <c r="T345" i="2"/>
  <c r="V345" i="2" s="1"/>
  <c r="U110" i="2"/>
  <c r="T314" i="2"/>
  <c r="V314" i="2" s="1"/>
  <c r="T253" i="2"/>
  <c r="V253" i="2" s="1"/>
  <c r="U205" i="2"/>
  <c r="U319" i="2"/>
  <c r="T319" i="2"/>
  <c r="V319" i="2" s="1"/>
  <c r="U316" i="2"/>
  <c r="U123" i="2"/>
  <c r="U119" i="2"/>
  <c r="T119" i="2"/>
  <c r="V119" i="2" s="1"/>
  <c r="U330" i="2"/>
  <c r="T330" i="2"/>
  <c r="V330" i="2" s="1"/>
  <c r="U59" i="2"/>
  <c r="T59" i="2"/>
  <c r="V59" i="2" s="1"/>
  <c r="T130" i="2"/>
  <c r="V130" i="2" s="1"/>
  <c r="U365" i="2"/>
  <c r="T365" i="2"/>
  <c r="V365" i="2" s="1"/>
  <c r="U329" i="2"/>
  <c r="T329" i="2"/>
  <c r="V329" i="2" s="1"/>
  <c r="U167" i="2"/>
  <c r="T167" i="2"/>
  <c r="V167" i="2" s="1"/>
  <c r="U91" i="2"/>
  <c r="U198" i="2"/>
  <c r="U50" i="2"/>
  <c r="U289" i="2"/>
  <c r="U80" i="2"/>
  <c r="U43" i="2"/>
  <c r="U178" i="2"/>
  <c r="U286" i="2"/>
  <c r="U208" i="2"/>
  <c r="U115" i="2"/>
  <c r="T12" i="2"/>
  <c r="V12" i="2" s="1"/>
  <c r="U301" i="2"/>
  <c r="U241" i="2"/>
  <c r="T241" i="2"/>
  <c r="V241" i="2" s="1"/>
  <c r="T165" i="2"/>
  <c r="V165" i="2" s="1"/>
  <c r="U75" i="2"/>
  <c r="U359" i="2"/>
  <c r="U155" i="2"/>
  <c r="T155" i="2"/>
  <c r="V155" i="2" s="1"/>
  <c r="U230" i="2"/>
  <c r="T230" i="2"/>
  <c r="V230" i="2" s="1"/>
  <c r="T159" i="2"/>
  <c r="V159" i="2" s="1"/>
  <c r="U62" i="2"/>
  <c r="U210" i="2"/>
  <c r="U150" i="2"/>
  <c r="T150" i="2"/>
  <c r="V150" i="2" s="1"/>
  <c r="T6" i="2"/>
  <c r="V6" i="2" s="1"/>
  <c r="U340" i="2"/>
  <c r="T217" i="2"/>
  <c r="V217" i="2" s="1"/>
  <c r="T46" i="2"/>
  <c r="V46" i="2" s="1"/>
  <c r="T162" i="2"/>
  <c r="V162" i="2" s="1"/>
  <c r="U313" i="2"/>
  <c r="U309" i="2"/>
  <c r="U184" i="2"/>
  <c r="U342" i="2"/>
  <c r="T171" i="2"/>
  <c r="V171" i="2" s="1"/>
  <c r="T45" i="2"/>
  <c r="V45" i="2" s="1"/>
  <c r="T321" i="2"/>
  <c r="V321" i="2" s="1"/>
  <c r="T58" i="2"/>
  <c r="V58" i="2" s="1"/>
  <c r="U16" i="2"/>
  <c r="T363" i="2"/>
  <c r="V363" i="2" s="1"/>
  <c r="T240" i="2"/>
  <c r="V240" i="2" s="1"/>
  <c r="T164" i="2"/>
  <c r="V164" i="2" s="1"/>
  <c r="T358" i="2"/>
  <c r="V358" i="2" s="1"/>
  <c r="T20" i="2"/>
  <c r="V20" i="2" s="1"/>
  <c r="T342" i="2"/>
  <c r="V342" i="2" s="1"/>
  <c r="T158" i="2"/>
  <c r="V158" i="2" s="1"/>
  <c r="T139" i="2"/>
  <c r="V139" i="2" s="1"/>
  <c r="T151" i="2"/>
  <c r="V151" i="2" s="1"/>
  <c r="T5" i="2"/>
  <c r="V5" i="2" s="1"/>
  <c r="U358" i="2"/>
  <c r="T245" i="2"/>
  <c r="V245" i="2" s="1"/>
  <c r="T300" i="2"/>
  <c r="V300" i="2" s="1"/>
  <c r="T193" i="2"/>
  <c r="V193" i="2" s="1"/>
  <c r="T74" i="2"/>
  <c r="V74" i="2" s="1"/>
  <c r="T334" i="2"/>
  <c r="V334" i="2" s="1"/>
  <c r="T261" i="2"/>
  <c r="V261" i="2" s="1"/>
  <c r="T154" i="2"/>
  <c r="V154" i="2" s="1"/>
  <c r="T229" i="2"/>
  <c r="V229" i="2" s="1"/>
  <c r="T223" i="2"/>
  <c r="V223" i="2" s="1"/>
  <c r="T38" i="2"/>
  <c r="V38" i="2" s="1"/>
  <c r="T303" i="2"/>
  <c r="V303" i="2" s="1"/>
  <c r="T106" i="2"/>
  <c r="V106" i="2" s="1"/>
  <c r="U244" i="2"/>
  <c r="U362" i="2"/>
  <c r="U299" i="2"/>
  <c r="U239" i="2"/>
  <c r="U192" i="2"/>
  <c r="U146" i="2"/>
  <c r="U73" i="2"/>
  <c r="U333" i="2"/>
  <c r="U357" i="2"/>
  <c r="U260" i="2"/>
  <c r="U153" i="2"/>
  <c r="U19" i="2"/>
  <c r="U228" i="2"/>
  <c r="U222" i="2"/>
  <c r="U157" i="2"/>
  <c r="U37" i="2"/>
  <c r="U135" i="2"/>
  <c r="U302" i="2"/>
  <c r="U148" i="2"/>
  <c r="U105" i="2"/>
  <c r="U4" i="2"/>
  <c r="T153" i="2"/>
  <c r="V153" i="2" s="1"/>
  <c r="U363" i="2"/>
  <c r="U139" i="2"/>
  <c r="T351" i="2"/>
  <c r="V351" i="2" s="1"/>
  <c r="T238" i="2"/>
  <c r="V238" i="2" s="1"/>
  <c r="T145" i="2"/>
  <c r="V145" i="2" s="1"/>
  <c r="T332" i="2"/>
  <c r="V332" i="2" s="1"/>
  <c r="T259" i="2"/>
  <c r="V259" i="2" s="1"/>
  <c r="T227" i="2"/>
  <c r="V227" i="2" s="1"/>
  <c r="T221" i="2"/>
  <c r="V221" i="2" s="1"/>
  <c r="T36" i="2"/>
  <c r="V36" i="2" s="1"/>
  <c r="T285" i="2"/>
  <c r="V285" i="2" s="1"/>
  <c r="T96" i="2"/>
  <c r="V96" i="2" s="1"/>
  <c r="T239" i="2"/>
  <c r="V239" i="2" s="1"/>
  <c r="T148" i="2"/>
  <c r="V148" i="2" s="1"/>
  <c r="U351" i="2"/>
  <c r="U154" i="2"/>
  <c r="T243" i="2"/>
  <c r="V243" i="2" s="1"/>
  <c r="T298" i="2"/>
  <c r="V298" i="2" s="1"/>
  <c r="T191" i="2"/>
  <c r="V191" i="2" s="1"/>
  <c r="T72" i="2"/>
  <c r="V72" i="2" s="1"/>
  <c r="T324" i="2"/>
  <c r="V324" i="2" s="1"/>
  <c r="T152" i="2"/>
  <c r="V152" i="2" s="1"/>
  <c r="T18" i="2"/>
  <c r="V18" i="2" s="1"/>
  <c r="T341" i="2"/>
  <c r="V341" i="2" s="1"/>
  <c r="T156" i="2"/>
  <c r="V156" i="2" s="1"/>
  <c r="T134" i="2"/>
  <c r="V134" i="2" s="1"/>
  <c r="T147" i="2"/>
  <c r="V147" i="2" s="1"/>
  <c r="T3" i="2"/>
  <c r="V3" i="2" s="1"/>
  <c r="T242" i="2"/>
  <c r="V242" i="2" s="1"/>
  <c r="T350" i="2"/>
  <c r="V350" i="2" s="1"/>
  <c r="T297" i="2"/>
  <c r="V297" i="2" s="1"/>
  <c r="T237" i="2"/>
  <c r="V237" i="2" s="1"/>
  <c r="T190" i="2"/>
  <c r="V190" i="2" s="1"/>
  <c r="T123" i="2"/>
  <c r="V123" i="2" s="1"/>
  <c r="T67" i="2"/>
  <c r="V67" i="2" s="1"/>
  <c r="T266" i="2"/>
  <c r="V266" i="2" s="1"/>
  <c r="T323" i="2"/>
  <c r="V323" i="2" s="1"/>
  <c r="T258" i="2"/>
  <c r="V258" i="2" s="1"/>
  <c r="T141" i="2"/>
  <c r="V141" i="2" s="1"/>
  <c r="T17" i="2"/>
  <c r="V17" i="2" s="1"/>
  <c r="T187" i="2"/>
  <c r="V187" i="2" s="1"/>
  <c r="T340" i="2"/>
  <c r="V340" i="2" s="1"/>
  <c r="T206" i="2"/>
  <c r="V206" i="2" s="1"/>
  <c r="T144" i="2"/>
  <c r="V144" i="2" s="1"/>
  <c r="T35" i="2"/>
  <c r="V35" i="2" s="1"/>
  <c r="T133" i="2"/>
  <c r="V133" i="2" s="1"/>
  <c r="T284" i="2"/>
  <c r="V284" i="2" s="1"/>
  <c r="T138" i="2"/>
  <c r="V138" i="2" s="1"/>
  <c r="T95" i="2"/>
  <c r="V95" i="2" s="1"/>
  <c r="T228" i="2"/>
  <c r="V228" i="2" s="1"/>
  <c r="U350" i="2"/>
  <c r="U240" i="2"/>
  <c r="U152" i="2"/>
  <c r="U133" i="2"/>
  <c r="U151" i="2"/>
  <c r="T50" i="2"/>
  <c r="V50" i="2" s="1"/>
  <c r="T27" i="2"/>
  <c r="V27" i="2" s="1"/>
  <c r="T289" i="2"/>
  <c r="V289" i="2" s="1"/>
  <c r="T215" i="2"/>
  <c r="V215" i="2" s="1"/>
  <c r="T80" i="2"/>
  <c r="V80" i="2" s="1"/>
  <c r="T346" i="2"/>
  <c r="V346" i="2" s="1"/>
  <c r="T43" i="2"/>
  <c r="V43" i="2" s="1"/>
  <c r="T267" i="2"/>
  <c r="V267" i="2" s="1"/>
  <c r="T178" i="2"/>
  <c r="V178" i="2" s="1"/>
  <c r="T70" i="2"/>
  <c r="V70" i="2" s="1"/>
  <c r="T286" i="2"/>
  <c r="V286" i="2" s="1"/>
  <c r="T322" i="2"/>
  <c r="V322" i="2" s="1"/>
  <c r="T208" i="2"/>
  <c r="V208" i="2" s="1"/>
  <c r="T115" i="2"/>
  <c r="V115" i="2" s="1"/>
  <c r="T10" i="2"/>
  <c r="V10" i="2" s="1"/>
  <c r="U2" i="2"/>
  <c r="T2" i="2"/>
  <c r="V2" i="2" s="1"/>
  <c r="I24" i="4" l="1"/>
  <c r="E10" i="10"/>
  <c r="E11" i="10" s="1"/>
  <c r="A4" i="7" a="1"/>
  <c r="A4" i="7" s="1"/>
  <c r="B4" i="5" a="1"/>
  <c r="B4" i="5" s="1"/>
  <c r="D10" i="10"/>
  <c r="D11" i="10" s="1"/>
  <c r="I30" i="4"/>
  <c r="I48" i="4"/>
  <c r="I18" i="4"/>
  <c r="I26" i="4"/>
  <c r="I41" i="4"/>
  <c r="I9" i="4"/>
  <c r="I32" i="4"/>
  <c r="I4" i="4"/>
  <c r="I25" i="4"/>
  <c r="I34" i="4"/>
  <c r="I43" i="4"/>
  <c r="I16" i="4"/>
  <c r="I10" i="4"/>
  <c r="I33" i="4"/>
  <c r="I29" i="4"/>
  <c r="I23" i="4"/>
  <c r="I15" i="4"/>
  <c r="I36" i="4"/>
  <c r="I3" i="4"/>
  <c r="I45" i="4"/>
  <c r="I39" i="4"/>
  <c r="I42" i="4"/>
  <c r="I19" i="4"/>
  <c r="I40" i="4"/>
  <c r="I13" i="4"/>
  <c r="I2" i="4"/>
  <c r="I21" i="4"/>
  <c r="I14" i="4"/>
  <c r="I6" i="4"/>
  <c r="I8" i="4"/>
  <c r="I46" i="4"/>
  <c r="I5" i="4"/>
  <c r="I31" i="4"/>
  <c r="I27" i="4"/>
  <c r="I17" i="4"/>
  <c r="I12" i="4"/>
  <c r="I11" i="4"/>
  <c r="I35" i="4"/>
  <c r="I37" i="4"/>
  <c r="I47" i="4"/>
  <c r="I7" i="4"/>
  <c r="I22" i="4"/>
  <c r="I38" i="4"/>
  <c r="I44" i="4"/>
  <c r="I28" i="4"/>
  <c r="I20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<sst xmlns="http://schemas.openxmlformats.org/spreadsheetml/2006/main" count="4684" uniqueCount="1298">
  <si>
    <t>Divisions</t>
  </si>
  <si>
    <t>Sr Boys</t>
  </si>
  <si>
    <t>Sr Girls</t>
  </si>
  <si>
    <t>Jr Boys</t>
  </si>
  <si>
    <t>Jr Girls</t>
  </si>
  <si>
    <t>Juv Boys</t>
  </si>
  <si>
    <t>Juv Girls</t>
  </si>
  <si>
    <t>Bant Boys</t>
  </si>
  <si>
    <t>Bant Girls</t>
  </si>
  <si>
    <t>Schools</t>
  </si>
  <si>
    <t>Argyle</t>
  </si>
  <si>
    <t>Brockton</t>
  </si>
  <si>
    <t>Burnaby Mtn</t>
  </si>
  <si>
    <t>Carson</t>
  </si>
  <si>
    <t>Chatelech</t>
  </si>
  <si>
    <t>Coast Mtn</t>
  </si>
  <si>
    <t>Collingwood</t>
  </si>
  <si>
    <t>Don Ross</t>
  </si>
  <si>
    <t>Elphinstone</t>
  </si>
  <si>
    <t>GW Graham</t>
  </si>
  <si>
    <t>Handsworth</t>
  </si>
  <si>
    <t>Howe Sound</t>
  </si>
  <si>
    <t>Mulgrave</t>
  </si>
  <si>
    <t>Pemberton</t>
  </si>
  <si>
    <t>Rockridge</t>
  </si>
  <si>
    <t>Seycove</t>
  </si>
  <si>
    <t>St. Georges</t>
  </si>
  <si>
    <t>STA</t>
  </si>
  <si>
    <t>Sutherland</t>
  </si>
  <si>
    <t>West Van</t>
  </si>
  <si>
    <t>Whistler</t>
  </si>
  <si>
    <t>Windsor</t>
  </si>
  <si>
    <t>Place</t>
  </si>
  <si>
    <t>Points</t>
  </si>
  <si>
    <t>Student Name</t>
  </si>
  <si>
    <t>School</t>
  </si>
  <si>
    <t>Division</t>
  </si>
  <si>
    <t>Plate #</t>
  </si>
  <si>
    <t>R1 Place</t>
  </si>
  <si>
    <t>R1 Pts</t>
  </si>
  <si>
    <t>R2 Place</t>
  </si>
  <si>
    <t>R2 Pts</t>
  </si>
  <si>
    <t>R3 Place</t>
  </si>
  <si>
    <t>R3 Pts</t>
  </si>
  <si>
    <t>R4 Place</t>
  </si>
  <si>
    <t>R4 Pts</t>
  </si>
  <si>
    <t>R5 Place</t>
  </si>
  <si>
    <t>R5 Pts</t>
  </si>
  <si>
    <t>R6 Place</t>
  </si>
  <si>
    <t>R6 Pts</t>
  </si>
  <si>
    <t>Total</t>
  </si>
  <si>
    <t>Lowest Score</t>
  </si>
  <si>
    <t>Top 5</t>
  </si>
  <si>
    <t>Ryan Pasha</t>
  </si>
  <si>
    <t>Laith Rifaat</t>
  </si>
  <si>
    <t>Dylan MacDondald</t>
  </si>
  <si>
    <t>Lucas Cullingworth</t>
  </si>
  <si>
    <t>Max Remfry</t>
  </si>
  <si>
    <t>Riley Buxton</t>
  </si>
  <si>
    <t>Rowen Doerr</t>
  </si>
  <si>
    <t>Ronin Stewart</t>
  </si>
  <si>
    <t>Nico Scott</t>
  </si>
  <si>
    <t>Beatrix Reilly</t>
  </si>
  <si>
    <t>Vivienne Vroom</t>
  </si>
  <si>
    <t>Amelie Rubio</t>
  </si>
  <si>
    <t>Agness Friesen</t>
  </si>
  <si>
    <t>Macey Hawkshaw</t>
  </si>
  <si>
    <t>Oliver Reedman</t>
  </si>
  <si>
    <t>Toby Stromer</t>
  </si>
  <si>
    <t>Theo Zaleski</t>
  </si>
  <si>
    <t>Keaton Swystun</t>
  </si>
  <si>
    <t>Nolan Mckinney</t>
  </si>
  <si>
    <t>Matthew Crockford</t>
  </si>
  <si>
    <t>Harrison Watson</t>
  </si>
  <si>
    <t>Daniel Munroe</t>
  </si>
  <si>
    <t>Jack Lucy</t>
  </si>
  <si>
    <t>Sacha Strajt-Bornik</t>
  </si>
  <si>
    <t>Miles Trenouth</t>
  </si>
  <si>
    <t>Amirali Karimian</t>
  </si>
  <si>
    <t>Cleo Remfry</t>
  </si>
  <si>
    <t>Isabelle Von der Porte</t>
  </si>
  <si>
    <t>Lauryn Megens</t>
  </si>
  <si>
    <t>Annelise Cliburn</t>
  </si>
  <si>
    <t>Sophia Judson</t>
  </si>
  <si>
    <t>Liam Mistal</t>
  </si>
  <si>
    <t>Noah Cullingworth</t>
  </si>
  <si>
    <t>Nathan Muller</t>
  </si>
  <si>
    <t>Eliot Simmons</t>
  </si>
  <si>
    <t>Liam Leaver</t>
  </si>
  <si>
    <t>Emanuel Arreaga</t>
  </si>
  <si>
    <t>Ethan Bookbinder</t>
  </si>
  <si>
    <t>Callum Brown</t>
  </si>
  <si>
    <t>Gavin Hardy</t>
  </si>
  <si>
    <t>Guy Shalev</t>
  </si>
  <si>
    <t>Markus Leung</t>
  </si>
  <si>
    <t>Satoru Yamaguchi</t>
  </si>
  <si>
    <t>Ruben Wright</t>
  </si>
  <si>
    <t>Kai Nunes</t>
  </si>
  <si>
    <t>Hyunseo Ryu</t>
  </si>
  <si>
    <t>Leif Montgomery</t>
  </si>
  <si>
    <t>Ben Christian</t>
  </si>
  <si>
    <t>Dylan Lilley</t>
  </si>
  <si>
    <t>Aiden Bucci</t>
  </si>
  <si>
    <t>Henry Sparrow</t>
  </si>
  <si>
    <t>Platon Yaremych</t>
  </si>
  <si>
    <t>Taylor Duess</t>
  </si>
  <si>
    <t>Jaiden England</t>
  </si>
  <si>
    <t>Isaac Bucci</t>
  </si>
  <si>
    <t>Miles Blay</t>
  </si>
  <si>
    <t>Byron Finlay</t>
  </si>
  <si>
    <t>Carter Bucci</t>
  </si>
  <si>
    <t>Harry Duess</t>
  </si>
  <si>
    <t>Austin Bandic</t>
  </si>
  <si>
    <t>Yara Raouf Malayeri</t>
  </si>
  <si>
    <t>Massimo Rossiello</t>
  </si>
  <si>
    <t>Micah Widjaya</t>
  </si>
  <si>
    <t>Tristan Ng</t>
  </si>
  <si>
    <t>Will Burkett</t>
  </si>
  <si>
    <t>Caige Udagawa</t>
  </si>
  <si>
    <t>Jayin Charan</t>
  </si>
  <si>
    <t>Sabina Rossiello</t>
  </si>
  <si>
    <t>James Kwong</t>
  </si>
  <si>
    <t>Bryce Weatherly</t>
  </si>
  <si>
    <t>Marcelo Maldifassi</t>
  </si>
  <si>
    <t>Logan Weiss-Podolski</t>
  </si>
  <si>
    <t>James Pinfold</t>
  </si>
  <si>
    <t>Lucas Allen</t>
  </si>
  <si>
    <t>Luke Mackie</t>
  </si>
  <si>
    <t>Jonah Rickard</t>
  </si>
  <si>
    <t>Oscar Tschan</t>
  </si>
  <si>
    <t>Trent McGrenera</t>
  </si>
  <si>
    <t>Nate Morse</t>
  </si>
  <si>
    <t>Eden Golan</t>
  </si>
  <si>
    <t>Jake Brackenbury</t>
  </si>
  <si>
    <t>Sophie Schiman</t>
  </si>
  <si>
    <t>Jasmine Macpherson</t>
  </si>
  <si>
    <t>Zoe Steen</t>
  </si>
  <si>
    <t>Claire Dickie</t>
  </si>
  <si>
    <t>Jack Walton</t>
  </si>
  <si>
    <t>Alexander Moran</t>
  </si>
  <si>
    <t>Quentin Bayle</t>
  </si>
  <si>
    <t>Andrew Simpson</t>
  </si>
  <si>
    <t>Asher Lissett</t>
  </si>
  <si>
    <t>Weston Morum</t>
  </si>
  <si>
    <t>Jackson Jones</t>
  </si>
  <si>
    <t>Cole Fraser</t>
  </si>
  <si>
    <t>Carter Hetherington</t>
  </si>
  <si>
    <t>Mackenzie Velaniskis</t>
  </si>
  <si>
    <t>Bella Gomes</t>
  </si>
  <si>
    <t>Ella Walsh</t>
  </si>
  <si>
    <t>Evan Kozak</t>
  </si>
  <si>
    <t>Harrison Hume</t>
  </si>
  <si>
    <t>Rafe Hudson</t>
  </si>
  <si>
    <t>Jack Burt</t>
  </si>
  <si>
    <t>Slater McDougall</t>
  </si>
  <si>
    <t>Hunter Hodge</t>
  </si>
  <si>
    <t>Bruckner Norman-Thiessen</t>
  </si>
  <si>
    <t>Stellan Ortved</t>
  </si>
  <si>
    <t>John Suda</t>
  </si>
  <si>
    <t>Maddy White</t>
  </si>
  <si>
    <t>Beckett Jiminez</t>
  </si>
  <si>
    <t>Zachary Jiminez</t>
  </si>
  <si>
    <t>Lene Lok</t>
  </si>
  <si>
    <t>Jaime Kranz</t>
  </si>
  <si>
    <t>Pippa Shore</t>
  </si>
  <si>
    <t>Braden Hope</t>
  </si>
  <si>
    <t>Thomson Bythell</t>
  </si>
  <si>
    <t>Olivier Courcelles</t>
  </si>
  <si>
    <t>Nash Funreaux</t>
  </si>
  <si>
    <t>Kelyn Horsely</t>
  </si>
  <si>
    <t>Elias Newby</t>
  </si>
  <si>
    <t>Jivcko Elvir Sheilds</t>
  </si>
  <si>
    <t>Sean Weber</t>
  </si>
  <si>
    <t>Arthur Scale</t>
  </si>
  <si>
    <t>Kaasia Kania</t>
  </si>
  <si>
    <t>Tamaki Miura</t>
  </si>
  <si>
    <t xml:space="preserve">AJ Lysak </t>
  </si>
  <si>
    <t>Aiden Cooke</t>
  </si>
  <si>
    <t>Oscar Engel</t>
  </si>
  <si>
    <t>Brady Mallon</t>
  </si>
  <si>
    <t>Chase Marchuk</t>
  </si>
  <si>
    <t>Luke Mulyono</t>
  </si>
  <si>
    <t>Marcelo Alcocer Tremari</t>
  </si>
  <si>
    <t>Felix Carr</t>
  </si>
  <si>
    <t>William Lucas</t>
  </si>
  <si>
    <t>Remy Zurbuchen</t>
  </si>
  <si>
    <t>Alexandre Legrand Comeau</t>
  </si>
  <si>
    <t>Monty Cormack</t>
  </si>
  <si>
    <t>Ben Macpherson</t>
  </si>
  <si>
    <t>Matthew Runzer</t>
  </si>
  <si>
    <t>Charlie Beck</t>
  </si>
  <si>
    <t xml:space="preserve">Marco Beruschi </t>
  </si>
  <si>
    <t>Max Campbell</t>
  </si>
  <si>
    <t>Mac Clarke</t>
  </si>
  <si>
    <t>Jonah Petersen</t>
  </si>
  <si>
    <t>Hugh Ross</t>
  </si>
  <si>
    <t>Charlie Sigston</t>
  </si>
  <si>
    <t>Hudson Baker</t>
  </si>
  <si>
    <t>Jacob Bergerhoff</t>
  </si>
  <si>
    <t>Russell Ferguson</t>
  </si>
  <si>
    <t>Noah Gradin</t>
  </si>
  <si>
    <t>Trevor Gurd</t>
  </si>
  <si>
    <t>Easton Hestler</t>
  </si>
  <si>
    <t>Riley Hobbs</t>
  </si>
  <si>
    <t>Owen Moore</t>
  </si>
  <si>
    <t>Nathaniel Pica</t>
  </si>
  <si>
    <t>Max Rinzema</t>
  </si>
  <si>
    <t>Ethan Stewart</t>
  </si>
  <si>
    <t>Elle Clarke</t>
  </si>
  <si>
    <t>Elia Comeau</t>
  </si>
  <si>
    <t>Anna Selecka</t>
  </si>
  <si>
    <t>Maeve Lazar-Barry</t>
  </si>
  <si>
    <t xml:space="preserve">Abby Simpson </t>
  </si>
  <si>
    <t>Ruby Wells</t>
  </si>
  <si>
    <t>Gerardo Reyes Elisio</t>
  </si>
  <si>
    <t>Logan Scarlett</t>
  </si>
  <si>
    <t>Finley Lloyd</t>
  </si>
  <si>
    <t>Paxton Hunter</t>
  </si>
  <si>
    <t>Rory Lennon</t>
  </si>
  <si>
    <t>Joaquin Jones</t>
  </si>
  <si>
    <t>Grayson Schulz</t>
  </si>
  <si>
    <t xml:space="preserve">Jenaya Clegg </t>
  </si>
  <si>
    <t>Charlotte Gadvois-Schuett</t>
  </si>
  <si>
    <t>Bennet Scheider</t>
  </si>
  <si>
    <t xml:space="preserve">Caelan Hooper </t>
  </si>
  <si>
    <t>Caleb Leung</t>
  </si>
  <si>
    <t xml:space="preserve">Hendrik Lorenz </t>
  </si>
  <si>
    <t>Paul Musculus</t>
  </si>
  <si>
    <t>Shu Yano</t>
  </si>
  <si>
    <t>Konrad Pfaff</t>
  </si>
  <si>
    <t>Howard Wang</t>
  </si>
  <si>
    <t>Riley Drever</t>
  </si>
  <si>
    <t>Jed Fleming</t>
  </si>
  <si>
    <t>Mateo Quist</t>
  </si>
  <si>
    <t>Florian Ruoff</t>
  </si>
  <si>
    <t>Jeronimo Gomez</t>
  </si>
  <si>
    <t>Lennart Schilling</t>
  </si>
  <si>
    <t>Aiden Klimek</t>
  </si>
  <si>
    <t>Cole Vrsnik</t>
  </si>
  <si>
    <t>Oz Olund</t>
  </si>
  <si>
    <t>Marie Crowell</t>
  </si>
  <si>
    <t>Piper Fear</t>
  </si>
  <si>
    <t>Annika Zayac</t>
  </si>
  <si>
    <t>Ryan Kearnes</t>
  </si>
  <si>
    <t>Dash Nicoll</t>
  </si>
  <si>
    <t>Micah Treadway</t>
  </si>
  <si>
    <t>Skylar Rodier</t>
  </si>
  <si>
    <t>Dylan Saulnier</t>
  </si>
  <si>
    <t>Isabella Vertefeuille</t>
  </si>
  <si>
    <t>Blake Benns</t>
  </si>
  <si>
    <t>Xavier Harrisson</t>
  </si>
  <si>
    <t>Mack Manietta</t>
  </si>
  <si>
    <t>Noah Ricignuolo</t>
  </si>
  <si>
    <t>Finley Wood</t>
  </si>
  <si>
    <t>Norah Glavas</t>
  </si>
  <si>
    <t>Arleigh Kemp</t>
  </si>
  <si>
    <t>Viktoria Skutesky</t>
  </si>
  <si>
    <t>Anja Taylor</t>
  </si>
  <si>
    <t>Holden Adams</t>
  </si>
  <si>
    <t>Sebastian Harrisson</t>
  </si>
  <si>
    <t>Jack Johnston</t>
  </si>
  <si>
    <t>Gabriel LeBlanc</t>
  </si>
  <si>
    <t>Dylan Macdonald</t>
  </si>
  <si>
    <t>Ira Zayac</t>
  </si>
  <si>
    <t>Charlotte Arnold</t>
  </si>
  <si>
    <t>Grace Cleland</t>
  </si>
  <si>
    <t>Abbie Glavas</t>
  </si>
  <si>
    <t>Emily Wilson</t>
  </si>
  <si>
    <t>Felix LeBlanc</t>
  </si>
  <si>
    <t>Hunter Ronayne</t>
  </si>
  <si>
    <t>Ethan Andrew</t>
  </si>
  <si>
    <t>India Becker</t>
  </si>
  <si>
    <t>Tristan Benes</t>
  </si>
  <si>
    <t>Finlay Bubbs</t>
  </si>
  <si>
    <t>Joey Kearnes</t>
  </si>
  <si>
    <t>Liam McNolty</t>
  </si>
  <si>
    <t>Oscar Tarling</t>
  </si>
  <si>
    <t>Rory Taylor</t>
  </si>
  <si>
    <t>Deegan Wright</t>
  </si>
  <si>
    <t>Lucas Solis</t>
  </si>
  <si>
    <t>Augusten Worsfold</t>
  </si>
  <si>
    <t>Ethan Isberg</t>
  </si>
  <si>
    <t>Ben Horswill</t>
  </si>
  <si>
    <t>Oliver McKnight</t>
  </si>
  <si>
    <t>Emil Reischl</t>
  </si>
  <si>
    <t>Samantha Schisler</t>
  </si>
  <si>
    <t xml:space="preserve">Luca Crema </t>
  </si>
  <si>
    <t>Bodhi Elmas</t>
  </si>
  <si>
    <t xml:space="preserve">Edward Gillett </t>
  </si>
  <si>
    <t>Nico Gomez</t>
  </si>
  <si>
    <t>Kyle Hopper-Isaac</t>
  </si>
  <si>
    <t>Jared Kalisch</t>
  </si>
  <si>
    <t xml:space="preserve">Max Keinhorst </t>
  </si>
  <si>
    <t>Arlo McIntosh</t>
  </si>
  <si>
    <t>Owen Small</t>
  </si>
  <si>
    <t>Lucas Norbert</t>
  </si>
  <si>
    <t>Stella Henderson</t>
  </si>
  <si>
    <t>Tyler McIntosh</t>
  </si>
  <si>
    <t>Jacob Chowdury</t>
  </si>
  <si>
    <t>Owen McDonald</t>
  </si>
  <si>
    <t>Keaton Schisler</t>
  </si>
  <si>
    <t>Tristan Cole</t>
  </si>
  <si>
    <t>Alasdair Robertson</t>
  </si>
  <si>
    <t>David Shilletto</t>
  </si>
  <si>
    <t>Andrew Wenzlaff</t>
  </si>
  <si>
    <t>Jakson Bozzer</t>
  </si>
  <si>
    <t>Charlie Jones</t>
  </si>
  <si>
    <t>Gray Kirker</t>
  </si>
  <si>
    <t>Henry Harland</t>
  </si>
  <si>
    <t>Declan Kirker</t>
  </si>
  <si>
    <t xml:space="preserve">Charles Ho </t>
  </si>
  <si>
    <t>Isaac Dirkson</t>
  </si>
  <si>
    <t>Teo Damici</t>
  </si>
  <si>
    <t>Rory Sykes</t>
  </si>
  <si>
    <t>Olivia Shin</t>
  </si>
  <si>
    <t>Indy Tomic</t>
  </si>
  <si>
    <t>Landon Brown</t>
  </si>
  <si>
    <t>Luke Brownlee</t>
  </si>
  <si>
    <t>Wandrille de Bonniers</t>
  </si>
  <si>
    <t>Elliot O'Hara</t>
  </si>
  <si>
    <t>Ryan Alsop</t>
  </si>
  <si>
    <t>Genevieve Juhasz</t>
  </si>
  <si>
    <t>Finn Brownlee</t>
  </si>
  <si>
    <t>William Elliott</t>
  </si>
  <si>
    <t>Miles Ferguson</t>
  </si>
  <si>
    <t>Shae O'Boyle</t>
  </si>
  <si>
    <t>Charles Suda</t>
  </si>
  <si>
    <t>Carden Tomic</t>
  </si>
  <si>
    <t>Jack Watkins</t>
  </si>
  <si>
    <t>Sophia Elliott</t>
  </si>
  <si>
    <t>William Kolper</t>
  </si>
  <si>
    <t>Erik Moore</t>
  </si>
  <si>
    <t>Kaelan Percival</t>
  </si>
  <si>
    <t>Seth Andru</t>
  </si>
  <si>
    <t>Greyson Klein</t>
  </si>
  <si>
    <t>Bradeley Stephenson</t>
  </si>
  <si>
    <t>Oliver Thatcher</t>
  </si>
  <si>
    <t>Kaeden Lau</t>
  </si>
  <si>
    <t>Bradley Harris</t>
  </si>
  <si>
    <t>Alexandre Roy</t>
  </si>
  <si>
    <t>Alistair Cook</t>
  </si>
  <si>
    <t>Kayla Orth</t>
  </si>
  <si>
    <t>Andrew Loutit</t>
  </si>
  <si>
    <t>Carter Fincham</t>
  </si>
  <si>
    <t>Jeanre Raubenheimer</t>
  </si>
  <si>
    <t>Kai McLeod</t>
  </si>
  <si>
    <t>Sam Roy</t>
  </si>
  <si>
    <t>Mateo Ortiz</t>
  </si>
  <si>
    <t>Dexter White</t>
  </si>
  <si>
    <t>Hayden Bristow</t>
  </si>
  <si>
    <t>Trent Bristow</t>
  </si>
  <si>
    <t>Pierre Gonzales Hungr</t>
  </si>
  <si>
    <t>Simon Gonzales Hungr</t>
  </si>
  <si>
    <t>Oliver Kolkea</t>
  </si>
  <si>
    <t>Luke McGowan</t>
  </si>
  <si>
    <t>Thomas Brown</t>
  </si>
  <si>
    <t>Sebastian Sturgess</t>
  </si>
  <si>
    <t>Anton Anghellescu</t>
  </si>
  <si>
    <t>Josie Cooper</t>
  </si>
  <si>
    <t>Alexa Maxwell</t>
  </si>
  <si>
    <t>Alva Campos</t>
  </si>
  <si>
    <t>Maggie Hertz</t>
  </si>
  <si>
    <t>Austin Lewis</t>
  </si>
  <si>
    <t>Ella Winter</t>
  </si>
  <si>
    <t>Cece Burton</t>
  </si>
  <si>
    <t>Mikayla Goldrick</t>
  </si>
  <si>
    <t>Max Murray</t>
  </si>
  <si>
    <t>Reed Murray</t>
  </si>
  <si>
    <t>Owen Levitt</t>
  </si>
  <si>
    <t>Cooper Olson</t>
  </si>
  <si>
    <t>Jeremy Smerychynski</t>
  </si>
  <si>
    <t>Sawyer Munn-Gotto</t>
  </si>
  <si>
    <t>Leo Pullen</t>
  </si>
  <si>
    <t>Ben Carriere</t>
  </si>
  <si>
    <t>Drea Burton</t>
  </si>
  <si>
    <t>Damyen Bouvier</t>
  </si>
  <si>
    <t>Kaede Gossman</t>
  </si>
  <si>
    <t>Cove White</t>
  </si>
  <si>
    <t>Oliver Koch</t>
  </si>
  <si>
    <t>William Grant</t>
  </si>
  <si>
    <t>Rafe Dykstra</t>
  </si>
  <si>
    <t>Tanner Bruce</t>
  </si>
  <si>
    <t>James Felix</t>
  </si>
  <si>
    <t>Phoenix Holmes</t>
  </si>
  <si>
    <t>Elliette Cafferata</t>
  </si>
  <si>
    <t>Sam Fort</t>
  </si>
  <si>
    <t>Logan Anderson</t>
  </si>
  <si>
    <t>Emelie Kvick</t>
  </si>
  <si>
    <t>Isla Gibson</t>
  </si>
  <si>
    <t>Race 1</t>
  </si>
  <si>
    <t>Race 2</t>
  </si>
  <si>
    <t>Race 3</t>
  </si>
  <si>
    <t>Race 4</t>
  </si>
  <si>
    <t>Race 5</t>
  </si>
  <si>
    <t>Race 6</t>
  </si>
  <si>
    <t>Jr/Sr Girls</t>
  </si>
  <si>
    <t>Bant/Juv Girls</t>
  </si>
  <si>
    <t>Name</t>
  </si>
  <si>
    <t>Plate</t>
  </si>
  <si>
    <t>Check in</t>
  </si>
  <si>
    <t>Theo Rothdram</t>
  </si>
  <si>
    <t>Oliver Silcock</t>
  </si>
  <si>
    <t>Benjamin Hill</t>
  </si>
  <si>
    <t>yes</t>
  </si>
  <si>
    <t>Callum Paul</t>
  </si>
  <si>
    <t>Charlie Chalke-Afifi</t>
  </si>
  <si>
    <t>#</t>
  </si>
  <si>
    <t>no</t>
  </si>
  <si>
    <t>Tristan Clark</t>
  </si>
  <si>
    <t>DNF</t>
  </si>
  <si>
    <t>DNS</t>
  </si>
  <si>
    <t>Oliver Parkinson</t>
  </si>
  <si>
    <t>Ben Hall</t>
  </si>
  <si>
    <t>John Farrell</t>
  </si>
  <si>
    <t>Nolan Magnessun</t>
  </si>
  <si>
    <t>James Harris</t>
  </si>
  <si>
    <t>Isaac Flegal</t>
  </si>
  <si>
    <t>Registered</t>
  </si>
  <si>
    <t>Notes</t>
  </si>
  <si>
    <t>Noah Phillips</t>
  </si>
  <si>
    <t>Status</t>
  </si>
  <si>
    <t>Active</t>
  </si>
  <si>
    <t>Dropped</t>
  </si>
  <si>
    <t>Added Late</t>
  </si>
  <si>
    <t>Attendance</t>
  </si>
  <si>
    <t>new plate</t>
  </si>
  <si>
    <t>Jacob Hudec</t>
  </si>
  <si>
    <t>Finn Graeden</t>
  </si>
  <si>
    <t>was initially Bant, should be Juv, need plate back</t>
  </si>
  <si>
    <t>ys</t>
  </si>
  <si>
    <t>Koji Irvine</t>
  </si>
  <si>
    <t>plate given to Noah</t>
  </si>
  <si>
    <t>Not racing anymore</t>
  </si>
  <si>
    <t>Removed</t>
  </si>
  <si>
    <t>not racing</t>
  </si>
  <si>
    <t>plate given to Miles</t>
  </si>
  <si>
    <t>Miles Deely</t>
  </si>
  <si>
    <t>duplicate</t>
  </si>
  <si>
    <t>added late</t>
  </si>
  <si>
    <t>Brendan Hutchinson</t>
  </si>
  <si>
    <t>Oren Purdy</t>
  </si>
  <si>
    <t>Martin Cernicka</t>
  </si>
  <si>
    <t>added R2</t>
  </si>
  <si>
    <t>Yousef Alwakees</t>
  </si>
  <si>
    <t>Tylor Way</t>
  </si>
  <si>
    <t>Hailey Bikerton</t>
  </si>
  <si>
    <t>dnf</t>
  </si>
  <si>
    <t>dns</t>
  </si>
  <si>
    <t>chip_list</t>
  </si>
  <si>
    <t>Laith</t>
  </si>
  <si>
    <t>Rifaat</t>
  </si>
  <si>
    <t>Dylan</t>
  </si>
  <si>
    <t>MacDondald</t>
  </si>
  <si>
    <t>Max</t>
  </si>
  <si>
    <t>Remfry</t>
  </si>
  <si>
    <t>Ronin</t>
  </si>
  <si>
    <t>Stewart</t>
  </si>
  <si>
    <t>Oren</t>
  </si>
  <si>
    <t>Purdy</t>
  </si>
  <si>
    <t>Liam</t>
  </si>
  <si>
    <t>Mistal</t>
  </si>
  <si>
    <t>Noah</t>
  </si>
  <si>
    <t>Cullingworth</t>
  </si>
  <si>
    <t>Nathan</t>
  </si>
  <si>
    <t>Muller</t>
  </si>
  <si>
    <t>Eliot</t>
  </si>
  <si>
    <t>Simmons</t>
  </si>
  <si>
    <t>Leaver</t>
  </si>
  <si>
    <t>Emanuel</t>
  </si>
  <si>
    <t>Arreaga</t>
  </si>
  <si>
    <t>Ethan</t>
  </si>
  <si>
    <t>Bookbinder</t>
  </si>
  <si>
    <t>Callum</t>
  </si>
  <si>
    <t>Brown</t>
  </si>
  <si>
    <t>Gavin</t>
  </si>
  <si>
    <t>Hardy</t>
  </si>
  <si>
    <t>James</t>
  </si>
  <si>
    <t>Harris</t>
  </si>
  <si>
    <t>Oliver</t>
  </si>
  <si>
    <t>Silcock</t>
  </si>
  <si>
    <t>Benjamin</t>
  </si>
  <si>
    <t>Hill</t>
  </si>
  <si>
    <t>Cleo</t>
  </si>
  <si>
    <t>Isabelle</t>
  </si>
  <si>
    <t>Lauryn</t>
  </si>
  <si>
    <t>Megens</t>
  </si>
  <si>
    <t>Annelise</t>
  </si>
  <si>
    <t>Cliburn</t>
  </si>
  <si>
    <t>Sophia</t>
  </si>
  <si>
    <t>Judson</t>
  </si>
  <si>
    <t>Reedman</t>
  </si>
  <si>
    <t>Toby</t>
  </si>
  <si>
    <t>Stromer</t>
  </si>
  <si>
    <t>Keaton</t>
  </si>
  <si>
    <t>Swystun</t>
  </si>
  <si>
    <t>Nolan</t>
  </si>
  <si>
    <t>Mckinney</t>
  </si>
  <si>
    <t>Matthew</t>
  </si>
  <si>
    <t>Crockford</t>
  </si>
  <si>
    <t>Harrison</t>
  </si>
  <si>
    <t>Watson</t>
  </si>
  <si>
    <t>Daniel</t>
  </si>
  <si>
    <t>Munroe</t>
  </si>
  <si>
    <t>Miles</t>
  </si>
  <si>
    <t>Trenouth</t>
  </si>
  <si>
    <t>Ben</t>
  </si>
  <si>
    <t>Hall</t>
  </si>
  <si>
    <t>Beatrix</t>
  </si>
  <si>
    <t>Reilly</t>
  </si>
  <si>
    <t>Amelie</t>
  </si>
  <si>
    <t>Rubio</t>
  </si>
  <si>
    <t>Macey</t>
  </si>
  <si>
    <t>Hawkshaw</t>
  </si>
  <si>
    <t>Markus</t>
  </si>
  <si>
    <t>Leung</t>
  </si>
  <si>
    <t>Satoru</t>
  </si>
  <si>
    <t>Yamaguchi</t>
  </si>
  <si>
    <t>Ruben</t>
  </si>
  <si>
    <t>Wright</t>
  </si>
  <si>
    <t>Kai</t>
  </si>
  <si>
    <t>Nunes</t>
  </si>
  <si>
    <t>Hyunseo</t>
  </si>
  <si>
    <t>Ryu</t>
  </si>
  <si>
    <t>Leif</t>
  </si>
  <si>
    <t>Montgomery</t>
  </si>
  <si>
    <t>Christian</t>
  </si>
  <si>
    <t>Lilley</t>
  </si>
  <si>
    <t>Isaac</t>
  </si>
  <si>
    <t>Flegal</t>
  </si>
  <si>
    <t>Amirali</t>
  </si>
  <si>
    <t>Karimian</t>
  </si>
  <si>
    <t>NO</t>
  </si>
  <si>
    <t>Theo</t>
  </si>
  <si>
    <t>Zaleski</t>
  </si>
  <si>
    <t>Sacha</t>
  </si>
  <si>
    <t>Strajt-Bornik</t>
  </si>
  <si>
    <t>Vivienne</t>
  </si>
  <si>
    <t>Vroom</t>
  </si>
  <si>
    <t>Agness</t>
  </si>
  <si>
    <t>Friesen</t>
  </si>
  <si>
    <t>Guy</t>
  </si>
  <si>
    <t>Shalev</t>
  </si>
  <si>
    <t>Aiden</t>
  </si>
  <si>
    <t>Bucci</t>
  </si>
  <si>
    <t>Jaiden</t>
  </si>
  <si>
    <t>England</t>
  </si>
  <si>
    <t>Blay</t>
  </si>
  <si>
    <t>Byron</t>
  </si>
  <si>
    <t>Finlay</t>
  </si>
  <si>
    <t>Platon</t>
  </si>
  <si>
    <t>Yaremych</t>
  </si>
  <si>
    <t>Carter</t>
  </si>
  <si>
    <t>Henry</t>
  </si>
  <si>
    <t>Sparrow</t>
  </si>
  <si>
    <t>Taylor</t>
  </si>
  <si>
    <t>Duess</t>
  </si>
  <si>
    <t>Harry</t>
  </si>
  <si>
    <t>Austin</t>
  </si>
  <si>
    <t>Bandic</t>
  </si>
  <si>
    <t>Yara</t>
  </si>
  <si>
    <t>Massimo</t>
  </si>
  <si>
    <t>Rossiello</t>
  </si>
  <si>
    <t>Tristan</t>
  </si>
  <si>
    <t>Ng</t>
  </si>
  <si>
    <t>Will</t>
  </si>
  <si>
    <t>Burkett</t>
  </si>
  <si>
    <t>Caige</t>
  </si>
  <si>
    <t>Udagawa</t>
  </si>
  <si>
    <t>Jayin</t>
  </si>
  <si>
    <t>Charan</t>
  </si>
  <si>
    <t>Sabina</t>
  </si>
  <si>
    <t>Micah</t>
  </si>
  <si>
    <t>Widjaya</t>
  </si>
  <si>
    <t>Kwong</t>
  </si>
  <si>
    <t>Bryce</t>
  </si>
  <si>
    <t>Weatherly</t>
  </si>
  <si>
    <t>Lucas</t>
  </si>
  <si>
    <t>Allen</t>
  </si>
  <si>
    <t>Marcelo</t>
  </si>
  <si>
    <t>Maldifassi</t>
  </si>
  <si>
    <t>Logan</t>
  </si>
  <si>
    <t>Weiss-Podolski</t>
  </si>
  <si>
    <t>Luke</t>
  </si>
  <si>
    <t>Mackie</t>
  </si>
  <si>
    <t>Jonah</t>
  </si>
  <si>
    <t>Rickard</t>
  </si>
  <si>
    <t>Oscar</t>
  </si>
  <si>
    <t>Tschan</t>
  </si>
  <si>
    <t>Trent</t>
  </si>
  <si>
    <t>McGrenera</t>
  </si>
  <si>
    <t>Nate</t>
  </si>
  <si>
    <t>Morse</t>
  </si>
  <si>
    <t>Eden</t>
  </si>
  <si>
    <t>Golan</t>
  </si>
  <si>
    <t>Jake</t>
  </si>
  <si>
    <t>Brackenbury</t>
  </si>
  <si>
    <t>Pinfold</t>
  </si>
  <si>
    <t>Sophie</t>
  </si>
  <si>
    <t>Schiman</t>
  </si>
  <si>
    <t>Jasmine</t>
  </si>
  <si>
    <t>Macpherson</t>
  </si>
  <si>
    <t>Zoe</t>
  </si>
  <si>
    <t>Steen</t>
  </si>
  <si>
    <t>Claire</t>
  </si>
  <si>
    <t>Dickie</t>
  </si>
  <si>
    <t>Jack</t>
  </si>
  <si>
    <t>Walton</t>
  </si>
  <si>
    <t>Magnessun</t>
  </si>
  <si>
    <t>Jacob</t>
  </si>
  <si>
    <t>Hudec</t>
  </si>
  <si>
    <t>Alexander</t>
  </si>
  <si>
    <t>Moran</t>
  </si>
  <si>
    <t>Quentin</t>
  </si>
  <si>
    <t>Bayle</t>
  </si>
  <si>
    <t>Jones</t>
  </si>
  <si>
    <t>Cole</t>
  </si>
  <si>
    <t>Paul</t>
  </si>
  <si>
    <t>Andrew</t>
  </si>
  <si>
    <t>Simpson</t>
  </si>
  <si>
    <t>J1</t>
  </si>
  <si>
    <t>J2</t>
  </si>
  <si>
    <t>Ella</t>
  </si>
  <si>
    <t>J3</t>
  </si>
  <si>
    <t>J4</t>
  </si>
  <si>
    <t>Rafe</t>
  </si>
  <si>
    <t>Hudson</t>
  </si>
  <si>
    <t>J5</t>
  </si>
  <si>
    <t>Hunter</t>
  </si>
  <si>
    <t>Hodge</t>
  </si>
  <si>
    <t>J6</t>
  </si>
  <si>
    <t>Bruckner</t>
  </si>
  <si>
    <t>Norman-Thiessen</t>
  </si>
  <si>
    <t>J7</t>
  </si>
  <si>
    <t>Stellan</t>
  </si>
  <si>
    <t>Ortved</t>
  </si>
  <si>
    <t>J8</t>
  </si>
  <si>
    <t>John</t>
  </si>
  <si>
    <t>Suda</t>
  </si>
  <si>
    <t>J9</t>
  </si>
  <si>
    <t>Maddy</t>
  </si>
  <si>
    <t>White</t>
  </si>
  <si>
    <t>J10</t>
  </si>
  <si>
    <t>Beckett</t>
  </si>
  <si>
    <t>Jiminez</t>
  </si>
  <si>
    <t>J11</t>
  </si>
  <si>
    <t>Burt</t>
  </si>
  <si>
    <t>J12</t>
  </si>
  <si>
    <t>Slater</t>
  </si>
  <si>
    <t>McDougall</t>
  </si>
  <si>
    <t>J13</t>
  </si>
  <si>
    <t>Zachary</t>
  </si>
  <si>
    <t>J14</t>
  </si>
  <si>
    <t>Kelyn</t>
  </si>
  <si>
    <t>Horsely</t>
  </si>
  <si>
    <t>J15</t>
  </si>
  <si>
    <t>Elias</t>
  </si>
  <si>
    <t>Newby</t>
  </si>
  <si>
    <t>J16</t>
  </si>
  <si>
    <t>Clark</t>
  </si>
  <si>
    <t>J17</t>
  </si>
  <si>
    <t>Martin</t>
  </si>
  <si>
    <t>Cernicka</t>
  </si>
  <si>
    <t>J18</t>
  </si>
  <si>
    <t>Braden</t>
  </si>
  <si>
    <t>Hope</t>
  </si>
  <si>
    <t>J19</t>
  </si>
  <si>
    <t>Thomson</t>
  </si>
  <si>
    <t>Bythell</t>
  </si>
  <si>
    <t>J20</t>
  </si>
  <si>
    <t>Olivier</t>
  </si>
  <si>
    <t>Courcelles</t>
  </si>
  <si>
    <t>J21</t>
  </si>
  <si>
    <t>Nash</t>
  </si>
  <si>
    <t>Funreaux</t>
  </si>
  <si>
    <t>J22</t>
  </si>
  <si>
    <t>Lene</t>
  </si>
  <si>
    <t>Lok</t>
  </si>
  <si>
    <t>J23</t>
  </si>
  <si>
    <t>Jaime</t>
  </si>
  <si>
    <t>Kranz</t>
  </si>
  <si>
    <t>J24</t>
  </si>
  <si>
    <t>Hailey</t>
  </si>
  <si>
    <t>Bikerton</t>
  </si>
  <si>
    <t>J25</t>
  </si>
  <si>
    <t>J26</t>
  </si>
  <si>
    <t>Jivcko</t>
  </si>
  <si>
    <t>J27</t>
  </si>
  <si>
    <t>Sean</t>
  </si>
  <si>
    <t>Weber</t>
  </si>
  <si>
    <t>J28</t>
  </si>
  <si>
    <t>Arthur</t>
  </si>
  <si>
    <t>Scale</t>
  </si>
  <si>
    <t>J29</t>
  </si>
  <si>
    <t>Kaasia</t>
  </si>
  <si>
    <t>Kania</t>
  </si>
  <si>
    <t>J30</t>
  </si>
  <si>
    <t>Tamaki</t>
  </si>
  <si>
    <t>Miura</t>
  </si>
  <si>
    <t>J31</t>
  </si>
  <si>
    <t>Cooke</t>
  </si>
  <si>
    <t>J32</t>
  </si>
  <si>
    <t>Engel</t>
  </si>
  <si>
    <t>J33</t>
  </si>
  <si>
    <t>Brady</t>
  </si>
  <si>
    <t>Mallon</t>
  </si>
  <si>
    <t>J34</t>
  </si>
  <si>
    <t>Chase</t>
  </si>
  <si>
    <t>Marchuk</t>
  </si>
  <si>
    <t>J36</t>
  </si>
  <si>
    <t>Mulyono</t>
  </si>
  <si>
    <t>J37</t>
  </si>
  <si>
    <t>AJ</t>
  </si>
  <si>
    <t>Lysak</t>
  </si>
  <si>
    <t>J39</t>
  </si>
  <si>
    <t>J38</t>
  </si>
  <si>
    <t>Felix</t>
  </si>
  <si>
    <t>Carr</t>
  </si>
  <si>
    <t>J40</t>
  </si>
  <si>
    <t>Deely</t>
  </si>
  <si>
    <t>J41</t>
  </si>
  <si>
    <t>Remy</t>
  </si>
  <si>
    <t>Zurbuchen</t>
  </si>
  <si>
    <t>J42</t>
  </si>
  <si>
    <t>Charlie</t>
  </si>
  <si>
    <t>Beck</t>
  </si>
  <si>
    <t>J43</t>
  </si>
  <si>
    <t>Marco</t>
  </si>
  <si>
    <t>Beruschi</t>
  </si>
  <si>
    <t>J44</t>
  </si>
  <si>
    <t>Campbell</t>
  </si>
  <si>
    <t>J45</t>
  </si>
  <si>
    <t>Mac</t>
  </si>
  <si>
    <t>Clarke</t>
  </si>
  <si>
    <t>J46</t>
  </si>
  <si>
    <t>Petersen</t>
  </si>
  <si>
    <t>J47</t>
  </si>
  <si>
    <t>Hugh</t>
  </si>
  <si>
    <t>Ross</t>
  </si>
  <si>
    <t>J48</t>
  </si>
  <si>
    <t>Sigston</t>
  </si>
  <si>
    <t>J49</t>
  </si>
  <si>
    <t>Chalke-Afifi</t>
  </si>
  <si>
    <t>J50</t>
  </si>
  <si>
    <t>Alexandre</t>
  </si>
  <si>
    <t>J51</t>
  </si>
  <si>
    <t>Monty</t>
  </si>
  <si>
    <t>Cormack</t>
  </si>
  <si>
    <t>J52</t>
  </si>
  <si>
    <t>J53</t>
  </si>
  <si>
    <t>Runzer</t>
  </si>
  <si>
    <t>J54</t>
  </si>
  <si>
    <t>Baker</t>
  </si>
  <si>
    <t>J55</t>
  </si>
  <si>
    <t>Bergerhoff</t>
  </si>
  <si>
    <t>J56</t>
  </si>
  <si>
    <t>Gradin</t>
  </si>
  <si>
    <t>J57</t>
  </si>
  <si>
    <t>Trevor</t>
  </si>
  <si>
    <t>Gurd</t>
  </si>
  <si>
    <t>J58</t>
  </si>
  <si>
    <t>Easton</t>
  </si>
  <si>
    <t>Hestler</t>
  </si>
  <si>
    <t>J59</t>
  </si>
  <si>
    <t>Riley</t>
  </si>
  <si>
    <t>Hobbs</t>
  </si>
  <si>
    <t>J60</t>
  </si>
  <si>
    <t>Nathaniel</t>
  </si>
  <si>
    <t>Pica</t>
  </si>
  <si>
    <t>J61</t>
  </si>
  <si>
    <t>Rinzema</t>
  </si>
  <si>
    <t>J62</t>
  </si>
  <si>
    <t>J63</t>
  </si>
  <si>
    <t>Elia</t>
  </si>
  <si>
    <t>Comeau</t>
  </si>
  <si>
    <t>J64</t>
  </si>
  <si>
    <t>Anna</t>
  </si>
  <si>
    <t>Selecka</t>
  </si>
  <si>
    <t>J65</t>
  </si>
  <si>
    <t>Russell</t>
  </si>
  <si>
    <t>Ferguson</t>
  </si>
  <si>
    <t>J66</t>
  </si>
  <si>
    <t>Owen</t>
  </si>
  <si>
    <t>Moore</t>
  </si>
  <si>
    <t>J67</t>
  </si>
  <si>
    <t>Scarlett</t>
  </si>
  <si>
    <t>J68</t>
  </si>
  <si>
    <t>Finley</t>
  </si>
  <si>
    <t>Lloyd</t>
  </si>
  <si>
    <t>J69</t>
  </si>
  <si>
    <t>Rory</t>
  </si>
  <si>
    <t>Lennon</t>
  </si>
  <si>
    <t>J70</t>
  </si>
  <si>
    <t>Joaquin</t>
  </si>
  <si>
    <t>J71</t>
  </si>
  <si>
    <t>Grayson</t>
  </si>
  <si>
    <t>Schulz</t>
  </si>
  <si>
    <t>J72</t>
  </si>
  <si>
    <t>Maeve</t>
  </si>
  <si>
    <t>Lazar-Barry</t>
  </si>
  <si>
    <t>J73</t>
  </si>
  <si>
    <t>Abby</t>
  </si>
  <si>
    <t>J74</t>
  </si>
  <si>
    <t>Ruby</t>
  </si>
  <si>
    <t>Wells</t>
  </si>
  <si>
    <t>J75</t>
  </si>
  <si>
    <t>Bennet</t>
  </si>
  <si>
    <t>Scheider</t>
  </si>
  <si>
    <t>J76</t>
  </si>
  <si>
    <t>Caelan</t>
  </si>
  <si>
    <t>Hooper</t>
  </si>
  <si>
    <t>J77</t>
  </si>
  <si>
    <t>Hendrik</t>
  </si>
  <si>
    <t>J78</t>
  </si>
  <si>
    <t>Musculus</t>
  </si>
  <si>
    <t>J79</t>
  </si>
  <si>
    <t>Konrad</t>
  </si>
  <si>
    <t>Pfaff</t>
  </si>
  <si>
    <t>J80</t>
  </si>
  <si>
    <t>Howard</t>
  </si>
  <si>
    <t>Wang</t>
  </si>
  <si>
    <t>J81</t>
  </si>
  <si>
    <t>Drever</t>
  </si>
  <si>
    <t>J82</t>
  </si>
  <si>
    <t>Florian</t>
  </si>
  <si>
    <t>Ruoff</t>
  </si>
  <si>
    <t>J83</t>
  </si>
  <si>
    <t>Gerardo</t>
  </si>
  <si>
    <t>J84</t>
  </si>
  <si>
    <t>Jed</t>
  </si>
  <si>
    <t>Fleming</t>
  </si>
  <si>
    <t>J85</t>
  </si>
  <si>
    <t>Mateo</t>
  </si>
  <si>
    <t>Quist</t>
  </si>
  <si>
    <t>J86</t>
  </si>
  <si>
    <t>Paxton</t>
  </si>
  <si>
    <t>J87</t>
  </si>
  <si>
    <t>Caleb</t>
  </si>
  <si>
    <t>J88</t>
  </si>
  <si>
    <t>Shu</t>
  </si>
  <si>
    <t>Yano</t>
  </si>
  <si>
    <t>J89</t>
  </si>
  <si>
    <t>Jenaya</t>
  </si>
  <si>
    <t>Clegg</t>
  </si>
  <si>
    <t>J90</t>
  </si>
  <si>
    <t>Charlotte</t>
  </si>
  <si>
    <t>Gadvois-Schuett</t>
  </si>
  <si>
    <t>J91</t>
  </si>
  <si>
    <t>Jeronimo</t>
  </si>
  <si>
    <t>Gomez</t>
  </si>
  <si>
    <t>Lennart</t>
  </si>
  <si>
    <t>Schilling</t>
  </si>
  <si>
    <t>A1</t>
  </si>
  <si>
    <t>Vrsnik</t>
  </si>
  <si>
    <t>A2</t>
  </si>
  <si>
    <t>Oz</t>
  </si>
  <si>
    <t>Olund</t>
  </si>
  <si>
    <t>A3</t>
  </si>
  <si>
    <t>Klimek</t>
  </si>
  <si>
    <t>A4</t>
  </si>
  <si>
    <t>Ryan</t>
  </si>
  <si>
    <t>Kearnes</t>
  </si>
  <si>
    <t>A5</t>
  </si>
  <si>
    <t>Dash</t>
  </si>
  <si>
    <t>Nicoll</t>
  </si>
  <si>
    <t>A6</t>
  </si>
  <si>
    <t>Treadway</t>
  </si>
  <si>
    <t>A7</t>
  </si>
  <si>
    <t>Marie</t>
  </si>
  <si>
    <t>Crowell</t>
  </si>
  <si>
    <t>A8</t>
  </si>
  <si>
    <t>Holden</t>
  </si>
  <si>
    <t>Adams</t>
  </si>
  <si>
    <t>A9</t>
  </si>
  <si>
    <t>Sebastian</t>
  </si>
  <si>
    <t>Harrisson</t>
  </si>
  <si>
    <t>A10</t>
  </si>
  <si>
    <t>Johnston</t>
  </si>
  <si>
    <t>A11</t>
  </si>
  <si>
    <t>Gabriel</t>
  </si>
  <si>
    <t>LeBlanc</t>
  </si>
  <si>
    <t>A12</t>
  </si>
  <si>
    <t>Macdonald</t>
  </si>
  <si>
    <t>A13</t>
  </si>
  <si>
    <t>Ira</t>
  </si>
  <si>
    <t>Zayac</t>
  </si>
  <si>
    <t>A14</t>
  </si>
  <si>
    <t>Norah</t>
  </si>
  <si>
    <t>Glavas</t>
  </si>
  <si>
    <t>A15</t>
  </si>
  <si>
    <t>Viktoria</t>
  </si>
  <si>
    <t>Skutesky</t>
  </si>
  <si>
    <t>A16</t>
  </si>
  <si>
    <t>Anja</t>
  </si>
  <si>
    <t>A17</t>
  </si>
  <si>
    <t>Blake</t>
  </si>
  <si>
    <t>Benns</t>
  </si>
  <si>
    <t>A18</t>
  </si>
  <si>
    <t>Ricignuolo</t>
  </si>
  <si>
    <t>A19</t>
  </si>
  <si>
    <t>Wood</t>
  </si>
  <si>
    <t>A20</t>
  </si>
  <si>
    <t>Skylar</t>
  </si>
  <si>
    <t>Rodier</t>
  </si>
  <si>
    <t>A21</t>
  </si>
  <si>
    <t>Saulnier</t>
  </si>
  <si>
    <t>A22</t>
  </si>
  <si>
    <t>Isabella</t>
  </si>
  <si>
    <t>Vertefeuille</t>
  </si>
  <si>
    <t>A23</t>
  </si>
  <si>
    <t>A24</t>
  </si>
  <si>
    <t>Ronayne</t>
  </si>
  <si>
    <t>A25</t>
  </si>
  <si>
    <t>A26</t>
  </si>
  <si>
    <t>India</t>
  </si>
  <si>
    <t>Becker</t>
  </si>
  <si>
    <t>A27</t>
  </si>
  <si>
    <t>Benes</t>
  </si>
  <si>
    <t>A28</t>
  </si>
  <si>
    <t>Bubbs</t>
  </si>
  <si>
    <t>A29</t>
  </si>
  <si>
    <t>McNolty</t>
  </si>
  <si>
    <t>A30</t>
  </si>
  <si>
    <t>Tarling</t>
  </si>
  <si>
    <t>A31</t>
  </si>
  <si>
    <t>A32</t>
  </si>
  <si>
    <t>Deegan</t>
  </si>
  <si>
    <t>A33</t>
  </si>
  <si>
    <t>Grace</t>
  </si>
  <si>
    <t>Cleland</t>
  </si>
  <si>
    <t>A34</t>
  </si>
  <si>
    <t>Abbie</t>
  </si>
  <si>
    <t>A35</t>
  </si>
  <si>
    <t>Piper</t>
  </si>
  <si>
    <t>Fear</t>
  </si>
  <si>
    <t>A36</t>
  </si>
  <si>
    <t>Annika</t>
  </si>
  <si>
    <t>A37</t>
  </si>
  <si>
    <t>Arleigh</t>
  </si>
  <si>
    <t>Kemp</t>
  </si>
  <si>
    <t>A38</t>
  </si>
  <si>
    <t>Xavier</t>
  </si>
  <si>
    <t>A39</t>
  </si>
  <si>
    <t>Mack</t>
  </si>
  <si>
    <t>Manietta</t>
  </si>
  <si>
    <t>A40</t>
  </si>
  <si>
    <t>Joey</t>
  </si>
  <si>
    <t>A41</t>
  </si>
  <si>
    <t>Arnold</t>
  </si>
  <si>
    <t>A42</t>
  </si>
  <si>
    <t>Emily</t>
  </si>
  <si>
    <t>Wilson</t>
  </si>
  <si>
    <t>A43</t>
  </si>
  <si>
    <t>Solis</t>
  </si>
  <si>
    <t>A44</t>
  </si>
  <si>
    <t>Augusten</t>
  </si>
  <si>
    <t>Worsfold</t>
  </si>
  <si>
    <t>A45</t>
  </si>
  <si>
    <t>Isberg</t>
  </si>
  <si>
    <t>A46</t>
  </si>
  <si>
    <t>Emil</t>
  </si>
  <si>
    <t>Reischl</t>
  </si>
  <si>
    <t>A47</t>
  </si>
  <si>
    <t>Horswill</t>
  </si>
  <si>
    <t>A48</t>
  </si>
  <si>
    <t>McKnight</t>
  </si>
  <si>
    <t>A49</t>
  </si>
  <si>
    <t>Yousef</t>
  </si>
  <si>
    <t>Alwakees</t>
  </si>
  <si>
    <t>A50</t>
  </si>
  <si>
    <t>Samantha</t>
  </si>
  <si>
    <t>Schisler</t>
  </si>
  <si>
    <t>A51</t>
  </si>
  <si>
    <t>Chowdury</t>
  </si>
  <si>
    <t>A52</t>
  </si>
  <si>
    <t>McDonald</t>
  </si>
  <si>
    <t>A53</t>
  </si>
  <si>
    <t>Farrell</t>
  </si>
  <si>
    <t>A54</t>
  </si>
  <si>
    <t>Tyler</t>
  </si>
  <si>
    <t>McIntosh</t>
  </si>
  <si>
    <t>A55</t>
  </si>
  <si>
    <t>Luca</t>
  </si>
  <si>
    <t>Crema</t>
  </si>
  <si>
    <t>A56</t>
  </si>
  <si>
    <t>Bodhi</t>
  </si>
  <si>
    <t>Elmas</t>
  </si>
  <si>
    <t>A57</t>
  </si>
  <si>
    <t>Edward</t>
  </si>
  <si>
    <t>Gillett</t>
  </si>
  <si>
    <t>A58</t>
  </si>
  <si>
    <t>Nico</t>
  </si>
  <si>
    <t>A59</t>
  </si>
  <si>
    <t>Kyle</t>
  </si>
  <si>
    <t>Hopper-Isaac</t>
  </si>
  <si>
    <t>A60</t>
  </si>
  <si>
    <t>Jared</t>
  </si>
  <si>
    <t>Kalisch</t>
  </si>
  <si>
    <t>A61</t>
  </si>
  <si>
    <t>Keinhorst</t>
  </si>
  <si>
    <t>A62</t>
  </si>
  <si>
    <t>Arlo</t>
  </si>
  <si>
    <t>A63</t>
  </si>
  <si>
    <t>Small</t>
  </si>
  <si>
    <t>A64</t>
  </si>
  <si>
    <t>Norbert</t>
  </si>
  <si>
    <t>Parkinson</t>
  </si>
  <si>
    <t>Stella</t>
  </si>
  <si>
    <t>Henderson</t>
  </si>
  <si>
    <t>Brendan</t>
  </si>
  <si>
    <t>Hutchinson</t>
  </si>
  <si>
    <t>Alasdair</t>
  </si>
  <si>
    <t>Robertson</t>
  </si>
  <si>
    <t>David</t>
  </si>
  <si>
    <t>Shilletto</t>
  </si>
  <si>
    <t>Wenzlaff</t>
  </si>
  <si>
    <t>Gray</t>
  </si>
  <si>
    <t>Kirker</t>
  </si>
  <si>
    <t>Jakson</t>
  </si>
  <si>
    <t>Bozzer</t>
  </si>
  <si>
    <t>Harland</t>
  </si>
  <si>
    <t>Declan</t>
  </si>
  <si>
    <t>Charles</t>
  </si>
  <si>
    <t>Ho</t>
  </si>
  <si>
    <t>Dirkson</t>
  </si>
  <si>
    <t>Teo</t>
  </si>
  <si>
    <t>Damici</t>
  </si>
  <si>
    <t>Sykes</t>
  </si>
  <si>
    <t>Olivia</t>
  </si>
  <si>
    <t>Shin</t>
  </si>
  <si>
    <t>Indy</t>
  </si>
  <si>
    <t>Tomic</t>
  </si>
  <si>
    <t>Brownlee</t>
  </si>
  <si>
    <t>Elliot</t>
  </si>
  <si>
    <t>O'Hara</t>
  </si>
  <si>
    <t>Finn</t>
  </si>
  <si>
    <t>William</t>
  </si>
  <si>
    <t>Elliott</t>
  </si>
  <si>
    <t>Shae</t>
  </si>
  <si>
    <t>O'Boyle</t>
  </si>
  <si>
    <t>Carden</t>
  </si>
  <si>
    <t>Watkins</t>
  </si>
  <si>
    <t>Genevieve</t>
  </si>
  <si>
    <t>Juhasz</t>
  </si>
  <si>
    <t>Kolper</t>
  </si>
  <si>
    <t>Seth</t>
  </si>
  <si>
    <t>Andru</t>
  </si>
  <si>
    <t>Alistair</t>
  </si>
  <si>
    <t>Cook</t>
  </si>
  <si>
    <t>Bradeley</t>
  </si>
  <si>
    <t>Stephenson</t>
  </si>
  <si>
    <t>Thatcher</t>
  </si>
  <si>
    <t>Kaeden</t>
  </si>
  <si>
    <t>Lau</t>
  </si>
  <si>
    <t>Bradley</t>
  </si>
  <si>
    <t>Roy</t>
  </si>
  <si>
    <t>Loutit</t>
  </si>
  <si>
    <t>Fincham</t>
  </si>
  <si>
    <t>Jeanre</t>
  </si>
  <si>
    <t>Raubenheimer</t>
  </si>
  <si>
    <t>McLeod</t>
  </si>
  <si>
    <t>Sam</t>
  </si>
  <si>
    <t>Ortiz</t>
  </si>
  <si>
    <t>Dexter</t>
  </si>
  <si>
    <t>Erik</t>
  </si>
  <si>
    <t>Kaelan</t>
  </si>
  <si>
    <t>Percival</t>
  </si>
  <si>
    <t>Richmond</t>
  </si>
  <si>
    <t>Kayla</t>
  </si>
  <si>
    <t>Orth</t>
  </si>
  <si>
    <t>Hayden</t>
  </si>
  <si>
    <t>Bristow</t>
  </si>
  <si>
    <t>Graeden</t>
  </si>
  <si>
    <t>Pierre</t>
  </si>
  <si>
    <t>Simon</t>
  </si>
  <si>
    <t>Tylor</t>
  </si>
  <si>
    <t>Way</t>
  </si>
  <si>
    <t>Kolkea</t>
  </si>
  <si>
    <t>McGowan</t>
  </si>
  <si>
    <t>Sturgess</t>
  </si>
  <si>
    <t>Murray</t>
  </si>
  <si>
    <t>Reed</t>
  </si>
  <si>
    <t>Levitt</t>
  </si>
  <si>
    <t>Cooper</t>
  </si>
  <si>
    <t>Olson</t>
  </si>
  <si>
    <t>Jeremy</t>
  </si>
  <si>
    <t>Smerychynski</t>
  </si>
  <si>
    <t>A65</t>
  </si>
  <si>
    <t>Sawyer</t>
  </si>
  <si>
    <t>Munn-Gotto</t>
  </si>
  <si>
    <t>A66</t>
  </si>
  <si>
    <t>Leo</t>
  </si>
  <si>
    <t>Pullen</t>
  </si>
  <si>
    <t>A67</t>
  </si>
  <si>
    <t>Carriere</t>
  </si>
  <si>
    <t>A68</t>
  </si>
  <si>
    <t>Winter</t>
  </si>
  <si>
    <t>A69</t>
  </si>
  <si>
    <t>Cece</t>
  </si>
  <si>
    <t>Burton</t>
  </si>
  <si>
    <t>A70</t>
  </si>
  <si>
    <t>Mikayla</t>
  </si>
  <si>
    <t>Goldrick</t>
  </si>
  <si>
    <t>A71</t>
  </si>
  <si>
    <t>Josie</t>
  </si>
  <si>
    <t>A72</t>
  </si>
  <si>
    <t>Alexa</t>
  </si>
  <si>
    <t>Maxwell</t>
  </si>
  <si>
    <t>A73</t>
  </si>
  <si>
    <t>Alva</t>
  </si>
  <si>
    <t>Campos</t>
  </si>
  <si>
    <t>A74</t>
  </si>
  <si>
    <t>Lewis</t>
  </si>
  <si>
    <t>A75</t>
  </si>
  <si>
    <t>Damyen</t>
  </si>
  <si>
    <t>Bouvier</t>
  </si>
  <si>
    <t>A76</t>
  </si>
  <si>
    <t>Kaede</t>
  </si>
  <si>
    <t>Gossman</t>
  </si>
  <si>
    <t>A77</t>
  </si>
  <si>
    <t>Cove</t>
  </si>
  <si>
    <t>A78</t>
  </si>
  <si>
    <t>Koch</t>
  </si>
  <si>
    <t>A79</t>
  </si>
  <si>
    <t>Rothdram</t>
  </si>
  <si>
    <t>A80</t>
  </si>
  <si>
    <t>Thomas</t>
  </si>
  <si>
    <t>A81</t>
  </si>
  <si>
    <t>Anton</t>
  </si>
  <si>
    <t>Anghellescu</t>
  </si>
  <si>
    <t>A82</t>
  </si>
  <si>
    <t>Maggie</t>
  </si>
  <si>
    <t>Hertz</t>
  </si>
  <si>
    <t>A83</t>
  </si>
  <si>
    <t>A84</t>
  </si>
  <si>
    <t>Benson</t>
  </si>
  <si>
    <t>A85</t>
  </si>
  <si>
    <t>Drea</t>
  </si>
  <si>
    <t>A86</t>
  </si>
  <si>
    <t>Grant</t>
  </si>
  <si>
    <t>A87</t>
  </si>
  <si>
    <t>Phoenix</t>
  </si>
  <si>
    <t>Holmes</t>
  </si>
  <si>
    <t>A88</t>
  </si>
  <si>
    <t>Elliette</t>
  </si>
  <si>
    <t>Cafferata</t>
  </si>
  <si>
    <t>A89</t>
  </si>
  <si>
    <t>A90</t>
  </si>
  <si>
    <t>Fort</t>
  </si>
  <si>
    <t>A91</t>
  </si>
  <si>
    <t>Emelie</t>
  </si>
  <si>
    <t>Kvick</t>
  </si>
  <si>
    <t>Isla</t>
  </si>
  <si>
    <t>Gibson</t>
  </si>
  <si>
    <t>Check Out</t>
  </si>
  <si>
    <t>Preston Cesorso</t>
  </si>
  <si>
    <t>added R4</t>
  </si>
  <si>
    <t>DN</t>
  </si>
  <si>
    <t>Lily McGowan</t>
  </si>
  <si>
    <t>Claire Benson</t>
  </si>
  <si>
    <t>First Name</t>
  </si>
  <si>
    <t>Last Name</t>
  </si>
  <si>
    <t>Attending</t>
  </si>
  <si>
    <t>Porte</t>
  </si>
  <si>
    <t>Hume</t>
  </si>
  <si>
    <t>Fraser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</si>
  <si>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</si>
  <si>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</si>
  <si>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</si>
  <si>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</si>
  <si>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</si>
  <si>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</si>
  <si>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</si>
  <si>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</si>
  <si>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</si>
  <si>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</si>
  <si>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</si>
  <si>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</si>
  <si>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</si>
  <si>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</si>
  <si>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</si>
  <si>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</si>
  <si>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</si>
  <si>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</si>
  <si>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</si>
  <si>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</si>
  <si>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</si>
  <si>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</si>
  <si>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</si>
  <si>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</si>
  <si>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</si>
  <si>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</si>
  <si>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</si>
  <si>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</si>
  <si>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</si>
  <si>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</si>
  <si>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</si>
  <si>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</si>
  <si>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</si>
  <si>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</si>
  <si>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</si>
  <si>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</si>
  <si>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Yes</t>
  </si>
  <si>
    <t>S37</t>
  </si>
  <si>
    <t>S38</t>
  </si>
  <si>
    <t>S39</t>
  </si>
  <si>
    <t>S40</t>
  </si>
  <si>
    <t>S41</t>
  </si>
  <si>
    <t>S42</t>
  </si>
  <si>
    <t>S43</t>
  </si>
  <si>
    <t>S44</t>
  </si>
  <si>
    <t>Malayeri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</si>
  <si>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</si>
  <si>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</si>
  <si>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</si>
  <si>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</si>
  <si>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</si>
  <si>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</si>
  <si>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</si>
  <si>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</si>
  <si>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</si>
  <si>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</si>
  <si>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</si>
  <si>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</si>
  <si>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</si>
  <si>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</si>
  <si>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</si>
  <si>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</si>
  <si>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</si>
  <si>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</si>
  <si>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</si>
  <si>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</si>
  <si>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Preston</t>
  </si>
  <si>
    <t>Cesorso</t>
  </si>
  <si>
    <t>S65</t>
  </si>
  <si>
    <t>S66</t>
  </si>
  <si>
    <t>Evan</t>
  </si>
  <si>
    <t>Kozak</t>
  </si>
  <si>
    <t>S67</t>
  </si>
  <si>
    <t>Jackson</t>
  </si>
  <si>
    <t>S68</t>
  </si>
  <si>
    <t>Phillips</t>
  </si>
  <si>
    <t>S69</t>
  </si>
  <si>
    <t>Koji</t>
  </si>
  <si>
    <t>Irvine</t>
  </si>
  <si>
    <t>S70</t>
  </si>
  <si>
    <t>Bella</t>
  </si>
  <si>
    <t>Gomes</t>
  </si>
  <si>
    <t>S71</t>
  </si>
  <si>
    <t>S72</t>
  </si>
  <si>
    <t>Asher</t>
  </si>
  <si>
    <t>Lissett</t>
  </si>
  <si>
    <t>S73</t>
  </si>
  <si>
    <t>Mackenzie</t>
  </si>
  <si>
    <t>Velaniskis</t>
  </si>
  <si>
    <t>S74</t>
  </si>
  <si>
    <t>Walsh</t>
  </si>
  <si>
    <t>S75</t>
  </si>
  <si>
    <t>Weston</t>
  </si>
  <si>
    <t>Morum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</si>
  <si>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</si>
  <si>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</si>
  <si>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</si>
  <si>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</si>
  <si>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</si>
  <si>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</si>
  <si>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</si>
  <si>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</si>
  <si>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</si>
  <si>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</si>
  <si>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</si>
  <si>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</si>
  <si>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</si>
  <si>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</si>
  <si>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</si>
  <si>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</si>
  <si>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</si>
  <si>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</si>
  <si>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</si>
  <si>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</si>
  <si>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</si>
  <si>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Sheilds</t>
  </si>
  <si>
    <t>S97</t>
  </si>
  <si>
    <t>S98</t>
  </si>
  <si>
    <t>S99</t>
  </si>
  <si>
    <t>Tremari</t>
  </si>
  <si>
    <t>J35</t>
  </si>
  <si>
    <t>Elisio</t>
  </si>
  <si>
    <t>Lorez</t>
  </si>
  <si>
    <t>Hungr</t>
  </si>
  <si>
    <t>Lily</t>
  </si>
  <si>
    <t>spare chips</t>
  </si>
  <si>
    <t>A92-00</t>
  </si>
  <si>
    <t>S00</t>
  </si>
  <si>
    <t>Plate#</t>
  </si>
  <si>
    <t>Check In</t>
  </si>
  <si>
    <t>J92-00</t>
  </si>
  <si>
    <t>Mattias Laocque</t>
  </si>
  <si>
    <t>added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</si>
</sst>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Segoe UI"/>
      <family val="2"/>
    </font>
    <font>
      <b/>
      <sz val="11"/>
      <color theme="1"/>
      <name val="Segoe UI"/>
      <family val="2"/>
    </font>
    <font>
      <strike/>
      <sz val="11"/>
      <color theme="1"/>
      <name val="Segoe UI"/>
      <family val="2"/>
    </font>
    <font>
      <sz val="11"/>
      <color theme="1"/>
      <name val="Segoe UI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1A0C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9"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9082D30-6B23-4135-8B42-7B193F0CEE70}">
    <nsvFilter filterId="{4732A653-9976-4BC3-B1BB-3377C0BE5451}" ref="A1:V365" tableId="3">
      <columnFilter colId="2" id="{7521EB7C-E51A-4930-A4D2-608C8D120FA9}">
        <filter colId="2">
          <x:filters>
            <x:filter val="Jr Boys"/>
          </x:filters>
        </filter>
      </columnFilter>
      <columnFilter colId="4" id="{E5052869-8E78-47FC-82AF-EAED348A6A8A}">
        <filter colId="4">
          <x:filters>
            <x:filter val="Active"/>
          </x:filters>
        </filter>
      </columnFilter>
      <sortRules>
        <sortRule colId="13" id="{58CEE06C-D397-4C16-AFDA-197232873DB1}">
          <sortCondition ref="N1:N365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B0C24-496D-4362-8989-27568D29525A}" name="tbl_points" displayName="tbl_points" ref="E1:F60" totalsRowShown="0" headerRowDxfId="58">
  <autoFilter ref="E1:F60" xr:uid="{B67B0C24-496D-4362-8989-27568D29525A}"/>
  <tableColumns count="2">
    <tableColumn id="1" xr3:uid="{26FEA31D-C1DD-4A82-A0F0-29F4BFEAA9BF}" name="Place"/>
    <tableColumn id="2" xr3:uid="{1E545BF4-C862-40A6-908B-9CA968F8F302}" name="Poi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32A653-9976-4BC3-B1BB-3377C0BE5451}" name="tbl_individual" displayName="tbl_individual" ref="A1:V365" totalsRowShown="0" headerRowDxfId="57">
  <autoFilter ref="A1:V365" xr:uid="{4732A653-9976-4BC3-B1BB-3377C0BE5451}">
    <filterColumn colId="2">
      <filters>
        <filter val="Juv Girls"/>
      </filters>
    </filterColumn>
    <filterColumn colId="4">
      <filters>
        <filter val="Active"/>
      </filters>
    </filterColumn>
  </autoFilter>
  <sortState xmlns:xlrd2="http://schemas.microsoft.com/office/spreadsheetml/2017/richdata2" ref="A2:V365">
    <sortCondition ref="B2:B365"/>
    <sortCondition ref="C2:C365" customList="Bant Boys,Bant Girls,Juv Boys,Juv Girls,Jr Boys,Jr Girls,Sr Boys,Sr Girls"/>
    <sortCondition ref="D2:D365"/>
  </sortState>
  <tableColumns count="22">
    <tableColumn id="1" xr3:uid="{DD0C8BFC-D933-4D84-A252-784AFB91D5D2}" name="Student Name"/>
    <tableColumn id="2" xr3:uid="{50DB066B-1368-4510-AE03-F035E82A9C80}" name="School"/>
    <tableColumn id="3" xr3:uid="{7521EB7C-E51A-4930-A4D2-608C8D120FA9}" name="Division"/>
    <tableColumn id="4" xr3:uid="{95AF9BEA-E11E-4C3A-98F5-4C1CA2AE9261}" name="Plate #" dataDxfId="56"/>
    <tableColumn id="23" xr3:uid="{E5052869-8E78-47FC-82AF-EAED348A6A8A}" name="Status" dataDxfId="55"/>
    <tableColumn id="25" xr3:uid="{1EE36E8D-9A39-47C5-865B-6072DD035FA5}" name="Notes" dataDxfId="54"/>
    <tableColumn id="26" xr3:uid="{ECB7C0F9-CBBB-4E8E-8CEF-0E32A2F40C17}" name="Attendance" dataDxfId="53"/>
    <tableColumn id="5" xr3:uid="{C4BC7103-4C35-4FC3-8F18-8455C41D4783}" name="R1 Place" dataDxfId="52"/>
    <tableColumn id="6" xr3:uid="{F003CE6A-1709-47C7-A52B-4E78A06B55BC}" name="R1 Pts" dataDxfId="51">
      <calculatedColumnFormula>IF(H2="","",IF(H2="DNS",0,IF(H2="DQ",0,IF(H2="DNF",1,IF(AND(ISNUMBER(H2),H2&gt;59),1,_xlfn.XLOOKUP(H2,tbl_points[Place],tbl_points[Points],""))))))</calculatedColumnFormula>
    </tableColumn>
    <tableColumn id="7" xr3:uid="{00AA5EEC-F524-4B3A-8D3D-DD590338CBF4}" name="R2 Place" dataDxfId="50"/>
    <tableColumn id="8" xr3:uid="{D5BD0204-BF0C-4CD7-84CF-355F4C709D84}" name="R2 Pts" dataDxfId="49">
      <calculatedColumnFormula>IF(J2="","",IF(J2="DNS",0,IF(J2="DQ",0,IF(J2="DNF",1,IF(AND(ISNUMBER(J2),J2&gt;59),1,_xlfn.XLOOKUP(J2,tbl_points[Place],tbl_points[Points],""))))))</calculatedColumnFormula>
    </tableColumn>
    <tableColumn id="9" xr3:uid="{AAA1602A-3E76-4D80-A749-C082B0EEE022}" name="R3 Place" dataDxfId="48"/>
    <tableColumn id="10" xr3:uid="{129B956B-A68A-4A58-B03A-5E88F63F4109}" name="R3 Pts" dataDxfId="47">
      <calculatedColumnFormula>IF(L2="","",IF(L2="DNS",0,IF(L2="DQ",0,IF(L2="DNF",1,IF(AND(ISNUMBER(L2),L2&gt;59),1,_xlfn.XLOOKUP(L2,tbl_points[Place],tbl_points[Points],""))))))</calculatedColumnFormula>
    </tableColumn>
    <tableColumn id="11" xr3:uid="{58CEE06C-D397-4C16-AFDA-197232873DB1}" name="R4 Place" dataDxfId="46"/>
    <tableColumn id="12" xr3:uid="{8F6D618C-1190-4F5C-A449-77BB8AFE782C}" name="R4 Pts" dataDxfId="45">
      <calculatedColumnFormula>IF(N2="","",IF(N2="DNS",0,IF(N2="DQ",0,IF(N2="DNF",1,IF(AND(ISNUMBER(N2),N2&gt;59),1,_xlfn.XLOOKUP(N2,tbl_points[Place],tbl_points[Points],""))))))</calculatedColumnFormula>
    </tableColumn>
    <tableColumn id="13" xr3:uid="{09134E3A-40B6-4480-BF56-619415F1546B}" name="R5 Place" dataDxfId="44"/>
    <tableColumn id="14" xr3:uid="{0630E922-C5AC-4446-B509-709B7EECF31A}" name="R5 Pts" dataDxfId="43">
      <calculatedColumnFormula>IF(P2="","",IF(P2="DNS",0,IF(P2="DQ",0,IF(P2="DNF",1,IF(AND(ISNUMBER(P2),P2&gt;59),1,_xlfn.XLOOKUP(P2,tbl_points[Place],tbl_points[Points],""))))))</calculatedColumnFormula>
    </tableColumn>
    <tableColumn id="15" xr3:uid="{A3A3C6B1-EAC4-4CA1-B9F1-91AD4AED8E96}" name="R6 Place" dataDxfId="42"/>
    <tableColumn id="16" xr3:uid="{183BA364-7ECF-4FCA-8D96-4CEAFE4D6897}" name="R6 Pts" dataDxfId="41">
      <calculatedColumnFormula>IF(R2="","",IF(R2="DNS",0,IF(R2="DQ",0,IF(R2="DNF",1,IF(AND(ISNUMBER(R2),R2&gt;59),1,_xlfn.XLOOKUP(R2,tbl_points[Place],tbl_points[Points],""))))))</calculatedColumnFormula>
    </tableColumn>
    <tableColumn id="17" xr3:uid="{7E434874-15F0-4158-8350-07E2BFD885BE}" name="Total" dataDxfId="40">
      <calculatedColumnFormula>SUM(tbl_individual[[#This Row],[R1 Pts]],tbl_individual[[#This Row],[R2 Pts]],tbl_individual[[#This Row],[R3 Pts]],tbl_individual[[#This Row],[R4 Pts]],tbl_individual[[#This Row],[R5 Pts]],tbl_individual[[#This Row],[R6 Pts]])</calculatedColumnFormula>
    </tableColumn>
    <tableColumn id="18" xr3:uid="{86859925-B685-41CB-B33D-9607A1626666}" name="Lowest Score" dataDxfId="39">
      <calculatedColumnFormula>MIN(tbl_individual[[#This Row],[R1 Pts]],tbl_individual[[#This Row],[R2 Pts]],tbl_individual[[#This Row],[R3 Pts]],tbl_individual[[#This Row],[R4 Pts]],tbl_individual[[#This Row],[R5 Pts]],tbl_individual[[#This Row],[R6 Pts]])</calculatedColumnFormula>
    </tableColumn>
    <tableColumn id="19" xr3:uid="{3B09C5B7-0CED-45E4-9DF3-6F0F3B8C89EE}" name="Top 5" dataDxfId="38">
      <calculatedColumnFormula>tbl_individual[[#This Row],[Total]]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E32177-DBD8-4299-9E12-DE45C01CDFC1}" name="tbl_teampoints" displayName="tbl_teampoints" ref="A1:I48" totalsRowShown="0" headerRowDxfId="37">
  <autoFilter ref="A1:I48" xr:uid="{6FE32177-DBD8-4299-9E12-DE45C01CDFC1}"/>
  <sortState xmlns:xlrd2="http://schemas.microsoft.com/office/spreadsheetml/2017/richdata2" ref="A2:I48">
    <sortCondition ref="A2:A48"/>
    <sortCondition descending="1" ref="I2:I48"/>
  </sortState>
  <tableColumns count="9">
    <tableColumn id="1" xr3:uid="{E4DDB9C1-470A-4B63-B391-B74364B13A0B}" name="Division"/>
    <tableColumn id="2" xr3:uid="{C9B23502-0457-486C-96DF-CDE7023AF0B8}" name="School"/>
    <tableColumn id="3" xr3:uid="{2FDC0DE4-1DEE-4FF2-90E4-1CEBC22D34E1}" name="Race 1" dataDxfId="36">
      <calculatedColumnFormula array="1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calculatedColumnFormula>
    </tableColumn>
    <tableColumn id="4" xr3:uid="{B1A9F92E-C531-4F9B-9E61-4AF67269E504}" name="Race 2" dataDxfId="35">
      <calculatedColumnFormula array="1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calculatedColumnFormula>
    </tableColumn>
    <tableColumn id="5" xr3:uid="{98622B84-034F-49A3-94EB-FE028D7330DC}" name="Race 3" dataDxfId="34">
      <calculatedColumnFormula array="1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calculatedColumnFormula>
    </tableColumn>
    <tableColumn id="6" xr3:uid="{E251564D-BEF9-4A06-B705-57876A4C364D}" name="Race 4" dataDxfId="33">
      <calculatedColumnFormula array="1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calculatedColumnFormula>
    </tableColumn>
    <tableColumn id="7" xr3:uid="{E38A2690-1CC8-45F7-9CAB-D28FDE2604B7}" name="Race 5" dataDxfId="32">
      <calculatedColumnFormula array="1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calculatedColumnFormula>
    </tableColumn>
    <tableColumn id="8" xr3:uid="{51FAA391-8BE1-4ECE-A0AB-B5AB0C9BE2C5}" name="Race 6" dataDxfId="31">
      <calculatedColumnFormula array="1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calculatedColumnFormula>
    </tableColumn>
    <tableColumn id="9" xr3:uid="{539A3327-6FEC-4B8A-A923-635DC3180909}" name="Total" dataDxfId="30">
      <calculatedColumnFormula>SUM(tbl_teampoints[[#This Row],[Race 1]]:tbl_teampoints[[#This Row],[Race 6]])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72E9F-EE44-4876-820C-73B5A3508FD3}" name="Table2" displayName="Table2" ref="A1:I389" totalsRowShown="0" headerRowDxfId="29" dataDxfId="27" headerRowBorderDxfId="28" tableBorderDxfId="26" totalsRowBorderDxfId="25">
  <autoFilter ref="A1:I389" xr:uid="{A3D72E9F-EE44-4876-820C-73B5A3508FD3}"/>
  <sortState xmlns:xlrd2="http://schemas.microsoft.com/office/spreadsheetml/2017/richdata2" ref="A2:G389">
    <sortCondition ref="C2:C389"/>
    <sortCondition ref="D2:D389" customList="Bant Boys,Bant Girls,Juv Boys,Juv Girls,Jr Boys,Jr Girls,Sr Boys,Sr Girls"/>
    <sortCondition ref="E2:E389"/>
  </sortState>
  <tableColumns count="9">
    <tableColumn id="1" xr3:uid="{B59F2718-5320-45D4-B48C-AF5DBAC7FB08}" name="First Name" dataDxfId="24"/>
    <tableColumn id="2" xr3:uid="{778FC9B7-DE26-430A-9897-7B62B9BD8E4C}" name="Last Name" dataDxfId="23"/>
    <tableColumn id="3" xr3:uid="{44C49F15-7E8D-4521-9A35-C48CFE1313DA}" name="School" dataDxfId="22"/>
    <tableColumn id="4" xr3:uid="{737F42CA-CAC8-48D7-B6AA-4377690A4A4F}" name="Division" dataDxfId="21"/>
    <tableColumn id="5" xr3:uid="{8169D064-E013-44F4-8DF3-343AB1DE9CB9}" name="Plate#" dataDxfId="20"/>
    <tableColumn id="6" xr3:uid="{7BD83455-9351-4DB3-8F42-5EA6E452BEBC}" name="Attending" dataDxfId="19"/>
    <tableColumn id="7" xr3:uid="{7DE332EA-0817-4C81-920E-44CA3C49D382}" name="chip_list" dataDxfId="18"/>
    <tableColumn id="8" xr3:uid="{A71DD5BF-C89E-496B-9A03-761157F311CC}" name="Check In" dataDxfId="17"/>
    <tableColumn id="9" xr3:uid="{99C546CF-7BD8-4E2A-8EA8-6D7028140440}" name="Check Out" data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B68E-939F-4CD0-B2DC-79C80E9DC2E8}">
  <dimension ref="A1:H60"/>
  <sheetViews>
    <sheetView workbookViewId="0">
      <selection activeCell="H6" sqref="H6"/>
    </sheetView>
  </sheetViews>
  <sheetFormatPr defaultRowHeight="16.8" x14ac:dyDescent="0.4"/>
  <cols>
    <col min="1" max="1" width="14" customWidth="1"/>
    <col min="2" max="2" width="12.09765625" bestFit="1" customWidth="1"/>
    <col min="8" max="8" width="10" bestFit="1" customWidth="1"/>
  </cols>
  <sheetData>
    <row r="1" spans="1:8" x14ac:dyDescent="0.4">
      <c r="A1" s="1" t="s">
        <v>0</v>
      </c>
      <c r="B1" s="1" t="s">
        <v>9</v>
      </c>
      <c r="C1" t="s">
        <v>406</v>
      </c>
      <c r="E1" s="1" t="s">
        <v>32</v>
      </c>
      <c r="F1" s="1" t="s">
        <v>33</v>
      </c>
      <c r="H1" t="s">
        <v>420</v>
      </c>
    </row>
    <row r="2" spans="1:8" x14ac:dyDescent="0.4">
      <c r="A2" t="s">
        <v>1</v>
      </c>
      <c r="B2" t="s">
        <v>10</v>
      </c>
      <c r="C2">
        <f>COUNTIFS(tbl_individual[School], B2)</f>
        <v>56</v>
      </c>
      <c r="E2">
        <v>1</v>
      </c>
      <c r="F2">
        <v>100</v>
      </c>
      <c r="H2" t="s">
        <v>421</v>
      </c>
    </row>
    <row r="3" spans="1:8" x14ac:dyDescent="0.4">
      <c r="A3" t="s">
        <v>2</v>
      </c>
      <c r="B3" t="s">
        <v>11</v>
      </c>
      <c r="C3">
        <f>COUNTIFS(tbl_individual[School], B3)</f>
        <v>10</v>
      </c>
      <c r="E3">
        <v>2</v>
      </c>
      <c r="F3">
        <v>95</v>
      </c>
      <c r="H3" t="s">
        <v>422</v>
      </c>
    </row>
    <row r="4" spans="1:8" x14ac:dyDescent="0.4">
      <c r="A4" t="s">
        <v>3</v>
      </c>
      <c r="B4" t="s">
        <v>12</v>
      </c>
      <c r="C4">
        <f>COUNTIFS(tbl_individual[School], B4)</f>
        <v>9</v>
      </c>
      <c r="E4">
        <v>3</v>
      </c>
      <c r="F4">
        <v>90</v>
      </c>
      <c r="H4" t="s">
        <v>423</v>
      </c>
    </row>
    <row r="5" spans="1:8" x14ac:dyDescent="0.4">
      <c r="A5" t="s">
        <v>4</v>
      </c>
      <c r="B5" t="s">
        <v>13</v>
      </c>
      <c r="C5">
        <f>COUNTIFS(tbl_individual[School], B5)</f>
        <v>17</v>
      </c>
      <c r="E5">
        <v>4</v>
      </c>
      <c r="F5">
        <v>85</v>
      </c>
      <c r="H5" t="s">
        <v>433</v>
      </c>
    </row>
    <row r="6" spans="1:8" x14ac:dyDescent="0.4">
      <c r="A6" t="s">
        <v>5</v>
      </c>
      <c r="B6" t="s">
        <v>14</v>
      </c>
      <c r="C6">
        <f>COUNTIFS(tbl_individual[School], B6)</f>
        <v>6</v>
      </c>
      <c r="E6">
        <v>5</v>
      </c>
      <c r="F6">
        <v>80</v>
      </c>
    </row>
    <row r="7" spans="1:8" x14ac:dyDescent="0.4">
      <c r="A7" t="s">
        <v>6</v>
      </c>
      <c r="B7" t="s">
        <v>15</v>
      </c>
      <c r="C7">
        <f>COUNTIFS(tbl_individual[School], B7)</f>
        <v>15</v>
      </c>
      <c r="E7">
        <v>6</v>
      </c>
      <c r="F7">
        <v>75</v>
      </c>
    </row>
    <row r="8" spans="1:8" x14ac:dyDescent="0.4">
      <c r="A8" t="s">
        <v>7</v>
      </c>
      <c r="B8" t="s">
        <v>16</v>
      </c>
      <c r="C8">
        <f>COUNTIFS(tbl_individual[School], B8)</f>
        <v>9</v>
      </c>
      <c r="E8">
        <v>7</v>
      </c>
      <c r="F8">
        <v>70</v>
      </c>
    </row>
    <row r="9" spans="1:8" x14ac:dyDescent="0.4">
      <c r="A9" t="s">
        <v>8</v>
      </c>
      <c r="B9" t="s">
        <v>17</v>
      </c>
      <c r="C9">
        <f>COUNTIFS(tbl_individual[School], B9)</f>
        <v>12</v>
      </c>
      <c r="E9">
        <v>8</v>
      </c>
      <c r="F9">
        <v>65</v>
      </c>
    </row>
    <row r="10" spans="1:8" x14ac:dyDescent="0.4">
      <c r="A10" t="s">
        <v>395</v>
      </c>
      <c r="B10" t="s">
        <v>18</v>
      </c>
      <c r="C10">
        <f>COUNTIFS(tbl_individual[School], B10)</f>
        <v>5</v>
      </c>
      <c r="E10">
        <v>9</v>
      </c>
      <c r="F10">
        <v>60</v>
      </c>
    </row>
    <row r="11" spans="1:8" x14ac:dyDescent="0.4">
      <c r="A11" t="s">
        <v>396</v>
      </c>
      <c r="B11" t="s">
        <v>19</v>
      </c>
      <c r="C11">
        <f>COUNTIFS(tbl_individual[School], B11)</f>
        <v>6</v>
      </c>
      <c r="E11">
        <v>10</v>
      </c>
      <c r="F11">
        <v>55</v>
      </c>
    </row>
    <row r="12" spans="1:8" x14ac:dyDescent="0.4">
      <c r="B12" t="s">
        <v>20</v>
      </c>
      <c r="C12">
        <f>COUNTIFS(tbl_individual[School], B12)</f>
        <v>31</v>
      </c>
      <c r="E12">
        <v>11</v>
      </c>
      <c r="F12">
        <v>53</v>
      </c>
    </row>
    <row r="13" spans="1:8" x14ac:dyDescent="0.4">
      <c r="B13" t="s">
        <v>21</v>
      </c>
      <c r="C13">
        <f>COUNTIFS(tbl_individual[School], B13)</f>
        <v>24</v>
      </c>
      <c r="E13">
        <v>12</v>
      </c>
      <c r="F13">
        <v>51</v>
      </c>
    </row>
    <row r="14" spans="1:8" x14ac:dyDescent="0.4">
      <c r="B14" t="s">
        <v>22</v>
      </c>
      <c r="C14">
        <f>COUNTIFS(tbl_individual[School], B14)</f>
        <v>5</v>
      </c>
      <c r="E14">
        <v>13</v>
      </c>
      <c r="F14">
        <v>49</v>
      </c>
    </row>
    <row r="15" spans="1:8" x14ac:dyDescent="0.4">
      <c r="B15" t="s">
        <v>23</v>
      </c>
      <c r="C15">
        <f>COUNTIFS(tbl_individual[School], B15)</f>
        <v>39</v>
      </c>
      <c r="E15">
        <v>14</v>
      </c>
      <c r="F15">
        <v>47</v>
      </c>
    </row>
    <row r="16" spans="1:8" x14ac:dyDescent="0.4">
      <c r="B16" t="s">
        <v>24</v>
      </c>
      <c r="C16">
        <f>COUNTIFS(tbl_individual[School], B16)</f>
        <v>6</v>
      </c>
      <c r="E16">
        <v>15</v>
      </c>
      <c r="F16">
        <v>45</v>
      </c>
    </row>
    <row r="17" spans="2:6" x14ac:dyDescent="0.4">
      <c r="B17" t="s">
        <v>25</v>
      </c>
      <c r="C17">
        <f>COUNTIFS(tbl_individual[School], B17)</f>
        <v>21</v>
      </c>
      <c r="E17">
        <v>16</v>
      </c>
      <c r="F17">
        <v>44</v>
      </c>
    </row>
    <row r="18" spans="2:6" x14ac:dyDescent="0.4">
      <c r="B18" t="s">
        <v>26</v>
      </c>
      <c r="C18">
        <f>COUNTIFS(tbl_individual[School], B18)</f>
        <v>11</v>
      </c>
      <c r="E18">
        <v>17</v>
      </c>
      <c r="F18">
        <v>43</v>
      </c>
    </row>
    <row r="19" spans="2:6" x14ac:dyDescent="0.4">
      <c r="B19" t="s">
        <v>27</v>
      </c>
      <c r="C19">
        <f>COUNTIFS(tbl_individual[School], B19)</f>
        <v>18</v>
      </c>
      <c r="E19">
        <v>18</v>
      </c>
      <c r="F19">
        <v>42</v>
      </c>
    </row>
    <row r="20" spans="2:6" x14ac:dyDescent="0.4">
      <c r="B20" t="s">
        <v>28</v>
      </c>
      <c r="C20">
        <f>COUNTIFS(tbl_individual[School], B20)</f>
        <v>19</v>
      </c>
      <c r="E20">
        <v>19</v>
      </c>
      <c r="F20">
        <v>41</v>
      </c>
    </row>
    <row r="21" spans="2:6" x14ac:dyDescent="0.4">
      <c r="B21" t="s">
        <v>29</v>
      </c>
      <c r="C21">
        <f>COUNTIFS(tbl_individual[School], B21)</f>
        <v>7</v>
      </c>
      <c r="E21">
        <v>20</v>
      </c>
      <c r="F21">
        <v>40</v>
      </c>
    </row>
    <row r="22" spans="2:6" x14ac:dyDescent="0.4">
      <c r="B22" t="s">
        <v>30</v>
      </c>
      <c r="C22">
        <f>COUNTIFS(tbl_individual[School], B22)</f>
        <v>28</v>
      </c>
      <c r="E22">
        <v>21</v>
      </c>
      <c r="F22">
        <v>39</v>
      </c>
    </row>
    <row r="23" spans="2:6" x14ac:dyDescent="0.4">
      <c r="B23" t="s">
        <v>31</v>
      </c>
      <c r="C23">
        <f>COUNTIFS(tbl_individual[School], B23)</f>
        <v>10</v>
      </c>
      <c r="E23">
        <v>22</v>
      </c>
      <c r="F23">
        <v>38</v>
      </c>
    </row>
    <row r="24" spans="2:6" x14ac:dyDescent="0.4">
      <c r="C24">
        <f>AVERAGE(C2:C23)</f>
        <v>16.545454545454547</v>
      </c>
      <c r="E24">
        <v>23</v>
      </c>
      <c r="F24">
        <v>37</v>
      </c>
    </row>
    <row r="25" spans="2:6" x14ac:dyDescent="0.4">
      <c r="E25">
        <v>24</v>
      </c>
      <c r="F25">
        <v>36</v>
      </c>
    </row>
    <row r="26" spans="2:6" x14ac:dyDescent="0.4">
      <c r="E26">
        <v>25</v>
      </c>
      <c r="F26">
        <v>35</v>
      </c>
    </row>
    <row r="27" spans="2:6" x14ac:dyDescent="0.4">
      <c r="E27">
        <v>26</v>
      </c>
      <c r="F27">
        <v>34</v>
      </c>
    </row>
    <row r="28" spans="2:6" x14ac:dyDescent="0.4">
      <c r="E28">
        <v>27</v>
      </c>
      <c r="F28">
        <v>33</v>
      </c>
    </row>
    <row r="29" spans="2:6" x14ac:dyDescent="0.4">
      <c r="E29">
        <v>28</v>
      </c>
      <c r="F29">
        <v>32</v>
      </c>
    </row>
    <row r="30" spans="2:6" x14ac:dyDescent="0.4">
      <c r="E30">
        <v>29</v>
      </c>
      <c r="F30">
        <v>31</v>
      </c>
    </row>
    <row r="31" spans="2:6" x14ac:dyDescent="0.4">
      <c r="E31">
        <v>30</v>
      </c>
      <c r="F31">
        <v>30</v>
      </c>
    </row>
    <row r="32" spans="2:6" x14ac:dyDescent="0.4">
      <c r="E32">
        <v>31</v>
      </c>
      <c r="F32">
        <v>29</v>
      </c>
    </row>
    <row r="33" spans="5:6" x14ac:dyDescent="0.4">
      <c r="E33">
        <v>32</v>
      </c>
      <c r="F33">
        <v>28</v>
      </c>
    </row>
    <row r="34" spans="5:6" x14ac:dyDescent="0.4">
      <c r="E34">
        <v>33</v>
      </c>
      <c r="F34">
        <v>27</v>
      </c>
    </row>
    <row r="35" spans="5:6" x14ac:dyDescent="0.4">
      <c r="E35">
        <v>34</v>
      </c>
      <c r="F35">
        <v>26</v>
      </c>
    </row>
    <row r="36" spans="5:6" x14ac:dyDescent="0.4">
      <c r="E36">
        <v>35</v>
      </c>
      <c r="F36">
        <v>25</v>
      </c>
    </row>
    <row r="37" spans="5:6" x14ac:dyDescent="0.4">
      <c r="E37">
        <v>36</v>
      </c>
      <c r="F37">
        <v>24</v>
      </c>
    </row>
    <row r="38" spans="5:6" x14ac:dyDescent="0.4">
      <c r="E38">
        <v>37</v>
      </c>
      <c r="F38">
        <v>23</v>
      </c>
    </row>
    <row r="39" spans="5:6" x14ac:dyDescent="0.4">
      <c r="E39">
        <v>38</v>
      </c>
      <c r="F39">
        <v>22</v>
      </c>
    </row>
    <row r="40" spans="5:6" x14ac:dyDescent="0.4">
      <c r="E40">
        <v>39</v>
      </c>
      <c r="F40">
        <v>21</v>
      </c>
    </row>
    <row r="41" spans="5:6" x14ac:dyDescent="0.4">
      <c r="E41">
        <v>40</v>
      </c>
      <c r="F41">
        <v>20</v>
      </c>
    </row>
    <row r="42" spans="5:6" x14ac:dyDescent="0.4">
      <c r="E42">
        <v>41</v>
      </c>
      <c r="F42">
        <v>19</v>
      </c>
    </row>
    <row r="43" spans="5:6" x14ac:dyDescent="0.4">
      <c r="E43">
        <v>42</v>
      </c>
      <c r="F43">
        <v>18</v>
      </c>
    </row>
    <row r="44" spans="5:6" x14ac:dyDescent="0.4">
      <c r="E44">
        <v>43</v>
      </c>
      <c r="F44">
        <v>17</v>
      </c>
    </row>
    <row r="45" spans="5:6" x14ac:dyDescent="0.4">
      <c r="E45">
        <v>44</v>
      </c>
      <c r="F45">
        <v>16</v>
      </c>
    </row>
    <row r="46" spans="5:6" x14ac:dyDescent="0.4">
      <c r="E46">
        <v>45</v>
      </c>
      <c r="F46">
        <v>15</v>
      </c>
    </row>
    <row r="47" spans="5:6" x14ac:dyDescent="0.4">
      <c r="E47">
        <v>46</v>
      </c>
      <c r="F47">
        <v>14</v>
      </c>
    </row>
    <row r="48" spans="5:6" x14ac:dyDescent="0.4">
      <c r="E48">
        <v>47</v>
      </c>
      <c r="F48">
        <v>13</v>
      </c>
    </row>
    <row r="49" spans="5:6" x14ac:dyDescent="0.4">
      <c r="E49">
        <v>48</v>
      </c>
      <c r="F49">
        <v>12</v>
      </c>
    </row>
    <row r="50" spans="5:6" x14ac:dyDescent="0.4">
      <c r="E50">
        <v>49</v>
      </c>
      <c r="F50">
        <v>11</v>
      </c>
    </row>
    <row r="51" spans="5:6" x14ac:dyDescent="0.4">
      <c r="E51">
        <v>50</v>
      </c>
      <c r="F51">
        <v>10</v>
      </c>
    </row>
    <row r="52" spans="5:6" x14ac:dyDescent="0.4">
      <c r="E52">
        <v>51</v>
      </c>
      <c r="F52">
        <v>9</v>
      </c>
    </row>
    <row r="53" spans="5:6" x14ac:dyDescent="0.4">
      <c r="E53">
        <v>52</v>
      </c>
      <c r="F53">
        <v>8</v>
      </c>
    </row>
    <row r="54" spans="5:6" x14ac:dyDescent="0.4">
      <c r="E54">
        <v>53</v>
      </c>
      <c r="F54">
        <v>7</v>
      </c>
    </row>
    <row r="55" spans="5:6" x14ac:dyDescent="0.4">
      <c r="E55">
        <v>54</v>
      </c>
      <c r="F55">
        <v>6</v>
      </c>
    </row>
    <row r="56" spans="5:6" x14ac:dyDescent="0.4">
      <c r="E56">
        <v>55</v>
      </c>
      <c r="F56">
        <v>5</v>
      </c>
    </row>
    <row r="57" spans="5:6" x14ac:dyDescent="0.4">
      <c r="E57">
        <v>56</v>
      </c>
      <c r="F57">
        <v>4</v>
      </c>
    </row>
    <row r="58" spans="5:6" x14ac:dyDescent="0.4">
      <c r="E58">
        <v>57</v>
      </c>
      <c r="F58">
        <v>3</v>
      </c>
    </row>
    <row r="59" spans="5:6" x14ac:dyDescent="0.4">
      <c r="E59">
        <v>58</v>
      </c>
      <c r="F59">
        <v>2</v>
      </c>
    </row>
    <row r="60" spans="5:6" x14ac:dyDescent="0.4">
      <c r="E60">
        <v>59</v>
      </c>
      <c r="F60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F9FD-2710-473F-9F71-EF9C438166F2}">
  <dimension ref="A1:V365"/>
  <sheetViews>
    <sheetView tabSelected="1" zoomScaleNormal="100" workbookViewId="0">
      <pane xSplit="4" ySplit="1" topLeftCell="H57" activePane="bottomRight" state="frozen"/>
      <selection pane="topRight" activeCell="E1" sqref="E1"/>
      <selection pane="bottomLeft" activeCell="A2" sqref="A2"/>
      <selection pane="bottomRight" activeCell="H368" sqref="H368"/>
    </sheetView>
  </sheetViews>
  <sheetFormatPr defaultRowHeight="16.8" x14ac:dyDescent="0.4"/>
  <cols>
    <col min="1" max="1" width="25" customWidth="1"/>
    <col min="2" max="2" width="12.69921875" customWidth="1"/>
    <col min="3" max="3" width="9.3984375" customWidth="1"/>
    <col min="4" max="4" width="8.69921875" style="3"/>
    <col min="5" max="5" width="11" style="3" hidden="1" customWidth="1"/>
    <col min="6" max="6" width="14.5" style="17" hidden="1" customWidth="1"/>
    <col min="7" max="7" width="15.69921875" style="3" hidden="1" customWidth="1"/>
    <col min="8" max="8" width="9.8984375" style="3" customWidth="1"/>
    <col min="9" max="9" width="8.69921875" style="3"/>
    <col min="10" max="10" width="9.8984375" style="3" customWidth="1"/>
    <col min="11" max="11" width="8.69921875" style="3"/>
    <col min="12" max="12" width="9.8984375" style="3" customWidth="1"/>
    <col min="13" max="13" width="8.69921875" style="3"/>
    <col min="14" max="14" width="9.8984375" style="3" customWidth="1"/>
    <col min="15" max="15" width="8.69921875" style="3"/>
    <col min="16" max="16" width="9.8984375" style="3" customWidth="1"/>
    <col min="17" max="17" width="8.69921875" style="3"/>
    <col min="18" max="18" width="9.8984375" style="3" customWidth="1"/>
    <col min="19" max="20" width="8.69921875" style="3"/>
    <col min="21" max="21" width="13.8984375" style="3" customWidth="1"/>
    <col min="22" max="22" width="8.69921875" style="3"/>
  </cols>
  <sheetData>
    <row r="1" spans="1:22" s="1" customFormat="1" x14ac:dyDescent="0.4">
      <c r="A1" s="1" t="s">
        <v>34</v>
      </c>
      <c r="B1" s="1" t="s">
        <v>35</v>
      </c>
      <c r="C1" s="1" t="s">
        <v>36</v>
      </c>
      <c r="D1" s="2" t="s">
        <v>37</v>
      </c>
      <c r="E1" s="2" t="s">
        <v>420</v>
      </c>
      <c r="F1" s="16" t="s">
        <v>418</v>
      </c>
      <c r="G1" s="2" t="s">
        <v>424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</row>
    <row r="2" spans="1:22" hidden="1" x14ac:dyDescent="0.4">
      <c r="A2" t="s">
        <v>53</v>
      </c>
      <c r="B2" t="s">
        <v>10</v>
      </c>
      <c r="C2" t="s">
        <v>7</v>
      </c>
      <c r="D2" s="3">
        <v>8010</v>
      </c>
      <c r="E2" s="3" t="s">
        <v>422</v>
      </c>
      <c r="G2" s="3" t="s">
        <v>407</v>
      </c>
      <c r="H2" s="3" t="s">
        <v>410</v>
      </c>
      <c r="I2" s="3">
        <f>IF(H2="","",IF(H2="DNS",0,IF(H2="DQ",0,IF(H2="DNF",1,IF(AND(ISNUMBER(H2),H2&gt;59),1,_xlfn.XLOOKUP(H2,tbl_points[Place],tbl_points[Points],""))))))</f>
        <v>0</v>
      </c>
      <c r="J2" s="3" t="s">
        <v>410</v>
      </c>
      <c r="K2" s="3">
        <f>IF(J2="","",IF(J2="DNS",0,IF(J2="DQ",0,IF(J2="DNF",1,IF(AND(ISNUMBER(J2),J2&gt;59),1,_xlfn.XLOOKUP(J2,tbl_points[Place],tbl_points[Points],""))))))</f>
        <v>0</v>
      </c>
      <c r="M2" s="3" t="str">
        <f>IF(L2="","",IF(L2="DNS",0,IF(L2="DQ",0,IF(L2="DNF",1,IF(AND(ISNUMBER(L2),L2&gt;59),1,_xlfn.XLOOKUP(L2,tbl_points[Place],tbl_points[Points],""))))))</f>
        <v/>
      </c>
      <c r="O2" s="3" t="str">
        <f>IF(N2="","",IF(N2="DNS",0,IF(N2="DQ",0,IF(N2="DNF",1,IF(AND(ISNUMBER(N2),N2&gt;59),1,_xlfn.XLOOKUP(N2,tbl_points[Place],tbl_points[Points],""))))))</f>
        <v/>
      </c>
      <c r="Q2" s="3" t="str">
        <f>IF(P2="","",IF(P2="DNS",0,IF(P2="DQ",0,IF(P2="DNF",1,IF(AND(ISNUMBER(P2),P2&gt;59),1,_xlfn.XLOOKUP(P2,tbl_points[Place],tbl_points[Points],""))))))</f>
        <v/>
      </c>
      <c r="S2" s="3" t="str">
        <f>IF(R2="","",IF(R2="DNS",0,IF(R2="DQ",0,IF(R2="DNF",1,IF(AND(ISNUMBER(R2),R2&gt;59),1,_xlfn.XLOOKUP(R2,tbl_points[Place],tbl_points[Points],""))))))</f>
        <v/>
      </c>
      <c r="T2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" s="3">
        <f>tbl_individual[[#This Row],[Total]]</f>
        <v>0</v>
      </c>
    </row>
    <row r="3" spans="1:22" hidden="1" x14ac:dyDescent="0.4">
      <c r="A3" t="s">
        <v>54</v>
      </c>
      <c r="B3" t="s">
        <v>10</v>
      </c>
      <c r="C3" t="s">
        <v>7</v>
      </c>
      <c r="D3" s="3">
        <v>8049</v>
      </c>
      <c r="E3" s="3" t="s">
        <v>421</v>
      </c>
      <c r="G3" s="3" t="s">
        <v>403</v>
      </c>
      <c r="H3" s="3">
        <v>25</v>
      </c>
      <c r="I3" s="3">
        <f>IF(H3="","",IF(H3="DNS",0,IF(H3="DQ",0,IF(H3="DNF",1,IF(AND(ISNUMBER(H3),H3&gt;59),1,_xlfn.XLOOKUP(H3,tbl_points[Place],tbl_points[Points],""))))))</f>
        <v>35</v>
      </c>
      <c r="J3" s="3">
        <v>32</v>
      </c>
      <c r="K3" s="3">
        <f>IF(J3="","",IF(J3="DNS",0,IF(J3="DQ",0,IF(J3="DNF",1,IF(AND(ISNUMBER(J3),J3&gt;59),1,_xlfn.XLOOKUP(J3,tbl_points[Place],tbl_points[Points],""))))))</f>
        <v>28</v>
      </c>
      <c r="L3" s="3">
        <v>21</v>
      </c>
      <c r="M3" s="3">
        <f>IF(L3="","",IF(L3="DNS",0,IF(L3="DQ",0,IF(L3="DNF",1,IF(AND(ISNUMBER(L3),L3&gt;59),1,_xlfn.XLOOKUP(L3,tbl_points[Place],tbl_points[Points],""))))))</f>
        <v>39</v>
      </c>
      <c r="N3" s="3">
        <v>29</v>
      </c>
      <c r="O3" s="3">
        <f>IF(N3="","",IF(N3="DNS",0,IF(N3="DQ",0,IF(N3="DNF",1,IF(AND(ISNUMBER(N3),N3&gt;59),1,_xlfn.XLOOKUP(N3,tbl_points[Place],tbl_points[Points],""))))))</f>
        <v>31</v>
      </c>
      <c r="P3" s="3">
        <v>36</v>
      </c>
      <c r="Q3" s="3">
        <f>IF(P3="","",IF(P3="DNS",0,IF(P3="DQ",0,IF(P3="DNF",1,IF(AND(ISNUMBER(P3),P3&gt;59),1,_xlfn.XLOOKUP(P3,tbl_points[Place],tbl_points[Points],""))))))</f>
        <v>24</v>
      </c>
      <c r="S3" s="3" t="str">
        <f>IF(R3="","",IF(R3="DNS",0,IF(R3="DQ",0,IF(R3="DNF",1,IF(AND(ISNUMBER(R3),R3&gt;59),1,_xlfn.XLOOKUP(R3,tbl_points[Place],tbl_points[Points],""))))))</f>
        <v/>
      </c>
      <c r="T3" s="3">
        <f>SUM(tbl_individual[[#This Row],[R1 Pts]],tbl_individual[[#This Row],[R2 Pts]],tbl_individual[[#This Row],[R3 Pts]],tbl_individual[[#This Row],[R4 Pts]],tbl_individual[[#This Row],[R5 Pts]],tbl_individual[[#This Row],[R6 Pts]])</f>
        <v>157</v>
      </c>
      <c r="U3" s="3">
        <f>MIN(tbl_individual[[#This Row],[R1 Pts]],tbl_individual[[#This Row],[R2 Pts]],tbl_individual[[#This Row],[R3 Pts]],tbl_individual[[#This Row],[R4 Pts]],tbl_individual[[#This Row],[R5 Pts]],tbl_individual[[#This Row],[R6 Pts]])</f>
        <v>24</v>
      </c>
      <c r="V3" s="3">
        <f>tbl_individual[[#This Row],[Total]]</f>
        <v>157</v>
      </c>
    </row>
    <row r="4" spans="1:22" hidden="1" x14ac:dyDescent="0.4">
      <c r="A4" t="s">
        <v>55</v>
      </c>
      <c r="B4" t="s">
        <v>10</v>
      </c>
      <c r="C4" t="s">
        <v>7</v>
      </c>
      <c r="D4" s="3">
        <v>8086</v>
      </c>
      <c r="E4" s="3" t="s">
        <v>421</v>
      </c>
      <c r="G4" s="3" t="s">
        <v>403</v>
      </c>
      <c r="H4" s="3" t="s">
        <v>410</v>
      </c>
      <c r="I4" s="3">
        <f>IF(H4="","",IF(H4="DNS",0,IF(H4="DQ",0,IF(H4="DNF",1,IF(AND(ISNUMBER(H4),H4&gt;59),1,_xlfn.XLOOKUP(H4,tbl_points[Place],tbl_points[Points],""))))))</f>
        <v>0</v>
      </c>
      <c r="J4" s="3">
        <v>36</v>
      </c>
      <c r="K4" s="3">
        <f>IF(J4="","",IF(J4="DNS",0,IF(J4="DQ",0,IF(J4="DNF",1,IF(AND(ISNUMBER(J4),J4&gt;59),1,_xlfn.XLOOKUP(J4,tbl_points[Place],tbl_points[Points],""))))))</f>
        <v>24</v>
      </c>
      <c r="L4" s="3">
        <v>27</v>
      </c>
      <c r="M4" s="3">
        <f>IF(L4="","",IF(L4="DNS",0,IF(L4="DQ",0,IF(L4="DNF",1,IF(AND(ISNUMBER(L4),L4&gt;59),1,_xlfn.XLOOKUP(L4,tbl_points[Place],tbl_points[Points],""))))))</f>
        <v>33</v>
      </c>
      <c r="N4" s="3">
        <v>23</v>
      </c>
      <c r="O4" s="3">
        <f>IF(N4="","",IF(N4="DNS",0,IF(N4="DQ",0,IF(N4="DNF",1,IF(AND(ISNUMBER(N4),N4&gt;59),1,_xlfn.XLOOKUP(N4,tbl_points[Place],tbl_points[Points],""))))))</f>
        <v>37</v>
      </c>
      <c r="P4" s="3" t="s">
        <v>410</v>
      </c>
      <c r="Q4" s="3">
        <f>IF(P4="","",IF(P4="DNS",0,IF(P4="DQ",0,IF(P4="DNF",1,IF(AND(ISNUMBER(P4),P4&gt;59),1,_xlfn.XLOOKUP(P4,tbl_points[Place],tbl_points[Points],""))))))</f>
        <v>0</v>
      </c>
      <c r="S4" s="3" t="str">
        <f>IF(R4="","",IF(R4="DNS",0,IF(R4="DQ",0,IF(R4="DNF",1,IF(AND(ISNUMBER(R4),R4&gt;59),1,_xlfn.XLOOKUP(R4,tbl_points[Place],tbl_points[Points],""))))))</f>
        <v/>
      </c>
      <c r="T4" s="3">
        <f>SUM(tbl_individual[[#This Row],[R1 Pts]],tbl_individual[[#This Row],[R2 Pts]],tbl_individual[[#This Row],[R3 Pts]],tbl_individual[[#This Row],[R4 Pts]],tbl_individual[[#This Row],[R5 Pts]],tbl_individual[[#This Row],[R6 Pts]])</f>
        <v>94</v>
      </c>
      <c r="U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4" s="3">
        <f>tbl_individual[[#This Row],[Total]]</f>
        <v>94</v>
      </c>
    </row>
    <row r="5" spans="1:22" hidden="1" x14ac:dyDescent="0.4">
      <c r="A5" t="s">
        <v>56</v>
      </c>
      <c r="B5" t="s">
        <v>10</v>
      </c>
      <c r="C5" t="s">
        <v>7</v>
      </c>
      <c r="D5" s="3">
        <v>8140</v>
      </c>
      <c r="E5" s="3" t="s">
        <v>422</v>
      </c>
      <c r="G5" s="3" t="s">
        <v>407</v>
      </c>
      <c r="H5" s="3" t="s">
        <v>410</v>
      </c>
      <c r="I5" s="3">
        <f>IF(H5="","",IF(H5="DNS",0,IF(H5="DQ",0,IF(H5="DNF",1,IF(AND(ISNUMBER(H5),H5&gt;59),1,_xlfn.XLOOKUP(H5,tbl_points[Place],tbl_points[Points],""))))))</f>
        <v>0</v>
      </c>
      <c r="J5" s="3" t="s">
        <v>410</v>
      </c>
      <c r="K5" s="3">
        <f>IF(J5="","",IF(J5="DNS",0,IF(J5="DQ",0,IF(J5="DNF",1,IF(AND(ISNUMBER(J5),J5&gt;59),1,_xlfn.XLOOKUP(J5,tbl_points[Place],tbl_points[Points],""))))))</f>
        <v>0</v>
      </c>
      <c r="L5" s="3" t="s">
        <v>410</v>
      </c>
      <c r="M5" s="3">
        <f>IF(L5="","",IF(L5="DNS",0,IF(L5="DQ",0,IF(L5="DNF",1,IF(AND(ISNUMBER(L5),L5&gt;59),1,_xlfn.XLOOKUP(L5,tbl_points[Place],tbl_points[Points],""))))))</f>
        <v>0</v>
      </c>
      <c r="O5" s="3" t="str">
        <f>IF(N5="","",IF(N5="DNS",0,IF(N5="DQ",0,IF(N5="DNF",1,IF(AND(ISNUMBER(N5),N5&gt;59),1,_xlfn.XLOOKUP(N5,tbl_points[Place],tbl_points[Points],""))))))</f>
        <v/>
      </c>
      <c r="Q5" s="3" t="str">
        <f>IF(P5="","",IF(P5="DNS",0,IF(P5="DQ",0,IF(P5="DNF",1,IF(AND(ISNUMBER(P5),P5&gt;59),1,_xlfn.XLOOKUP(P5,tbl_points[Place],tbl_points[Points],""))))))</f>
        <v/>
      </c>
      <c r="S5" s="3" t="str">
        <f>IF(R5="","",IF(R5="DNS",0,IF(R5="DQ",0,IF(R5="DNF",1,IF(AND(ISNUMBER(R5),R5&gt;59),1,_xlfn.XLOOKUP(R5,tbl_points[Place],tbl_points[Points],""))))))</f>
        <v/>
      </c>
      <c r="T5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5" s="3">
        <f>tbl_individual[[#This Row],[Total]]</f>
        <v>0</v>
      </c>
    </row>
    <row r="6" spans="1:22" hidden="1" x14ac:dyDescent="0.4">
      <c r="A6" t="s">
        <v>57</v>
      </c>
      <c r="B6" t="s">
        <v>10</v>
      </c>
      <c r="C6" t="s">
        <v>7</v>
      </c>
      <c r="D6" s="3">
        <v>8147</v>
      </c>
      <c r="E6" s="3" t="s">
        <v>421</v>
      </c>
      <c r="G6" s="3" t="s">
        <v>403</v>
      </c>
      <c r="H6" s="3">
        <v>23</v>
      </c>
      <c r="I6" s="3">
        <f>IF(H6="","",IF(H6="DNS",0,IF(H6="DQ",0,IF(H6="DNF",1,IF(AND(ISNUMBER(H6),H6&gt;59),1,_xlfn.XLOOKUP(H6,tbl_points[Place],tbl_points[Points],""))))))</f>
        <v>37</v>
      </c>
      <c r="J6" s="3">
        <v>22</v>
      </c>
      <c r="K6" s="3">
        <f>IF(J6="","",IF(J6="DNS",0,IF(J6="DQ",0,IF(J6="DNF",1,IF(AND(ISNUMBER(J6),J6&gt;59),1,_xlfn.XLOOKUP(J6,tbl_points[Place],tbl_points[Points],""))))))</f>
        <v>38</v>
      </c>
      <c r="L6" s="3">
        <v>19</v>
      </c>
      <c r="M6" s="3">
        <f>IF(L6="","",IF(L6="DNS",0,IF(L6="DQ",0,IF(L6="DNF",1,IF(AND(ISNUMBER(L6),L6&gt;59),1,_xlfn.XLOOKUP(L6,tbl_points[Place],tbl_points[Points],""))))))</f>
        <v>41</v>
      </c>
      <c r="N6" s="3">
        <v>16</v>
      </c>
      <c r="O6" s="3">
        <f>IF(N6="","",IF(N6="DNS",0,IF(N6="DQ",0,IF(N6="DNF",1,IF(AND(ISNUMBER(N6),N6&gt;59),1,_xlfn.XLOOKUP(N6,tbl_points[Place],tbl_points[Points],""))))))</f>
        <v>44</v>
      </c>
      <c r="P6" s="3">
        <v>17</v>
      </c>
      <c r="Q6" s="3">
        <f>IF(P6="","",IF(P6="DNS",0,IF(P6="DQ",0,IF(P6="DNF",1,IF(AND(ISNUMBER(P6),P6&gt;59),1,_xlfn.XLOOKUP(P6,tbl_points[Place],tbl_points[Points],""))))))</f>
        <v>43</v>
      </c>
      <c r="S6" s="3" t="str">
        <f>IF(R6="","",IF(R6="DNS",0,IF(R6="DQ",0,IF(R6="DNF",1,IF(AND(ISNUMBER(R6),R6&gt;59),1,_xlfn.XLOOKUP(R6,tbl_points[Place],tbl_points[Points],""))))))</f>
        <v/>
      </c>
      <c r="T6" s="3">
        <f>SUM(tbl_individual[[#This Row],[R1 Pts]],tbl_individual[[#This Row],[R2 Pts]],tbl_individual[[#This Row],[R3 Pts]],tbl_individual[[#This Row],[R4 Pts]],tbl_individual[[#This Row],[R5 Pts]],tbl_individual[[#This Row],[R6 Pts]])</f>
        <v>203</v>
      </c>
      <c r="U6" s="3">
        <f>MIN(tbl_individual[[#This Row],[R1 Pts]],tbl_individual[[#This Row],[R2 Pts]],tbl_individual[[#This Row],[R3 Pts]],tbl_individual[[#This Row],[R4 Pts]],tbl_individual[[#This Row],[R5 Pts]],tbl_individual[[#This Row],[R6 Pts]])</f>
        <v>37</v>
      </c>
      <c r="V6" s="3">
        <f>tbl_individual[[#This Row],[Total]]</f>
        <v>203</v>
      </c>
    </row>
    <row r="7" spans="1:22" hidden="1" x14ac:dyDescent="0.4">
      <c r="A7" t="s">
        <v>58</v>
      </c>
      <c r="B7" t="s">
        <v>10</v>
      </c>
      <c r="C7" t="s">
        <v>7</v>
      </c>
      <c r="D7" s="3">
        <v>8154</v>
      </c>
      <c r="E7" s="3" t="s">
        <v>422</v>
      </c>
      <c r="G7" s="3" t="s">
        <v>407</v>
      </c>
      <c r="H7" s="3" t="s">
        <v>410</v>
      </c>
      <c r="I7" s="3">
        <f>IF(H7="","",IF(H7="DNS",0,IF(H7="DQ",0,IF(H7="DNF",1,IF(AND(ISNUMBER(H7),H7&gt;59),1,_xlfn.XLOOKUP(H7,tbl_points[Place],tbl_points[Points],""))))))</f>
        <v>0</v>
      </c>
      <c r="J7" s="3" t="s">
        <v>410</v>
      </c>
      <c r="K7" s="3">
        <f>IF(J7="","",IF(J7="DNS",0,IF(J7="DQ",0,IF(J7="DNF",1,IF(AND(ISNUMBER(J7),J7&gt;59),1,_xlfn.XLOOKUP(J7,tbl_points[Place],tbl_points[Points],""))))))</f>
        <v>0</v>
      </c>
      <c r="M7" s="3" t="str">
        <f>IF(L7="","",IF(L7="DNS",0,IF(L7="DQ",0,IF(L7="DNF",1,IF(AND(ISNUMBER(L7),L7&gt;59),1,_xlfn.XLOOKUP(L7,tbl_points[Place],tbl_points[Points],""))))))</f>
        <v/>
      </c>
      <c r="O7" s="3" t="str">
        <f>IF(N7="","",IF(N7="DNS",0,IF(N7="DQ",0,IF(N7="DNF",1,IF(AND(ISNUMBER(N7),N7&gt;59),1,_xlfn.XLOOKUP(N7,tbl_points[Place],tbl_points[Points],""))))))</f>
        <v/>
      </c>
      <c r="Q7" s="3" t="str">
        <f>IF(P7="","",IF(P7="DNS",0,IF(P7="DQ",0,IF(P7="DNF",1,IF(AND(ISNUMBER(P7),P7&gt;59),1,_xlfn.XLOOKUP(P7,tbl_points[Place],tbl_points[Points],""))))))</f>
        <v/>
      </c>
      <c r="S7" s="3" t="str">
        <f>IF(R7="","",IF(R7="DNS",0,IF(R7="DQ",0,IF(R7="DNF",1,IF(AND(ISNUMBER(R7),R7&gt;59),1,_xlfn.XLOOKUP(R7,tbl_points[Place],tbl_points[Points],""))))))</f>
        <v/>
      </c>
      <c r="T7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7" s="3">
        <f>tbl_individual[[#This Row],[Total]]</f>
        <v>0</v>
      </c>
    </row>
    <row r="8" spans="1:22" hidden="1" x14ac:dyDescent="0.4">
      <c r="A8" t="s">
        <v>59</v>
      </c>
      <c r="B8" t="s">
        <v>10</v>
      </c>
      <c r="C8" t="s">
        <v>7</v>
      </c>
      <c r="D8" s="3">
        <v>8177</v>
      </c>
      <c r="E8" s="3" t="s">
        <v>422</v>
      </c>
      <c r="G8" s="3" t="s">
        <v>407</v>
      </c>
      <c r="H8" s="3" t="s">
        <v>410</v>
      </c>
      <c r="I8" s="3">
        <f>IF(H8="","",IF(H8="DNS",0,IF(H8="DQ",0,IF(H8="DNF",1,IF(AND(ISNUMBER(H8),H8&gt;59),1,_xlfn.XLOOKUP(H8,tbl_points[Place],tbl_points[Points],""))))))</f>
        <v>0</v>
      </c>
      <c r="J8" s="3" t="s">
        <v>410</v>
      </c>
      <c r="K8" s="3">
        <f>IF(J8="","",IF(J8="DNS",0,IF(J8="DQ",0,IF(J8="DNF",1,IF(AND(ISNUMBER(J8),J8&gt;59),1,_xlfn.XLOOKUP(J8,tbl_points[Place],tbl_points[Points],""))))))</f>
        <v>0</v>
      </c>
      <c r="M8" s="3" t="str">
        <f>IF(L8="","",IF(L8="DNS",0,IF(L8="DQ",0,IF(L8="DNF",1,IF(AND(ISNUMBER(L8),L8&gt;59),1,_xlfn.XLOOKUP(L8,tbl_points[Place],tbl_points[Points],""))))))</f>
        <v/>
      </c>
      <c r="O8" s="3" t="str">
        <f>IF(N8="","",IF(N8="DNS",0,IF(N8="DQ",0,IF(N8="DNF",1,IF(AND(ISNUMBER(N8),N8&gt;59),1,_xlfn.XLOOKUP(N8,tbl_points[Place],tbl_points[Points],""))))))</f>
        <v/>
      </c>
      <c r="Q8" s="3" t="str">
        <f>IF(P8="","",IF(P8="DNS",0,IF(P8="DQ",0,IF(P8="DNF",1,IF(AND(ISNUMBER(P8),P8&gt;59),1,_xlfn.XLOOKUP(P8,tbl_points[Place],tbl_points[Points],""))))))</f>
        <v/>
      </c>
      <c r="S8" s="3" t="str">
        <f>IF(R8="","",IF(R8="DNS",0,IF(R8="DQ",0,IF(R8="DNF",1,IF(AND(ISNUMBER(R8),R8&gt;59),1,_xlfn.XLOOKUP(R8,tbl_points[Place],tbl_points[Points],""))))))</f>
        <v/>
      </c>
      <c r="T8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8" s="3">
        <f>tbl_individual[[#This Row],[Total]]</f>
        <v>0</v>
      </c>
    </row>
    <row r="9" spans="1:22" hidden="1" x14ac:dyDescent="0.4">
      <c r="A9" t="s">
        <v>60</v>
      </c>
      <c r="B9" t="s">
        <v>10</v>
      </c>
      <c r="C9" t="s">
        <v>7</v>
      </c>
      <c r="D9" s="3">
        <v>8181</v>
      </c>
      <c r="E9" s="3" t="s">
        <v>421</v>
      </c>
      <c r="G9" s="3" t="s">
        <v>403</v>
      </c>
      <c r="H9" s="3" t="s">
        <v>410</v>
      </c>
      <c r="I9" s="3">
        <f>IF(H9="","",IF(H9="DNS",0,IF(H9="DQ",0,IF(H9="DNF",1,IF(AND(ISNUMBER(H9),H9&gt;59),1,_xlfn.XLOOKUP(H9,tbl_points[Place],tbl_points[Points],""))))))</f>
        <v>0</v>
      </c>
      <c r="J9" s="3">
        <v>41</v>
      </c>
      <c r="K9" s="3">
        <f>IF(J9="","",IF(J9="DNS",0,IF(J9="DQ",0,IF(J9="DNF",1,IF(AND(ISNUMBER(J9),J9&gt;59),1,_xlfn.XLOOKUP(J9,tbl_points[Place],tbl_points[Points],""))))))</f>
        <v>19</v>
      </c>
      <c r="L9" s="3">
        <v>35</v>
      </c>
      <c r="M9" s="3">
        <f>IF(L9="","",IF(L9="DNS",0,IF(L9="DQ",0,IF(L9="DNF",1,IF(AND(ISNUMBER(L9),L9&gt;59),1,_xlfn.XLOOKUP(L9,tbl_points[Place],tbl_points[Points],""))))))</f>
        <v>25</v>
      </c>
      <c r="N9" s="3">
        <v>28</v>
      </c>
      <c r="O9" s="3">
        <f>IF(N9="","",IF(N9="DNS",0,IF(N9="DQ",0,IF(N9="DNF",1,IF(AND(ISNUMBER(N9),N9&gt;59),1,_xlfn.XLOOKUP(N9,tbl_points[Place],tbl_points[Points],""))))))</f>
        <v>32</v>
      </c>
      <c r="P9" s="3" t="s">
        <v>410</v>
      </c>
      <c r="Q9" s="3">
        <f>IF(P9="","",IF(P9="DNS",0,IF(P9="DQ",0,IF(P9="DNF",1,IF(AND(ISNUMBER(P9),P9&gt;59),1,_xlfn.XLOOKUP(P9,tbl_points[Place],tbl_points[Points],""))))))</f>
        <v>0</v>
      </c>
      <c r="S9" s="3" t="str">
        <f>IF(R9="","",IF(R9="DNS",0,IF(R9="DQ",0,IF(R9="DNF",1,IF(AND(ISNUMBER(R9),R9&gt;59),1,_xlfn.XLOOKUP(R9,tbl_points[Place],tbl_points[Points],""))))))</f>
        <v/>
      </c>
      <c r="T9" s="3">
        <f>SUM(tbl_individual[[#This Row],[R1 Pts]],tbl_individual[[#This Row],[R2 Pts]],tbl_individual[[#This Row],[R3 Pts]],tbl_individual[[#This Row],[R4 Pts]],tbl_individual[[#This Row],[R5 Pts]],tbl_individual[[#This Row],[R6 Pts]])</f>
        <v>76</v>
      </c>
      <c r="U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" s="3">
        <f>tbl_individual[[#This Row],[Total]]</f>
        <v>76</v>
      </c>
    </row>
    <row r="10" spans="1:22" hidden="1" x14ac:dyDescent="0.4">
      <c r="A10" t="s">
        <v>440</v>
      </c>
      <c r="B10" t="s">
        <v>10</v>
      </c>
      <c r="C10" t="s">
        <v>7</v>
      </c>
      <c r="D10" s="3">
        <v>8185</v>
      </c>
      <c r="E10" s="3" t="s">
        <v>421</v>
      </c>
      <c r="G10" s="3" t="s">
        <v>403</v>
      </c>
      <c r="H10" s="3" t="s">
        <v>409</v>
      </c>
      <c r="I10" s="3">
        <f>IF(H10="","",IF(H10="DNS",0,IF(H10="DQ",0,IF(H10="DNF",1,IF(AND(ISNUMBER(H10),H10&gt;59),1,_xlfn.XLOOKUP(H10,tbl_points[Place],tbl_points[Points],""))))))</f>
        <v>1</v>
      </c>
      <c r="J10" s="3">
        <v>34</v>
      </c>
      <c r="K10" s="3">
        <f>IF(J10="","",IF(J10="DNS",0,IF(J10="DQ",0,IF(J10="DNF",1,IF(AND(ISNUMBER(J10),J10&gt;59),1,_xlfn.XLOOKUP(J10,tbl_points[Place],tbl_points[Points],""))))))</f>
        <v>26</v>
      </c>
      <c r="L10" s="3">
        <v>8</v>
      </c>
      <c r="M10" s="3">
        <f>IF(L10="","",IF(L10="DNS",0,IF(L10="DQ",0,IF(L10="DNF",1,IF(AND(ISNUMBER(L10),L10&gt;59),1,_xlfn.XLOOKUP(L10,tbl_points[Place],tbl_points[Points],""))))))</f>
        <v>65</v>
      </c>
      <c r="N10" s="3">
        <v>22</v>
      </c>
      <c r="O10" s="3">
        <f>IF(N10="","",IF(N10="DNS",0,IF(N10="DQ",0,IF(N10="DNF",1,IF(AND(ISNUMBER(N10),N10&gt;59),1,_xlfn.XLOOKUP(N10,tbl_points[Place],tbl_points[Points],""))))))</f>
        <v>38</v>
      </c>
      <c r="P10" s="3">
        <v>23</v>
      </c>
      <c r="Q10" s="3">
        <f>IF(P10="","",IF(P10="DNS",0,IF(P10="DQ",0,IF(P10="DNF",1,IF(AND(ISNUMBER(P10),P10&gt;59),1,_xlfn.XLOOKUP(P10,tbl_points[Place],tbl_points[Points],""))))))</f>
        <v>37</v>
      </c>
      <c r="S10" s="3" t="str">
        <f>IF(R10="","",IF(R10="DNS",0,IF(R10="DQ",0,IF(R10="DNF",1,IF(AND(ISNUMBER(R10),R10&gt;59),1,_xlfn.XLOOKUP(R10,tbl_points[Place],tbl_points[Points],""))))))</f>
        <v/>
      </c>
      <c r="T10" s="3">
        <f>SUM(tbl_individual[[#This Row],[R1 Pts]],tbl_individual[[#This Row],[R2 Pts]],tbl_individual[[#This Row],[R3 Pts]],tbl_individual[[#This Row],[R4 Pts]],tbl_individual[[#This Row],[R5 Pts]],tbl_individual[[#This Row],[R6 Pts]])</f>
        <v>167</v>
      </c>
      <c r="U10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10" s="3">
        <f>tbl_individual[[#This Row],[Total]]</f>
        <v>167</v>
      </c>
    </row>
    <row r="11" spans="1:22" hidden="1" x14ac:dyDescent="0.4">
      <c r="A11" t="s">
        <v>61</v>
      </c>
      <c r="B11" t="s">
        <v>10</v>
      </c>
      <c r="C11" t="s">
        <v>7</v>
      </c>
      <c r="D11" s="3">
        <v>8186</v>
      </c>
      <c r="E11" s="3" t="s">
        <v>422</v>
      </c>
      <c r="G11" s="3" t="s">
        <v>407</v>
      </c>
      <c r="H11" s="3" t="s">
        <v>410</v>
      </c>
      <c r="I11" s="3">
        <f>IF(H11="","",IF(H11="DNS",0,IF(H11="DQ",0,IF(H11="DNF",1,IF(AND(ISNUMBER(H11),H11&gt;59),1,_xlfn.XLOOKUP(H11,tbl_points[Place],tbl_points[Points],""))))))</f>
        <v>0</v>
      </c>
      <c r="J11" s="3" t="s">
        <v>410</v>
      </c>
      <c r="K11" s="3">
        <f>IF(J11="","",IF(J11="DNS",0,IF(J11="DQ",0,IF(J11="DNF",1,IF(AND(ISNUMBER(J11),J11&gt;59),1,_xlfn.XLOOKUP(J11,tbl_points[Place],tbl_points[Points],""))))))</f>
        <v>0</v>
      </c>
      <c r="M11" s="3" t="str">
        <f>IF(L11="","",IF(L11="DNS",0,IF(L11="DQ",0,IF(L11="DNF",1,IF(AND(ISNUMBER(L11),L11&gt;59),1,_xlfn.XLOOKUP(L11,tbl_points[Place],tbl_points[Points],""))))))</f>
        <v/>
      </c>
      <c r="O11" s="3" t="str">
        <f>IF(N11="","",IF(N11="DNS",0,IF(N11="DQ",0,IF(N11="DNF",1,IF(AND(ISNUMBER(N11),N11&gt;59),1,_xlfn.XLOOKUP(N11,tbl_points[Place],tbl_points[Points],""))))))</f>
        <v/>
      </c>
      <c r="Q11" s="3" t="str">
        <f>IF(P11="","",IF(P11="DNS",0,IF(P11="DQ",0,IF(P11="DNF",1,IF(AND(ISNUMBER(P11),P11&gt;59),1,_xlfn.XLOOKUP(P11,tbl_points[Place],tbl_points[Points],""))))))</f>
        <v/>
      </c>
      <c r="S11" s="3" t="str">
        <f>IF(R11="","",IF(R11="DNS",0,IF(R11="DQ",0,IF(R11="DNF",1,IF(AND(ISNUMBER(R11),R11&gt;59),1,_xlfn.XLOOKUP(R11,tbl_points[Place],tbl_points[Points],""))))))</f>
        <v/>
      </c>
      <c r="T11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1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1" s="3">
        <f>tbl_individual[[#This Row],[Total]]</f>
        <v>0</v>
      </c>
    </row>
    <row r="12" spans="1:22" hidden="1" x14ac:dyDescent="0.4">
      <c r="A12" t="s">
        <v>67</v>
      </c>
      <c r="B12" t="s">
        <v>10</v>
      </c>
      <c r="C12" t="s">
        <v>5</v>
      </c>
      <c r="D12" s="3">
        <v>900</v>
      </c>
      <c r="E12" s="3" t="s">
        <v>421</v>
      </c>
      <c r="G12" s="3" t="s">
        <v>403</v>
      </c>
      <c r="H12" s="3" t="s">
        <v>410</v>
      </c>
      <c r="I12" s="3">
        <f>IF(H12="","",IF(H12="DNS",0,IF(H12="DQ",0,IF(H12="DNF",1,IF(AND(ISNUMBER(H12),H12&gt;59),1,_xlfn.XLOOKUP(H12,tbl_points[Place],tbl_points[Points],""))))))</f>
        <v>0</v>
      </c>
      <c r="J12" s="3">
        <v>41</v>
      </c>
      <c r="K12" s="3">
        <f>IF(J12="","",IF(J12="DNS",0,IF(J12="DQ",0,IF(J12="DNF",1,IF(AND(ISNUMBER(J12),J12&gt;59),1,_xlfn.XLOOKUP(J12,tbl_points[Place],tbl_points[Points],""))))))</f>
        <v>19</v>
      </c>
      <c r="L12" s="3">
        <v>28</v>
      </c>
      <c r="M12" s="3">
        <f>IF(L12="","",IF(L12="DNS",0,IF(L12="DQ",0,IF(L12="DNF",1,IF(AND(ISNUMBER(L12),L12&gt;59),1,_xlfn.XLOOKUP(L12,tbl_points[Place],tbl_points[Points],""))))))</f>
        <v>32</v>
      </c>
      <c r="N12" s="3">
        <v>41</v>
      </c>
      <c r="O12" s="3">
        <f>IF(N12="","",IF(N12="DNS",0,IF(N12="DQ",0,IF(N12="DNF",1,IF(AND(ISNUMBER(N12),N12&gt;59),1,_xlfn.XLOOKUP(N12,tbl_points[Place],tbl_points[Points],""))))))</f>
        <v>19</v>
      </c>
      <c r="P12" s="3">
        <v>35</v>
      </c>
      <c r="Q12" s="3">
        <f>IF(P12="","",IF(P12="DNS",0,IF(P12="DQ",0,IF(P12="DNF",1,IF(AND(ISNUMBER(P12),P12&gt;59),1,_xlfn.XLOOKUP(P12,tbl_points[Place],tbl_points[Points],""))))))</f>
        <v>25</v>
      </c>
      <c r="S12" s="3" t="str">
        <f>IF(R12="","",IF(R12="DNS",0,IF(R12="DQ",0,IF(R12="DNF",1,IF(AND(ISNUMBER(R12),R12&gt;59),1,_xlfn.XLOOKUP(R12,tbl_points[Place],tbl_points[Points],""))))))</f>
        <v/>
      </c>
      <c r="T12" s="3">
        <f>SUM(tbl_individual[[#This Row],[R1 Pts]],tbl_individual[[#This Row],[R2 Pts]],tbl_individual[[#This Row],[R3 Pts]],tbl_individual[[#This Row],[R4 Pts]],tbl_individual[[#This Row],[R5 Pts]],tbl_individual[[#This Row],[R6 Pts]])</f>
        <v>95</v>
      </c>
      <c r="U1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2" s="3">
        <f>tbl_individual[[#This Row],[Total]]</f>
        <v>95</v>
      </c>
    </row>
    <row r="13" spans="1:22" hidden="1" x14ac:dyDescent="0.4">
      <c r="A13" t="s">
        <v>68</v>
      </c>
      <c r="B13" t="s">
        <v>10</v>
      </c>
      <c r="C13" t="s">
        <v>5</v>
      </c>
      <c r="D13" s="3">
        <v>901</v>
      </c>
      <c r="E13" s="3" t="s">
        <v>421</v>
      </c>
      <c r="G13" s="3" t="s">
        <v>403</v>
      </c>
      <c r="H13" s="3">
        <v>14</v>
      </c>
      <c r="I13" s="3">
        <f>IF(H13="","",IF(H13="DNS",0,IF(H13="DQ",0,IF(H13="DNF",1,IF(AND(ISNUMBER(H13),H13&gt;59),1,_xlfn.XLOOKUP(H13,tbl_points[Place],tbl_points[Points],""))))))</f>
        <v>47</v>
      </c>
      <c r="J13" s="3" t="s">
        <v>410</v>
      </c>
      <c r="K13" s="3">
        <f>IF(J13="","",IF(J13="DNS",0,IF(J13="DQ",0,IF(J13="DNF",1,IF(AND(ISNUMBER(J13),J13&gt;59),1,_xlfn.XLOOKUP(J13,tbl_points[Place],tbl_points[Points],""))))))</f>
        <v>0</v>
      </c>
      <c r="L13" s="3" t="s">
        <v>409</v>
      </c>
      <c r="M13" s="3">
        <f>IF(L13="","",IF(L13="DNS",0,IF(L13="DQ",0,IF(L13="DNF",1,IF(AND(ISNUMBER(L13),L13&gt;59),1,_xlfn.XLOOKUP(L13,tbl_points[Place],tbl_points[Points],""))))))</f>
        <v>1</v>
      </c>
      <c r="N13" s="3">
        <v>34</v>
      </c>
      <c r="O13" s="3">
        <f>IF(N13="","",IF(N13="DNS",0,IF(N13="DQ",0,IF(N13="DNF",1,IF(AND(ISNUMBER(N13),N13&gt;59),1,_xlfn.XLOOKUP(N13,tbl_points[Place],tbl_points[Points],""))))))</f>
        <v>26</v>
      </c>
      <c r="P13" s="3">
        <v>43</v>
      </c>
      <c r="Q13" s="3">
        <f>IF(P13="","",IF(P13="DNS",0,IF(P13="DQ",0,IF(P13="DNF",1,IF(AND(ISNUMBER(P13),P13&gt;59),1,_xlfn.XLOOKUP(P13,tbl_points[Place],tbl_points[Points],""))))))</f>
        <v>17</v>
      </c>
      <c r="S13" s="3" t="str">
        <f>IF(R13="","",IF(R13="DNS",0,IF(R13="DQ",0,IF(R13="DNF",1,IF(AND(ISNUMBER(R13),R13&gt;59),1,_xlfn.XLOOKUP(R13,tbl_points[Place],tbl_points[Points],""))))))</f>
        <v/>
      </c>
      <c r="T13" s="3">
        <f>SUM(tbl_individual[[#This Row],[R1 Pts]],tbl_individual[[#This Row],[R2 Pts]],tbl_individual[[#This Row],[R3 Pts]],tbl_individual[[#This Row],[R4 Pts]],tbl_individual[[#This Row],[R5 Pts]],tbl_individual[[#This Row],[R6 Pts]])</f>
        <v>91</v>
      </c>
      <c r="U1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" s="3">
        <f>tbl_individual[[#This Row],[Total]]</f>
        <v>91</v>
      </c>
    </row>
    <row r="14" spans="1:22" hidden="1" x14ac:dyDescent="0.4">
      <c r="A14" t="s">
        <v>69</v>
      </c>
      <c r="B14" t="s">
        <v>10</v>
      </c>
      <c r="C14" t="s">
        <v>5</v>
      </c>
      <c r="D14" s="3">
        <v>902</v>
      </c>
      <c r="E14" s="3" t="s">
        <v>421</v>
      </c>
      <c r="G14" s="3" t="s">
        <v>403</v>
      </c>
      <c r="H14" s="3">
        <v>12</v>
      </c>
      <c r="I14" s="3">
        <f>IF(H14="","",IF(H14="DNS",0,IF(H14="DQ",0,IF(H14="DNF",1,IF(AND(ISNUMBER(H14),H14&gt;59),1,_xlfn.XLOOKUP(H14,tbl_points[Place],tbl_points[Points],""))))))</f>
        <v>51</v>
      </c>
      <c r="J14" s="3">
        <v>17</v>
      </c>
      <c r="K14" s="3">
        <f>IF(J14="","",IF(J14="DNS",0,IF(J14="DQ",0,IF(J14="DNF",1,IF(AND(ISNUMBER(J14),J14&gt;59),1,_xlfn.XLOOKUP(J14,tbl_points[Place],tbl_points[Points],""))))))</f>
        <v>43</v>
      </c>
      <c r="L14" s="3">
        <v>9</v>
      </c>
      <c r="M14" s="3">
        <f>IF(L14="","",IF(L14="DNS",0,IF(L14="DQ",0,IF(L14="DNF",1,IF(AND(ISNUMBER(L14),L14&gt;59),1,_xlfn.XLOOKUP(L14,tbl_points[Place],tbl_points[Points],""))))))</f>
        <v>60</v>
      </c>
      <c r="N14" s="3" t="s">
        <v>410</v>
      </c>
      <c r="O14" s="3">
        <f>IF(N14="","",IF(N14="DNS",0,IF(N14="DQ",0,IF(N14="DNF",1,IF(AND(ISNUMBER(N14),N14&gt;59),1,_xlfn.XLOOKUP(N14,tbl_points[Place],tbl_points[Points],""))))))</f>
        <v>0</v>
      </c>
      <c r="P14" s="3">
        <v>12</v>
      </c>
      <c r="Q14" s="3">
        <f>IF(P14="","",IF(P14="DNS",0,IF(P14="DQ",0,IF(P14="DNF",1,IF(AND(ISNUMBER(P14),P14&gt;59),1,_xlfn.XLOOKUP(P14,tbl_points[Place],tbl_points[Points],""))))))</f>
        <v>51</v>
      </c>
      <c r="S14" s="3" t="str">
        <f>IF(R14="","",IF(R14="DNS",0,IF(R14="DQ",0,IF(R14="DNF",1,IF(AND(ISNUMBER(R14),R14&gt;59),1,_xlfn.XLOOKUP(R14,tbl_points[Place],tbl_points[Points],""))))))</f>
        <v/>
      </c>
      <c r="T14" s="3">
        <f>SUM(tbl_individual[[#This Row],[R1 Pts]],tbl_individual[[#This Row],[R2 Pts]],tbl_individual[[#This Row],[R3 Pts]],tbl_individual[[#This Row],[R4 Pts]],tbl_individual[[#This Row],[R5 Pts]],tbl_individual[[#This Row],[R6 Pts]])</f>
        <v>205</v>
      </c>
      <c r="U1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4" s="3">
        <f>tbl_individual[[#This Row],[Total]]</f>
        <v>205</v>
      </c>
    </row>
    <row r="15" spans="1:22" hidden="1" x14ac:dyDescent="0.4">
      <c r="A15" t="s">
        <v>70</v>
      </c>
      <c r="B15" t="s">
        <v>10</v>
      </c>
      <c r="C15" t="s">
        <v>5</v>
      </c>
      <c r="D15" s="3">
        <v>903</v>
      </c>
      <c r="E15" s="3" t="s">
        <v>421</v>
      </c>
      <c r="G15" s="3" t="s">
        <v>403</v>
      </c>
      <c r="H15" s="3">
        <v>11</v>
      </c>
      <c r="I15" s="3">
        <f>IF(H15="","",IF(H15="DNS",0,IF(H15="DQ",0,IF(H15="DNF",1,IF(AND(ISNUMBER(H15),H15&gt;59),1,_xlfn.XLOOKUP(H15,tbl_points[Place],tbl_points[Points],""))))))</f>
        <v>53</v>
      </c>
      <c r="J15" s="3">
        <v>6</v>
      </c>
      <c r="K15" s="3">
        <f>IF(J15="","",IF(J15="DNS",0,IF(J15="DQ",0,IF(J15="DNF",1,IF(AND(ISNUMBER(J15),J15&gt;59),1,_xlfn.XLOOKUP(J15,tbl_points[Place],tbl_points[Points],""))))))</f>
        <v>75</v>
      </c>
      <c r="L15" s="3">
        <v>8</v>
      </c>
      <c r="M15" s="3">
        <f>IF(L15="","",IF(L15="DNS",0,IF(L15="DQ",0,IF(L15="DNF",1,IF(AND(ISNUMBER(L15),L15&gt;59),1,_xlfn.XLOOKUP(L15,tbl_points[Place],tbl_points[Points],""))))))</f>
        <v>65</v>
      </c>
      <c r="N15" s="3">
        <v>3</v>
      </c>
      <c r="O15" s="3">
        <f>IF(N15="","",IF(N15="DNS",0,IF(N15="DQ",0,IF(N15="DNF",1,IF(AND(ISNUMBER(N15),N15&gt;59),1,_xlfn.XLOOKUP(N15,tbl_points[Place],tbl_points[Points],""))))))</f>
        <v>90</v>
      </c>
      <c r="P15" s="3">
        <v>9</v>
      </c>
      <c r="Q15" s="3">
        <f>IF(P15="","",IF(P15="DNS",0,IF(P15="DQ",0,IF(P15="DNF",1,IF(AND(ISNUMBER(P15),P15&gt;59),1,_xlfn.XLOOKUP(P15,tbl_points[Place],tbl_points[Points],""))))))</f>
        <v>60</v>
      </c>
      <c r="S15" s="3" t="str">
        <f>IF(R15="","",IF(R15="DNS",0,IF(R15="DQ",0,IF(R15="DNF",1,IF(AND(ISNUMBER(R15),R15&gt;59),1,_xlfn.XLOOKUP(R15,tbl_points[Place],tbl_points[Points],""))))))</f>
        <v/>
      </c>
      <c r="T15" s="3">
        <f>SUM(tbl_individual[[#This Row],[R1 Pts]],tbl_individual[[#This Row],[R2 Pts]],tbl_individual[[#This Row],[R3 Pts]],tbl_individual[[#This Row],[R4 Pts]],tbl_individual[[#This Row],[R5 Pts]],tbl_individual[[#This Row],[R6 Pts]])</f>
        <v>343</v>
      </c>
      <c r="U15" s="3">
        <f>MIN(tbl_individual[[#This Row],[R1 Pts]],tbl_individual[[#This Row],[R2 Pts]],tbl_individual[[#This Row],[R3 Pts]],tbl_individual[[#This Row],[R4 Pts]],tbl_individual[[#This Row],[R5 Pts]],tbl_individual[[#This Row],[R6 Pts]])</f>
        <v>53</v>
      </c>
      <c r="V15" s="3">
        <f>tbl_individual[[#This Row],[Total]]</f>
        <v>343</v>
      </c>
    </row>
    <row r="16" spans="1:22" hidden="1" x14ac:dyDescent="0.4">
      <c r="A16" t="s">
        <v>71</v>
      </c>
      <c r="B16" t="s">
        <v>10</v>
      </c>
      <c r="C16" t="s">
        <v>5</v>
      </c>
      <c r="D16" s="3">
        <v>904</v>
      </c>
      <c r="E16" s="3" t="s">
        <v>421</v>
      </c>
      <c r="G16" s="3" t="s">
        <v>407</v>
      </c>
      <c r="H16" s="3">
        <v>16</v>
      </c>
      <c r="I16" s="3">
        <f>IF(H16="","",IF(H16="DNS",0,IF(H16="DQ",0,IF(H16="DNF",1,IF(AND(ISNUMBER(H16),H16&gt;59),1,_xlfn.XLOOKUP(H16,tbl_points[Place],tbl_points[Points],""))))))</f>
        <v>44</v>
      </c>
      <c r="J16" s="3">
        <v>40</v>
      </c>
      <c r="K16" s="3">
        <f>IF(J16="","",IF(J16="DNS",0,IF(J16="DQ",0,IF(J16="DNF",1,IF(AND(ISNUMBER(J16),J16&gt;59),1,_xlfn.XLOOKUP(J16,tbl_points[Place],tbl_points[Points],""))))))</f>
        <v>20</v>
      </c>
      <c r="L16" s="3">
        <v>13</v>
      </c>
      <c r="M16" s="3">
        <f>IF(L16="","",IF(L16="DNS",0,IF(L16="DQ",0,IF(L16="DNF",1,IF(AND(ISNUMBER(L16),L16&gt;59),1,_xlfn.XLOOKUP(L16,tbl_points[Place],tbl_points[Points],""))))))</f>
        <v>49</v>
      </c>
      <c r="N16" s="3">
        <v>38</v>
      </c>
      <c r="O16" s="3">
        <f>IF(N16="","",IF(N16="DNS",0,IF(N16="DQ",0,IF(N16="DNF",1,IF(AND(ISNUMBER(N16),N16&gt;59),1,_xlfn.XLOOKUP(N16,tbl_points[Place],tbl_points[Points],""))))))</f>
        <v>22</v>
      </c>
      <c r="P16" s="3">
        <v>31</v>
      </c>
      <c r="Q16" s="3">
        <f>IF(P16="","",IF(P16="DNS",0,IF(P16="DQ",0,IF(P16="DNF",1,IF(AND(ISNUMBER(P16),P16&gt;59),1,_xlfn.XLOOKUP(P16,tbl_points[Place],tbl_points[Points],""))))))</f>
        <v>29</v>
      </c>
      <c r="S16" s="3" t="str">
        <f>IF(R16="","",IF(R16="DNS",0,IF(R16="DQ",0,IF(R16="DNF",1,IF(AND(ISNUMBER(R16),R16&gt;59),1,_xlfn.XLOOKUP(R16,tbl_points[Place],tbl_points[Points],""))))))</f>
        <v/>
      </c>
      <c r="T16" s="3">
        <f>SUM(tbl_individual[[#This Row],[R1 Pts]],tbl_individual[[#This Row],[R2 Pts]],tbl_individual[[#This Row],[R3 Pts]],tbl_individual[[#This Row],[R4 Pts]],tbl_individual[[#This Row],[R5 Pts]],tbl_individual[[#This Row],[R6 Pts]])</f>
        <v>164</v>
      </c>
      <c r="U16" s="3">
        <f>MIN(tbl_individual[[#This Row],[R1 Pts]],tbl_individual[[#This Row],[R2 Pts]],tbl_individual[[#This Row],[R3 Pts]],tbl_individual[[#This Row],[R4 Pts]],tbl_individual[[#This Row],[R5 Pts]],tbl_individual[[#This Row],[R6 Pts]])</f>
        <v>20</v>
      </c>
      <c r="V16" s="3">
        <f>tbl_individual[[#This Row],[Total]]</f>
        <v>164</v>
      </c>
    </row>
    <row r="17" spans="1:22" hidden="1" x14ac:dyDescent="0.4">
      <c r="A17" t="s">
        <v>72</v>
      </c>
      <c r="B17" t="s">
        <v>10</v>
      </c>
      <c r="C17" t="s">
        <v>5</v>
      </c>
      <c r="D17" s="3">
        <v>905</v>
      </c>
      <c r="E17" s="3" t="s">
        <v>421</v>
      </c>
      <c r="G17" s="3" t="s">
        <v>403</v>
      </c>
      <c r="H17" s="3">
        <v>3</v>
      </c>
      <c r="I17" s="3">
        <f>IF(H17="","",IF(H17="DNS",0,IF(H17="DQ",0,IF(H17="DNF",1,IF(AND(ISNUMBER(H17),H17&gt;59),1,_xlfn.XLOOKUP(H17,tbl_points[Place],tbl_points[Points],""))))))</f>
        <v>90</v>
      </c>
      <c r="J17" s="3">
        <v>3</v>
      </c>
      <c r="K17" s="3">
        <f>IF(J17="","",IF(J17="DNS",0,IF(J17="DQ",0,IF(J17="DNF",1,IF(AND(ISNUMBER(J17),J17&gt;59),1,_xlfn.XLOOKUP(J17,tbl_points[Place],tbl_points[Points],""))))))</f>
        <v>90</v>
      </c>
      <c r="L17" s="3">
        <v>3</v>
      </c>
      <c r="M17" s="3">
        <f>IF(L17="","",IF(L17="DNS",0,IF(L17="DQ",0,IF(L17="DNF",1,IF(AND(ISNUMBER(L17),L17&gt;59),1,_xlfn.XLOOKUP(L17,tbl_points[Place],tbl_points[Points],""))))))</f>
        <v>90</v>
      </c>
      <c r="N17" s="3">
        <v>4</v>
      </c>
      <c r="O17" s="3">
        <f>IF(N17="","",IF(N17="DNS",0,IF(N17="DQ",0,IF(N17="DNF",1,IF(AND(ISNUMBER(N17),N17&gt;59),1,_xlfn.XLOOKUP(N17,tbl_points[Place],tbl_points[Points],""))))))</f>
        <v>85</v>
      </c>
      <c r="P17" s="3">
        <v>6</v>
      </c>
      <c r="Q17" s="3">
        <f>IF(P17="","",IF(P17="DNS",0,IF(P17="DQ",0,IF(P17="DNF",1,IF(AND(ISNUMBER(P17),P17&gt;59),1,_xlfn.XLOOKUP(P17,tbl_points[Place],tbl_points[Points],""))))))</f>
        <v>75</v>
      </c>
      <c r="S17" s="3" t="str">
        <f>IF(R17="","",IF(R17="DNS",0,IF(R17="DQ",0,IF(R17="DNF",1,IF(AND(ISNUMBER(R17),R17&gt;59),1,_xlfn.XLOOKUP(R17,tbl_points[Place],tbl_points[Points],""))))))</f>
        <v/>
      </c>
      <c r="T17" s="3">
        <f>SUM(tbl_individual[[#This Row],[R1 Pts]],tbl_individual[[#This Row],[R2 Pts]],tbl_individual[[#This Row],[R3 Pts]],tbl_individual[[#This Row],[R4 Pts]],tbl_individual[[#This Row],[R5 Pts]],tbl_individual[[#This Row],[R6 Pts]])</f>
        <v>430</v>
      </c>
      <c r="U17" s="3">
        <f>MIN(tbl_individual[[#This Row],[R1 Pts]],tbl_individual[[#This Row],[R2 Pts]],tbl_individual[[#This Row],[R3 Pts]],tbl_individual[[#This Row],[R4 Pts]],tbl_individual[[#This Row],[R5 Pts]],tbl_individual[[#This Row],[R6 Pts]])</f>
        <v>75</v>
      </c>
      <c r="V17" s="3">
        <f>tbl_individual[[#This Row],[Total]]</f>
        <v>430</v>
      </c>
    </row>
    <row r="18" spans="1:22" hidden="1" x14ac:dyDescent="0.4">
      <c r="A18" t="s">
        <v>73</v>
      </c>
      <c r="B18" t="s">
        <v>10</v>
      </c>
      <c r="C18" t="s">
        <v>5</v>
      </c>
      <c r="D18" s="3">
        <v>906</v>
      </c>
      <c r="E18" s="3" t="s">
        <v>421</v>
      </c>
      <c r="G18" s="3" t="s">
        <v>403</v>
      </c>
      <c r="H18" s="3">
        <v>29</v>
      </c>
      <c r="I18" s="3">
        <f>IF(H18="","",IF(H18="DNS",0,IF(H18="DQ",0,IF(H18="DNF",1,IF(AND(ISNUMBER(H18),H18&gt;59),1,_xlfn.XLOOKUP(H18,tbl_points[Place],tbl_points[Points],""))))))</f>
        <v>31</v>
      </c>
      <c r="J18" s="3">
        <v>35</v>
      </c>
      <c r="K18" s="3">
        <f>IF(J18="","",IF(J18="DNS",0,IF(J18="DQ",0,IF(J18="DNF",1,IF(AND(ISNUMBER(J18),J18&gt;59),1,_xlfn.XLOOKUP(J18,tbl_points[Place],tbl_points[Points],""))))))</f>
        <v>25</v>
      </c>
      <c r="L18" s="3">
        <v>18</v>
      </c>
      <c r="M18" s="3">
        <f>IF(L18="","",IF(L18="DNS",0,IF(L18="DQ",0,IF(L18="DNF",1,IF(AND(ISNUMBER(L18),L18&gt;59),1,_xlfn.XLOOKUP(L18,tbl_points[Place],tbl_points[Points],""))))))</f>
        <v>42</v>
      </c>
      <c r="N18" s="3">
        <v>22</v>
      </c>
      <c r="O18" s="3">
        <f>IF(N18="","",IF(N18="DNS",0,IF(N18="DQ",0,IF(N18="DNF",1,IF(AND(ISNUMBER(N18),N18&gt;59),1,_xlfn.XLOOKUP(N18,tbl_points[Place],tbl_points[Points],""))))))</f>
        <v>38</v>
      </c>
      <c r="P18" s="3">
        <v>21</v>
      </c>
      <c r="Q18" s="3">
        <f>IF(P18="","",IF(P18="DNS",0,IF(P18="DQ",0,IF(P18="DNF",1,IF(AND(ISNUMBER(P18),P18&gt;59),1,_xlfn.XLOOKUP(P18,tbl_points[Place],tbl_points[Points],""))))))</f>
        <v>39</v>
      </c>
      <c r="S18" s="3" t="str">
        <f>IF(R18="","",IF(R18="DNS",0,IF(R18="DQ",0,IF(R18="DNF",1,IF(AND(ISNUMBER(R18),R18&gt;59),1,_xlfn.XLOOKUP(R18,tbl_points[Place],tbl_points[Points],""))))))</f>
        <v/>
      </c>
      <c r="T18" s="3">
        <f>SUM(tbl_individual[[#This Row],[R1 Pts]],tbl_individual[[#This Row],[R2 Pts]],tbl_individual[[#This Row],[R3 Pts]],tbl_individual[[#This Row],[R4 Pts]],tbl_individual[[#This Row],[R5 Pts]],tbl_individual[[#This Row],[R6 Pts]])</f>
        <v>175</v>
      </c>
      <c r="U18" s="3">
        <f>MIN(tbl_individual[[#This Row],[R1 Pts]],tbl_individual[[#This Row],[R2 Pts]],tbl_individual[[#This Row],[R3 Pts]],tbl_individual[[#This Row],[R4 Pts]],tbl_individual[[#This Row],[R5 Pts]],tbl_individual[[#This Row],[R6 Pts]])</f>
        <v>25</v>
      </c>
      <c r="V18" s="3">
        <f>tbl_individual[[#This Row],[Total]]</f>
        <v>175</v>
      </c>
    </row>
    <row r="19" spans="1:22" hidden="1" x14ac:dyDescent="0.4">
      <c r="A19" t="s">
        <v>74</v>
      </c>
      <c r="B19" t="s">
        <v>10</v>
      </c>
      <c r="C19" t="s">
        <v>5</v>
      </c>
      <c r="D19" s="3">
        <v>907</v>
      </c>
      <c r="E19" s="3" t="s">
        <v>421</v>
      </c>
      <c r="G19" s="3" t="s">
        <v>407</v>
      </c>
      <c r="H19" s="3">
        <v>27</v>
      </c>
      <c r="I19" s="3">
        <f>IF(H19="","",IF(H19="DNS",0,IF(H19="DQ",0,IF(H19="DNF",1,IF(AND(ISNUMBER(H19),H19&gt;59),1,_xlfn.XLOOKUP(H19,tbl_points[Place],tbl_points[Points],""))))))</f>
        <v>33</v>
      </c>
      <c r="J19" s="3">
        <v>16</v>
      </c>
      <c r="K19" s="3">
        <f>IF(J19="","",IF(J19="DNS",0,IF(J19="DQ",0,IF(J19="DNF",1,IF(AND(ISNUMBER(J19),J19&gt;59),1,_xlfn.XLOOKUP(J19,tbl_points[Place],tbl_points[Points],""))))))</f>
        <v>44</v>
      </c>
      <c r="L19" s="3">
        <v>27</v>
      </c>
      <c r="M19" s="3">
        <f>IF(L19="","",IF(L19="DNS",0,IF(L19="DQ",0,IF(L19="DNF",1,IF(AND(ISNUMBER(L19),L19&gt;59),1,_xlfn.XLOOKUP(L19,tbl_points[Place],tbl_points[Points],""))))))</f>
        <v>33</v>
      </c>
      <c r="N19" s="3">
        <v>46</v>
      </c>
      <c r="O19" s="3">
        <f>IF(N19="","",IF(N19="DNS",0,IF(N19="DQ",0,IF(N19="DNF",1,IF(AND(ISNUMBER(N19),N19&gt;59),1,_xlfn.XLOOKUP(N19,tbl_points[Place],tbl_points[Points],""))))))</f>
        <v>14</v>
      </c>
      <c r="P19" s="3">
        <v>20</v>
      </c>
      <c r="Q19" s="3">
        <f>IF(P19="","",IF(P19="DNS",0,IF(P19="DQ",0,IF(P19="DNF",1,IF(AND(ISNUMBER(P19),P19&gt;59),1,_xlfn.XLOOKUP(P19,tbl_points[Place],tbl_points[Points],""))))))</f>
        <v>40</v>
      </c>
      <c r="S19" s="3" t="str">
        <f>IF(R19="","",IF(R19="DNS",0,IF(R19="DQ",0,IF(R19="DNF",1,IF(AND(ISNUMBER(R19),R19&gt;59),1,_xlfn.XLOOKUP(R19,tbl_points[Place],tbl_points[Points],""))))))</f>
        <v/>
      </c>
      <c r="T19" s="3">
        <f>SUM(tbl_individual[[#This Row],[R1 Pts]],tbl_individual[[#This Row],[R2 Pts]],tbl_individual[[#This Row],[R3 Pts]],tbl_individual[[#This Row],[R4 Pts]],tbl_individual[[#This Row],[R5 Pts]],tbl_individual[[#This Row],[R6 Pts]])</f>
        <v>164</v>
      </c>
      <c r="U19" s="3">
        <f>MIN(tbl_individual[[#This Row],[R1 Pts]],tbl_individual[[#This Row],[R2 Pts]],tbl_individual[[#This Row],[R3 Pts]],tbl_individual[[#This Row],[R4 Pts]],tbl_individual[[#This Row],[R5 Pts]],tbl_individual[[#This Row],[R6 Pts]])</f>
        <v>14</v>
      </c>
      <c r="V19" s="3">
        <f>tbl_individual[[#This Row],[Total]]</f>
        <v>164</v>
      </c>
    </row>
    <row r="20" spans="1:22" hidden="1" x14ac:dyDescent="0.4">
      <c r="A20" t="s">
        <v>75</v>
      </c>
      <c r="B20" t="s">
        <v>10</v>
      </c>
      <c r="C20" t="s">
        <v>5</v>
      </c>
      <c r="D20" s="3">
        <v>908</v>
      </c>
      <c r="E20" s="3" t="s">
        <v>422</v>
      </c>
      <c r="G20" s="3" t="s">
        <v>407</v>
      </c>
      <c r="H20" s="3" t="s">
        <v>410</v>
      </c>
      <c r="I20" s="3">
        <f>IF(H20="","",IF(H20="DNS",0,IF(H20="DQ",0,IF(H20="DNF",1,IF(AND(ISNUMBER(H20),H20&gt;59),1,_xlfn.XLOOKUP(H20,tbl_points[Place],tbl_points[Points],""))))))</f>
        <v>0</v>
      </c>
      <c r="J20" s="3" t="s">
        <v>410</v>
      </c>
      <c r="K20" s="3">
        <f>IF(J20="","",IF(J20="DNS",0,IF(J20="DQ",0,IF(J20="DNF",1,IF(AND(ISNUMBER(J20),J20&gt;59),1,_xlfn.XLOOKUP(J20,tbl_points[Place],tbl_points[Points],""))))))</f>
        <v>0</v>
      </c>
      <c r="M20" s="3" t="str">
        <f>IF(L20="","",IF(L20="DNS",0,IF(L20="DQ",0,IF(L20="DNF",1,IF(AND(ISNUMBER(L20),L20&gt;59),1,_xlfn.XLOOKUP(L20,tbl_points[Place],tbl_points[Points],""))))))</f>
        <v/>
      </c>
      <c r="O20" s="3" t="str">
        <f>IF(N20="","",IF(N20="DNS",0,IF(N20="DQ",0,IF(N20="DNF",1,IF(AND(ISNUMBER(N20),N20&gt;59),1,_xlfn.XLOOKUP(N20,tbl_points[Place],tbl_points[Points],""))))))</f>
        <v/>
      </c>
      <c r="Q20" s="3" t="str">
        <f>IF(P20="","",IF(P20="DNS",0,IF(P20="DQ",0,IF(P20="DNF",1,IF(AND(ISNUMBER(P20),P20&gt;59),1,_xlfn.XLOOKUP(P20,tbl_points[Place],tbl_points[Points],""))))))</f>
        <v/>
      </c>
      <c r="S20" s="3" t="str">
        <f>IF(R20="","",IF(R20="DNS",0,IF(R20="DQ",0,IF(R20="DNF",1,IF(AND(ISNUMBER(R20),R20&gt;59),1,_xlfn.XLOOKUP(R20,tbl_points[Place],tbl_points[Points],""))))))</f>
        <v/>
      </c>
      <c r="T20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0" s="3">
        <f>tbl_individual[[#This Row],[Total]]</f>
        <v>0</v>
      </c>
    </row>
    <row r="21" spans="1:22" hidden="1" x14ac:dyDescent="0.4">
      <c r="A21" t="s">
        <v>76</v>
      </c>
      <c r="B21" t="s">
        <v>10</v>
      </c>
      <c r="C21" t="s">
        <v>5</v>
      </c>
      <c r="D21" s="3">
        <v>909</v>
      </c>
      <c r="E21" s="3" t="s">
        <v>421</v>
      </c>
      <c r="G21" s="3" t="s">
        <v>403</v>
      </c>
      <c r="H21" s="3">
        <v>1</v>
      </c>
      <c r="I21" s="3">
        <f>IF(H21="","",IF(H21="DNS",0,IF(H21="DQ",0,IF(H21="DNF",1,IF(AND(ISNUMBER(H21),H21&gt;59),1,_xlfn.XLOOKUP(H21,tbl_points[Place],tbl_points[Points],""))))))</f>
        <v>100</v>
      </c>
      <c r="J21" s="3">
        <v>1</v>
      </c>
      <c r="K21" s="3">
        <f>IF(J21="","",IF(J21="DNS",0,IF(J21="DQ",0,IF(J21="DNF",1,IF(AND(ISNUMBER(J21),J21&gt;59),1,_xlfn.XLOOKUP(J21,tbl_points[Place],tbl_points[Points],""))))))</f>
        <v>100</v>
      </c>
      <c r="L21" s="3" t="s">
        <v>410</v>
      </c>
      <c r="M21" s="3">
        <f>IF(L21="","",IF(L21="DNS",0,IF(L21="DQ",0,IF(L21="DNF",1,IF(AND(ISNUMBER(L21),L21&gt;59),1,_xlfn.XLOOKUP(L21,tbl_points[Place],tbl_points[Points],""))))))</f>
        <v>0</v>
      </c>
      <c r="N21" s="3" t="s">
        <v>410</v>
      </c>
      <c r="O21" s="3">
        <f>IF(N21="","",IF(N21="DNS",0,IF(N21="DQ",0,IF(N21="DNF",1,IF(AND(ISNUMBER(N21),N21&gt;59),1,_xlfn.XLOOKUP(N21,tbl_points[Place],tbl_points[Points],""))))))</f>
        <v>0</v>
      </c>
      <c r="P21" s="3" t="s">
        <v>410</v>
      </c>
      <c r="Q21" s="3">
        <f>IF(P21="","",IF(P21="DNS",0,IF(P21="DQ",0,IF(P21="DNF",1,IF(AND(ISNUMBER(P21),P21&gt;59),1,_xlfn.XLOOKUP(P21,tbl_points[Place],tbl_points[Points],""))))))</f>
        <v>0</v>
      </c>
      <c r="S21" s="3" t="str">
        <f>IF(R21="","",IF(R21="DNS",0,IF(R21="DQ",0,IF(R21="DNF",1,IF(AND(ISNUMBER(R21),R21&gt;59),1,_xlfn.XLOOKUP(R21,tbl_points[Place],tbl_points[Points],""))))))</f>
        <v/>
      </c>
      <c r="T21" s="3">
        <f>SUM(tbl_individual[[#This Row],[R1 Pts]],tbl_individual[[#This Row],[R2 Pts]],tbl_individual[[#This Row],[R3 Pts]],tbl_individual[[#This Row],[R4 Pts]],tbl_individual[[#This Row],[R5 Pts]],tbl_individual[[#This Row],[R6 Pts]])</f>
        <v>200</v>
      </c>
      <c r="U2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" s="3">
        <f>tbl_individual[[#This Row],[Total]]</f>
        <v>200</v>
      </c>
    </row>
    <row r="22" spans="1:22" hidden="1" x14ac:dyDescent="0.4">
      <c r="A22" t="s">
        <v>77</v>
      </c>
      <c r="B22" t="s">
        <v>10</v>
      </c>
      <c r="C22" t="s">
        <v>5</v>
      </c>
      <c r="D22" s="3">
        <v>910</v>
      </c>
      <c r="E22" s="3" t="s">
        <v>421</v>
      </c>
      <c r="G22" s="3" t="s">
        <v>403</v>
      </c>
      <c r="H22" s="3">
        <v>35</v>
      </c>
      <c r="I22" s="3">
        <f>IF(H22="","",IF(H22="DNS",0,IF(H22="DQ",0,IF(H22="DNF",1,IF(AND(ISNUMBER(H22),H22&gt;59),1,_xlfn.XLOOKUP(H22,tbl_points[Place],tbl_points[Points],""))))))</f>
        <v>25</v>
      </c>
      <c r="J22" s="3">
        <v>25</v>
      </c>
      <c r="K22" s="3">
        <f>IF(J22="","",IF(J22="DNS",0,IF(J22="DQ",0,IF(J22="DNF",1,IF(AND(ISNUMBER(J22),J22&gt;59),1,_xlfn.XLOOKUP(J22,tbl_points[Place],tbl_points[Points],""))))))</f>
        <v>35</v>
      </c>
      <c r="L22" s="3">
        <v>21</v>
      </c>
      <c r="M22" s="3">
        <f>IF(L22="","",IF(L22="DNS",0,IF(L22="DQ",0,IF(L22="DNF",1,IF(AND(ISNUMBER(L22),L22&gt;59),1,_xlfn.XLOOKUP(L22,tbl_points[Place],tbl_points[Points],""))))))</f>
        <v>39</v>
      </c>
      <c r="N22" s="3">
        <v>23</v>
      </c>
      <c r="O22" s="3">
        <f>IF(N22="","",IF(N22="DNS",0,IF(N22="DQ",0,IF(N22="DNF",1,IF(AND(ISNUMBER(N22),N22&gt;59),1,_xlfn.XLOOKUP(N22,tbl_points[Place],tbl_points[Points],""))))))</f>
        <v>37</v>
      </c>
      <c r="P22" s="3">
        <v>38</v>
      </c>
      <c r="Q22" s="3">
        <f>IF(P22="","",IF(P22="DNS",0,IF(P22="DQ",0,IF(P22="DNF",1,IF(AND(ISNUMBER(P22),P22&gt;59),1,_xlfn.XLOOKUP(P22,tbl_points[Place],tbl_points[Points],""))))))</f>
        <v>22</v>
      </c>
      <c r="S22" s="3" t="str">
        <f>IF(R22="","",IF(R22="DNS",0,IF(R22="DQ",0,IF(R22="DNF",1,IF(AND(ISNUMBER(R22),R22&gt;59),1,_xlfn.XLOOKUP(R22,tbl_points[Place],tbl_points[Points],""))))))</f>
        <v/>
      </c>
      <c r="T22" s="3">
        <f>SUM(tbl_individual[[#This Row],[R1 Pts]],tbl_individual[[#This Row],[R2 Pts]],tbl_individual[[#This Row],[R3 Pts]],tbl_individual[[#This Row],[R4 Pts]],tbl_individual[[#This Row],[R5 Pts]],tbl_individual[[#This Row],[R6 Pts]])</f>
        <v>158</v>
      </c>
      <c r="U22" s="3">
        <f>MIN(tbl_individual[[#This Row],[R1 Pts]],tbl_individual[[#This Row],[R2 Pts]],tbl_individual[[#This Row],[R3 Pts]],tbl_individual[[#This Row],[R4 Pts]],tbl_individual[[#This Row],[R5 Pts]],tbl_individual[[#This Row],[R6 Pts]])</f>
        <v>22</v>
      </c>
      <c r="V22" s="3">
        <f>tbl_individual[[#This Row],[Total]]</f>
        <v>158</v>
      </c>
    </row>
    <row r="23" spans="1:22" hidden="1" x14ac:dyDescent="0.4">
      <c r="A23" t="s">
        <v>412</v>
      </c>
      <c r="B23" t="s">
        <v>10</v>
      </c>
      <c r="C23" t="s">
        <v>5</v>
      </c>
      <c r="D23" s="3">
        <v>960</v>
      </c>
      <c r="E23" s="3" t="s">
        <v>421</v>
      </c>
      <c r="G23" s="3" t="s">
        <v>407</v>
      </c>
      <c r="H23" s="3">
        <v>13</v>
      </c>
      <c r="I23" s="3">
        <f>IF(H23="","",IF(H23="DNS",0,IF(H23="DQ",0,IF(H23="DNF",1,IF(AND(ISNUMBER(H23),H23&gt;59),1,_xlfn.XLOOKUP(H23,tbl_points[Place],tbl_points[Points],""))))))</f>
        <v>49</v>
      </c>
      <c r="J23" s="3">
        <v>5</v>
      </c>
      <c r="K23" s="3">
        <f>IF(J23="","",IF(J23="DNS",0,IF(J23="DQ",0,IF(J23="DNF",1,IF(AND(ISNUMBER(J23),J23&gt;59),1,_xlfn.XLOOKUP(J23,tbl_points[Place],tbl_points[Points],""))))))</f>
        <v>80</v>
      </c>
      <c r="L23" s="3" t="s">
        <v>410</v>
      </c>
      <c r="M23" s="3">
        <f>IF(L23="","",IF(L23="DNS",0,IF(L23="DQ",0,IF(L23="DNF",1,IF(AND(ISNUMBER(L23),L23&gt;59),1,_xlfn.XLOOKUP(L23,tbl_points[Place],tbl_points[Points],""))))))</f>
        <v>0</v>
      </c>
      <c r="N23" s="3">
        <v>2</v>
      </c>
      <c r="O23" s="3">
        <f>IF(N23="","",IF(N23="DNS",0,IF(N23="DQ",0,IF(N23="DNF",1,IF(AND(ISNUMBER(N23),N23&gt;59),1,_xlfn.XLOOKUP(N23,tbl_points[Place],tbl_points[Points],""))))))</f>
        <v>95</v>
      </c>
      <c r="P23" s="3">
        <v>5</v>
      </c>
      <c r="Q23" s="3">
        <f>IF(P23="","",IF(P23="DNS",0,IF(P23="DQ",0,IF(P23="DNF",1,IF(AND(ISNUMBER(P23),P23&gt;59),1,_xlfn.XLOOKUP(P23,tbl_points[Place],tbl_points[Points],""))))))</f>
        <v>80</v>
      </c>
      <c r="S23" s="3" t="str">
        <f>IF(R23="","",IF(R23="DNS",0,IF(R23="DQ",0,IF(R23="DNF",1,IF(AND(ISNUMBER(R23),R23&gt;59),1,_xlfn.XLOOKUP(R23,tbl_points[Place],tbl_points[Points],""))))))</f>
        <v/>
      </c>
      <c r="T23" s="3">
        <f>SUM(tbl_individual[[#This Row],[R1 Pts]],tbl_individual[[#This Row],[R2 Pts]],tbl_individual[[#This Row],[R3 Pts]],tbl_individual[[#This Row],[R4 Pts]],tbl_individual[[#This Row],[R5 Pts]],tbl_individual[[#This Row],[R6 Pts]])</f>
        <v>304</v>
      </c>
      <c r="U2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" s="3">
        <f>tbl_individual[[#This Row],[Total]]</f>
        <v>304</v>
      </c>
    </row>
    <row r="24" spans="1:22" x14ac:dyDescent="0.4">
      <c r="A24" t="s">
        <v>62</v>
      </c>
      <c r="B24" t="s">
        <v>10</v>
      </c>
      <c r="C24" t="s">
        <v>6</v>
      </c>
      <c r="D24" s="3">
        <v>9180</v>
      </c>
      <c r="E24" s="3" t="s">
        <v>421</v>
      </c>
      <c r="G24" s="3" t="s">
        <v>403</v>
      </c>
      <c r="H24" s="3">
        <v>13</v>
      </c>
      <c r="I24" s="3">
        <f>IF(H24="","",IF(H24="DNS",0,IF(H24="DQ",0,IF(H24="DNF",1,IF(AND(ISNUMBER(H24),H24&gt;59),1,_xlfn.XLOOKUP(H24,tbl_points[Place],tbl_points[Points],""))))))</f>
        <v>49</v>
      </c>
      <c r="J24" s="3">
        <v>12</v>
      </c>
      <c r="K24" s="3">
        <f>IF(J24="","",IF(J24="DNS",0,IF(J24="DQ",0,IF(J24="DNF",1,IF(AND(ISNUMBER(J24),J24&gt;59),1,_xlfn.XLOOKUP(J24,tbl_points[Place],tbl_points[Points],""))))))</f>
        <v>51</v>
      </c>
      <c r="L24" s="3" t="s">
        <v>410</v>
      </c>
      <c r="M24" s="3">
        <f>IF(L24="","",IF(L24="DNS",0,IF(L24="DQ",0,IF(L24="DNF",1,IF(AND(ISNUMBER(L24),L24&gt;59),1,_xlfn.XLOOKUP(L24,tbl_points[Place],tbl_points[Points],""))))))</f>
        <v>0</v>
      </c>
      <c r="N24" s="3">
        <v>8</v>
      </c>
      <c r="O24" s="3">
        <f>IF(N24="","",IF(N24="DNS",0,IF(N24="DQ",0,IF(N24="DNF",1,IF(AND(ISNUMBER(N24),N24&gt;59),1,_xlfn.XLOOKUP(N24,tbl_points[Place],tbl_points[Points],""))))))</f>
        <v>65</v>
      </c>
      <c r="P24" s="3">
        <v>12</v>
      </c>
      <c r="Q24" s="3">
        <f>IF(P24="","",IF(P24="DNS",0,IF(P24="DQ",0,IF(P24="DNF",1,IF(AND(ISNUMBER(P24),P24&gt;59),1,_xlfn.XLOOKUP(P24,tbl_points[Place],tbl_points[Points],""))))))</f>
        <v>51</v>
      </c>
      <c r="S24" s="3" t="str">
        <f>IF(R24="","",IF(R24="DNS",0,IF(R24="DQ",0,IF(R24="DNF",1,IF(AND(ISNUMBER(R24),R24&gt;59),1,_xlfn.XLOOKUP(R24,tbl_points[Place],tbl_points[Points],""))))))</f>
        <v/>
      </c>
      <c r="T24" s="3">
        <f>SUM(tbl_individual[[#This Row],[R1 Pts]],tbl_individual[[#This Row],[R2 Pts]],tbl_individual[[#This Row],[R3 Pts]],tbl_individual[[#This Row],[R4 Pts]],tbl_individual[[#This Row],[R5 Pts]],tbl_individual[[#This Row],[R6 Pts]])</f>
        <v>216</v>
      </c>
      <c r="U2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4" s="3">
        <f>tbl_individual[[#This Row],[Total]]</f>
        <v>216</v>
      </c>
    </row>
    <row r="25" spans="1:22" x14ac:dyDescent="0.4">
      <c r="A25" t="s">
        <v>63</v>
      </c>
      <c r="B25" t="s">
        <v>10</v>
      </c>
      <c r="C25" t="s">
        <v>6</v>
      </c>
      <c r="D25" s="3">
        <v>9421</v>
      </c>
      <c r="E25" s="3" t="s">
        <v>421</v>
      </c>
      <c r="G25" s="3" t="s">
        <v>403</v>
      </c>
      <c r="H25" s="3">
        <v>14</v>
      </c>
      <c r="I25" s="3">
        <f>IF(H25="","",IF(H25="DNS",0,IF(H25="DQ",0,IF(H25="DNF",1,IF(AND(ISNUMBER(H25),H25&gt;59),1,_xlfn.XLOOKUP(H25,tbl_points[Place],tbl_points[Points],""))))))</f>
        <v>47</v>
      </c>
      <c r="J25" s="3">
        <v>13</v>
      </c>
      <c r="K25" s="3">
        <f>IF(J25="","",IF(J25="DNS",0,IF(J25="DQ",0,IF(J25="DNF",1,IF(AND(ISNUMBER(J25),J25&gt;59),1,_xlfn.XLOOKUP(J25,tbl_points[Place],tbl_points[Points],""))))))</f>
        <v>49</v>
      </c>
      <c r="L25" s="3">
        <v>10</v>
      </c>
      <c r="M25" s="3">
        <f>IF(L25="","",IF(L25="DNS",0,IF(L25="DQ",0,IF(L25="DNF",1,IF(AND(ISNUMBER(L25),L25&gt;59),1,_xlfn.XLOOKUP(L25,tbl_points[Place],tbl_points[Points],""))))))</f>
        <v>55</v>
      </c>
      <c r="N25" s="3" t="s">
        <v>410</v>
      </c>
      <c r="O25" s="3">
        <f>IF(N25="","",IF(N25="DNS",0,IF(N25="DQ",0,IF(N25="DNF",1,IF(AND(ISNUMBER(N25),N25&gt;59),1,_xlfn.XLOOKUP(N25,tbl_points[Place],tbl_points[Points],""))))))</f>
        <v>0</v>
      </c>
      <c r="P25" s="3">
        <v>13</v>
      </c>
      <c r="Q25" s="3">
        <f>IF(P25="","",IF(P25="DNS",0,IF(P25="DQ",0,IF(P25="DNF",1,IF(AND(ISNUMBER(P25),P25&gt;59),1,_xlfn.XLOOKUP(P25,tbl_points[Place],tbl_points[Points],""))))))</f>
        <v>49</v>
      </c>
      <c r="S25" s="3" t="str">
        <f>IF(R25="","",IF(R25="DNS",0,IF(R25="DQ",0,IF(R25="DNF",1,IF(AND(ISNUMBER(R25),R25&gt;59),1,_xlfn.XLOOKUP(R25,tbl_points[Place],tbl_points[Points],""))))))</f>
        <v/>
      </c>
      <c r="T25" s="3">
        <f>SUM(tbl_individual[[#This Row],[R1 Pts]],tbl_individual[[#This Row],[R2 Pts]],tbl_individual[[#This Row],[R3 Pts]],tbl_individual[[#This Row],[R4 Pts]],tbl_individual[[#This Row],[R5 Pts]],tbl_individual[[#This Row],[R6 Pts]])</f>
        <v>200</v>
      </c>
      <c r="U2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" s="3">
        <f>tbl_individual[[#This Row],[Total]]</f>
        <v>200</v>
      </c>
    </row>
    <row r="26" spans="1:22" x14ac:dyDescent="0.4">
      <c r="A26" t="s">
        <v>64</v>
      </c>
      <c r="B26" t="s">
        <v>10</v>
      </c>
      <c r="C26" t="s">
        <v>6</v>
      </c>
      <c r="D26" s="3">
        <v>9451</v>
      </c>
      <c r="E26" s="3" t="s">
        <v>421</v>
      </c>
      <c r="G26" s="3" t="s">
        <v>403</v>
      </c>
      <c r="H26" s="3">
        <v>6</v>
      </c>
      <c r="I26" s="3">
        <f>IF(H26="","",IF(H26="DNS",0,IF(H26="DQ",0,IF(H26="DNF",1,IF(AND(ISNUMBER(H26),H26&gt;59),1,_xlfn.XLOOKUP(H26,tbl_points[Place],tbl_points[Points],""))))))</f>
        <v>75</v>
      </c>
      <c r="J26" s="3">
        <v>10</v>
      </c>
      <c r="K26" s="3">
        <f>IF(J26="","",IF(J26="DNS",0,IF(J26="DQ",0,IF(J26="DNF",1,IF(AND(ISNUMBER(J26),J26&gt;59),1,_xlfn.XLOOKUP(J26,tbl_points[Place],tbl_points[Points],""))))))</f>
        <v>55</v>
      </c>
      <c r="L26" s="3">
        <v>4</v>
      </c>
      <c r="M26" s="3">
        <f>IF(L26="","",IF(L26="DNS",0,IF(L26="DQ",0,IF(L26="DNF",1,IF(AND(ISNUMBER(L26),L26&gt;59),1,_xlfn.XLOOKUP(L26,tbl_points[Place],tbl_points[Points],""))))))</f>
        <v>85</v>
      </c>
      <c r="N26" s="3">
        <v>5</v>
      </c>
      <c r="O26" s="3">
        <f>IF(N26="","",IF(N26="DNS",0,IF(N26="DQ",0,IF(N26="DNF",1,IF(AND(ISNUMBER(N26),N26&gt;59),1,_xlfn.XLOOKUP(N26,tbl_points[Place],tbl_points[Points],""))))))</f>
        <v>80</v>
      </c>
      <c r="P26" s="3">
        <v>5</v>
      </c>
      <c r="Q26" s="3">
        <f>IF(P26="","",IF(P26="DNS",0,IF(P26="DQ",0,IF(P26="DNF",1,IF(AND(ISNUMBER(P26),P26&gt;59),1,_xlfn.XLOOKUP(P26,tbl_points[Place],tbl_points[Points],""))))))</f>
        <v>80</v>
      </c>
      <c r="S26" s="3" t="str">
        <f>IF(R26="","",IF(R26="DNS",0,IF(R26="DQ",0,IF(R26="DNF",1,IF(AND(ISNUMBER(R26),R26&gt;59),1,_xlfn.XLOOKUP(R26,tbl_points[Place],tbl_points[Points],""))))))</f>
        <v/>
      </c>
      <c r="T26" s="3">
        <f>SUM(tbl_individual[[#This Row],[R1 Pts]],tbl_individual[[#This Row],[R2 Pts]],tbl_individual[[#This Row],[R3 Pts]],tbl_individual[[#This Row],[R4 Pts]],tbl_individual[[#This Row],[R5 Pts]],tbl_individual[[#This Row],[R6 Pts]])</f>
        <v>375</v>
      </c>
      <c r="U26" s="3">
        <f>MIN(tbl_individual[[#This Row],[R1 Pts]],tbl_individual[[#This Row],[R2 Pts]],tbl_individual[[#This Row],[R3 Pts]],tbl_individual[[#This Row],[R4 Pts]],tbl_individual[[#This Row],[R5 Pts]],tbl_individual[[#This Row],[R6 Pts]])</f>
        <v>55</v>
      </c>
      <c r="V26" s="3">
        <f>tbl_individual[[#This Row],[Total]]</f>
        <v>375</v>
      </c>
    </row>
    <row r="27" spans="1:22" x14ac:dyDescent="0.4">
      <c r="A27" t="s">
        <v>65</v>
      </c>
      <c r="B27" t="s">
        <v>10</v>
      </c>
      <c r="C27" t="s">
        <v>6</v>
      </c>
      <c r="D27" s="3">
        <v>9471</v>
      </c>
      <c r="E27" s="3" t="s">
        <v>421</v>
      </c>
      <c r="G27" s="3" t="s">
        <v>403</v>
      </c>
      <c r="H27" s="3">
        <v>11</v>
      </c>
      <c r="I27" s="3">
        <f>IF(H27="","",IF(H27="DNS",0,IF(H27="DQ",0,IF(H27="DNF",1,IF(AND(ISNUMBER(H27),H27&gt;59),1,_xlfn.XLOOKUP(H27,tbl_points[Place],tbl_points[Points],""))))))</f>
        <v>53</v>
      </c>
      <c r="J27" s="3">
        <v>7</v>
      </c>
      <c r="K27" s="3">
        <f>IF(J27="","",IF(J27="DNS",0,IF(J27="DQ",0,IF(J27="DNF",1,IF(AND(ISNUMBER(J27),J27&gt;59),1,_xlfn.XLOOKUP(J27,tbl_points[Place],tbl_points[Points],""))))))</f>
        <v>70</v>
      </c>
      <c r="L27" s="3">
        <v>9</v>
      </c>
      <c r="M27" s="3">
        <f>IF(L27="","",IF(L27="DNS",0,IF(L27="DQ",0,IF(L27="DNF",1,IF(AND(ISNUMBER(L27),L27&gt;59),1,_xlfn.XLOOKUP(L27,tbl_points[Place],tbl_points[Points],""))))))</f>
        <v>60</v>
      </c>
      <c r="N27" s="3" t="s">
        <v>410</v>
      </c>
      <c r="O27" s="3">
        <f>IF(N27="","",IF(N27="DNS",0,IF(N27="DQ",0,IF(N27="DNF",1,IF(AND(ISNUMBER(N27),N27&gt;59),1,_xlfn.XLOOKUP(N27,tbl_points[Place],tbl_points[Points],""))))))</f>
        <v>0</v>
      </c>
      <c r="P27" s="3" t="s">
        <v>410</v>
      </c>
      <c r="Q27" s="3">
        <f>IF(P27="","",IF(P27="DNS",0,IF(P27="DQ",0,IF(P27="DNF",1,IF(AND(ISNUMBER(P27),P27&gt;59),1,_xlfn.XLOOKUP(P27,tbl_points[Place],tbl_points[Points],""))))))</f>
        <v>0</v>
      </c>
      <c r="S27" s="3" t="str">
        <f>IF(R27="","",IF(R27="DNS",0,IF(R27="DQ",0,IF(R27="DNF",1,IF(AND(ISNUMBER(R27),R27&gt;59),1,_xlfn.XLOOKUP(R27,tbl_points[Place],tbl_points[Points],""))))))</f>
        <v/>
      </c>
      <c r="T27" s="3">
        <f>SUM(tbl_individual[[#This Row],[R1 Pts]],tbl_individual[[#This Row],[R2 Pts]],tbl_individual[[#This Row],[R3 Pts]],tbl_individual[[#This Row],[R4 Pts]],tbl_individual[[#This Row],[R5 Pts]],tbl_individual[[#This Row],[R6 Pts]])</f>
        <v>183</v>
      </c>
      <c r="U2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7" s="3">
        <f>tbl_individual[[#This Row],[Total]]</f>
        <v>183</v>
      </c>
    </row>
    <row r="28" spans="1:22" x14ac:dyDescent="0.4">
      <c r="A28" t="s">
        <v>66</v>
      </c>
      <c r="B28" t="s">
        <v>10</v>
      </c>
      <c r="C28" t="s">
        <v>6</v>
      </c>
      <c r="D28" s="3">
        <v>9481</v>
      </c>
      <c r="E28" s="3" t="s">
        <v>421</v>
      </c>
      <c r="G28" s="3" t="s">
        <v>403</v>
      </c>
      <c r="H28" s="3">
        <v>9</v>
      </c>
      <c r="I28" s="3">
        <f>IF(H28="","",IF(H28="DNS",0,IF(H28="DQ",0,IF(H28="DNF",1,IF(AND(ISNUMBER(H28),H28&gt;59),1,_xlfn.XLOOKUP(H28,tbl_points[Place],tbl_points[Points],""))))))</f>
        <v>60</v>
      </c>
      <c r="J28" s="3">
        <v>8</v>
      </c>
      <c r="K28" s="3">
        <f>IF(J28="","",IF(J28="DNS",0,IF(J28="DQ",0,IF(J28="DNF",1,IF(AND(ISNUMBER(J28),J28&gt;59),1,_xlfn.XLOOKUP(J28,tbl_points[Place],tbl_points[Points],""))))))</f>
        <v>65</v>
      </c>
      <c r="L28" s="3" t="s">
        <v>410</v>
      </c>
      <c r="M28" s="3">
        <f>IF(L28="","",IF(L28="DNS",0,IF(L28="DQ",0,IF(L28="DNF",1,IF(AND(ISNUMBER(L28),L28&gt;59),1,_xlfn.XLOOKUP(L28,tbl_points[Place],tbl_points[Points],""))))))</f>
        <v>0</v>
      </c>
      <c r="N28" s="3" t="s">
        <v>410</v>
      </c>
      <c r="O28" s="3">
        <f>IF(N28="","",IF(N28="DNS",0,IF(N28="DQ",0,IF(N28="DNF",1,IF(AND(ISNUMBER(N28),N28&gt;59),1,_xlfn.XLOOKUP(N28,tbl_points[Place],tbl_points[Points],""))))))</f>
        <v>0</v>
      </c>
      <c r="P28" s="3" t="s">
        <v>410</v>
      </c>
      <c r="Q28" s="3">
        <f>IF(P28="","",IF(P28="DNS",0,IF(P28="DQ",0,IF(P28="DNF",1,IF(AND(ISNUMBER(P28),P28&gt;59),1,_xlfn.XLOOKUP(P28,tbl_points[Place],tbl_points[Points],""))))))</f>
        <v>0</v>
      </c>
      <c r="S28" s="3" t="str">
        <f>IF(R28="","",IF(R28="DNS",0,IF(R28="DQ",0,IF(R28="DNF",1,IF(AND(ISNUMBER(R28),R28&gt;59),1,_xlfn.XLOOKUP(R28,tbl_points[Place],tbl_points[Points],""))))))</f>
        <v/>
      </c>
      <c r="T28" s="3">
        <f>SUM(tbl_individual[[#This Row],[R1 Pts]],tbl_individual[[#This Row],[R2 Pts]],tbl_individual[[#This Row],[R3 Pts]],tbl_individual[[#This Row],[R4 Pts]],tbl_individual[[#This Row],[R5 Pts]],tbl_individual[[#This Row],[R6 Pts]])</f>
        <v>125</v>
      </c>
      <c r="U2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" s="3">
        <f>tbl_individual[[#This Row],[Total]]</f>
        <v>125</v>
      </c>
    </row>
    <row r="29" spans="1:22" hidden="1" x14ac:dyDescent="0.4">
      <c r="A29" s="11" t="s">
        <v>92</v>
      </c>
      <c r="B29" s="11" t="s">
        <v>10</v>
      </c>
      <c r="C29" s="11" t="s">
        <v>3</v>
      </c>
      <c r="D29" s="15">
        <v>10065</v>
      </c>
      <c r="E29" s="3" t="s">
        <v>433</v>
      </c>
      <c r="F29" s="17" t="s">
        <v>437</v>
      </c>
      <c r="K29" s="3" t="str">
        <f>IF(J29="","",IF(J29="DNS",0,IF(J29="DQ",0,IF(J29="DNF",1,IF(AND(ISNUMBER(J29),J29&gt;59),1,_xlfn.XLOOKUP(J29,tbl_points[Place],tbl_points[Points],""))))))</f>
        <v/>
      </c>
      <c r="M29" s="3" t="str">
        <f>IF(L29="","",IF(L29="DNS",0,IF(L29="DQ",0,IF(L29="DNF",1,IF(AND(ISNUMBER(L29),L29&gt;59),1,_xlfn.XLOOKUP(L29,tbl_points[Place],tbl_points[Points],""))))))</f>
        <v/>
      </c>
      <c r="O29" s="3" t="str">
        <f>IF(N29="","",IF(N29="DNS",0,IF(N29="DQ",0,IF(N29="DNF",1,IF(AND(ISNUMBER(N29),N29&gt;59),1,_xlfn.XLOOKUP(N29,tbl_points[Place],tbl_points[Points],""))))))</f>
        <v/>
      </c>
      <c r="Q29" s="3" t="str">
        <f>IF(P29="","",IF(P29="DNS",0,IF(P29="DQ",0,IF(P29="DNF",1,IF(AND(ISNUMBER(P29),P29&gt;59),1,_xlfn.XLOOKUP(P29,tbl_points[Place],tbl_points[Points],""))))))</f>
        <v/>
      </c>
      <c r="S29" s="3" t="str">
        <f>IF(R29="","",IF(R29="DNS",0,IF(R29="DQ",0,IF(R29="DNF",1,IF(AND(ISNUMBER(R29),R29&gt;59),1,_xlfn.XLOOKUP(R29,tbl_points[Place],tbl_points[Points],""))))))</f>
        <v/>
      </c>
      <c r="T29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9" s="3">
        <f>tbl_individual[[#This Row],[Total]]</f>
        <v>0</v>
      </c>
    </row>
    <row r="30" spans="1:22" hidden="1" x14ac:dyDescent="0.4">
      <c r="A30" t="s">
        <v>84</v>
      </c>
      <c r="B30" t="s">
        <v>10</v>
      </c>
      <c r="C30" t="s">
        <v>3</v>
      </c>
      <c r="D30" s="3">
        <v>10110</v>
      </c>
      <c r="E30" s="3" t="s">
        <v>421</v>
      </c>
      <c r="G30" s="3" t="s">
        <v>403</v>
      </c>
      <c r="H30" s="3">
        <v>38</v>
      </c>
      <c r="I30" s="3">
        <f>IF(H30="","",IF(H30="DNS",0,IF(H30="DQ",0,IF(H30="DNF",1,IF(AND(ISNUMBER(H30),H30&gt;59),1,_xlfn.XLOOKUP(H30,tbl_points[Place],tbl_points[Points],""))))))</f>
        <v>22</v>
      </c>
      <c r="J30" s="3">
        <v>43</v>
      </c>
      <c r="K30" s="3">
        <f>IF(J30="","",IF(J30="DNS",0,IF(J30="DQ",0,IF(J30="DNF",1,IF(AND(ISNUMBER(J30),J30&gt;59),1,_xlfn.XLOOKUP(J30,tbl_points[Place],tbl_points[Points],""))))))</f>
        <v>17</v>
      </c>
      <c r="L30" s="3">
        <v>37</v>
      </c>
      <c r="M30" s="3">
        <f>IF(L30="","",IF(L30="DNS",0,IF(L30="DQ",0,IF(L30="DNF",1,IF(AND(ISNUMBER(L30),L30&gt;59),1,_xlfn.XLOOKUP(L30,tbl_points[Place],tbl_points[Points],""))))))</f>
        <v>23</v>
      </c>
      <c r="N30" s="3">
        <v>53</v>
      </c>
      <c r="O30" s="3">
        <f>IF(N30="","",IF(N30="DNS",0,IF(N30="DQ",0,IF(N30="DNF",1,IF(AND(ISNUMBER(N30),N30&gt;59),1,_xlfn.XLOOKUP(N30,tbl_points[Place],tbl_points[Points],""))))))</f>
        <v>7</v>
      </c>
      <c r="P30" s="3" t="s">
        <v>410</v>
      </c>
      <c r="Q30" s="3">
        <f>IF(P30="","",IF(P30="DNS",0,IF(P30="DQ",0,IF(P30="DNF",1,IF(AND(ISNUMBER(P30),P30&gt;59),1,_xlfn.XLOOKUP(P30,tbl_points[Place],tbl_points[Points],""))))))</f>
        <v>0</v>
      </c>
      <c r="S30" s="3" t="str">
        <f>IF(R30="","",IF(R30="DNS",0,IF(R30="DQ",0,IF(R30="DNF",1,IF(AND(ISNUMBER(R30),R30&gt;59),1,_xlfn.XLOOKUP(R30,tbl_points[Place],tbl_points[Points],""))))))</f>
        <v/>
      </c>
      <c r="T30" s="3">
        <f>SUM(tbl_individual[[#This Row],[R1 Pts]],tbl_individual[[#This Row],[R2 Pts]],tbl_individual[[#This Row],[R3 Pts]],tbl_individual[[#This Row],[R4 Pts]],tbl_individual[[#This Row],[R5 Pts]],tbl_individual[[#This Row],[R6 Pts]])</f>
        <v>69</v>
      </c>
      <c r="U3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0" s="3">
        <f>tbl_individual[[#This Row],[Total]]</f>
        <v>69</v>
      </c>
    </row>
    <row r="31" spans="1:22" hidden="1" x14ac:dyDescent="0.4">
      <c r="A31" t="s">
        <v>85</v>
      </c>
      <c r="B31" t="s">
        <v>10</v>
      </c>
      <c r="C31" t="s">
        <v>3</v>
      </c>
      <c r="D31" s="3">
        <v>10111</v>
      </c>
      <c r="E31" s="3" t="s">
        <v>421</v>
      </c>
      <c r="G31" s="3" t="s">
        <v>403</v>
      </c>
      <c r="H31" s="3">
        <v>12</v>
      </c>
      <c r="I31" s="3">
        <f>IF(H31="","",IF(H31="DNS",0,IF(H31="DQ",0,IF(H31="DNF",1,IF(AND(ISNUMBER(H31),H31&gt;59),1,_xlfn.XLOOKUP(H31,tbl_points[Place],tbl_points[Points],""))))))</f>
        <v>51</v>
      </c>
      <c r="J31" s="3">
        <v>20</v>
      </c>
      <c r="K31" s="3">
        <f>IF(J31="","",IF(J31="DNS",0,IF(J31="DQ",0,IF(J31="DNF",1,IF(AND(ISNUMBER(J31),J31&gt;59),1,_xlfn.XLOOKUP(J31,tbl_points[Place],tbl_points[Points],""))))))</f>
        <v>40</v>
      </c>
      <c r="L31" s="3">
        <v>13</v>
      </c>
      <c r="M31" s="3">
        <f>IF(L31="","",IF(L31="DNS",0,IF(L31="DQ",0,IF(L31="DNF",1,IF(AND(ISNUMBER(L31),L31&gt;59),1,_xlfn.XLOOKUP(L31,tbl_points[Place],tbl_points[Points],""))))))</f>
        <v>49</v>
      </c>
      <c r="N31" s="3">
        <v>28</v>
      </c>
      <c r="O31" s="3">
        <f>IF(N31="","",IF(N31="DNS",0,IF(N31="DQ",0,IF(N31="DNF",1,IF(AND(ISNUMBER(N31),N31&gt;59),1,_xlfn.XLOOKUP(N31,tbl_points[Place],tbl_points[Points],""))))))</f>
        <v>32</v>
      </c>
      <c r="P31" s="3">
        <v>24</v>
      </c>
      <c r="Q31" s="3">
        <f>IF(P31="","",IF(P31="DNS",0,IF(P31="DQ",0,IF(P31="DNF",1,IF(AND(ISNUMBER(P31),P31&gt;59),1,_xlfn.XLOOKUP(P31,tbl_points[Place],tbl_points[Points],""))))))</f>
        <v>36</v>
      </c>
      <c r="S31" s="3" t="str">
        <f>IF(R31="","",IF(R31="DNS",0,IF(R31="DQ",0,IF(R31="DNF",1,IF(AND(ISNUMBER(R31),R31&gt;59),1,_xlfn.XLOOKUP(R31,tbl_points[Place],tbl_points[Points],""))))))</f>
        <v/>
      </c>
      <c r="T31" s="3">
        <f>SUM(tbl_individual[[#This Row],[R1 Pts]],tbl_individual[[#This Row],[R2 Pts]],tbl_individual[[#This Row],[R3 Pts]],tbl_individual[[#This Row],[R4 Pts]],tbl_individual[[#This Row],[R5 Pts]],tbl_individual[[#This Row],[R6 Pts]])</f>
        <v>208</v>
      </c>
      <c r="U31" s="3">
        <f>MIN(tbl_individual[[#This Row],[R1 Pts]],tbl_individual[[#This Row],[R2 Pts]],tbl_individual[[#This Row],[R3 Pts]],tbl_individual[[#This Row],[R4 Pts]],tbl_individual[[#This Row],[R5 Pts]],tbl_individual[[#This Row],[R6 Pts]])</f>
        <v>32</v>
      </c>
      <c r="V31" s="3">
        <f>tbl_individual[[#This Row],[Total]]</f>
        <v>208</v>
      </c>
    </row>
    <row r="32" spans="1:22" hidden="1" x14ac:dyDescent="0.4">
      <c r="A32" t="s">
        <v>86</v>
      </c>
      <c r="B32" t="s">
        <v>10</v>
      </c>
      <c r="C32" t="s">
        <v>3</v>
      </c>
      <c r="D32" s="3">
        <v>10114</v>
      </c>
      <c r="E32" s="3" t="s">
        <v>421</v>
      </c>
      <c r="G32" s="3" t="s">
        <v>403</v>
      </c>
      <c r="H32" s="3">
        <v>29</v>
      </c>
      <c r="I32" s="3">
        <f>IF(H32="","",IF(H32="DNS",0,IF(H32="DQ",0,IF(H32="DNF",1,IF(AND(ISNUMBER(H32),H32&gt;59),1,_xlfn.XLOOKUP(H32,tbl_points[Place],tbl_points[Points],""))))))</f>
        <v>31</v>
      </c>
      <c r="J32" s="3">
        <v>18</v>
      </c>
      <c r="K32" s="3">
        <f>IF(J32="","",IF(J32="DNS",0,IF(J32="DQ",0,IF(J32="DNF",1,IF(AND(ISNUMBER(J32),J32&gt;59),1,_xlfn.XLOOKUP(J32,tbl_points[Place],tbl_points[Points],""))))))</f>
        <v>42</v>
      </c>
      <c r="L32" s="3">
        <v>22</v>
      </c>
      <c r="M32" s="3">
        <f>IF(L32="","",IF(L32="DNS",0,IF(L32="DQ",0,IF(L32="DNF",1,IF(AND(ISNUMBER(L32),L32&gt;59),1,_xlfn.XLOOKUP(L32,tbl_points[Place],tbl_points[Points],""))))))</f>
        <v>38</v>
      </c>
      <c r="N32" s="3">
        <v>24</v>
      </c>
      <c r="O32" s="3">
        <f>IF(N32="","",IF(N32="DNS",0,IF(N32="DQ",0,IF(N32="DNF",1,IF(AND(ISNUMBER(N32),N32&gt;59),1,_xlfn.XLOOKUP(N32,tbl_points[Place],tbl_points[Points],""))))))</f>
        <v>36</v>
      </c>
      <c r="P32" s="3">
        <v>21</v>
      </c>
      <c r="Q32" s="3">
        <f>IF(P32="","",IF(P32="DNS",0,IF(P32="DQ",0,IF(P32="DNF",1,IF(AND(ISNUMBER(P32),P32&gt;59),1,_xlfn.XLOOKUP(P32,tbl_points[Place],tbl_points[Points],""))))))</f>
        <v>39</v>
      </c>
      <c r="S32" s="3" t="str">
        <f>IF(R32="","",IF(R32="DNS",0,IF(R32="DQ",0,IF(R32="DNF",1,IF(AND(ISNUMBER(R32),R32&gt;59),1,_xlfn.XLOOKUP(R32,tbl_points[Place],tbl_points[Points],""))))))</f>
        <v/>
      </c>
      <c r="T32" s="3">
        <f>SUM(tbl_individual[[#This Row],[R1 Pts]],tbl_individual[[#This Row],[R2 Pts]],tbl_individual[[#This Row],[R3 Pts]],tbl_individual[[#This Row],[R4 Pts]],tbl_individual[[#This Row],[R5 Pts]],tbl_individual[[#This Row],[R6 Pts]])</f>
        <v>186</v>
      </c>
      <c r="U32" s="3">
        <f>MIN(tbl_individual[[#This Row],[R1 Pts]],tbl_individual[[#This Row],[R2 Pts]],tbl_individual[[#This Row],[R3 Pts]],tbl_individual[[#This Row],[R4 Pts]],tbl_individual[[#This Row],[R5 Pts]],tbl_individual[[#This Row],[R6 Pts]])</f>
        <v>31</v>
      </c>
      <c r="V32" s="3">
        <f>tbl_individual[[#This Row],[Total]]</f>
        <v>186</v>
      </c>
    </row>
    <row r="33" spans="1:22" hidden="1" x14ac:dyDescent="0.4">
      <c r="A33" t="s">
        <v>87</v>
      </c>
      <c r="B33" t="s">
        <v>10</v>
      </c>
      <c r="C33" t="s">
        <v>3</v>
      </c>
      <c r="D33" s="3">
        <v>10115</v>
      </c>
      <c r="E33" s="3" t="s">
        <v>421</v>
      </c>
      <c r="G33" s="3" t="s">
        <v>403</v>
      </c>
      <c r="H33" s="3">
        <v>19</v>
      </c>
      <c r="I33" s="3">
        <f>IF(H33="","",IF(H33="DNS",0,IF(H33="DQ",0,IF(H33="DNF",1,IF(AND(ISNUMBER(H33),H33&gt;59),1,_xlfn.XLOOKUP(H33,tbl_points[Place],tbl_points[Points],""))))))</f>
        <v>41</v>
      </c>
      <c r="J33" s="3">
        <v>10</v>
      </c>
      <c r="K33" s="3">
        <f>IF(J33="","",IF(J33="DNS",0,IF(J33="DQ",0,IF(J33="DNF",1,IF(AND(ISNUMBER(J33),J33&gt;59),1,_xlfn.XLOOKUP(J33,tbl_points[Place],tbl_points[Points],""))))))</f>
        <v>55</v>
      </c>
      <c r="L33" s="3">
        <v>23</v>
      </c>
      <c r="M33" s="3">
        <f>IF(L33="","",IF(L33="DNS",0,IF(L33="DQ",0,IF(L33="DNF",1,IF(AND(ISNUMBER(L33),L33&gt;59),1,_xlfn.XLOOKUP(L33,tbl_points[Place],tbl_points[Points],""))))))</f>
        <v>37</v>
      </c>
      <c r="N33" s="3">
        <v>9</v>
      </c>
      <c r="O33" s="3">
        <f>IF(N33="","",IF(N33="DNS",0,IF(N33="DQ",0,IF(N33="DNF",1,IF(AND(ISNUMBER(N33),N33&gt;59),1,_xlfn.XLOOKUP(N33,tbl_points[Place],tbl_points[Points],""))))))</f>
        <v>60</v>
      </c>
      <c r="P33" s="3">
        <v>12</v>
      </c>
      <c r="Q33" s="3">
        <f>IF(P33="","",IF(P33="DNS",0,IF(P33="DQ",0,IF(P33="DNF",1,IF(AND(ISNUMBER(P33),P33&gt;59),1,_xlfn.XLOOKUP(P33,tbl_points[Place],tbl_points[Points],""))))))</f>
        <v>51</v>
      </c>
      <c r="S33" s="3" t="str">
        <f>IF(R33="","",IF(R33="DNS",0,IF(R33="DQ",0,IF(R33="DNF",1,IF(AND(ISNUMBER(R33),R33&gt;59),1,_xlfn.XLOOKUP(R33,tbl_points[Place],tbl_points[Points],""))))))</f>
        <v/>
      </c>
      <c r="T33" s="3">
        <f>SUM(tbl_individual[[#This Row],[R1 Pts]],tbl_individual[[#This Row],[R2 Pts]],tbl_individual[[#This Row],[R3 Pts]],tbl_individual[[#This Row],[R4 Pts]],tbl_individual[[#This Row],[R5 Pts]],tbl_individual[[#This Row],[R6 Pts]])</f>
        <v>244</v>
      </c>
      <c r="U33" s="3">
        <f>MIN(tbl_individual[[#This Row],[R1 Pts]],tbl_individual[[#This Row],[R2 Pts]],tbl_individual[[#This Row],[R3 Pts]],tbl_individual[[#This Row],[R4 Pts]],tbl_individual[[#This Row],[R5 Pts]],tbl_individual[[#This Row],[R6 Pts]])</f>
        <v>37</v>
      </c>
      <c r="V33" s="3">
        <f>tbl_individual[[#This Row],[Total]]</f>
        <v>244</v>
      </c>
    </row>
    <row r="34" spans="1:22" hidden="1" x14ac:dyDescent="0.4">
      <c r="A34" t="s">
        <v>88</v>
      </c>
      <c r="B34" t="s">
        <v>10</v>
      </c>
      <c r="C34" t="s">
        <v>3</v>
      </c>
      <c r="D34" s="3">
        <v>10117</v>
      </c>
      <c r="E34" s="3" t="s">
        <v>421</v>
      </c>
      <c r="G34" s="3" t="s">
        <v>403</v>
      </c>
      <c r="H34" s="3">
        <v>13</v>
      </c>
      <c r="I34" s="3">
        <f>IF(H34="","",IF(H34="DNS",0,IF(H34="DQ",0,IF(H34="DNF",1,IF(AND(ISNUMBER(H34),H34&gt;59),1,_xlfn.XLOOKUP(H34,tbl_points[Place],tbl_points[Points],""))))))</f>
        <v>49</v>
      </c>
      <c r="J34" s="3">
        <v>21</v>
      </c>
      <c r="K34" s="3">
        <f>IF(J34="","",IF(J34="DNS",0,IF(J34="DQ",0,IF(J34="DNF",1,IF(AND(ISNUMBER(J34),J34&gt;59),1,_xlfn.XLOOKUP(J34,tbl_points[Place],tbl_points[Points],""))))))</f>
        <v>39</v>
      </c>
      <c r="L34" s="3">
        <v>19</v>
      </c>
      <c r="M34" s="3">
        <f>IF(L34="","",IF(L34="DNS",0,IF(L34="DQ",0,IF(L34="DNF",1,IF(AND(ISNUMBER(L34),L34&gt;59),1,_xlfn.XLOOKUP(L34,tbl_points[Place],tbl_points[Points],""))))))</f>
        <v>41</v>
      </c>
      <c r="N34" s="3">
        <v>27</v>
      </c>
      <c r="O34" s="3">
        <f>IF(N34="","",IF(N34="DNS",0,IF(N34="DQ",0,IF(N34="DNF",1,IF(AND(ISNUMBER(N34),N34&gt;59),1,_xlfn.XLOOKUP(N34,tbl_points[Place],tbl_points[Points],""))))))</f>
        <v>33</v>
      </c>
      <c r="P34" s="3">
        <v>43</v>
      </c>
      <c r="Q34" s="3">
        <f>IF(P34="","",IF(P34="DNS",0,IF(P34="DQ",0,IF(P34="DNF",1,IF(AND(ISNUMBER(P34),P34&gt;59),1,_xlfn.XLOOKUP(P34,tbl_points[Place],tbl_points[Points],""))))))</f>
        <v>17</v>
      </c>
      <c r="S34" s="3" t="str">
        <f>IF(R34="","",IF(R34="DNS",0,IF(R34="DQ",0,IF(R34="DNF",1,IF(AND(ISNUMBER(R34),R34&gt;59),1,_xlfn.XLOOKUP(R34,tbl_points[Place],tbl_points[Points],""))))))</f>
        <v/>
      </c>
      <c r="T34" s="3">
        <f>SUM(tbl_individual[[#This Row],[R1 Pts]],tbl_individual[[#This Row],[R2 Pts]],tbl_individual[[#This Row],[R3 Pts]],tbl_individual[[#This Row],[R4 Pts]],tbl_individual[[#This Row],[R5 Pts]],tbl_individual[[#This Row],[R6 Pts]])</f>
        <v>179</v>
      </c>
      <c r="U34" s="3">
        <f>MIN(tbl_individual[[#This Row],[R1 Pts]],tbl_individual[[#This Row],[R2 Pts]],tbl_individual[[#This Row],[R3 Pts]],tbl_individual[[#This Row],[R4 Pts]],tbl_individual[[#This Row],[R5 Pts]],tbl_individual[[#This Row],[R6 Pts]])</f>
        <v>17</v>
      </c>
      <c r="V34" s="3">
        <f>tbl_individual[[#This Row],[Total]]</f>
        <v>179</v>
      </c>
    </row>
    <row r="35" spans="1:22" hidden="1" x14ac:dyDescent="0.4">
      <c r="A35" t="s">
        <v>89</v>
      </c>
      <c r="B35" t="s">
        <v>10</v>
      </c>
      <c r="C35" t="s">
        <v>3</v>
      </c>
      <c r="D35" s="3">
        <v>10119</v>
      </c>
      <c r="E35" s="3" t="s">
        <v>421</v>
      </c>
      <c r="G35" s="3" t="s">
        <v>403</v>
      </c>
      <c r="H35" s="3">
        <v>17</v>
      </c>
      <c r="I35" s="3">
        <f>IF(H35="","",IF(H35="DNS",0,IF(H35="DQ",0,IF(H35="DNF",1,IF(AND(ISNUMBER(H35),H35&gt;59),1,_xlfn.XLOOKUP(H35,tbl_points[Place],tbl_points[Points],""))))))</f>
        <v>43</v>
      </c>
      <c r="J35" s="3">
        <v>15</v>
      </c>
      <c r="K35" s="3">
        <f>IF(J35="","",IF(J35="DNS",0,IF(J35="DQ",0,IF(J35="DNF",1,IF(AND(ISNUMBER(J35),J35&gt;59),1,_xlfn.XLOOKUP(J35,tbl_points[Place],tbl_points[Points],""))))))</f>
        <v>45</v>
      </c>
      <c r="L35" s="3">
        <v>10</v>
      </c>
      <c r="M35" s="3">
        <f>IF(L35="","",IF(L35="DNS",0,IF(L35="DQ",0,IF(L35="DNF",1,IF(AND(ISNUMBER(L35),L35&gt;59),1,_xlfn.XLOOKUP(L35,tbl_points[Place],tbl_points[Points],""))))))</f>
        <v>55</v>
      </c>
      <c r="N35" s="3">
        <v>15</v>
      </c>
      <c r="O35" s="3">
        <f>IF(N35="","",IF(N35="DNS",0,IF(N35="DQ",0,IF(N35="DNF",1,IF(AND(ISNUMBER(N35),N35&gt;59),1,_xlfn.XLOOKUP(N35,tbl_points[Place],tbl_points[Points],""))))))</f>
        <v>45</v>
      </c>
      <c r="P35" s="3">
        <v>17</v>
      </c>
      <c r="Q35" s="3">
        <f>IF(P35="","",IF(P35="DNS",0,IF(P35="DQ",0,IF(P35="DNF",1,IF(AND(ISNUMBER(P35),P35&gt;59),1,_xlfn.XLOOKUP(P35,tbl_points[Place],tbl_points[Points],""))))))</f>
        <v>43</v>
      </c>
      <c r="S35" s="3" t="str">
        <f>IF(R35="","",IF(R35="DNS",0,IF(R35="DQ",0,IF(R35="DNF",1,IF(AND(ISNUMBER(R35),R35&gt;59),1,_xlfn.XLOOKUP(R35,tbl_points[Place],tbl_points[Points],""))))))</f>
        <v/>
      </c>
      <c r="T35" s="3">
        <f>SUM(tbl_individual[[#This Row],[R1 Pts]],tbl_individual[[#This Row],[R2 Pts]],tbl_individual[[#This Row],[R3 Pts]],tbl_individual[[#This Row],[R4 Pts]],tbl_individual[[#This Row],[R5 Pts]],tbl_individual[[#This Row],[R6 Pts]])</f>
        <v>231</v>
      </c>
      <c r="U35" s="3">
        <f>MIN(tbl_individual[[#This Row],[R1 Pts]],tbl_individual[[#This Row],[R2 Pts]],tbl_individual[[#This Row],[R3 Pts]],tbl_individual[[#This Row],[R4 Pts]],tbl_individual[[#This Row],[R5 Pts]],tbl_individual[[#This Row],[R6 Pts]])</f>
        <v>43</v>
      </c>
      <c r="V35" s="3">
        <f>tbl_individual[[#This Row],[Total]]</f>
        <v>231</v>
      </c>
    </row>
    <row r="36" spans="1:22" hidden="1" x14ac:dyDescent="0.4">
      <c r="A36" t="s">
        <v>90</v>
      </c>
      <c r="B36" t="s">
        <v>10</v>
      </c>
      <c r="C36" t="s">
        <v>3</v>
      </c>
      <c r="D36" s="3">
        <v>10126</v>
      </c>
      <c r="E36" s="3" t="s">
        <v>421</v>
      </c>
      <c r="G36" s="3" t="s">
        <v>403</v>
      </c>
      <c r="H36" s="3">
        <v>4</v>
      </c>
      <c r="I36" s="3">
        <f>IF(H36="","",IF(H36="DNS",0,IF(H36="DQ",0,IF(H36="DNF",1,IF(AND(ISNUMBER(H36),H36&gt;59),1,_xlfn.XLOOKUP(H36,tbl_points[Place],tbl_points[Points],""))))))</f>
        <v>85</v>
      </c>
      <c r="J36" s="3">
        <v>6</v>
      </c>
      <c r="K36" s="3">
        <f>IF(J36="","",IF(J36="DNS",0,IF(J36="DQ",0,IF(J36="DNF",1,IF(AND(ISNUMBER(J36),J36&gt;59),1,_xlfn.XLOOKUP(J36,tbl_points[Place],tbl_points[Points],""))))))</f>
        <v>75</v>
      </c>
      <c r="L36" s="3">
        <v>5</v>
      </c>
      <c r="M36" s="3">
        <f>IF(L36="","",IF(L36="DNS",0,IF(L36="DQ",0,IF(L36="DNF",1,IF(AND(ISNUMBER(L36),L36&gt;59),1,_xlfn.XLOOKUP(L36,tbl_points[Place],tbl_points[Points],""))))))</f>
        <v>80</v>
      </c>
      <c r="N36" s="3">
        <v>23</v>
      </c>
      <c r="O36" s="3">
        <f>IF(N36="","",IF(N36="DNS",0,IF(N36="DQ",0,IF(N36="DNF",1,IF(AND(ISNUMBER(N36),N36&gt;59),1,_xlfn.XLOOKUP(N36,tbl_points[Place],tbl_points[Points],""))))))</f>
        <v>37</v>
      </c>
      <c r="P36" s="3">
        <v>11</v>
      </c>
      <c r="Q36" s="3">
        <f>IF(P36="","",IF(P36="DNS",0,IF(P36="DQ",0,IF(P36="DNF",1,IF(AND(ISNUMBER(P36),P36&gt;59),1,_xlfn.XLOOKUP(P36,tbl_points[Place],tbl_points[Points],""))))))</f>
        <v>53</v>
      </c>
      <c r="S36" s="3" t="str">
        <f>IF(R36="","",IF(R36="DNS",0,IF(R36="DQ",0,IF(R36="DNF",1,IF(AND(ISNUMBER(R36),R36&gt;59),1,_xlfn.XLOOKUP(R36,tbl_points[Place],tbl_points[Points],""))))))</f>
        <v/>
      </c>
      <c r="T36" s="3">
        <f>SUM(tbl_individual[[#This Row],[R1 Pts]],tbl_individual[[#This Row],[R2 Pts]],tbl_individual[[#This Row],[R3 Pts]],tbl_individual[[#This Row],[R4 Pts]],tbl_individual[[#This Row],[R5 Pts]],tbl_individual[[#This Row],[R6 Pts]])</f>
        <v>330</v>
      </c>
      <c r="U36" s="3">
        <f>MIN(tbl_individual[[#This Row],[R1 Pts]],tbl_individual[[#This Row],[R2 Pts]],tbl_individual[[#This Row],[R3 Pts]],tbl_individual[[#This Row],[R4 Pts]],tbl_individual[[#This Row],[R5 Pts]],tbl_individual[[#This Row],[R6 Pts]])</f>
        <v>37</v>
      </c>
      <c r="V36" s="3">
        <f>tbl_individual[[#This Row],[Total]]</f>
        <v>330</v>
      </c>
    </row>
    <row r="37" spans="1:22" hidden="1" x14ac:dyDescent="0.4">
      <c r="A37" t="s">
        <v>91</v>
      </c>
      <c r="B37" t="s">
        <v>10</v>
      </c>
      <c r="C37" t="s">
        <v>3</v>
      </c>
      <c r="D37" s="3">
        <v>10150</v>
      </c>
      <c r="E37" s="3" t="s">
        <v>421</v>
      </c>
      <c r="G37" s="3" t="s">
        <v>407</v>
      </c>
      <c r="H37" s="3">
        <v>8</v>
      </c>
      <c r="I37" s="3">
        <f>IF(H37="","",IF(H37="DNS",0,IF(H37="DQ",0,IF(H37="DNF",1,IF(AND(ISNUMBER(H37),H37&gt;59),1,_xlfn.XLOOKUP(H37,tbl_points[Place],tbl_points[Points],""))))))</f>
        <v>65</v>
      </c>
      <c r="J37" s="3" t="s">
        <v>410</v>
      </c>
      <c r="K37" s="3">
        <f>IF(J37="","",IF(J37="DNS",0,IF(J37="DQ",0,IF(J37="DNF",1,IF(AND(ISNUMBER(J37),J37&gt;59),1,_xlfn.XLOOKUP(J37,tbl_points[Place],tbl_points[Points],""))))))</f>
        <v>0</v>
      </c>
      <c r="L37" s="3">
        <v>6</v>
      </c>
      <c r="M37" s="3">
        <f>IF(L37="","",IF(L37="DNS",0,IF(L37="DQ",0,IF(L37="DNF",1,IF(AND(ISNUMBER(L37),L37&gt;59),1,_xlfn.XLOOKUP(L37,tbl_points[Place],tbl_points[Points],""))))))</f>
        <v>75</v>
      </c>
      <c r="N37" s="3">
        <v>54</v>
      </c>
      <c r="O37" s="3">
        <f>IF(N37="","",IF(N37="DNS",0,IF(N37="DQ",0,IF(N37="DNF",1,IF(AND(ISNUMBER(N37),N37&gt;59),1,_xlfn.XLOOKUP(N37,tbl_points[Place],tbl_points[Points],""))))))</f>
        <v>6</v>
      </c>
      <c r="P37" s="3">
        <v>7</v>
      </c>
      <c r="Q37" s="3">
        <f>IF(P37="","",IF(P37="DNS",0,IF(P37="DQ",0,IF(P37="DNF",1,IF(AND(ISNUMBER(P37),P37&gt;59),1,_xlfn.XLOOKUP(P37,tbl_points[Place],tbl_points[Points],""))))))</f>
        <v>70</v>
      </c>
      <c r="S37" s="3" t="str">
        <f>IF(R37="","",IF(R37="DNS",0,IF(R37="DQ",0,IF(R37="DNF",1,IF(AND(ISNUMBER(R37),R37&gt;59),1,_xlfn.XLOOKUP(R37,tbl_points[Place],tbl_points[Points],""))))))</f>
        <v/>
      </c>
      <c r="T37" s="3">
        <f>SUM(tbl_individual[[#This Row],[R1 Pts]],tbl_individual[[#This Row],[R2 Pts]],tbl_individual[[#This Row],[R3 Pts]],tbl_individual[[#This Row],[R4 Pts]],tbl_individual[[#This Row],[R5 Pts]],tbl_individual[[#This Row],[R6 Pts]])</f>
        <v>216</v>
      </c>
      <c r="U3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7" s="3">
        <f>tbl_individual[[#This Row],[Total]]</f>
        <v>216</v>
      </c>
    </row>
    <row r="38" spans="1:22" hidden="1" x14ac:dyDescent="0.4">
      <c r="A38" t="s">
        <v>92</v>
      </c>
      <c r="B38" t="s">
        <v>10</v>
      </c>
      <c r="C38" t="s">
        <v>3</v>
      </c>
      <c r="D38" s="3">
        <v>10151</v>
      </c>
      <c r="E38" s="3" t="s">
        <v>421</v>
      </c>
      <c r="G38" s="3" t="s">
        <v>403</v>
      </c>
      <c r="H38" s="3">
        <v>40</v>
      </c>
      <c r="I38" s="3">
        <f>IF(H38="","",IF(H38="DNS",0,IF(H38="DQ",0,IF(H38="DNF",1,IF(AND(ISNUMBER(H38),H38&gt;59),1,_xlfn.XLOOKUP(H38,tbl_points[Place],tbl_points[Points],""))))))</f>
        <v>20</v>
      </c>
      <c r="J38" s="3">
        <v>46</v>
      </c>
      <c r="K38" s="3">
        <f>IF(J38="","",IF(J38="DNS",0,IF(J38="DQ",0,IF(J38="DNF",1,IF(AND(ISNUMBER(J38),J38&gt;59),1,_xlfn.XLOOKUP(J38,tbl_points[Place],tbl_points[Points],""))))))</f>
        <v>14</v>
      </c>
      <c r="L38" s="3">
        <v>45</v>
      </c>
      <c r="M38" s="3">
        <f>IF(L38="","",IF(L38="DNS",0,IF(L38="DQ",0,IF(L38="DNF",1,IF(AND(ISNUMBER(L38),L38&gt;59),1,_xlfn.XLOOKUP(L38,tbl_points[Place],tbl_points[Points],""))))))</f>
        <v>15</v>
      </c>
      <c r="N38" s="3">
        <v>48</v>
      </c>
      <c r="O38" s="3">
        <f>IF(N38="","",IF(N38="DNS",0,IF(N38="DQ",0,IF(N38="DNF",1,IF(AND(ISNUMBER(N38),N38&gt;59),1,_xlfn.XLOOKUP(N38,tbl_points[Place],tbl_points[Points],""))))))</f>
        <v>12</v>
      </c>
      <c r="P38" s="3">
        <v>40</v>
      </c>
      <c r="Q38" s="3">
        <f>IF(P38="","",IF(P38="DNS",0,IF(P38="DQ",0,IF(P38="DNF",1,IF(AND(ISNUMBER(P38),P38&gt;59),1,_xlfn.XLOOKUP(P38,tbl_points[Place],tbl_points[Points],""))))))</f>
        <v>20</v>
      </c>
      <c r="S38" s="3" t="str">
        <f>IF(R38="","",IF(R38="DNS",0,IF(R38="DQ",0,IF(R38="DNF",1,IF(AND(ISNUMBER(R38),R38&gt;59),1,_xlfn.XLOOKUP(R38,tbl_points[Place],tbl_points[Points],""))))))</f>
        <v/>
      </c>
      <c r="T38" s="3">
        <f>SUM(tbl_individual[[#This Row],[R1 Pts]],tbl_individual[[#This Row],[R2 Pts]],tbl_individual[[#This Row],[R3 Pts]],tbl_individual[[#This Row],[R4 Pts]],tbl_individual[[#This Row],[R5 Pts]],tbl_individual[[#This Row],[R6 Pts]])</f>
        <v>81</v>
      </c>
      <c r="U38" s="3">
        <f>MIN(tbl_individual[[#This Row],[R1 Pts]],tbl_individual[[#This Row],[R2 Pts]],tbl_individual[[#This Row],[R3 Pts]],tbl_individual[[#This Row],[R4 Pts]],tbl_individual[[#This Row],[R5 Pts]],tbl_individual[[#This Row],[R6 Pts]])</f>
        <v>12</v>
      </c>
      <c r="V38" s="3">
        <f>tbl_individual[[#This Row],[Total]]</f>
        <v>81</v>
      </c>
    </row>
    <row r="39" spans="1:22" hidden="1" x14ac:dyDescent="0.4">
      <c r="A39" t="s">
        <v>415</v>
      </c>
      <c r="B39" t="s">
        <v>10</v>
      </c>
      <c r="C39" t="s">
        <v>3</v>
      </c>
      <c r="D39" s="3">
        <v>10161</v>
      </c>
      <c r="E39" s="3" t="s">
        <v>421</v>
      </c>
      <c r="G39" s="3" t="s">
        <v>403</v>
      </c>
      <c r="H39" s="3">
        <v>16</v>
      </c>
      <c r="I39" s="3">
        <f>IF(H39="","",IF(H39="DNS",0,IF(H39="DQ",0,IF(H39="DNF",1,IF(AND(ISNUMBER(H39),H39&gt;59),1,_xlfn.XLOOKUP(H39,tbl_points[Place],tbl_points[Points],""))))))</f>
        <v>44</v>
      </c>
      <c r="J39" s="3">
        <v>23</v>
      </c>
      <c r="K39" s="3">
        <f>IF(J39="","",IF(J39="DNS",0,IF(J39="DQ",0,IF(J39="DNF",1,IF(AND(ISNUMBER(J39),J39&gt;59),1,_xlfn.XLOOKUP(J39,tbl_points[Place],tbl_points[Points],""))))))</f>
        <v>37</v>
      </c>
      <c r="L39" s="3">
        <v>9</v>
      </c>
      <c r="M39" s="3">
        <f>IF(L39="","",IF(L39="DNS",0,IF(L39="DQ",0,IF(L39="DNF",1,IF(AND(ISNUMBER(L39),L39&gt;59),1,_xlfn.XLOOKUP(L39,tbl_points[Place],tbl_points[Points],""))))))</f>
        <v>60</v>
      </c>
      <c r="N39" s="3">
        <v>21</v>
      </c>
      <c r="O39" s="3">
        <f>IF(N39="","",IF(N39="DNS",0,IF(N39="DQ",0,IF(N39="DNF",1,IF(AND(ISNUMBER(N39),N39&gt;59),1,_xlfn.XLOOKUP(N39,tbl_points[Place],tbl_points[Points],""))))))</f>
        <v>39</v>
      </c>
      <c r="P39" s="3" t="s">
        <v>410</v>
      </c>
      <c r="Q39" s="3">
        <f>IF(P39="","",IF(P39="DNS",0,IF(P39="DQ",0,IF(P39="DNF",1,IF(AND(ISNUMBER(P39),P39&gt;59),1,_xlfn.XLOOKUP(P39,tbl_points[Place],tbl_points[Points],""))))))</f>
        <v>0</v>
      </c>
      <c r="S39" s="3" t="str">
        <f>IF(R39="","",IF(R39="DNS",0,IF(R39="DQ",0,IF(R39="DNF",1,IF(AND(ISNUMBER(R39),R39&gt;59),1,_xlfn.XLOOKUP(R39,tbl_points[Place],tbl_points[Points],""))))))</f>
        <v/>
      </c>
      <c r="T39" s="3">
        <f>SUM(tbl_individual[[#This Row],[R1 Pts]],tbl_individual[[#This Row],[R2 Pts]],tbl_individual[[#This Row],[R3 Pts]],tbl_individual[[#This Row],[R4 Pts]],tbl_individual[[#This Row],[R5 Pts]],tbl_individual[[#This Row],[R6 Pts]])</f>
        <v>180</v>
      </c>
      <c r="U3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9" s="3">
        <f>tbl_individual[[#This Row],[Total]]</f>
        <v>180</v>
      </c>
    </row>
    <row r="40" spans="1:22" hidden="1" x14ac:dyDescent="0.4">
      <c r="A40" t="s">
        <v>401</v>
      </c>
      <c r="B40" t="s">
        <v>10</v>
      </c>
      <c r="C40" t="s">
        <v>3</v>
      </c>
      <c r="D40" s="3">
        <v>10198</v>
      </c>
      <c r="E40" s="3" t="s">
        <v>421</v>
      </c>
      <c r="G40" s="3" t="s">
        <v>403</v>
      </c>
      <c r="H40" s="3" t="s">
        <v>410</v>
      </c>
      <c r="I40" s="3">
        <f>IF(H40="","",IF(H40="DNS",0,IF(H40="DQ",0,IF(H40="DNF",1,IF(AND(ISNUMBER(H40),H40&gt;59),1,_xlfn.XLOOKUP(H40,tbl_points[Place],tbl_points[Points],""))))))</f>
        <v>0</v>
      </c>
      <c r="J40" s="3" t="s">
        <v>410</v>
      </c>
      <c r="K40" s="3">
        <f>IF(J40="","",IF(J40="DNS",0,IF(J40="DQ",0,IF(J40="DNF",1,IF(AND(ISNUMBER(J40),J40&gt;59),1,_xlfn.XLOOKUP(J40,tbl_points[Place],tbl_points[Points],""))))))</f>
        <v>0</v>
      </c>
      <c r="L40" s="3">
        <v>32</v>
      </c>
      <c r="M40" s="3">
        <f>IF(L40="","",IF(L40="DNS",0,IF(L40="DQ",0,IF(L40="DNF",1,IF(AND(ISNUMBER(L40),L40&gt;59),1,_xlfn.XLOOKUP(L40,tbl_points[Place],tbl_points[Points],""))))))</f>
        <v>28</v>
      </c>
      <c r="N40" s="3">
        <v>51</v>
      </c>
      <c r="O40" s="3">
        <f>IF(N40="","",IF(N40="DNS",0,IF(N40="DQ",0,IF(N40="DNF",1,IF(AND(ISNUMBER(N40),N40&gt;59),1,_xlfn.XLOOKUP(N40,tbl_points[Place],tbl_points[Points],""))))))</f>
        <v>9</v>
      </c>
      <c r="P40" s="3">
        <v>41</v>
      </c>
      <c r="Q40" s="3">
        <f>IF(P40="","",IF(P40="DNS",0,IF(P40="DQ",0,IF(P40="DNF",1,IF(AND(ISNUMBER(P40),P40&gt;59),1,_xlfn.XLOOKUP(P40,tbl_points[Place],tbl_points[Points],""))))))</f>
        <v>19</v>
      </c>
      <c r="S40" s="3" t="str">
        <f>IF(R40="","",IF(R40="DNS",0,IF(R40="DQ",0,IF(R40="DNF",1,IF(AND(ISNUMBER(R40),R40&gt;59),1,_xlfn.XLOOKUP(R40,tbl_points[Place],tbl_points[Points],""))))))</f>
        <v/>
      </c>
      <c r="T40" s="3">
        <f>SUM(tbl_individual[[#This Row],[R1 Pts]],tbl_individual[[#This Row],[R2 Pts]],tbl_individual[[#This Row],[R3 Pts]],tbl_individual[[#This Row],[R4 Pts]],tbl_individual[[#This Row],[R5 Pts]],tbl_individual[[#This Row],[R6 Pts]])</f>
        <v>56</v>
      </c>
      <c r="U4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40" s="3">
        <f>tbl_individual[[#This Row],[Total]]</f>
        <v>56</v>
      </c>
    </row>
    <row r="41" spans="1:22" hidden="1" x14ac:dyDescent="0.4">
      <c r="A41" t="s">
        <v>402</v>
      </c>
      <c r="B41" t="s">
        <v>10</v>
      </c>
      <c r="C41" t="s">
        <v>3</v>
      </c>
      <c r="D41" s="3">
        <v>10205</v>
      </c>
      <c r="E41" s="3" t="s">
        <v>421</v>
      </c>
      <c r="G41" s="3" t="s">
        <v>403</v>
      </c>
      <c r="H41" s="3">
        <v>23</v>
      </c>
      <c r="I41" s="3">
        <f>IF(H41="","",IF(H41="DNS",0,IF(H41="DQ",0,IF(H41="DNF",1,IF(AND(ISNUMBER(H41),H41&gt;59),1,_xlfn.XLOOKUP(H41,tbl_points[Place],tbl_points[Points],""))))))</f>
        <v>37</v>
      </c>
      <c r="J41" s="3">
        <v>13</v>
      </c>
      <c r="K41" s="3">
        <f>IF(J41="","",IF(J41="DNS",0,IF(J41="DQ",0,IF(J41="DNF",1,IF(AND(ISNUMBER(J41),J41&gt;59),1,_xlfn.XLOOKUP(J41,tbl_points[Place],tbl_points[Points],""))))))</f>
        <v>49</v>
      </c>
      <c r="L41" s="3">
        <v>27</v>
      </c>
      <c r="M41" s="3">
        <f>IF(L41="","",IF(L41="DNS",0,IF(L41="DQ",0,IF(L41="DNF",1,IF(AND(ISNUMBER(L41),L41&gt;59),1,_xlfn.XLOOKUP(L41,tbl_points[Place],tbl_points[Points],""))))))</f>
        <v>33</v>
      </c>
      <c r="N41" s="3">
        <v>11</v>
      </c>
      <c r="O41" s="3">
        <f>IF(N41="","",IF(N41="DNS",0,IF(N41="DQ",0,IF(N41="DNF",1,IF(AND(ISNUMBER(N41),N41&gt;59),1,_xlfn.XLOOKUP(N41,tbl_points[Place],tbl_points[Points],""))))))</f>
        <v>53</v>
      </c>
      <c r="P41" s="3">
        <v>18</v>
      </c>
      <c r="Q41" s="3">
        <f>IF(P41="","",IF(P41="DNS",0,IF(P41="DQ",0,IF(P41="DNF",1,IF(AND(ISNUMBER(P41),P41&gt;59),1,_xlfn.XLOOKUP(P41,tbl_points[Place],tbl_points[Points],""))))))</f>
        <v>42</v>
      </c>
      <c r="S41" s="3" t="str">
        <f>IF(R41="","",IF(R41="DNS",0,IF(R41="DQ",0,IF(R41="DNF",1,IF(AND(ISNUMBER(R41),R41&gt;59),1,_xlfn.XLOOKUP(R41,tbl_points[Place],tbl_points[Points],""))))))</f>
        <v/>
      </c>
      <c r="T41" s="3">
        <f>SUM(tbl_individual[[#This Row],[R1 Pts]],tbl_individual[[#This Row],[R2 Pts]],tbl_individual[[#This Row],[R3 Pts]],tbl_individual[[#This Row],[R4 Pts]],tbl_individual[[#This Row],[R5 Pts]],tbl_individual[[#This Row],[R6 Pts]])</f>
        <v>214</v>
      </c>
      <c r="U41" s="3">
        <f>MIN(tbl_individual[[#This Row],[R1 Pts]],tbl_individual[[#This Row],[R2 Pts]],tbl_individual[[#This Row],[R3 Pts]],tbl_individual[[#This Row],[R4 Pts]],tbl_individual[[#This Row],[R5 Pts]],tbl_individual[[#This Row],[R6 Pts]])</f>
        <v>33</v>
      </c>
      <c r="V41" s="3">
        <f>tbl_individual[[#This Row],[Total]]</f>
        <v>214</v>
      </c>
    </row>
    <row r="42" spans="1:22" hidden="1" x14ac:dyDescent="0.4">
      <c r="A42" t="s">
        <v>78</v>
      </c>
      <c r="B42" t="s">
        <v>10</v>
      </c>
      <c r="C42" t="s">
        <v>4</v>
      </c>
      <c r="D42" s="3">
        <v>1019</v>
      </c>
      <c r="E42" s="3" t="s">
        <v>421</v>
      </c>
      <c r="G42" s="3" t="s">
        <v>407</v>
      </c>
      <c r="H42" s="3" t="s">
        <v>410</v>
      </c>
      <c r="I42" s="3">
        <f>IF(H42="","",IF(H42="DNS",0,IF(H42="DQ",0,IF(H42="DNF",1,IF(AND(ISNUMBER(H42),H42&gt;59),1,_xlfn.XLOOKUP(H42,tbl_points[Place],tbl_points[Points],""))))))</f>
        <v>0</v>
      </c>
      <c r="J42" s="3" t="s">
        <v>410</v>
      </c>
      <c r="K42" s="3">
        <f>IF(J42="","",IF(J42="DNS",0,IF(J42="DQ",0,IF(J42="DNF",1,IF(AND(ISNUMBER(J42),J42&gt;59),1,_xlfn.XLOOKUP(J42,tbl_points[Place],tbl_points[Points],""))))))</f>
        <v>0</v>
      </c>
      <c r="L42" s="3" t="s">
        <v>410</v>
      </c>
      <c r="M42" s="3">
        <f>IF(L42="","",IF(L42="DNS",0,IF(L42="DQ",0,IF(L42="DNF",1,IF(AND(ISNUMBER(L42),L42&gt;59),1,_xlfn.XLOOKUP(L42,tbl_points[Place],tbl_points[Points],""))))))</f>
        <v>0</v>
      </c>
      <c r="N42" s="3" t="s">
        <v>410</v>
      </c>
      <c r="O42" s="3">
        <f>IF(N42="","",IF(N42="DNS",0,IF(N42="DQ",0,IF(N42="DNF",1,IF(AND(ISNUMBER(N42),N42&gt;59),1,_xlfn.XLOOKUP(N42,tbl_points[Place],tbl_points[Points],""))))))</f>
        <v>0</v>
      </c>
      <c r="P42" s="3" t="s">
        <v>410</v>
      </c>
      <c r="Q42" s="3">
        <f>IF(P42="","",IF(P42="DNS",0,IF(P42="DQ",0,IF(P42="DNF",1,IF(AND(ISNUMBER(P42),P42&gt;59),1,_xlfn.XLOOKUP(P42,tbl_points[Place],tbl_points[Points],""))))))</f>
        <v>0</v>
      </c>
      <c r="S42" s="3" t="str">
        <f>IF(R42="","",IF(R42="DNS",0,IF(R42="DQ",0,IF(R42="DNF",1,IF(AND(ISNUMBER(R42),R42&gt;59),1,_xlfn.XLOOKUP(R42,tbl_points[Place],tbl_points[Points],""))))))</f>
        <v/>
      </c>
      <c r="T42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4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42" s="3">
        <f>tbl_individual[[#This Row],[Total]]</f>
        <v>0</v>
      </c>
    </row>
    <row r="43" spans="1:22" hidden="1" x14ac:dyDescent="0.4">
      <c r="A43" t="s">
        <v>79</v>
      </c>
      <c r="B43" t="s">
        <v>10</v>
      </c>
      <c r="C43" t="s">
        <v>4</v>
      </c>
      <c r="D43" s="3">
        <v>1020</v>
      </c>
      <c r="E43" s="3" t="s">
        <v>421</v>
      </c>
      <c r="G43" s="3" t="s">
        <v>403</v>
      </c>
      <c r="H43" s="3">
        <v>10</v>
      </c>
      <c r="I43" s="3">
        <f>IF(H43="","",IF(H43="DNS",0,IF(H43="DQ",0,IF(H43="DNF",1,IF(AND(ISNUMBER(H43),H43&gt;59),1,_xlfn.XLOOKUP(H43,tbl_points[Place],tbl_points[Points],""))))))</f>
        <v>55</v>
      </c>
      <c r="J43" s="3">
        <v>7</v>
      </c>
      <c r="K43" s="3">
        <f>IF(J43="","",IF(J43="DNS",0,IF(J43="DQ",0,IF(J43="DNF",1,IF(AND(ISNUMBER(J43),J43&gt;59),1,_xlfn.XLOOKUP(J43,tbl_points[Place],tbl_points[Points],""))))))</f>
        <v>70</v>
      </c>
      <c r="L43" s="3">
        <v>10</v>
      </c>
      <c r="M43" s="3">
        <f>IF(L43="","",IF(L43="DNS",0,IF(L43="DQ",0,IF(L43="DNF",1,IF(AND(ISNUMBER(L43),L43&gt;59),1,_xlfn.XLOOKUP(L43,tbl_points[Place],tbl_points[Points],""))))))</f>
        <v>55</v>
      </c>
      <c r="N43" s="3">
        <v>8</v>
      </c>
      <c r="O43" s="3">
        <f>IF(N43="","",IF(N43="DNS",0,IF(N43="DQ",0,IF(N43="DNF",1,IF(AND(ISNUMBER(N43),N43&gt;59),1,_xlfn.XLOOKUP(N43,tbl_points[Place],tbl_points[Points],""))))))</f>
        <v>65</v>
      </c>
      <c r="P43" s="3">
        <v>11</v>
      </c>
      <c r="Q43" s="3">
        <f>IF(P43="","",IF(P43="DNS",0,IF(P43="DQ",0,IF(P43="DNF",1,IF(AND(ISNUMBER(P43),P43&gt;59),1,_xlfn.XLOOKUP(P43,tbl_points[Place],tbl_points[Points],""))))))</f>
        <v>53</v>
      </c>
      <c r="S43" s="3" t="str">
        <f>IF(R43="","",IF(R43="DNS",0,IF(R43="DQ",0,IF(R43="DNF",1,IF(AND(ISNUMBER(R43),R43&gt;59),1,_xlfn.XLOOKUP(R43,tbl_points[Place],tbl_points[Points],""))))))</f>
        <v/>
      </c>
      <c r="T43" s="3">
        <f>SUM(tbl_individual[[#This Row],[R1 Pts]],tbl_individual[[#This Row],[R2 Pts]],tbl_individual[[#This Row],[R3 Pts]],tbl_individual[[#This Row],[R4 Pts]],tbl_individual[[#This Row],[R5 Pts]],tbl_individual[[#This Row],[R6 Pts]])</f>
        <v>298</v>
      </c>
      <c r="U43" s="3">
        <f>MIN(tbl_individual[[#This Row],[R1 Pts]],tbl_individual[[#This Row],[R2 Pts]],tbl_individual[[#This Row],[R3 Pts]],tbl_individual[[#This Row],[R4 Pts]],tbl_individual[[#This Row],[R5 Pts]],tbl_individual[[#This Row],[R6 Pts]])</f>
        <v>53</v>
      </c>
      <c r="V43" s="3">
        <f>tbl_individual[[#This Row],[Total]]</f>
        <v>298</v>
      </c>
    </row>
    <row r="44" spans="1:22" hidden="1" x14ac:dyDescent="0.4">
      <c r="A44" t="s">
        <v>80</v>
      </c>
      <c r="B44" t="s">
        <v>10</v>
      </c>
      <c r="C44" t="s">
        <v>4</v>
      </c>
      <c r="D44" s="3">
        <v>1027</v>
      </c>
      <c r="E44" s="3" t="s">
        <v>421</v>
      </c>
      <c r="G44" s="3" t="s">
        <v>403</v>
      </c>
      <c r="H44" s="3">
        <v>9</v>
      </c>
      <c r="I44" s="3">
        <f>IF(H44="","",IF(H44="DNS",0,IF(H44="DQ",0,IF(H44="DNF",1,IF(AND(ISNUMBER(H44),H44&gt;59),1,_xlfn.XLOOKUP(H44,tbl_points[Place],tbl_points[Points],""))))))</f>
        <v>60</v>
      </c>
      <c r="J44" s="3">
        <v>8</v>
      </c>
      <c r="K44" s="3">
        <f>IF(J44="","",IF(J44="DNS",0,IF(J44="DQ",0,IF(J44="DNF",1,IF(AND(ISNUMBER(J44),J44&gt;59),1,_xlfn.XLOOKUP(J44,tbl_points[Place],tbl_points[Points],""))))))</f>
        <v>65</v>
      </c>
      <c r="L44" s="3">
        <v>9</v>
      </c>
      <c r="M44" s="3">
        <f>IF(L44="","",IF(L44="DNS",0,IF(L44="DQ",0,IF(L44="DNF",1,IF(AND(ISNUMBER(L44),L44&gt;59),1,_xlfn.XLOOKUP(L44,tbl_points[Place],tbl_points[Points],""))))))</f>
        <v>60</v>
      </c>
      <c r="N44" s="3">
        <v>10</v>
      </c>
      <c r="O44" s="3">
        <f>IF(N44="","",IF(N44="DNS",0,IF(N44="DQ",0,IF(N44="DNF",1,IF(AND(ISNUMBER(N44),N44&gt;59),1,_xlfn.XLOOKUP(N44,tbl_points[Place],tbl_points[Points],""))))))</f>
        <v>55</v>
      </c>
      <c r="P44" s="3" t="s">
        <v>410</v>
      </c>
      <c r="Q44" s="3">
        <f>IF(P44="","",IF(P44="DNS",0,IF(P44="DQ",0,IF(P44="DNF",1,IF(AND(ISNUMBER(P44),P44&gt;59),1,_xlfn.XLOOKUP(P44,tbl_points[Place],tbl_points[Points],""))))))</f>
        <v>0</v>
      </c>
      <c r="S44" s="3" t="str">
        <f>IF(R44="","",IF(R44="DNS",0,IF(R44="DQ",0,IF(R44="DNF",1,IF(AND(ISNUMBER(R44),R44&gt;59),1,_xlfn.XLOOKUP(R44,tbl_points[Place],tbl_points[Points],""))))))</f>
        <v/>
      </c>
      <c r="T44" s="3">
        <f>SUM(tbl_individual[[#This Row],[R1 Pts]],tbl_individual[[#This Row],[R2 Pts]],tbl_individual[[#This Row],[R3 Pts]],tbl_individual[[#This Row],[R4 Pts]],tbl_individual[[#This Row],[R5 Pts]],tbl_individual[[#This Row],[R6 Pts]])</f>
        <v>240</v>
      </c>
      <c r="U4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44" s="3">
        <f>tbl_individual[[#This Row],[Total]]</f>
        <v>240</v>
      </c>
    </row>
    <row r="45" spans="1:22" hidden="1" x14ac:dyDescent="0.4">
      <c r="A45" t="s">
        <v>81</v>
      </c>
      <c r="B45" t="s">
        <v>10</v>
      </c>
      <c r="C45" t="s">
        <v>4</v>
      </c>
      <c r="D45" s="3">
        <v>1028</v>
      </c>
      <c r="E45" s="3" t="s">
        <v>421</v>
      </c>
      <c r="G45" s="3" t="s">
        <v>403</v>
      </c>
      <c r="H45" s="3" t="s">
        <v>410</v>
      </c>
      <c r="I45" s="3">
        <f>IF(H45="","",IF(H45="DNS",0,IF(H45="DQ",0,IF(H45="DNF",1,IF(AND(ISNUMBER(H45),H45&gt;59),1,_xlfn.XLOOKUP(H45,tbl_points[Place],tbl_points[Points],""))))))</f>
        <v>0</v>
      </c>
      <c r="J45" s="3">
        <v>6</v>
      </c>
      <c r="K45" s="3">
        <f>IF(J45="","",IF(J45="DNS",0,IF(J45="DQ",0,IF(J45="DNF",1,IF(AND(ISNUMBER(J45),J45&gt;59),1,_xlfn.XLOOKUP(J45,tbl_points[Place],tbl_points[Points],""))))))</f>
        <v>75</v>
      </c>
      <c r="L45" s="3" t="s">
        <v>410</v>
      </c>
      <c r="M45" s="3">
        <f>IF(L45="","",IF(L45="DNS",0,IF(L45="DQ",0,IF(L45="DNF",1,IF(AND(ISNUMBER(L45),L45&gt;59),1,_xlfn.XLOOKUP(L45,tbl_points[Place],tbl_points[Points],""))))))</f>
        <v>0</v>
      </c>
      <c r="N45" s="3" t="s">
        <v>409</v>
      </c>
      <c r="O45" s="3">
        <f>IF(N45="","",IF(N45="DNS",0,IF(N45="DQ",0,IF(N45="DNF",1,IF(AND(ISNUMBER(N45),N45&gt;59),1,_xlfn.XLOOKUP(N45,tbl_points[Place],tbl_points[Points],""))))))</f>
        <v>1</v>
      </c>
      <c r="P45" s="3" t="s">
        <v>410</v>
      </c>
      <c r="Q45" s="3">
        <f>IF(P45="","",IF(P45="DNS",0,IF(P45="DQ",0,IF(P45="DNF",1,IF(AND(ISNUMBER(P45),P45&gt;59),1,_xlfn.XLOOKUP(P45,tbl_points[Place],tbl_points[Points],""))))))</f>
        <v>0</v>
      </c>
      <c r="S45" s="3" t="str">
        <f>IF(R45="","",IF(R45="DNS",0,IF(R45="DQ",0,IF(R45="DNF",1,IF(AND(ISNUMBER(R45),R45&gt;59),1,_xlfn.XLOOKUP(R45,tbl_points[Place],tbl_points[Points],""))))))</f>
        <v/>
      </c>
      <c r="T45" s="3">
        <f>SUM(tbl_individual[[#This Row],[R1 Pts]],tbl_individual[[#This Row],[R2 Pts]],tbl_individual[[#This Row],[R3 Pts]],tbl_individual[[#This Row],[R4 Pts]],tbl_individual[[#This Row],[R5 Pts]],tbl_individual[[#This Row],[R6 Pts]])</f>
        <v>76</v>
      </c>
      <c r="U4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45" s="3">
        <f>tbl_individual[[#This Row],[Total]]</f>
        <v>76</v>
      </c>
    </row>
    <row r="46" spans="1:22" hidden="1" x14ac:dyDescent="0.4">
      <c r="A46" t="s">
        <v>82</v>
      </c>
      <c r="B46" t="s">
        <v>10</v>
      </c>
      <c r="C46" t="s">
        <v>4</v>
      </c>
      <c r="D46" s="3">
        <v>1029</v>
      </c>
      <c r="E46" s="3" t="s">
        <v>421</v>
      </c>
      <c r="G46" s="3" t="s">
        <v>403</v>
      </c>
      <c r="H46" s="3">
        <v>8</v>
      </c>
      <c r="I46" s="3">
        <f>IF(H46="","",IF(H46="DNS",0,IF(H46="DQ",0,IF(H46="DNF",1,IF(AND(ISNUMBER(H46),H46&gt;59),1,_xlfn.XLOOKUP(H46,tbl_points[Place],tbl_points[Points],""))))))</f>
        <v>65</v>
      </c>
      <c r="J46" s="3">
        <v>9</v>
      </c>
      <c r="K46" s="3">
        <f>IF(J46="","",IF(J46="DNS",0,IF(J46="DQ",0,IF(J46="DNF",1,IF(AND(ISNUMBER(J46),J46&gt;59),1,_xlfn.XLOOKUP(J46,tbl_points[Place],tbl_points[Points],""))))))</f>
        <v>60</v>
      </c>
      <c r="L46" s="3">
        <v>8</v>
      </c>
      <c r="M46" s="3">
        <f>IF(L46="","",IF(L46="DNS",0,IF(L46="DQ",0,IF(L46="DNF",1,IF(AND(ISNUMBER(L46),L46&gt;59),1,_xlfn.XLOOKUP(L46,tbl_points[Place],tbl_points[Points],""))))))</f>
        <v>65</v>
      </c>
      <c r="N46" s="3">
        <v>7</v>
      </c>
      <c r="O46" s="3">
        <f>IF(N46="","",IF(N46="DNS",0,IF(N46="DQ",0,IF(N46="DNF",1,IF(AND(ISNUMBER(N46),N46&gt;59),1,_xlfn.XLOOKUP(N46,tbl_points[Place],tbl_points[Points],""))))))</f>
        <v>70</v>
      </c>
      <c r="P46" s="3">
        <v>7</v>
      </c>
      <c r="Q46" s="3">
        <f>IF(P46="","",IF(P46="DNS",0,IF(P46="DQ",0,IF(P46="DNF",1,IF(AND(ISNUMBER(P46),P46&gt;59),1,_xlfn.XLOOKUP(P46,tbl_points[Place],tbl_points[Points],""))))))</f>
        <v>70</v>
      </c>
      <c r="S46" s="3" t="str">
        <f>IF(R46="","",IF(R46="DNS",0,IF(R46="DQ",0,IF(R46="DNF",1,IF(AND(ISNUMBER(R46),R46&gt;59),1,_xlfn.XLOOKUP(R46,tbl_points[Place],tbl_points[Points],""))))))</f>
        <v/>
      </c>
      <c r="T46" s="3">
        <f>SUM(tbl_individual[[#This Row],[R1 Pts]],tbl_individual[[#This Row],[R2 Pts]],tbl_individual[[#This Row],[R3 Pts]],tbl_individual[[#This Row],[R4 Pts]],tbl_individual[[#This Row],[R5 Pts]],tbl_individual[[#This Row],[R6 Pts]])</f>
        <v>330</v>
      </c>
      <c r="U46" s="3">
        <f>MIN(tbl_individual[[#This Row],[R1 Pts]],tbl_individual[[#This Row],[R2 Pts]],tbl_individual[[#This Row],[R3 Pts]],tbl_individual[[#This Row],[R4 Pts]],tbl_individual[[#This Row],[R5 Pts]],tbl_individual[[#This Row],[R6 Pts]])</f>
        <v>60</v>
      </c>
      <c r="V46" s="3">
        <f>tbl_individual[[#This Row],[Total]]</f>
        <v>330</v>
      </c>
    </row>
    <row r="47" spans="1:22" hidden="1" x14ac:dyDescent="0.4">
      <c r="A47" t="s">
        <v>83</v>
      </c>
      <c r="B47" t="s">
        <v>10</v>
      </c>
      <c r="C47" t="s">
        <v>4</v>
      </c>
      <c r="D47" s="3">
        <v>1030</v>
      </c>
      <c r="E47" s="3" t="s">
        <v>421</v>
      </c>
      <c r="G47" s="3" t="s">
        <v>403</v>
      </c>
      <c r="H47" s="3">
        <v>5</v>
      </c>
      <c r="I47" s="3">
        <f>IF(H47="","",IF(H47="DNS",0,IF(H47="DQ",0,IF(H47="DNF",1,IF(AND(ISNUMBER(H47),H47&gt;59),1,_xlfn.XLOOKUP(H47,tbl_points[Place],tbl_points[Points],""))))))</f>
        <v>80</v>
      </c>
      <c r="J47" s="3">
        <v>10</v>
      </c>
      <c r="K47" s="3">
        <f>IF(J47="","",IF(J47="DNS",0,IF(J47="DQ",0,IF(J47="DNF",1,IF(AND(ISNUMBER(J47),J47&gt;59),1,_xlfn.XLOOKUP(J47,tbl_points[Place],tbl_points[Points],""))))))</f>
        <v>55</v>
      </c>
      <c r="L47" s="3">
        <v>7</v>
      </c>
      <c r="M47" s="3">
        <f>IF(L47="","",IF(L47="DNS",0,IF(L47="DQ",0,IF(L47="DNF",1,IF(AND(ISNUMBER(L47),L47&gt;59),1,_xlfn.XLOOKUP(L47,tbl_points[Place],tbl_points[Points],""))))))</f>
        <v>70</v>
      </c>
      <c r="N47" s="3">
        <v>11</v>
      </c>
      <c r="O47" s="3">
        <f>IF(N47="","",IF(N47="DNS",0,IF(N47="DQ",0,IF(N47="DNF",1,IF(AND(ISNUMBER(N47),N47&gt;59),1,_xlfn.XLOOKUP(N47,tbl_points[Place],tbl_points[Points],""))))))</f>
        <v>53</v>
      </c>
      <c r="P47" s="3">
        <v>10</v>
      </c>
      <c r="Q47" s="3">
        <f>IF(P47="","",IF(P47="DNS",0,IF(P47="DQ",0,IF(P47="DNF",1,IF(AND(ISNUMBER(P47),P47&gt;59),1,_xlfn.XLOOKUP(P47,tbl_points[Place],tbl_points[Points],""))))))</f>
        <v>55</v>
      </c>
      <c r="S47" s="3" t="str">
        <f>IF(R47="","",IF(R47="DNS",0,IF(R47="DQ",0,IF(R47="DNF",1,IF(AND(ISNUMBER(R47),R47&gt;59),1,_xlfn.XLOOKUP(R47,tbl_points[Place],tbl_points[Points],""))))))</f>
        <v/>
      </c>
      <c r="T47" s="3">
        <f>SUM(tbl_individual[[#This Row],[R1 Pts]],tbl_individual[[#This Row],[R2 Pts]],tbl_individual[[#This Row],[R3 Pts]],tbl_individual[[#This Row],[R4 Pts]],tbl_individual[[#This Row],[R5 Pts]],tbl_individual[[#This Row],[R6 Pts]])</f>
        <v>313</v>
      </c>
      <c r="U47" s="3">
        <f>MIN(tbl_individual[[#This Row],[R1 Pts]],tbl_individual[[#This Row],[R2 Pts]],tbl_individual[[#This Row],[R3 Pts]],tbl_individual[[#This Row],[R4 Pts]],tbl_individual[[#This Row],[R5 Pts]],tbl_individual[[#This Row],[R6 Pts]])</f>
        <v>53</v>
      </c>
      <c r="V47" s="3">
        <f>tbl_individual[[#This Row],[Total]]</f>
        <v>313</v>
      </c>
    </row>
    <row r="48" spans="1:22" hidden="1" x14ac:dyDescent="0.4">
      <c r="A48" t="s">
        <v>93</v>
      </c>
      <c r="B48" t="s">
        <v>10</v>
      </c>
      <c r="C48" t="s">
        <v>1</v>
      </c>
      <c r="D48" s="3">
        <v>12001</v>
      </c>
      <c r="E48" s="3" t="s">
        <v>421</v>
      </c>
      <c r="G48" s="3" t="s">
        <v>407</v>
      </c>
      <c r="H48" s="3" t="s">
        <v>410</v>
      </c>
      <c r="I48" s="3">
        <f>IF(H48="","",IF(H48="DNS",0,IF(H48="DQ",0,IF(H48="DNF",1,IF(AND(ISNUMBER(H48),H48&gt;59),1,_xlfn.XLOOKUP(H48,tbl_points[Place],tbl_points[Points],""))))))</f>
        <v>0</v>
      </c>
      <c r="J48" s="3">
        <v>57</v>
      </c>
      <c r="K48" s="3">
        <f>IF(J48="","",IF(J48="DNS",0,IF(J48="DQ",0,IF(J48="DNF",1,IF(AND(ISNUMBER(J48),J48&gt;59),1,_xlfn.XLOOKUP(J48,tbl_points[Place],tbl_points[Points],""))))))</f>
        <v>3</v>
      </c>
      <c r="L48" s="3" t="s">
        <v>410</v>
      </c>
      <c r="M48" s="3">
        <f>IF(L48="","",IF(L48="DNS",0,IF(L48="DQ",0,IF(L48="DNF",1,IF(AND(ISNUMBER(L48),L48&gt;59),1,_xlfn.XLOOKUP(L48,tbl_points[Place],tbl_points[Points],""))))))</f>
        <v>0</v>
      </c>
      <c r="N48" s="3" t="s">
        <v>410</v>
      </c>
      <c r="O48" s="3">
        <f>IF(N48="","",IF(N48="DNS",0,IF(N48="DQ",0,IF(N48="DNF",1,IF(AND(ISNUMBER(N48),N48&gt;59),1,_xlfn.XLOOKUP(N48,tbl_points[Place],tbl_points[Points],""))))))</f>
        <v>0</v>
      </c>
      <c r="P48" s="3" t="s">
        <v>410</v>
      </c>
      <c r="Q48" s="3">
        <f>IF(P48="","",IF(P48="DNS",0,IF(P48="DQ",0,IF(P48="DNF",1,IF(AND(ISNUMBER(P48),P48&gt;59),1,_xlfn.XLOOKUP(P48,tbl_points[Place],tbl_points[Points],""))))))</f>
        <v>0</v>
      </c>
      <c r="S48" s="3" t="str">
        <f>IF(R48="","",IF(R48="DNS",0,IF(R48="DQ",0,IF(R48="DNF",1,IF(AND(ISNUMBER(R48),R48&gt;59),1,_xlfn.XLOOKUP(R48,tbl_points[Place],tbl_points[Points],""))))))</f>
        <v/>
      </c>
      <c r="T48" s="3">
        <f>SUM(tbl_individual[[#This Row],[R1 Pts]],tbl_individual[[#This Row],[R2 Pts]],tbl_individual[[#This Row],[R3 Pts]],tbl_individual[[#This Row],[R4 Pts]],tbl_individual[[#This Row],[R5 Pts]],tbl_individual[[#This Row],[R6 Pts]])</f>
        <v>3</v>
      </c>
      <c r="U4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48" s="3">
        <f>tbl_individual[[#This Row],[Total]]</f>
        <v>3</v>
      </c>
    </row>
    <row r="49" spans="1:22" hidden="1" x14ac:dyDescent="0.4">
      <c r="A49" t="s">
        <v>94</v>
      </c>
      <c r="B49" t="s">
        <v>10</v>
      </c>
      <c r="C49" t="s">
        <v>1</v>
      </c>
      <c r="D49" s="3">
        <v>12005</v>
      </c>
      <c r="E49" s="3" t="s">
        <v>421</v>
      </c>
      <c r="G49" s="3" t="s">
        <v>403</v>
      </c>
      <c r="H49" s="3">
        <v>39</v>
      </c>
      <c r="I49" s="3">
        <f>IF(H49="","",IF(H49="DNS",0,IF(H49="DQ",0,IF(H49="DNF",1,IF(AND(ISNUMBER(H49),H49&gt;59),1,_xlfn.XLOOKUP(H49,tbl_points[Place],tbl_points[Points],""))))))</f>
        <v>21</v>
      </c>
      <c r="J49" s="3" t="s">
        <v>410</v>
      </c>
      <c r="K49" s="3">
        <f>IF(J49="","",IF(J49="DNS",0,IF(J49="DQ",0,IF(J49="DNF",1,IF(AND(ISNUMBER(J49),J49&gt;59),1,_xlfn.XLOOKUP(J49,tbl_points[Place],tbl_points[Points],""))))))</f>
        <v>0</v>
      </c>
      <c r="L49" s="3">
        <v>42</v>
      </c>
      <c r="M49" s="3">
        <f>IF(L49="","",IF(L49="DNS",0,IF(L49="DQ",0,IF(L49="DNF",1,IF(AND(ISNUMBER(L49),L49&gt;59),1,_xlfn.XLOOKUP(L49,tbl_points[Place],tbl_points[Points],""))))))</f>
        <v>18</v>
      </c>
      <c r="N49" s="3">
        <v>48</v>
      </c>
      <c r="O49" s="3">
        <f>IF(N49="","",IF(N49="DNS",0,IF(N49="DQ",0,IF(N49="DNF",1,IF(AND(ISNUMBER(N49),N49&gt;59),1,_xlfn.XLOOKUP(N49,tbl_points[Place],tbl_points[Points],""))))))</f>
        <v>12</v>
      </c>
      <c r="P49" s="3" t="s">
        <v>409</v>
      </c>
      <c r="Q49" s="3">
        <f>IF(P49="","",IF(P49="DNS",0,IF(P49="DQ",0,IF(P49="DNF",1,IF(AND(ISNUMBER(P49),P49&gt;59),1,_xlfn.XLOOKUP(P49,tbl_points[Place],tbl_points[Points],""))))))</f>
        <v>1</v>
      </c>
      <c r="S49" s="3" t="str">
        <f>IF(R49="","",IF(R49="DNS",0,IF(R49="DQ",0,IF(R49="DNF",1,IF(AND(ISNUMBER(R49),R49&gt;59),1,_xlfn.XLOOKUP(R49,tbl_points[Place],tbl_points[Points],""))))))</f>
        <v/>
      </c>
      <c r="T49" s="3">
        <f>SUM(tbl_individual[[#This Row],[R1 Pts]],tbl_individual[[#This Row],[R2 Pts]],tbl_individual[[#This Row],[R3 Pts]],tbl_individual[[#This Row],[R4 Pts]],tbl_individual[[#This Row],[R5 Pts]],tbl_individual[[#This Row],[R6 Pts]])</f>
        <v>52</v>
      </c>
      <c r="U4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49" s="3">
        <f>tbl_individual[[#This Row],[Total]]</f>
        <v>52</v>
      </c>
    </row>
    <row r="50" spans="1:22" hidden="1" x14ac:dyDescent="0.4">
      <c r="A50" t="s">
        <v>95</v>
      </c>
      <c r="B50" t="s">
        <v>10</v>
      </c>
      <c r="C50" t="s">
        <v>1</v>
      </c>
      <c r="D50" s="3">
        <v>12009</v>
      </c>
      <c r="E50" s="3" t="s">
        <v>421</v>
      </c>
      <c r="G50" s="3" t="s">
        <v>403</v>
      </c>
      <c r="H50" s="3" t="s">
        <v>410</v>
      </c>
      <c r="I50" s="3">
        <f>IF(H50="","",IF(H50="DNS",0,IF(H50="DQ",0,IF(H50="DNF",1,IF(AND(ISNUMBER(H50),H50&gt;59),1,_xlfn.XLOOKUP(H50,tbl_points[Place],tbl_points[Points],""))))))</f>
        <v>0</v>
      </c>
      <c r="J50" s="3" t="s">
        <v>410</v>
      </c>
      <c r="K50" s="3">
        <f>IF(J50="","",IF(J50="DNS",0,IF(J50="DQ",0,IF(J50="DNF",1,IF(AND(ISNUMBER(J50),J50&gt;59),1,_xlfn.XLOOKUP(J50,tbl_points[Place],tbl_points[Points],""))))))</f>
        <v>0</v>
      </c>
      <c r="L50" s="3">
        <v>44</v>
      </c>
      <c r="M50" s="3">
        <f>IF(L50="","",IF(L50="DNS",0,IF(L50="DQ",0,IF(L50="DNF",1,IF(AND(ISNUMBER(L50),L50&gt;59),1,_xlfn.XLOOKUP(L50,tbl_points[Place],tbl_points[Points],""))))))</f>
        <v>16</v>
      </c>
      <c r="N50" s="3">
        <v>57</v>
      </c>
      <c r="O50" s="3">
        <f>IF(N50="","",IF(N50="DNS",0,IF(N50="DQ",0,IF(N50="DNF",1,IF(AND(ISNUMBER(N50),N50&gt;59),1,_xlfn.XLOOKUP(N50,tbl_points[Place],tbl_points[Points],""))))))</f>
        <v>3</v>
      </c>
      <c r="P50" s="3">
        <v>32</v>
      </c>
      <c r="Q50" s="3">
        <f>IF(P50="","",IF(P50="DNS",0,IF(P50="DQ",0,IF(P50="DNF",1,IF(AND(ISNUMBER(P50),P50&gt;59),1,_xlfn.XLOOKUP(P50,tbl_points[Place],tbl_points[Points],""))))))</f>
        <v>28</v>
      </c>
      <c r="S50" s="3" t="str">
        <f>IF(R50="","",IF(R50="DNS",0,IF(R50="DQ",0,IF(R50="DNF",1,IF(AND(ISNUMBER(R50),R50&gt;59),1,_xlfn.XLOOKUP(R50,tbl_points[Place],tbl_points[Points],""))))))</f>
        <v/>
      </c>
      <c r="T50" s="3">
        <f>SUM(tbl_individual[[#This Row],[R1 Pts]],tbl_individual[[#This Row],[R2 Pts]],tbl_individual[[#This Row],[R3 Pts]],tbl_individual[[#This Row],[R4 Pts]],tbl_individual[[#This Row],[R5 Pts]],tbl_individual[[#This Row],[R6 Pts]])</f>
        <v>47</v>
      </c>
      <c r="U5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50" s="3">
        <f>tbl_individual[[#This Row],[Total]]</f>
        <v>47</v>
      </c>
    </row>
    <row r="51" spans="1:22" hidden="1" x14ac:dyDescent="0.4">
      <c r="A51" t="s">
        <v>96</v>
      </c>
      <c r="B51" t="s">
        <v>10</v>
      </c>
      <c r="C51" t="s">
        <v>1</v>
      </c>
      <c r="D51" s="3">
        <v>12012</v>
      </c>
      <c r="E51" s="3" t="s">
        <v>421</v>
      </c>
      <c r="G51" s="3" t="s">
        <v>403</v>
      </c>
      <c r="H51" s="3" t="s">
        <v>410</v>
      </c>
      <c r="I51" s="3">
        <f>IF(H51="","",IF(H51="DNS",0,IF(H51="DQ",0,IF(H51="DNF",1,IF(AND(ISNUMBER(H51),H51&gt;59),1,_xlfn.XLOOKUP(H51,tbl_points[Place],tbl_points[Points],""))))))</f>
        <v>0</v>
      </c>
      <c r="J51" s="3">
        <v>44</v>
      </c>
      <c r="K51" s="3">
        <f>IF(J51="","",IF(J51="DNS",0,IF(J51="DQ",0,IF(J51="DNF",1,IF(AND(ISNUMBER(J51),J51&gt;59),1,_xlfn.XLOOKUP(J51,tbl_points[Place],tbl_points[Points],""))))))</f>
        <v>16</v>
      </c>
      <c r="L51" s="3">
        <v>37</v>
      </c>
      <c r="M51" s="3">
        <f>IF(L51="","",IF(L51="DNS",0,IF(L51="DQ",0,IF(L51="DNF",1,IF(AND(ISNUMBER(L51),L51&gt;59),1,_xlfn.XLOOKUP(L51,tbl_points[Place],tbl_points[Points],""))))))</f>
        <v>23</v>
      </c>
      <c r="N51" s="3">
        <v>39</v>
      </c>
      <c r="O51" s="3">
        <f>IF(N51="","",IF(N51="DNS",0,IF(N51="DQ",0,IF(N51="DNF",1,IF(AND(ISNUMBER(N51),N51&gt;59),1,_xlfn.XLOOKUP(N51,tbl_points[Place],tbl_points[Points],""))))))</f>
        <v>21</v>
      </c>
      <c r="P51" s="3" t="s">
        <v>410</v>
      </c>
      <c r="Q51" s="3">
        <f>IF(P51="","",IF(P51="DNS",0,IF(P51="DQ",0,IF(P51="DNF",1,IF(AND(ISNUMBER(P51),P51&gt;59),1,_xlfn.XLOOKUP(P51,tbl_points[Place],tbl_points[Points],""))))))</f>
        <v>0</v>
      </c>
      <c r="S51" s="3" t="str">
        <f>IF(R51="","",IF(R51="DNS",0,IF(R51="DQ",0,IF(R51="DNF",1,IF(AND(ISNUMBER(R51),R51&gt;59),1,_xlfn.XLOOKUP(R51,tbl_points[Place],tbl_points[Points],""))))))</f>
        <v/>
      </c>
      <c r="T51" s="3">
        <f>SUM(tbl_individual[[#This Row],[R1 Pts]],tbl_individual[[#This Row],[R2 Pts]],tbl_individual[[#This Row],[R3 Pts]],tbl_individual[[#This Row],[R4 Pts]],tbl_individual[[#This Row],[R5 Pts]],tbl_individual[[#This Row],[R6 Pts]])</f>
        <v>60</v>
      </c>
      <c r="U5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51" s="3">
        <f>tbl_individual[[#This Row],[Total]]</f>
        <v>60</v>
      </c>
    </row>
    <row r="52" spans="1:22" hidden="1" x14ac:dyDescent="0.4">
      <c r="A52" t="s">
        <v>97</v>
      </c>
      <c r="B52" t="s">
        <v>10</v>
      </c>
      <c r="C52" t="s">
        <v>1</v>
      </c>
      <c r="D52" s="3">
        <v>12013</v>
      </c>
      <c r="E52" s="3" t="s">
        <v>421</v>
      </c>
      <c r="G52" s="3" t="s">
        <v>403</v>
      </c>
      <c r="H52" s="3">
        <v>41</v>
      </c>
      <c r="I52" s="3">
        <f>IF(H52="","",IF(H52="DNS",0,IF(H52="DQ",0,IF(H52="DNF",1,IF(AND(ISNUMBER(H52),H52&gt;59),1,_xlfn.XLOOKUP(H52,tbl_points[Place],tbl_points[Points],""))))))</f>
        <v>19</v>
      </c>
      <c r="J52" s="3">
        <v>32</v>
      </c>
      <c r="K52" s="3">
        <f>IF(J52="","",IF(J52="DNS",0,IF(J52="DQ",0,IF(J52="DNF",1,IF(AND(ISNUMBER(J52),J52&gt;59),1,_xlfn.XLOOKUP(J52,tbl_points[Place],tbl_points[Points],""))))))</f>
        <v>28</v>
      </c>
      <c r="L52" s="3" t="s">
        <v>410</v>
      </c>
      <c r="M52" s="3">
        <f>IF(L52="","",IF(L52="DNS",0,IF(L52="DQ",0,IF(L52="DNF",1,IF(AND(ISNUMBER(L52),L52&gt;59),1,_xlfn.XLOOKUP(L52,tbl_points[Place],tbl_points[Points],""))))))</f>
        <v>0</v>
      </c>
      <c r="N52" s="3">
        <v>21</v>
      </c>
      <c r="O52" s="3">
        <f>IF(N52="","",IF(N52="DNS",0,IF(N52="DQ",0,IF(N52="DNF",1,IF(AND(ISNUMBER(N52),N52&gt;59),1,_xlfn.XLOOKUP(N52,tbl_points[Place],tbl_points[Points],""))))))</f>
        <v>39</v>
      </c>
      <c r="P52" s="3">
        <v>32</v>
      </c>
      <c r="Q52" s="3">
        <f>IF(P52="","",IF(P52="DNS",0,IF(P52="DQ",0,IF(P52="DNF",1,IF(AND(ISNUMBER(P52),P52&gt;59),1,_xlfn.XLOOKUP(P52,tbl_points[Place],tbl_points[Points],""))))))</f>
        <v>28</v>
      </c>
      <c r="S52" s="3" t="str">
        <f>IF(R52="","",IF(R52="DNS",0,IF(R52="DQ",0,IF(R52="DNF",1,IF(AND(ISNUMBER(R52),R52&gt;59),1,_xlfn.XLOOKUP(R52,tbl_points[Place],tbl_points[Points],""))))))</f>
        <v/>
      </c>
      <c r="T52" s="3">
        <f>SUM(tbl_individual[[#This Row],[R1 Pts]],tbl_individual[[#This Row],[R2 Pts]],tbl_individual[[#This Row],[R3 Pts]],tbl_individual[[#This Row],[R4 Pts]],tbl_individual[[#This Row],[R5 Pts]],tbl_individual[[#This Row],[R6 Pts]])</f>
        <v>114</v>
      </c>
      <c r="U5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52" s="3">
        <f>tbl_individual[[#This Row],[Total]]</f>
        <v>114</v>
      </c>
    </row>
    <row r="53" spans="1:22" hidden="1" x14ac:dyDescent="0.4">
      <c r="A53" t="s">
        <v>98</v>
      </c>
      <c r="B53" t="s">
        <v>10</v>
      </c>
      <c r="C53" t="s">
        <v>1</v>
      </c>
      <c r="D53" s="3">
        <v>12014</v>
      </c>
      <c r="E53" s="3" t="s">
        <v>421</v>
      </c>
      <c r="G53" s="3" t="s">
        <v>403</v>
      </c>
      <c r="H53" s="3" t="s">
        <v>410</v>
      </c>
      <c r="I53" s="3">
        <f>IF(H53="","",IF(H53="DNS",0,IF(H53="DQ",0,IF(H53="DNF",1,IF(AND(ISNUMBER(H53),H53&gt;59),1,_xlfn.XLOOKUP(H53,tbl_points[Place],tbl_points[Points],""))))))</f>
        <v>0</v>
      </c>
      <c r="J53" s="3">
        <v>65</v>
      </c>
      <c r="K53" s="3">
        <f>IF(J53="","",IF(J53="DNS",0,IF(J53="DQ",0,IF(J53="DNF",1,IF(AND(ISNUMBER(J53),J53&gt;59),1,_xlfn.XLOOKUP(J53,tbl_points[Place],tbl_points[Points],""))))))</f>
        <v>1</v>
      </c>
      <c r="L53" s="3" t="s">
        <v>410</v>
      </c>
      <c r="M53" s="3">
        <f>IF(L53="","",IF(L53="DNS",0,IF(L53="DQ",0,IF(L53="DNF",1,IF(AND(ISNUMBER(L53),L53&gt;59),1,_xlfn.XLOOKUP(L53,tbl_points[Place],tbl_points[Points],""))))))</f>
        <v>0</v>
      </c>
      <c r="N53" s="3">
        <v>50</v>
      </c>
      <c r="O53" s="3">
        <f>IF(N53="","",IF(N53="DNS",0,IF(N53="DQ",0,IF(N53="DNF",1,IF(AND(ISNUMBER(N53),N53&gt;59),1,_xlfn.XLOOKUP(N53,tbl_points[Place],tbl_points[Points],""))))))</f>
        <v>10</v>
      </c>
      <c r="P53" s="3" t="s">
        <v>410</v>
      </c>
      <c r="Q53" s="3">
        <f>IF(P53="","",IF(P53="DNS",0,IF(P53="DQ",0,IF(P53="DNF",1,IF(AND(ISNUMBER(P53),P53&gt;59),1,_xlfn.XLOOKUP(P53,tbl_points[Place],tbl_points[Points],""))))))</f>
        <v>0</v>
      </c>
      <c r="S53" s="3" t="str">
        <f>IF(R53="","",IF(R53="DNS",0,IF(R53="DQ",0,IF(R53="DNF",1,IF(AND(ISNUMBER(R53),R53&gt;59),1,_xlfn.XLOOKUP(R53,tbl_points[Place],tbl_points[Points],""))))))</f>
        <v/>
      </c>
      <c r="T53" s="3">
        <f>SUM(tbl_individual[[#This Row],[R1 Pts]],tbl_individual[[#This Row],[R2 Pts]],tbl_individual[[#This Row],[R3 Pts]],tbl_individual[[#This Row],[R4 Pts]],tbl_individual[[#This Row],[R5 Pts]],tbl_individual[[#This Row],[R6 Pts]])</f>
        <v>11</v>
      </c>
      <c r="U5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53" s="3">
        <f>tbl_individual[[#This Row],[Total]]</f>
        <v>11</v>
      </c>
    </row>
    <row r="54" spans="1:22" hidden="1" x14ac:dyDescent="0.4">
      <c r="A54" t="s">
        <v>99</v>
      </c>
      <c r="B54" t="s">
        <v>10</v>
      </c>
      <c r="C54" t="s">
        <v>1</v>
      </c>
      <c r="D54" s="3">
        <v>12015</v>
      </c>
      <c r="E54" s="3" t="s">
        <v>421</v>
      </c>
      <c r="G54" s="3" t="s">
        <v>403</v>
      </c>
      <c r="H54" s="3">
        <v>44</v>
      </c>
      <c r="I54" s="3">
        <f>IF(H54="","",IF(H54="DNS",0,IF(H54="DQ",0,IF(H54="DNF",1,IF(AND(ISNUMBER(H54),H54&gt;59),1,_xlfn.XLOOKUP(H54,tbl_points[Place],tbl_points[Points],""))))))</f>
        <v>16</v>
      </c>
      <c r="J54" s="3">
        <v>67</v>
      </c>
      <c r="K54" s="3">
        <f>IF(J54="","",IF(J54="DNS",0,IF(J54="DQ",0,IF(J54="DNF",1,IF(AND(ISNUMBER(J54),J54&gt;59),1,_xlfn.XLOOKUP(J54,tbl_points[Place],tbl_points[Points],""))))))</f>
        <v>1</v>
      </c>
      <c r="L54" s="3">
        <v>48</v>
      </c>
      <c r="M54" s="3">
        <f>IF(L54="","",IF(L54="DNS",0,IF(L54="DQ",0,IF(L54="DNF",1,IF(AND(ISNUMBER(L54),L54&gt;59),1,_xlfn.XLOOKUP(L54,tbl_points[Place],tbl_points[Points],""))))))</f>
        <v>12</v>
      </c>
      <c r="N54" s="3">
        <v>61</v>
      </c>
      <c r="O54" s="3">
        <f>IF(N54="","",IF(N54="DNS",0,IF(N54="DQ",0,IF(N54="DNF",1,IF(AND(ISNUMBER(N54),N54&gt;59),1,_xlfn.XLOOKUP(N54,tbl_points[Place],tbl_points[Points],""))))))</f>
        <v>1</v>
      </c>
      <c r="P54" s="3">
        <v>58</v>
      </c>
      <c r="Q54" s="3">
        <f>IF(P54="","",IF(P54="DNS",0,IF(P54="DQ",0,IF(P54="DNF",1,IF(AND(ISNUMBER(P54),P54&gt;59),1,_xlfn.XLOOKUP(P54,tbl_points[Place],tbl_points[Points],""))))))</f>
        <v>2</v>
      </c>
      <c r="S54" s="3" t="str">
        <f>IF(R54="","",IF(R54="DNS",0,IF(R54="DQ",0,IF(R54="DNF",1,IF(AND(ISNUMBER(R54),R54&gt;59),1,_xlfn.XLOOKUP(R54,tbl_points[Place],tbl_points[Points],""))))))</f>
        <v/>
      </c>
      <c r="T54" s="3">
        <f>SUM(tbl_individual[[#This Row],[R1 Pts]],tbl_individual[[#This Row],[R2 Pts]],tbl_individual[[#This Row],[R3 Pts]],tbl_individual[[#This Row],[R4 Pts]],tbl_individual[[#This Row],[R5 Pts]],tbl_individual[[#This Row],[R6 Pts]])</f>
        <v>32</v>
      </c>
      <c r="U54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54" s="3">
        <f>tbl_individual[[#This Row],[Total]]</f>
        <v>32</v>
      </c>
    </row>
    <row r="55" spans="1:22" hidden="1" x14ac:dyDescent="0.4">
      <c r="A55" t="s">
        <v>100</v>
      </c>
      <c r="B55" t="s">
        <v>10</v>
      </c>
      <c r="C55" t="s">
        <v>1</v>
      </c>
      <c r="D55" s="3">
        <v>12016</v>
      </c>
      <c r="E55" s="3" t="s">
        <v>421</v>
      </c>
      <c r="G55" s="3" t="s">
        <v>403</v>
      </c>
      <c r="H55" s="3" t="s">
        <v>410</v>
      </c>
      <c r="I55" s="3">
        <f>IF(H55="","",IF(H55="DNS",0,IF(H55="DQ",0,IF(H55="DNF",1,IF(AND(ISNUMBER(H55),H55&gt;59),1,_xlfn.XLOOKUP(H55,tbl_points[Place],tbl_points[Points],""))))))</f>
        <v>0</v>
      </c>
      <c r="J55" s="3">
        <v>61</v>
      </c>
      <c r="K55" s="3">
        <f>IF(J55="","",IF(J55="DNS",0,IF(J55="DQ",0,IF(J55="DNF",1,IF(AND(ISNUMBER(J55),J55&gt;59),1,_xlfn.XLOOKUP(J55,tbl_points[Place],tbl_points[Points],""))))))</f>
        <v>1</v>
      </c>
      <c r="L55" s="3" t="s">
        <v>410</v>
      </c>
      <c r="M55" s="3">
        <f>IF(L55="","",IF(L55="DNS",0,IF(L55="DQ",0,IF(L55="DNF",1,IF(AND(ISNUMBER(L55),L55&gt;59),1,_xlfn.XLOOKUP(L55,tbl_points[Place],tbl_points[Points],""))))))</f>
        <v>0</v>
      </c>
      <c r="N55" s="3">
        <v>49</v>
      </c>
      <c r="O55" s="3">
        <f>IF(N55="","",IF(N55="DNS",0,IF(N55="DQ",0,IF(N55="DNF",1,IF(AND(ISNUMBER(N55),N55&gt;59),1,_xlfn.XLOOKUP(N55,tbl_points[Place],tbl_points[Points],""))))))</f>
        <v>11</v>
      </c>
      <c r="P55" s="3">
        <v>50</v>
      </c>
      <c r="Q55" s="3">
        <f>IF(P55="","",IF(P55="DNS",0,IF(P55="DQ",0,IF(P55="DNF",1,IF(AND(ISNUMBER(P55),P55&gt;59),1,_xlfn.XLOOKUP(P55,tbl_points[Place],tbl_points[Points],""))))))</f>
        <v>10</v>
      </c>
      <c r="S55" s="3" t="str">
        <f>IF(R55="","",IF(R55="DNS",0,IF(R55="DQ",0,IF(R55="DNF",1,IF(AND(ISNUMBER(R55),R55&gt;59),1,_xlfn.XLOOKUP(R55,tbl_points[Place],tbl_points[Points],""))))))</f>
        <v/>
      </c>
      <c r="T55" s="3">
        <f>SUM(tbl_individual[[#This Row],[R1 Pts]],tbl_individual[[#This Row],[R2 Pts]],tbl_individual[[#This Row],[R3 Pts]],tbl_individual[[#This Row],[R4 Pts]],tbl_individual[[#This Row],[R5 Pts]],tbl_individual[[#This Row],[R6 Pts]])</f>
        <v>22</v>
      </c>
      <c r="U5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55" s="3">
        <f>tbl_individual[[#This Row],[Total]]</f>
        <v>22</v>
      </c>
    </row>
    <row r="56" spans="1:22" hidden="1" x14ac:dyDescent="0.4">
      <c r="A56" t="s">
        <v>101</v>
      </c>
      <c r="B56" t="s">
        <v>10</v>
      </c>
      <c r="C56" t="s">
        <v>1</v>
      </c>
      <c r="D56" s="3">
        <v>12017</v>
      </c>
      <c r="E56" s="3" t="s">
        <v>421</v>
      </c>
      <c r="G56" s="3" t="s">
        <v>403</v>
      </c>
      <c r="H56" s="3" t="s">
        <v>410</v>
      </c>
      <c r="I56" s="3">
        <f>IF(H56="","",IF(H56="DNS",0,IF(H56="DQ",0,IF(H56="DNF",1,IF(AND(ISNUMBER(H56),H56&gt;59),1,_xlfn.XLOOKUP(H56,tbl_points[Place],tbl_points[Points],""))))))</f>
        <v>0</v>
      </c>
      <c r="J56" s="3">
        <v>72</v>
      </c>
      <c r="K56" s="3">
        <f>IF(J56="","",IF(J56="DNS",0,IF(J56="DQ",0,IF(J56="DNF",1,IF(AND(ISNUMBER(J56),J56&gt;59),1,_xlfn.XLOOKUP(J56,tbl_points[Place],tbl_points[Points],""))))))</f>
        <v>1</v>
      </c>
      <c r="L56" s="3" t="s">
        <v>410</v>
      </c>
      <c r="M56" s="3">
        <f>IF(L56="","",IF(L56="DNS",0,IF(L56="DQ",0,IF(L56="DNF",1,IF(AND(ISNUMBER(L56),L56&gt;59),1,_xlfn.XLOOKUP(L56,tbl_points[Place],tbl_points[Points],""))))))</f>
        <v>0</v>
      </c>
      <c r="N56" s="3">
        <v>42</v>
      </c>
      <c r="O56" s="3">
        <f>IF(N56="","",IF(N56="DNS",0,IF(N56="DQ",0,IF(N56="DNF",1,IF(AND(ISNUMBER(N56),N56&gt;59),1,_xlfn.XLOOKUP(N56,tbl_points[Place],tbl_points[Points],""))))))</f>
        <v>18</v>
      </c>
      <c r="P56" s="3" t="s">
        <v>410</v>
      </c>
      <c r="Q56" s="3">
        <f>IF(P56="","",IF(P56="DNS",0,IF(P56="DQ",0,IF(P56="DNF",1,IF(AND(ISNUMBER(P56),P56&gt;59),1,_xlfn.XLOOKUP(P56,tbl_points[Place],tbl_points[Points],""))))))</f>
        <v>0</v>
      </c>
      <c r="S56" s="3" t="str">
        <f>IF(R56="","",IF(R56="DNS",0,IF(R56="DQ",0,IF(R56="DNF",1,IF(AND(ISNUMBER(R56),R56&gt;59),1,_xlfn.XLOOKUP(R56,tbl_points[Place],tbl_points[Points],""))))))</f>
        <v/>
      </c>
      <c r="T56" s="3">
        <f>SUM(tbl_individual[[#This Row],[R1 Pts]],tbl_individual[[#This Row],[R2 Pts]],tbl_individual[[#This Row],[R3 Pts]],tbl_individual[[#This Row],[R4 Pts]],tbl_individual[[#This Row],[R5 Pts]],tbl_individual[[#This Row],[R6 Pts]])</f>
        <v>19</v>
      </c>
      <c r="U5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56" s="3">
        <f>tbl_individual[[#This Row],[Total]]</f>
        <v>19</v>
      </c>
    </row>
    <row r="57" spans="1:22" hidden="1" x14ac:dyDescent="0.4">
      <c r="A57" t="s">
        <v>416</v>
      </c>
      <c r="B57" t="s">
        <v>10</v>
      </c>
      <c r="C57" t="s">
        <v>1</v>
      </c>
      <c r="D57" s="3">
        <v>12104</v>
      </c>
      <c r="E57" s="3" t="s">
        <v>421</v>
      </c>
      <c r="G57" s="3" t="s">
        <v>403</v>
      </c>
      <c r="H57" s="3">
        <v>14</v>
      </c>
      <c r="I57" s="3">
        <f>IF(H57="","",IF(H57="DNS",0,IF(H57="DQ",0,IF(H57="DNF",1,IF(AND(ISNUMBER(H57),H57&gt;59),1,_xlfn.XLOOKUP(H57,tbl_points[Place],tbl_points[Points],""))))))</f>
        <v>47</v>
      </c>
      <c r="J57" s="3">
        <v>63</v>
      </c>
      <c r="K57" s="3">
        <f>IF(J57="","",IF(J57="DNS",0,IF(J57="DQ",0,IF(J57="DNF",1,IF(AND(ISNUMBER(J57),J57&gt;59),1,_xlfn.XLOOKUP(J57,tbl_points[Place],tbl_points[Points],""))))))</f>
        <v>1</v>
      </c>
      <c r="L57" s="3">
        <v>18</v>
      </c>
      <c r="M57" s="3">
        <f>IF(L57="","",IF(L57="DNS",0,IF(L57="DQ",0,IF(L57="DNF",1,IF(AND(ISNUMBER(L57),L57&gt;59),1,_xlfn.XLOOKUP(L57,tbl_points[Place],tbl_points[Points],""))))))</f>
        <v>42</v>
      </c>
      <c r="N57" s="3">
        <v>54</v>
      </c>
      <c r="O57" s="3">
        <f>IF(N57="","",IF(N57="DNS",0,IF(N57="DQ",0,IF(N57="DNF",1,IF(AND(ISNUMBER(N57),N57&gt;59),1,_xlfn.XLOOKUP(N57,tbl_points[Place],tbl_points[Points],""))))))</f>
        <v>6</v>
      </c>
      <c r="P57" s="3">
        <v>52</v>
      </c>
      <c r="Q57" s="3">
        <f>IF(P57="","",IF(P57="DNS",0,IF(P57="DQ",0,IF(P57="DNF",1,IF(AND(ISNUMBER(P57),P57&gt;59),1,_xlfn.XLOOKUP(P57,tbl_points[Place],tbl_points[Points],""))))))</f>
        <v>8</v>
      </c>
      <c r="S57" s="3" t="str">
        <f>IF(R57="","",IF(R57="DNS",0,IF(R57="DQ",0,IF(R57="DNF",1,IF(AND(ISNUMBER(R57),R57&gt;59),1,_xlfn.XLOOKUP(R57,tbl_points[Place],tbl_points[Points],""))))))</f>
        <v/>
      </c>
      <c r="T57" s="3">
        <f>SUM(tbl_individual[[#This Row],[R1 Pts]],tbl_individual[[#This Row],[R2 Pts]],tbl_individual[[#This Row],[R3 Pts]],tbl_individual[[#This Row],[R4 Pts]],tbl_individual[[#This Row],[R5 Pts]],tbl_individual[[#This Row],[R6 Pts]])</f>
        <v>104</v>
      </c>
      <c r="U57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57" s="3">
        <f>tbl_individual[[#This Row],[Total]]</f>
        <v>104</v>
      </c>
    </row>
    <row r="58" spans="1:22" hidden="1" x14ac:dyDescent="0.4">
      <c r="A58" t="s">
        <v>102</v>
      </c>
      <c r="B58" t="s">
        <v>11</v>
      </c>
      <c r="C58" t="s">
        <v>7</v>
      </c>
      <c r="D58" s="3">
        <v>8189</v>
      </c>
      <c r="E58" s="3" t="s">
        <v>421</v>
      </c>
      <c r="G58" s="3" t="s">
        <v>403</v>
      </c>
      <c r="H58" s="3">
        <v>33</v>
      </c>
      <c r="I58" s="3">
        <f>IF(H58="","",IF(H58="DNS",0,IF(H58="DQ",0,IF(H58="DNF",1,IF(AND(ISNUMBER(H58),H58&gt;59),1,_xlfn.XLOOKUP(H58,tbl_points[Place],tbl_points[Points],""))))))</f>
        <v>27</v>
      </c>
      <c r="J58" s="3">
        <v>38</v>
      </c>
      <c r="K58" s="3">
        <f>IF(J58="","",IF(J58="DNS",0,IF(J58="DQ",0,IF(J58="DNF",1,IF(AND(ISNUMBER(J58),J58&gt;59),1,_xlfn.XLOOKUP(J58,tbl_points[Place],tbl_points[Points],""))))))</f>
        <v>22</v>
      </c>
      <c r="L58" s="3" t="s">
        <v>410</v>
      </c>
      <c r="M58" s="3">
        <f>IF(L58="","",IF(L58="DNS",0,IF(L58="DQ",0,IF(L58="DNF",1,IF(AND(ISNUMBER(L58),L58&gt;59),1,_xlfn.XLOOKUP(L58,tbl_points[Place],tbl_points[Points],""))))))</f>
        <v>0</v>
      </c>
      <c r="N58" s="3">
        <v>32</v>
      </c>
      <c r="O58" s="3">
        <f>IF(N58="","",IF(N58="DNS",0,IF(N58="DQ",0,IF(N58="DNF",1,IF(AND(ISNUMBER(N58),N58&gt;59),1,_xlfn.XLOOKUP(N58,tbl_points[Place],tbl_points[Points],""))))))</f>
        <v>28</v>
      </c>
      <c r="P58" s="3">
        <v>40</v>
      </c>
      <c r="Q58" s="3">
        <f>IF(P58="","",IF(P58="DNS",0,IF(P58="DQ",0,IF(P58="DNF",1,IF(AND(ISNUMBER(P58),P58&gt;59),1,_xlfn.XLOOKUP(P58,tbl_points[Place],tbl_points[Points],""))))))</f>
        <v>20</v>
      </c>
      <c r="S58" s="3" t="str">
        <f>IF(R58="","",IF(R58="DNS",0,IF(R58="DQ",0,IF(R58="DNF",1,IF(AND(ISNUMBER(R58),R58&gt;59),1,_xlfn.XLOOKUP(R58,tbl_points[Place],tbl_points[Points],""))))))</f>
        <v/>
      </c>
      <c r="T58" s="3">
        <f>SUM(tbl_individual[[#This Row],[R1 Pts]],tbl_individual[[#This Row],[R2 Pts]],tbl_individual[[#This Row],[R3 Pts]],tbl_individual[[#This Row],[R4 Pts]],tbl_individual[[#This Row],[R5 Pts]],tbl_individual[[#This Row],[R6 Pts]])</f>
        <v>97</v>
      </c>
      <c r="U5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58" s="3">
        <f>tbl_individual[[#This Row],[Total]]</f>
        <v>97</v>
      </c>
    </row>
    <row r="59" spans="1:22" hidden="1" x14ac:dyDescent="0.4">
      <c r="A59" t="s">
        <v>103</v>
      </c>
      <c r="B59" t="s">
        <v>11</v>
      </c>
      <c r="C59" t="s">
        <v>7</v>
      </c>
      <c r="D59" s="3">
        <v>8190</v>
      </c>
      <c r="E59" s="3" t="s">
        <v>421</v>
      </c>
      <c r="G59" s="3" t="s">
        <v>407</v>
      </c>
      <c r="H59" s="3" t="s">
        <v>410</v>
      </c>
      <c r="I59" s="3">
        <f>IF(H59="","",IF(H59="DNS",0,IF(H59="DQ",0,IF(H59="DNF",1,IF(AND(ISNUMBER(H59),H59&gt;59),1,_xlfn.XLOOKUP(H59,tbl_points[Place],tbl_points[Points],""))))))</f>
        <v>0</v>
      </c>
      <c r="J59" s="3" t="s">
        <v>410</v>
      </c>
      <c r="K59" s="3">
        <f>IF(J59="","",IF(J59="DNS",0,IF(J59="DQ",0,IF(J59="DNF",1,IF(AND(ISNUMBER(J59),J59&gt;59),1,_xlfn.XLOOKUP(J59,tbl_points[Place],tbl_points[Points],""))))))</f>
        <v>0</v>
      </c>
      <c r="L59" s="3" t="s">
        <v>410</v>
      </c>
      <c r="M59" s="3">
        <f>IF(L59="","",IF(L59="DNS",0,IF(L59="DQ",0,IF(L59="DNF",1,IF(AND(ISNUMBER(L59),L59&gt;59),1,_xlfn.XLOOKUP(L59,tbl_points[Place],tbl_points[Points],""))))))</f>
        <v>0</v>
      </c>
      <c r="N59" s="3" t="s">
        <v>410</v>
      </c>
      <c r="O59" s="3">
        <f>IF(N59="","",IF(N59="DNS",0,IF(N59="DQ",0,IF(N59="DNF",1,IF(AND(ISNUMBER(N59),N59&gt;59),1,_xlfn.XLOOKUP(N59,tbl_points[Place],tbl_points[Points],""))))))</f>
        <v>0</v>
      </c>
      <c r="P59" s="3" t="s">
        <v>410</v>
      </c>
      <c r="Q59" s="3">
        <f>IF(P59="","",IF(P59="DNS",0,IF(P59="DQ",0,IF(P59="DNF",1,IF(AND(ISNUMBER(P59),P59&gt;59),1,_xlfn.XLOOKUP(P59,tbl_points[Place],tbl_points[Points],""))))))</f>
        <v>0</v>
      </c>
      <c r="S59" s="3" t="str">
        <f>IF(R59="","",IF(R59="DNS",0,IF(R59="DQ",0,IF(R59="DNF",1,IF(AND(ISNUMBER(R59),R59&gt;59),1,_xlfn.XLOOKUP(R59,tbl_points[Place],tbl_points[Points],""))))))</f>
        <v/>
      </c>
      <c r="T59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5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59" s="3">
        <f>tbl_individual[[#This Row],[Total]]</f>
        <v>0</v>
      </c>
    </row>
    <row r="60" spans="1:22" hidden="1" x14ac:dyDescent="0.4">
      <c r="A60" t="s">
        <v>104</v>
      </c>
      <c r="B60" t="s">
        <v>11</v>
      </c>
      <c r="C60" t="s">
        <v>5</v>
      </c>
      <c r="D60" s="3">
        <v>911</v>
      </c>
      <c r="E60" s="3" t="s">
        <v>421</v>
      </c>
      <c r="G60" s="3" t="s">
        <v>403</v>
      </c>
      <c r="H60" s="3" t="s">
        <v>410</v>
      </c>
      <c r="I60" s="3">
        <f>IF(H60="","",IF(H60="DNS",0,IF(H60="DQ",0,IF(H60="DNF",1,IF(AND(ISNUMBER(H60),H60&gt;59),1,_xlfn.XLOOKUP(H60,tbl_points[Place],tbl_points[Points],""))))))</f>
        <v>0</v>
      </c>
      <c r="J60" s="3">
        <v>46</v>
      </c>
      <c r="K60" s="3">
        <f>IF(J60="","",IF(J60="DNS",0,IF(J60="DQ",0,IF(J60="DNF",1,IF(AND(ISNUMBER(J60),J60&gt;59),1,_xlfn.XLOOKUP(J60,tbl_points[Place],tbl_points[Points],""))))))</f>
        <v>14</v>
      </c>
      <c r="L60" s="3" t="s">
        <v>410</v>
      </c>
      <c r="M60" s="3">
        <f>IF(L60="","",IF(L60="DNS",0,IF(L60="DQ",0,IF(L60="DNF",1,IF(AND(ISNUMBER(L60),L60&gt;59),1,_xlfn.XLOOKUP(L60,tbl_points[Place],tbl_points[Points],""))))))</f>
        <v>0</v>
      </c>
      <c r="N60" s="3" t="s">
        <v>410</v>
      </c>
      <c r="O60" s="3">
        <f>IF(N60="","",IF(N60="DNS",0,IF(N60="DQ",0,IF(N60="DNF",1,IF(AND(ISNUMBER(N60),N60&gt;59),1,_xlfn.XLOOKUP(N60,tbl_points[Place],tbl_points[Points],""))))))</f>
        <v>0</v>
      </c>
      <c r="P60" s="3">
        <v>42</v>
      </c>
      <c r="Q60" s="3">
        <f>IF(P60="","",IF(P60="DNS",0,IF(P60="DQ",0,IF(P60="DNF",1,IF(AND(ISNUMBER(P60),P60&gt;59),1,_xlfn.XLOOKUP(P60,tbl_points[Place],tbl_points[Points],""))))))</f>
        <v>18</v>
      </c>
      <c r="S60" s="3" t="str">
        <f>IF(R60="","",IF(R60="DNS",0,IF(R60="DQ",0,IF(R60="DNF",1,IF(AND(ISNUMBER(R60),R60&gt;59),1,_xlfn.XLOOKUP(R60,tbl_points[Place],tbl_points[Points],""))))))</f>
        <v/>
      </c>
      <c r="T60" s="3">
        <f>SUM(tbl_individual[[#This Row],[R1 Pts]],tbl_individual[[#This Row],[R2 Pts]],tbl_individual[[#This Row],[R3 Pts]],tbl_individual[[#This Row],[R4 Pts]],tbl_individual[[#This Row],[R5 Pts]],tbl_individual[[#This Row],[R6 Pts]])</f>
        <v>32</v>
      </c>
      <c r="U6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60" s="3">
        <f>tbl_individual[[#This Row],[Total]]</f>
        <v>32</v>
      </c>
    </row>
    <row r="61" spans="1:22" x14ac:dyDescent="0.4">
      <c r="A61" t="s">
        <v>105</v>
      </c>
      <c r="B61" t="s">
        <v>11</v>
      </c>
      <c r="C61" t="s">
        <v>6</v>
      </c>
      <c r="D61" s="3">
        <v>929</v>
      </c>
      <c r="E61" s="3" t="s">
        <v>421</v>
      </c>
      <c r="G61" s="3" t="s">
        <v>407</v>
      </c>
      <c r="H61" s="3" t="s">
        <v>410</v>
      </c>
      <c r="I61" s="3">
        <f>IF(H61="","",IF(H61="DNS",0,IF(H61="DQ",0,IF(H61="DNF",1,IF(AND(ISNUMBER(H61),H61&gt;59),1,_xlfn.XLOOKUP(H61,tbl_points[Place],tbl_points[Points],""))))))</f>
        <v>0</v>
      </c>
      <c r="J61" s="3" t="s">
        <v>410</v>
      </c>
      <c r="K61" s="3">
        <f>IF(J61="","",IF(J61="DNS",0,IF(J61="DQ",0,IF(J61="DNF",1,IF(AND(ISNUMBER(J61),J61&gt;59),1,_xlfn.XLOOKUP(J61,tbl_points[Place],tbl_points[Points],""))))))</f>
        <v>0</v>
      </c>
      <c r="L61" s="3" t="s">
        <v>410</v>
      </c>
      <c r="M61" s="3">
        <f>IF(L61="","",IF(L61="DNS",0,IF(L61="DQ",0,IF(L61="DNF",1,IF(AND(ISNUMBER(L61),L61&gt;59),1,_xlfn.XLOOKUP(L61,tbl_points[Place],tbl_points[Points],""))))))</f>
        <v>0</v>
      </c>
      <c r="N61" s="3" t="s">
        <v>410</v>
      </c>
      <c r="O61" s="3">
        <f>IF(N61="","",IF(N61="DNS",0,IF(N61="DQ",0,IF(N61="DNF",1,IF(AND(ISNUMBER(N61),N61&gt;59),1,_xlfn.XLOOKUP(N61,tbl_points[Place],tbl_points[Points],""))))))</f>
        <v>0</v>
      </c>
      <c r="P61" s="3" t="s">
        <v>410</v>
      </c>
      <c r="Q61" s="3">
        <f>IF(P61="","",IF(P61="DNS",0,IF(P61="DQ",0,IF(P61="DNF",1,IF(AND(ISNUMBER(P61),P61&gt;59),1,_xlfn.XLOOKUP(P61,tbl_points[Place],tbl_points[Points],""))))))</f>
        <v>0</v>
      </c>
      <c r="S61" s="3" t="str">
        <f>IF(R61="","",IF(R61="DNS",0,IF(R61="DQ",0,IF(R61="DNF",1,IF(AND(ISNUMBER(R61),R61&gt;59),1,_xlfn.XLOOKUP(R61,tbl_points[Place],tbl_points[Points],""))))))</f>
        <v/>
      </c>
      <c r="T61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6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61" s="3">
        <f>tbl_individual[[#This Row],[Total]]</f>
        <v>0</v>
      </c>
    </row>
    <row r="62" spans="1:22" hidden="1" x14ac:dyDescent="0.4">
      <c r="A62" t="s">
        <v>106</v>
      </c>
      <c r="B62" t="s">
        <v>11</v>
      </c>
      <c r="C62" t="s">
        <v>3</v>
      </c>
      <c r="D62" s="3">
        <v>10152</v>
      </c>
      <c r="E62" s="3" t="s">
        <v>421</v>
      </c>
      <c r="G62" s="3" t="s">
        <v>403</v>
      </c>
      <c r="H62" s="3" t="s">
        <v>410</v>
      </c>
      <c r="I62" s="3">
        <f>IF(H62="","",IF(H62="DNS",0,IF(H62="DQ",0,IF(H62="DNF",1,IF(AND(ISNUMBER(H62),H62&gt;59),1,_xlfn.XLOOKUP(H62,tbl_points[Place],tbl_points[Points],""))))))</f>
        <v>0</v>
      </c>
      <c r="J62" s="3">
        <v>21</v>
      </c>
      <c r="K62" s="3">
        <f>IF(J62="","",IF(J62="DNS",0,IF(J62="DQ",0,IF(J62="DNF",1,IF(AND(ISNUMBER(J62),J62&gt;59),1,_xlfn.XLOOKUP(J62,tbl_points[Place],tbl_points[Points],""))))))</f>
        <v>39</v>
      </c>
      <c r="L62" s="3">
        <v>21</v>
      </c>
      <c r="M62" s="3">
        <f>IF(L62="","",IF(L62="DNS",0,IF(L62="DQ",0,IF(L62="DNF",1,IF(AND(ISNUMBER(L62),L62&gt;59),1,_xlfn.XLOOKUP(L62,tbl_points[Place],tbl_points[Points],""))))))</f>
        <v>39</v>
      </c>
      <c r="N62" s="3">
        <v>12</v>
      </c>
      <c r="O62" s="3">
        <f>IF(N62="","",IF(N62="DNS",0,IF(N62="DQ",0,IF(N62="DNF",1,IF(AND(ISNUMBER(N62),N62&gt;59),1,_xlfn.XLOOKUP(N62,tbl_points[Place],tbl_points[Points],""))))))</f>
        <v>51</v>
      </c>
      <c r="P62" s="3">
        <v>15</v>
      </c>
      <c r="Q62" s="3">
        <f>IF(P62="","",IF(P62="DNS",0,IF(P62="DQ",0,IF(P62="DNF",1,IF(AND(ISNUMBER(P62),P62&gt;59),1,_xlfn.XLOOKUP(P62,tbl_points[Place],tbl_points[Points],""))))))</f>
        <v>45</v>
      </c>
      <c r="S62" s="3" t="str">
        <f>IF(R62="","",IF(R62="DNS",0,IF(R62="DQ",0,IF(R62="DNF",1,IF(AND(ISNUMBER(R62),R62&gt;59),1,_xlfn.XLOOKUP(R62,tbl_points[Place],tbl_points[Points],""))))))</f>
        <v/>
      </c>
      <c r="T62" s="3">
        <f>SUM(tbl_individual[[#This Row],[R1 Pts]],tbl_individual[[#This Row],[R2 Pts]],tbl_individual[[#This Row],[R3 Pts]],tbl_individual[[#This Row],[R4 Pts]],tbl_individual[[#This Row],[R5 Pts]],tbl_individual[[#This Row],[R6 Pts]])</f>
        <v>174</v>
      </c>
      <c r="U6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62" s="3">
        <f>tbl_individual[[#This Row],[Total]]</f>
        <v>174</v>
      </c>
    </row>
    <row r="63" spans="1:22" hidden="1" x14ac:dyDescent="0.4">
      <c r="A63" t="s">
        <v>107</v>
      </c>
      <c r="B63" t="s">
        <v>11</v>
      </c>
      <c r="C63" t="s">
        <v>3</v>
      </c>
      <c r="D63" s="3">
        <v>10153</v>
      </c>
      <c r="E63" s="3" t="s">
        <v>421</v>
      </c>
      <c r="G63" s="3" t="s">
        <v>403</v>
      </c>
      <c r="H63" s="3" t="s">
        <v>410</v>
      </c>
      <c r="I63" s="3">
        <f>IF(H63="","",IF(H63="DNS",0,IF(H63="DQ",0,IF(H63="DNF",1,IF(AND(ISNUMBER(H63),H63&gt;59),1,_xlfn.XLOOKUP(H63,tbl_points[Place],tbl_points[Points],""))))))</f>
        <v>0</v>
      </c>
      <c r="J63" s="3">
        <v>19</v>
      </c>
      <c r="K63" s="3">
        <f>IF(J63="","",IF(J63="DNS",0,IF(J63="DQ",0,IF(J63="DNF",1,IF(AND(ISNUMBER(J63),J63&gt;59),1,_xlfn.XLOOKUP(J63,tbl_points[Place],tbl_points[Points],""))))))</f>
        <v>41</v>
      </c>
      <c r="L63" s="3">
        <v>48</v>
      </c>
      <c r="M63" s="3">
        <f>IF(L63="","",IF(L63="DNS",0,IF(L63="DQ",0,IF(L63="DNF",1,IF(AND(ISNUMBER(L63),L63&gt;59),1,_xlfn.XLOOKUP(L63,tbl_points[Place],tbl_points[Points],""))))))</f>
        <v>12</v>
      </c>
      <c r="N63" s="3">
        <v>22</v>
      </c>
      <c r="O63" s="3">
        <f>IF(N63="","",IF(N63="DNS",0,IF(N63="DQ",0,IF(N63="DNF",1,IF(AND(ISNUMBER(N63),N63&gt;59),1,_xlfn.XLOOKUP(N63,tbl_points[Place],tbl_points[Points],""))))))</f>
        <v>38</v>
      </c>
      <c r="P63" s="3">
        <v>44</v>
      </c>
      <c r="Q63" s="3">
        <f>IF(P63="","",IF(P63="DNS",0,IF(P63="DQ",0,IF(P63="DNF",1,IF(AND(ISNUMBER(P63),P63&gt;59),1,_xlfn.XLOOKUP(P63,tbl_points[Place],tbl_points[Points],""))))))</f>
        <v>16</v>
      </c>
      <c r="S63" s="3" t="str">
        <f>IF(R63="","",IF(R63="DNS",0,IF(R63="DQ",0,IF(R63="DNF",1,IF(AND(ISNUMBER(R63),R63&gt;59),1,_xlfn.XLOOKUP(R63,tbl_points[Place],tbl_points[Points],""))))))</f>
        <v/>
      </c>
      <c r="T63" s="3">
        <f>SUM(tbl_individual[[#This Row],[R1 Pts]],tbl_individual[[#This Row],[R2 Pts]],tbl_individual[[#This Row],[R3 Pts]],tbl_individual[[#This Row],[R4 Pts]],tbl_individual[[#This Row],[R5 Pts]],tbl_individual[[#This Row],[R6 Pts]])</f>
        <v>107</v>
      </c>
      <c r="U6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63" s="3">
        <f>tbl_individual[[#This Row],[Total]]</f>
        <v>107</v>
      </c>
    </row>
    <row r="64" spans="1:22" hidden="1" x14ac:dyDescent="0.4">
      <c r="A64" t="s">
        <v>108</v>
      </c>
      <c r="B64" t="s">
        <v>11</v>
      </c>
      <c r="C64" t="s">
        <v>3</v>
      </c>
      <c r="D64" s="3">
        <v>10154</v>
      </c>
      <c r="E64" s="3" t="s">
        <v>421</v>
      </c>
      <c r="G64" s="3" t="s">
        <v>403</v>
      </c>
      <c r="H64" s="3">
        <v>33</v>
      </c>
      <c r="I64" s="3">
        <f>IF(H64="","",IF(H64="DNS",0,IF(H64="DQ",0,IF(H64="DNF",1,IF(AND(ISNUMBER(H64),H64&gt;59),1,_xlfn.XLOOKUP(H64,tbl_points[Place],tbl_points[Points],""))))))</f>
        <v>27</v>
      </c>
      <c r="J64" s="3">
        <v>38</v>
      </c>
      <c r="K64" s="3">
        <f>IF(J64="","",IF(J64="DNS",0,IF(J64="DQ",0,IF(J64="DNF",1,IF(AND(ISNUMBER(J64),J64&gt;59),1,_xlfn.XLOOKUP(J64,tbl_points[Place],tbl_points[Points],""))))))</f>
        <v>22</v>
      </c>
      <c r="L64" s="3">
        <v>41</v>
      </c>
      <c r="M64" s="3">
        <f>IF(L64="","",IF(L64="DNS",0,IF(L64="DQ",0,IF(L64="DNF",1,IF(AND(ISNUMBER(L64),L64&gt;59),1,_xlfn.XLOOKUP(L64,tbl_points[Place],tbl_points[Points],""))))))</f>
        <v>19</v>
      </c>
      <c r="N64" s="3">
        <v>52</v>
      </c>
      <c r="O64" s="3">
        <f>IF(N64="","",IF(N64="DNS",0,IF(N64="DQ",0,IF(N64="DNF",1,IF(AND(ISNUMBER(N64),N64&gt;59),1,_xlfn.XLOOKUP(N64,tbl_points[Place],tbl_points[Points],""))))))</f>
        <v>8</v>
      </c>
      <c r="P64" s="3">
        <v>35</v>
      </c>
      <c r="Q64" s="3">
        <f>IF(P64="","",IF(P64="DNS",0,IF(P64="DQ",0,IF(P64="DNF",1,IF(AND(ISNUMBER(P64),P64&gt;59),1,_xlfn.XLOOKUP(P64,tbl_points[Place],tbl_points[Points],""))))))</f>
        <v>25</v>
      </c>
      <c r="S64" s="3" t="str">
        <f>IF(R64="","",IF(R64="DNS",0,IF(R64="DQ",0,IF(R64="DNF",1,IF(AND(ISNUMBER(R64),R64&gt;59),1,_xlfn.XLOOKUP(R64,tbl_points[Place],tbl_points[Points],""))))))</f>
        <v/>
      </c>
      <c r="T64" s="3">
        <f>SUM(tbl_individual[[#This Row],[R1 Pts]],tbl_individual[[#This Row],[R2 Pts]],tbl_individual[[#This Row],[R3 Pts]],tbl_individual[[#This Row],[R4 Pts]],tbl_individual[[#This Row],[R5 Pts]],tbl_individual[[#This Row],[R6 Pts]])</f>
        <v>101</v>
      </c>
      <c r="U64" s="3">
        <f>MIN(tbl_individual[[#This Row],[R1 Pts]],tbl_individual[[#This Row],[R2 Pts]],tbl_individual[[#This Row],[R3 Pts]],tbl_individual[[#This Row],[R4 Pts]],tbl_individual[[#This Row],[R5 Pts]],tbl_individual[[#This Row],[R6 Pts]])</f>
        <v>8</v>
      </c>
      <c r="V64" s="3">
        <f>tbl_individual[[#This Row],[Total]]</f>
        <v>101</v>
      </c>
    </row>
    <row r="65" spans="1:22" hidden="1" x14ac:dyDescent="0.4">
      <c r="A65" t="s">
        <v>109</v>
      </c>
      <c r="B65" t="s">
        <v>11</v>
      </c>
      <c r="C65" t="s">
        <v>3</v>
      </c>
      <c r="D65" s="3">
        <v>10155</v>
      </c>
      <c r="E65" s="3" t="s">
        <v>421</v>
      </c>
      <c r="G65" s="3" t="s">
        <v>403</v>
      </c>
      <c r="H65" s="3">
        <v>41</v>
      </c>
      <c r="I65" s="3">
        <f>IF(H65="","",IF(H65="DNS",0,IF(H65="DQ",0,IF(H65="DNF",1,IF(AND(ISNUMBER(H65),H65&gt;59),1,_xlfn.XLOOKUP(H65,tbl_points[Place],tbl_points[Points],""))))))</f>
        <v>19</v>
      </c>
      <c r="J65" s="3">
        <v>37</v>
      </c>
      <c r="K65" s="3">
        <f>IF(J65="","",IF(J65="DNS",0,IF(J65="DQ",0,IF(J65="DNF",1,IF(AND(ISNUMBER(J65),J65&gt;59),1,_xlfn.XLOOKUP(J65,tbl_points[Place],tbl_points[Points],""))))))</f>
        <v>23</v>
      </c>
      <c r="L65" s="3">
        <v>28</v>
      </c>
      <c r="M65" s="3">
        <f>IF(L65="","",IF(L65="DNS",0,IF(L65="DQ",0,IF(L65="DNF",1,IF(AND(ISNUMBER(L65),L65&gt;59),1,_xlfn.XLOOKUP(L65,tbl_points[Place],tbl_points[Points],""))))))</f>
        <v>32</v>
      </c>
      <c r="N65" s="3" t="s">
        <v>410</v>
      </c>
      <c r="O65" s="3">
        <f>IF(N65="","",IF(N65="DNS",0,IF(N65="DQ",0,IF(N65="DNF",1,IF(AND(ISNUMBER(N65),N65&gt;59),1,_xlfn.XLOOKUP(N65,tbl_points[Place],tbl_points[Points],""))))))</f>
        <v>0</v>
      </c>
      <c r="P65" s="3">
        <v>31</v>
      </c>
      <c r="Q65" s="3">
        <f>IF(P65="","",IF(P65="DNS",0,IF(P65="DQ",0,IF(P65="DNF",1,IF(AND(ISNUMBER(P65),P65&gt;59),1,_xlfn.XLOOKUP(P65,tbl_points[Place],tbl_points[Points],""))))))</f>
        <v>29</v>
      </c>
      <c r="S65" s="3" t="str">
        <f>IF(R65="","",IF(R65="DNS",0,IF(R65="DQ",0,IF(R65="DNF",1,IF(AND(ISNUMBER(R65),R65&gt;59),1,_xlfn.XLOOKUP(R65,tbl_points[Place],tbl_points[Points],""))))))</f>
        <v/>
      </c>
      <c r="T65" s="3">
        <f>SUM(tbl_individual[[#This Row],[R1 Pts]],tbl_individual[[#This Row],[R2 Pts]],tbl_individual[[#This Row],[R3 Pts]],tbl_individual[[#This Row],[R4 Pts]],tbl_individual[[#This Row],[R5 Pts]],tbl_individual[[#This Row],[R6 Pts]])</f>
        <v>103</v>
      </c>
      <c r="U6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65" s="3">
        <f>tbl_individual[[#This Row],[Total]]</f>
        <v>103</v>
      </c>
    </row>
    <row r="66" spans="1:22" hidden="1" x14ac:dyDescent="0.4">
      <c r="A66" t="s">
        <v>110</v>
      </c>
      <c r="B66" t="s">
        <v>11</v>
      </c>
      <c r="C66" t="s">
        <v>1</v>
      </c>
      <c r="D66" s="3">
        <v>12018</v>
      </c>
      <c r="E66" s="3" t="s">
        <v>421</v>
      </c>
      <c r="G66" s="3" t="s">
        <v>403</v>
      </c>
      <c r="H66" s="3">
        <v>45</v>
      </c>
      <c r="I66" s="3">
        <f>IF(H66="","",IF(H66="DNS",0,IF(H66="DQ",0,IF(H66="DNF",1,IF(AND(ISNUMBER(H66),H66&gt;59),1,_xlfn.XLOOKUP(H66,tbl_points[Place],tbl_points[Points],""))))))</f>
        <v>15</v>
      </c>
      <c r="J66" s="3">
        <v>59</v>
      </c>
      <c r="K66" s="3">
        <f>IF(J66="","",IF(J66="DNS",0,IF(J66="DQ",0,IF(J66="DNF",1,IF(AND(ISNUMBER(J66),J66&gt;59),1,_xlfn.XLOOKUP(J66,tbl_points[Place],tbl_points[Points],""))))))</f>
        <v>1</v>
      </c>
      <c r="L66" s="3" t="s">
        <v>409</v>
      </c>
      <c r="M66" s="3">
        <f>IF(L66="","",IF(L66="DNS",0,IF(L66="DQ",0,IF(L66="DNF",1,IF(AND(ISNUMBER(L66),L66&gt;59),1,_xlfn.XLOOKUP(L66,tbl_points[Place],tbl_points[Points],""))))))</f>
        <v>1</v>
      </c>
      <c r="N66" s="3" t="s">
        <v>410</v>
      </c>
      <c r="O66" s="3">
        <f>IF(N66="","",IF(N66="DNS",0,IF(N66="DQ",0,IF(N66="DNF",1,IF(AND(ISNUMBER(N66),N66&gt;59),1,_xlfn.XLOOKUP(N66,tbl_points[Place],tbl_points[Points],""))))))</f>
        <v>0</v>
      </c>
      <c r="P66" s="3" t="s">
        <v>409</v>
      </c>
      <c r="Q66" s="3">
        <f>IF(P66="","",IF(P66="DNS",0,IF(P66="DQ",0,IF(P66="DNF",1,IF(AND(ISNUMBER(P66),P66&gt;59),1,_xlfn.XLOOKUP(P66,tbl_points[Place],tbl_points[Points],""))))))</f>
        <v>1</v>
      </c>
      <c r="S66" s="3" t="str">
        <f>IF(R66="","",IF(R66="DNS",0,IF(R66="DQ",0,IF(R66="DNF",1,IF(AND(ISNUMBER(R66),R66&gt;59),1,_xlfn.XLOOKUP(R66,tbl_points[Place],tbl_points[Points],""))))))</f>
        <v/>
      </c>
      <c r="T66" s="3">
        <f>SUM(tbl_individual[[#This Row],[R1 Pts]],tbl_individual[[#This Row],[R2 Pts]],tbl_individual[[#This Row],[R3 Pts]],tbl_individual[[#This Row],[R4 Pts]],tbl_individual[[#This Row],[R5 Pts]],tbl_individual[[#This Row],[R6 Pts]])</f>
        <v>18</v>
      </c>
      <c r="U6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66" s="3">
        <f>tbl_individual[[#This Row],[Total]]</f>
        <v>18</v>
      </c>
    </row>
    <row r="67" spans="1:22" hidden="1" x14ac:dyDescent="0.4">
      <c r="A67" t="s">
        <v>111</v>
      </c>
      <c r="B67" t="s">
        <v>11</v>
      </c>
      <c r="C67" t="s">
        <v>1</v>
      </c>
      <c r="D67" s="3">
        <v>12019</v>
      </c>
      <c r="E67" s="3" t="s">
        <v>421</v>
      </c>
      <c r="G67" s="3" t="s">
        <v>407</v>
      </c>
      <c r="H67" s="3" t="s">
        <v>410</v>
      </c>
      <c r="I67" s="3">
        <f>IF(H67="","",IF(H67="DNS",0,IF(H67="DQ",0,IF(H67="DNF",1,IF(AND(ISNUMBER(H67),H67&gt;59),1,_xlfn.XLOOKUP(H67,tbl_points[Place],tbl_points[Points],""))))))</f>
        <v>0</v>
      </c>
      <c r="J67" s="3" t="s">
        <v>410</v>
      </c>
      <c r="K67" s="3">
        <f>IF(J67="","",IF(J67="DNS",0,IF(J67="DQ",0,IF(J67="DNF",1,IF(AND(ISNUMBER(J67),J67&gt;59),1,_xlfn.XLOOKUP(J67,tbl_points[Place],tbl_points[Points],""))))))</f>
        <v>0</v>
      </c>
      <c r="L67" s="3" t="s">
        <v>410</v>
      </c>
      <c r="M67" s="3">
        <f>IF(L67="","",IF(L67="DNS",0,IF(L67="DQ",0,IF(L67="DNF",1,IF(AND(ISNUMBER(L67),L67&gt;59),1,_xlfn.XLOOKUP(L67,tbl_points[Place],tbl_points[Points],""))))))</f>
        <v>0</v>
      </c>
      <c r="N67" s="3" t="s">
        <v>410</v>
      </c>
      <c r="O67" s="3">
        <f>IF(N67="","",IF(N67="DNS",0,IF(N67="DQ",0,IF(N67="DNF",1,IF(AND(ISNUMBER(N67),N67&gt;59),1,_xlfn.XLOOKUP(N67,tbl_points[Place],tbl_points[Points],""))))))</f>
        <v>0</v>
      </c>
      <c r="P67" s="3" t="s">
        <v>410</v>
      </c>
      <c r="Q67" s="3">
        <f>IF(P67="","",IF(P67="DNS",0,IF(P67="DQ",0,IF(P67="DNF",1,IF(AND(ISNUMBER(P67),P67&gt;59),1,_xlfn.XLOOKUP(P67,tbl_points[Place],tbl_points[Points],""))))))</f>
        <v>0</v>
      </c>
      <c r="S67" s="3" t="str">
        <f>IF(R67="","",IF(R67="DNS",0,IF(R67="DQ",0,IF(R67="DNF",1,IF(AND(ISNUMBER(R67),R67&gt;59),1,_xlfn.XLOOKUP(R67,tbl_points[Place],tbl_points[Points],""))))))</f>
        <v/>
      </c>
      <c r="T67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6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67" s="3">
        <f>tbl_individual[[#This Row],[Total]]</f>
        <v>0</v>
      </c>
    </row>
    <row r="68" spans="1:22" hidden="1" x14ac:dyDescent="0.4">
      <c r="A68" t="s">
        <v>112</v>
      </c>
      <c r="B68" t="s">
        <v>12</v>
      </c>
      <c r="C68" t="s">
        <v>7</v>
      </c>
      <c r="D68" s="3">
        <v>8191</v>
      </c>
      <c r="E68" s="3" t="s">
        <v>421</v>
      </c>
      <c r="G68" s="3" t="s">
        <v>403</v>
      </c>
      <c r="H68" s="3">
        <v>22</v>
      </c>
      <c r="I68" s="3">
        <f>IF(H68="","",IF(H68="DNS",0,IF(H68="DQ",0,IF(H68="DNF",1,IF(AND(ISNUMBER(H68),H68&gt;59),1,_xlfn.XLOOKUP(H68,tbl_points[Place],tbl_points[Points],""))))))</f>
        <v>38</v>
      </c>
      <c r="J68" s="3">
        <v>35</v>
      </c>
      <c r="K68" s="3">
        <f>IF(J68="","",IF(J68="DNS",0,IF(J68="DQ",0,IF(J68="DNF",1,IF(AND(ISNUMBER(J68),J68&gt;59),1,_xlfn.XLOOKUP(J68,tbl_points[Place],tbl_points[Points],""))))))</f>
        <v>25</v>
      </c>
      <c r="L68" s="3" t="s">
        <v>410</v>
      </c>
      <c r="M68" s="3">
        <f>IF(L68="","",IF(L68="DNS",0,IF(L68="DQ",0,IF(L68="DNF",1,IF(AND(ISNUMBER(L68),L68&gt;59),1,_xlfn.XLOOKUP(L68,tbl_points[Place],tbl_points[Points],""))))))</f>
        <v>0</v>
      </c>
      <c r="N68" s="3">
        <v>21</v>
      </c>
      <c r="O68" s="3">
        <f>IF(N68="","",IF(N68="DNS",0,IF(N68="DQ",0,IF(N68="DNF",1,IF(AND(ISNUMBER(N68),N68&gt;59),1,_xlfn.XLOOKUP(N68,tbl_points[Place],tbl_points[Points],""))))))</f>
        <v>39</v>
      </c>
      <c r="P68" s="3">
        <v>30</v>
      </c>
      <c r="Q68" s="3">
        <f>IF(P68="","",IF(P68="DNS",0,IF(P68="DQ",0,IF(P68="DNF",1,IF(AND(ISNUMBER(P68),P68&gt;59),1,_xlfn.XLOOKUP(P68,tbl_points[Place],tbl_points[Points],""))))))</f>
        <v>30</v>
      </c>
      <c r="S68" s="3" t="str">
        <f>IF(R68="","",IF(R68="DNS",0,IF(R68="DQ",0,IF(R68="DNF",1,IF(AND(ISNUMBER(R68),R68&gt;59),1,_xlfn.XLOOKUP(R68,tbl_points[Place],tbl_points[Points],""))))))</f>
        <v/>
      </c>
      <c r="T68" s="3">
        <f>SUM(tbl_individual[[#This Row],[R1 Pts]],tbl_individual[[#This Row],[R2 Pts]],tbl_individual[[#This Row],[R3 Pts]],tbl_individual[[#This Row],[R4 Pts]],tbl_individual[[#This Row],[R5 Pts]],tbl_individual[[#This Row],[R6 Pts]])</f>
        <v>132</v>
      </c>
      <c r="U6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68" s="3">
        <f>tbl_individual[[#This Row],[Total]]</f>
        <v>132</v>
      </c>
    </row>
    <row r="69" spans="1:22" hidden="1" x14ac:dyDescent="0.4">
      <c r="A69" t="s">
        <v>113</v>
      </c>
      <c r="B69" t="s">
        <v>12</v>
      </c>
      <c r="C69" t="s">
        <v>7</v>
      </c>
      <c r="D69" s="3">
        <v>8192</v>
      </c>
      <c r="E69" s="3" t="s">
        <v>421</v>
      </c>
      <c r="G69" s="3" t="s">
        <v>403</v>
      </c>
      <c r="H69" s="3">
        <v>29</v>
      </c>
      <c r="I69" s="3">
        <f>IF(H69="","",IF(H69="DNS",0,IF(H69="DQ",0,IF(H69="DNF",1,IF(AND(ISNUMBER(H69),H69&gt;59),1,_xlfn.XLOOKUP(H69,tbl_points[Place],tbl_points[Points],""))))))</f>
        <v>31</v>
      </c>
      <c r="J69" s="3">
        <v>43</v>
      </c>
      <c r="K69" s="3">
        <f>IF(J69="","",IF(J69="DNS",0,IF(J69="DQ",0,IF(J69="DNF",1,IF(AND(ISNUMBER(J69),J69&gt;59),1,_xlfn.XLOOKUP(J69,tbl_points[Place],tbl_points[Points],""))))))</f>
        <v>17</v>
      </c>
      <c r="L69" s="3">
        <v>25</v>
      </c>
      <c r="M69" s="3">
        <f>IF(L69="","",IF(L69="DNS",0,IF(L69="DQ",0,IF(L69="DNF",1,IF(AND(ISNUMBER(L69),L69&gt;59),1,_xlfn.XLOOKUP(L69,tbl_points[Place],tbl_points[Points],""))))))</f>
        <v>35</v>
      </c>
      <c r="N69" s="3">
        <v>37</v>
      </c>
      <c r="O69" s="3">
        <f>IF(N69="","",IF(N69="DNS",0,IF(N69="DQ",0,IF(N69="DNF",1,IF(AND(ISNUMBER(N69),N69&gt;59),1,_xlfn.XLOOKUP(N69,tbl_points[Place],tbl_points[Points],""))))))</f>
        <v>23</v>
      </c>
      <c r="P69" s="3">
        <v>42</v>
      </c>
      <c r="Q69" s="3">
        <f>IF(P69="","",IF(P69="DNS",0,IF(P69="DQ",0,IF(P69="DNF",1,IF(AND(ISNUMBER(P69),P69&gt;59),1,_xlfn.XLOOKUP(P69,tbl_points[Place],tbl_points[Points],""))))))</f>
        <v>18</v>
      </c>
      <c r="S69" s="3" t="str">
        <f>IF(R69="","",IF(R69="DNS",0,IF(R69="DQ",0,IF(R69="DNF",1,IF(AND(ISNUMBER(R69),R69&gt;59),1,_xlfn.XLOOKUP(R69,tbl_points[Place],tbl_points[Points],""))))))</f>
        <v/>
      </c>
      <c r="T69" s="3">
        <f>SUM(tbl_individual[[#This Row],[R1 Pts]],tbl_individual[[#This Row],[R2 Pts]],tbl_individual[[#This Row],[R3 Pts]],tbl_individual[[#This Row],[R4 Pts]],tbl_individual[[#This Row],[R5 Pts]],tbl_individual[[#This Row],[R6 Pts]])</f>
        <v>124</v>
      </c>
      <c r="U69" s="3">
        <f>MIN(tbl_individual[[#This Row],[R1 Pts]],tbl_individual[[#This Row],[R2 Pts]],tbl_individual[[#This Row],[R3 Pts]],tbl_individual[[#This Row],[R4 Pts]],tbl_individual[[#This Row],[R5 Pts]],tbl_individual[[#This Row],[R6 Pts]])</f>
        <v>17</v>
      </c>
      <c r="V69" s="3">
        <f>tbl_individual[[#This Row],[Total]]</f>
        <v>124</v>
      </c>
    </row>
    <row r="70" spans="1:22" hidden="1" x14ac:dyDescent="0.4">
      <c r="A70" t="s">
        <v>114</v>
      </c>
      <c r="B70" t="s">
        <v>12</v>
      </c>
      <c r="C70" t="s">
        <v>3</v>
      </c>
      <c r="D70" s="3">
        <v>10156</v>
      </c>
      <c r="E70" s="3" t="s">
        <v>421</v>
      </c>
      <c r="G70" s="3" t="s">
        <v>403</v>
      </c>
      <c r="H70" s="3">
        <v>27</v>
      </c>
      <c r="I70" s="3">
        <f>IF(H70="","",IF(H70="DNS",0,IF(H70="DQ",0,IF(H70="DNF",1,IF(AND(ISNUMBER(H70),H70&gt;59),1,_xlfn.XLOOKUP(H70,tbl_points[Place],tbl_points[Points],""))))))</f>
        <v>33</v>
      </c>
      <c r="J70" s="3">
        <v>33</v>
      </c>
      <c r="K70" s="3">
        <f>IF(J70="","",IF(J70="DNS",0,IF(J70="DQ",0,IF(J70="DNF",1,IF(AND(ISNUMBER(J70),J70&gt;59),1,_xlfn.XLOOKUP(J70,tbl_points[Place],tbl_points[Points],""))))))</f>
        <v>27</v>
      </c>
      <c r="L70" s="3">
        <v>24</v>
      </c>
      <c r="M70" s="3">
        <f>IF(L70="","",IF(L70="DNS",0,IF(L70="DQ",0,IF(L70="DNF",1,IF(AND(ISNUMBER(L70),L70&gt;59),1,_xlfn.XLOOKUP(L70,tbl_points[Place],tbl_points[Points],""))))))</f>
        <v>36</v>
      </c>
      <c r="N70" s="3">
        <v>41</v>
      </c>
      <c r="O70" s="3">
        <f>IF(N70="","",IF(N70="DNS",0,IF(N70="DQ",0,IF(N70="DNF",1,IF(AND(ISNUMBER(N70),N70&gt;59),1,_xlfn.XLOOKUP(N70,tbl_points[Place],tbl_points[Points],""))))))</f>
        <v>19</v>
      </c>
      <c r="P70" s="3">
        <v>29</v>
      </c>
      <c r="Q70" s="3">
        <f>IF(P70="","",IF(P70="DNS",0,IF(P70="DQ",0,IF(P70="DNF",1,IF(AND(ISNUMBER(P70),P70&gt;59),1,_xlfn.XLOOKUP(P70,tbl_points[Place],tbl_points[Points],""))))))</f>
        <v>31</v>
      </c>
      <c r="S70" s="3" t="str">
        <f>IF(R70="","",IF(R70="DNS",0,IF(R70="DQ",0,IF(R70="DNF",1,IF(AND(ISNUMBER(R70),R70&gt;59),1,_xlfn.XLOOKUP(R70,tbl_points[Place],tbl_points[Points],""))))))</f>
        <v/>
      </c>
      <c r="T70" s="3">
        <f>SUM(tbl_individual[[#This Row],[R1 Pts]],tbl_individual[[#This Row],[R2 Pts]],tbl_individual[[#This Row],[R3 Pts]],tbl_individual[[#This Row],[R4 Pts]],tbl_individual[[#This Row],[R5 Pts]],tbl_individual[[#This Row],[R6 Pts]])</f>
        <v>146</v>
      </c>
      <c r="U70" s="3">
        <f>MIN(tbl_individual[[#This Row],[R1 Pts]],tbl_individual[[#This Row],[R2 Pts]],tbl_individual[[#This Row],[R3 Pts]],tbl_individual[[#This Row],[R4 Pts]],tbl_individual[[#This Row],[R5 Pts]],tbl_individual[[#This Row],[R6 Pts]])</f>
        <v>19</v>
      </c>
      <c r="V70" s="3">
        <f>tbl_individual[[#This Row],[Total]]</f>
        <v>146</v>
      </c>
    </row>
    <row r="71" spans="1:22" hidden="1" x14ac:dyDescent="0.4">
      <c r="A71" t="s">
        <v>115</v>
      </c>
      <c r="B71" t="s">
        <v>12</v>
      </c>
      <c r="C71" t="s">
        <v>3</v>
      </c>
      <c r="D71" s="3">
        <v>10157</v>
      </c>
      <c r="E71" s="3" t="s">
        <v>421</v>
      </c>
      <c r="G71" s="3" t="s">
        <v>403</v>
      </c>
      <c r="H71" s="3">
        <v>28</v>
      </c>
      <c r="I71" s="3">
        <f>IF(H71="","",IF(H71="DNS",0,IF(H71="DQ",0,IF(H71="DNF",1,IF(AND(ISNUMBER(H71),H71&gt;59),1,_xlfn.XLOOKUP(H71,tbl_points[Place],tbl_points[Points],""))))))</f>
        <v>32</v>
      </c>
      <c r="J71" s="3">
        <v>41</v>
      </c>
      <c r="K71" s="3">
        <f>IF(J71="","",IF(J71="DNS",0,IF(J71="DQ",0,IF(J71="DNF",1,IF(AND(ISNUMBER(J71),J71&gt;59),1,_xlfn.XLOOKUP(J71,tbl_points[Place],tbl_points[Points],""))))))</f>
        <v>19</v>
      </c>
      <c r="L71" s="3">
        <v>33</v>
      </c>
      <c r="M71" s="3">
        <f>IF(L71="","",IF(L71="DNS",0,IF(L71="DQ",0,IF(L71="DNF",1,IF(AND(ISNUMBER(L71),L71&gt;59),1,_xlfn.XLOOKUP(L71,tbl_points[Place],tbl_points[Points],""))))))</f>
        <v>27</v>
      </c>
      <c r="N71" s="3" t="s">
        <v>410</v>
      </c>
      <c r="O71" s="3">
        <f>IF(N71="","",IF(N71="DNS",0,IF(N71="DQ",0,IF(N71="DNF",1,IF(AND(ISNUMBER(N71),N71&gt;59),1,_xlfn.XLOOKUP(N71,tbl_points[Place],tbl_points[Points],""))))))</f>
        <v>0</v>
      </c>
      <c r="P71" s="3" t="s">
        <v>410</v>
      </c>
      <c r="Q71" s="3">
        <f>IF(P71="","",IF(P71="DNS",0,IF(P71="DQ",0,IF(P71="DNF",1,IF(AND(ISNUMBER(P71),P71&gt;59),1,_xlfn.XLOOKUP(P71,tbl_points[Place],tbl_points[Points],""))))))</f>
        <v>0</v>
      </c>
      <c r="S71" s="3" t="str">
        <f>IF(R71="","",IF(R71="DNS",0,IF(R71="DQ",0,IF(R71="DNF",1,IF(AND(ISNUMBER(R71),R71&gt;59),1,_xlfn.XLOOKUP(R71,tbl_points[Place],tbl_points[Points],""))))))</f>
        <v/>
      </c>
      <c r="T71" s="3">
        <f>SUM(tbl_individual[[#This Row],[R1 Pts]],tbl_individual[[#This Row],[R2 Pts]],tbl_individual[[#This Row],[R3 Pts]],tbl_individual[[#This Row],[R4 Pts]],tbl_individual[[#This Row],[R5 Pts]],tbl_individual[[#This Row],[R6 Pts]])</f>
        <v>78</v>
      </c>
      <c r="U7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71" s="3">
        <f>tbl_individual[[#This Row],[Total]]</f>
        <v>78</v>
      </c>
    </row>
    <row r="72" spans="1:22" hidden="1" x14ac:dyDescent="0.4">
      <c r="A72" t="s">
        <v>116</v>
      </c>
      <c r="B72" t="s">
        <v>12</v>
      </c>
      <c r="C72" t="s">
        <v>1</v>
      </c>
      <c r="D72" s="3">
        <v>12020</v>
      </c>
      <c r="E72" s="3" t="s">
        <v>421</v>
      </c>
      <c r="G72" s="3" t="s">
        <v>403</v>
      </c>
      <c r="H72" s="3">
        <v>49</v>
      </c>
      <c r="I72" s="3">
        <f>IF(H72="","",IF(H72="DNS",0,IF(H72="DQ",0,IF(H72="DNF",1,IF(AND(ISNUMBER(H72),H72&gt;59),1,_xlfn.XLOOKUP(H72,tbl_points[Place],tbl_points[Points],""))))))</f>
        <v>11</v>
      </c>
      <c r="J72" s="3">
        <v>74</v>
      </c>
      <c r="K72" s="3">
        <f>IF(J72="","",IF(J72="DNS",0,IF(J72="DQ",0,IF(J72="DNF",1,IF(AND(ISNUMBER(J72),J72&gt;59),1,_xlfn.XLOOKUP(J72,tbl_points[Place],tbl_points[Points],""))))))</f>
        <v>1</v>
      </c>
      <c r="L72" s="3">
        <v>54</v>
      </c>
      <c r="M72" s="3">
        <f>IF(L72="","",IF(L72="DNS",0,IF(L72="DQ",0,IF(L72="DNF",1,IF(AND(ISNUMBER(L72),L72&gt;59),1,_xlfn.XLOOKUP(L72,tbl_points[Place],tbl_points[Points],""))))))</f>
        <v>6</v>
      </c>
      <c r="N72" s="3">
        <v>63</v>
      </c>
      <c r="O72" s="3">
        <f>IF(N72="","",IF(N72="DNS",0,IF(N72="DQ",0,IF(N72="DNF",1,IF(AND(ISNUMBER(N72),N72&gt;59),1,_xlfn.XLOOKUP(N72,tbl_points[Place],tbl_points[Points],""))))))</f>
        <v>1</v>
      </c>
      <c r="P72" s="3" t="s">
        <v>410</v>
      </c>
      <c r="Q72" s="3">
        <f>IF(P72="","",IF(P72="DNS",0,IF(P72="DQ",0,IF(P72="DNF",1,IF(AND(ISNUMBER(P72),P72&gt;59),1,_xlfn.XLOOKUP(P72,tbl_points[Place],tbl_points[Points],""))))))</f>
        <v>0</v>
      </c>
      <c r="S72" s="3" t="str">
        <f>IF(R72="","",IF(R72="DNS",0,IF(R72="DQ",0,IF(R72="DNF",1,IF(AND(ISNUMBER(R72),R72&gt;59),1,_xlfn.XLOOKUP(R72,tbl_points[Place],tbl_points[Points],""))))))</f>
        <v/>
      </c>
      <c r="T72" s="3">
        <f>SUM(tbl_individual[[#This Row],[R1 Pts]],tbl_individual[[#This Row],[R2 Pts]],tbl_individual[[#This Row],[R3 Pts]],tbl_individual[[#This Row],[R4 Pts]],tbl_individual[[#This Row],[R5 Pts]],tbl_individual[[#This Row],[R6 Pts]])</f>
        <v>19</v>
      </c>
      <c r="U7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72" s="3">
        <f>tbl_individual[[#This Row],[Total]]</f>
        <v>19</v>
      </c>
    </row>
    <row r="73" spans="1:22" hidden="1" x14ac:dyDescent="0.4">
      <c r="A73" t="s">
        <v>117</v>
      </c>
      <c r="B73" t="s">
        <v>12</v>
      </c>
      <c r="C73" t="s">
        <v>1</v>
      </c>
      <c r="D73" s="3">
        <v>12021</v>
      </c>
      <c r="E73" s="3" t="s">
        <v>421</v>
      </c>
      <c r="G73" s="3" t="s">
        <v>407</v>
      </c>
      <c r="H73" s="3" t="s">
        <v>409</v>
      </c>
      <c r="I73" s="3">
        <f>IF(H73="","",IF(H73="DNS",0,IF(H73="DQ",0,IF(H73="DNF",1,IF(AND(ISNUMBER(H73),H73&gt;59),1,_xlfn.XLOOKUP(H73,tbl_points[Place],tbl_points[Points],""))))))</f>
        <v>1</v>
      </c>
      <c r="J73" s="3" t="s">
        <v>410</v>
      </c>
      <c r="K73" s="3">
        <f>IF(J73="","",IF(J73="DNS",0,IF(J73="DQ",0,IF(J73="DNF",1,IF(AND(ISNUMBER(J73),J73&gt;59),1,_xlfn.XLOOKUP(J73,tbl_points[Place],tbl_points[Points],""))))))</f>
        <v>0</v>
      </c>
      <c r="L73" s="3">
        <v>52</v>
      </c>
      <c r="M73" s="3">
        <f>IF(L73="","",IF(L73="DNS",0,IF(L73="DQ",0,IF(L73="DNF",1,IF(AND(ISNUMBER(L73),L73&gt;59),1,_xlfn.XLOOKUP(L73,tbl_points[Place],tbl_points[Points],""))))))</f>
        <v>8</v>
      </c>
      <c r="N73" s="3">
        <v>62</v>
      </c>
      <c r="O73" s="3">
        <f>IF(N73="","",IF(N73="DNS",0,IF(N73="DQ",0,IF(N73="DNF",1,IF(AND(ISNUMBER(N73),N73&gt;59),1,_xlfn.XLOOKUP(N73,tbl_points[Place],tbl_points[Points],""))))))</f>
        <v>1</v>
      </c>
      <c r="P73" s="3" t="s">
        <v>410</v>
      </c>
      <c r="Q73" s="3">
        <f>IF(P73="","",IF(P73="DNS",0,IF(P73="DQ",0,IF(P73="DNF",1,IF(AND(ISNUMBER(P73),P73&gt;59),1,_xlfn.XLOOKUP(P73,tbl_points[Place],tbl_points[Points],""))))))</f>
        <v>0</v>
      </c>
      <c r="S73" s="3" t="str">
        <f>IF(R73="","",IF(R73="DNS",0,IF(R73="DQ",0,IF(R73="DNF",1,IF(AND(ISNUMBER(R73),R73&gt;59),1,_xlfn.XLOOKUP(R73,tbl_points[Place],tbl_points[Points],""))))))</f>
        <v/>
      </c>
      <c r="T73" s="3">
        <f>SUM(tbl_individual[[#This Row],[R1 Pts]],tbl_individual[[#This Row],[R2 Pts]],tbl_individual[[#This Row],[R3 Pts]],tbl_individual[[#This Row],[R4 Pts]],tbl_individual[[#This Row],[R5 Pts]],tbl_individual[[#This Row],[R6 Pts]])</f>
        <v>10</v>
      </c>
      <c r="U7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73" s="3">
        <f>tbl_individual[[#This Row],[Total]]</f>
        <v>10</v>
      </c>
    </row>
    <row r="74" spans="1:22" hidden="1" x14ac:dyDescent="0.4">
      <c r="A74" t="s">
        <v>118</v>
      </c>
      <c r="B74" t="s">
        <v>12</v>
      </c>
      <c r="C74" t="s">
        <v>1</v>
      </c>
      <c r="D74" s="3">
        <v>12022</v>
      </c>
      <c r="E74" s="3" t="s">
        <v>421</v>
      </c>
      <c r="G74" s="3" t="s">
        <v>403</v>
      </c>
      <c r="H74" s="3">
        <v>46</v>
      </c>
      <c r="I74" s="3">
        <f>IF(H74="","",IF(H74="DNS",0,IF(H74="DQ",0,IF(H74="DNF",1,IF(AND(ISNUMBER(H74),H74&gt;59),1,_xlfn.XLOOKUP(H74,tbl_points[Place],tbl_points[Points],""))))))</f>
        <v>14</v>
      </c>
      <c r="J74" s="3">
        <v>73</v>
      </c>
      <c r="K74" s="3">
        <f>IF(J74="","",IF(J74="DNS",0,IF(J74="DQ",0,IF(J74="DNF",1,IF(AND(ISNUMBER(J74),J74&gt;59),1,_xlfn.XLOOKUP(J74,tbl_points[Place],tbl_points[Points],""))))))</f>
        <v>1</v>
      </c>
      <c r="L74" s="3" t="s">
        <v>410</v>
      </c>
      <c r="M74" s="3">
        <f>IF(L74="","",IF(L74="DNS",0,IF(L74="DQ",0,IF(L74="DNF",1,IF(AND(ISNUMBER(L74),L74&gt;59),1,_xlfn.XLOOKUP(L74,tbl_points[Place],tbl_points[Points],""))))))</f>
        <v>0</v>
      </c>
      <c r="N74" s="3">
        <v>64</v>
      </c>
      <c r="O74" s="3">
        <f>IF(N74="","",IF(N74="DNS",0,IF(N74="DQ",0,IF(N74="DNF",1,IF(AND(ISNUMBER(N74),N74&gt;59),1,_xlfn.XLOOKUP(N74,tbl_points[Place],tbl_points[Points],""))))))</f>
        <v>1</v>
      </c>
      <c r="P74" s="3" t="s">
        <v>410</v>
      </c>
      <c r="Q74" s="3">
        <f>IF(P74="","",IF(P74="DNS",0,IF(P74="DQ",0,IF(P74="DNF",1,IF(AND(ISNUMBER(P74),P74&gt;59),1,_xlfn.XLOOKUP(P74,tbl_points[Place],tbl_points[Points],""))))))</f>
        <v>0</v>
      </c>
      <c r="S74" s="3" t="str">
        <f>IF(R74="","",IF(R74="DNS",0,IF(R74="DQ",0,IF(R74="DNF",1,IF(AND(ISNUMBER(R74),R74&gt;59),1,_xlfn.XLOOKUP(R74,tbl_points[Place],tbl_points[Points],""))))))</f>
        <v/>
      </c>
      <c r="T74" s="3">
        <f>SUM(tbl_individual[[#This Row],[R1 Pts]],tbl_individual[[#This Row],[R2 Pts]],tbl_individual[[#This Row],[R3 Pts]],tbl_individual[[#This Row],[R4 Pts]],tbl_individual[[#This Row],[R5 Pts]],tbl_individual[[#This Row],[R6 Pts]])</f>
        <v>16</v>
      </c>
      <c r="U7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74" s="3">
        <f>tbl_individual[[#This Row],[Total]]</f>
        <v>16</v>
      </c>
    </row>
    <row r="75" spans="1:22" hidden="1" x14ac:dyDescent="0.4">
      <c r="A75" t="s">
        <v>119</v>
      </c>
      <c r="B75" t="s">
        <v>12</v>
      </c>
      <c r="C75" t="s">
        <v>1</v>
      </c>
      <c r="D75" s="3">
        <v>12023</v>
      </c>
      <c r="E75" s="3" t="s">
        <v>421</v>
      </c>
      <c r="G75" s="3" t="s">
        <v>403</v>
      </c>
      <c r="H75" s="3">
        <v>47</v>
      </c>
      <c r="I75" s="3">
        <f>IF(H75="","",IF(H75="DNS",0,IF(H75="DQ",0,IF(H75="DNF",1,IF(AND(ISNUMBER(H75),H75&gt;59),1,_xlfn.XLOOKUP(H75,tbl_points[Place],tbl_points[Points],""))))))</f>
        <v>13</v>
      </c>
      <c r="J75" s="3">
        <v>68</v>
      </c>
      <c r="K75" s="3">
        <f>IF(J75="","",IF(J75="DNS",0,IF(J75="DQ",0,IF(J75="DNF",1,IF(AND(ISNUMBER(J75),J75&gt;59),1,_xlfn.XLOOKUP(J75,tbl_points[Place],tbl_points[Points],""))))))</f>
        <v>1</v>
      </c>
      <c r="L75" s="3">
        <v>53</v>
      </c>
      <c r="M75" s="3">
        <f>IF(L75="","",IF(L75="DNS",0,IF(L75="DQ",0,IF(L75="DNF",1,IF(AND(ISNUMBER(L75),L75&gt;59),1,_xlfn.XLOOKUP(L75,tbl_points[Place],tbl_points[Points],""))))))</f>
        <v>7</v>
      </c>
      <c r="N75" s="3">
        <v>58</v>
      </c>
      <c r="O75" s="3">
        <f>IF(N75="","",IF(N75="DNS",0,IF(N75="DQ",0,IF(N75="DNF",1,IF(AND(ISNUMBER(N75),N75&gt;59),1,_xlfn.XLOOKUP(N75,tbl_points[Place],tbl_points[Points],""))))))</f>
        <v>2</v>
      </c>
      <c r="P75" s="3" t="s">
        <v>410</v>
      </c>
      <c r="Q75" s="3">
        <f>IF(P75="","",IF(P75="DNS",0,IF(P75="DQ",0,IF(P75="DNF",1,IF(AND(ISNUMBER(P75),P75&gt;59),1,_xlfn.XLOOKUP(P75,tbl_points[Place],tbl_points[Points],""))))))</f>
        <v>0</v>
      </c>
      <c r="S75" s="3" t="str">
        <f>IF(R75="","",IF(R75="DNS",0,IF(R75="DQ",0,IF(R75="DNF",1,IF(AND(ISNUMBER(R75),R75&gt;59),1,_xlfn.XLOOKUP(R75,tbl_points[Place],tbl_points[Points],""))))))</f>
        <v/>
      </c>
      <c r="T75" s="3">
        <f>SUM(tbl_individual[[#This Row],[R1 Pts]],tbl_individual[[#This Row],[R2 Pts]],tbl_individual[[#This Row],[R3 Pts]],tbl_individual[[#This Row],[R4 Pts]],tbl_individual[[#This Row],[R5 Pts]],tbl_individual[[#This Row],[R6 Pts]])</f>
        <v>23</v>
      </c>
      <c r="U7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75" s="3">
        <f>tbl_individual[[#This Row],[Total]]</f>
        <v>23</v>
      </c>
    </row>
    <row r="76" spans="1:22" hidden="1" x14ac:dyDescent="0.4">
      <c r="A76" t="s">
        <v>120</v>
      </c>
      <c r="B76" t="s">
        <v>12</v>
      </c>
      <c r="C76" t="s">
        <v>2</v>
      </c>
      <c r="D76" s="3">
        <v>1227</v>
      </c>
      <c r="E76" s="3" t="s">
        <v>421</v>
      </c>
      <c r="G76" s="3" t="s">
        <v>403</v>
      </c>
      <c r="H76" s="3">
        <v>3</v>
      </c>
      <c r="I76" s="3">
        <f>IF(H76="","",IF(H76="DNS",0,IF(H76="DQ",0,IF(H76="DNF",1,IF(AND(ISNUMBER(H76),H76&gt;59),1,_xlfn.XLOOKUP(H76,tbl_points[Place],tbl_points[Points],""))))))</f>
        <v>90</v>
      </c>
      <c r="J76" s="3" t="s">
        <v>410</v>
      </c>
      <c r="K76" s="3">
        <f>IF(J76="","",IF(J76="DNS",0,IF(J76="DQ",0,IF(J76="DNF",1,IF(AND(ISNUMBER(J76),J76&gt;59),1,_xlfn.XLOOKUP(J76,tbl_points[Place],tbl_points[Points],""))))))</f>
        <v>0</v>
      </c>
      <c r="L76" s="3" t="s">
        <v>410</v>
      </c>
      <c r="M76" s="3">
        <f>IF(L76="","",IF(L76="DNS",0,IF(L76="DQ",0,IF(L76="DNF",1,IF(AND(ISNUMBER(L76),L76&gt;59),1,_xlfn.XLOOKUP(L76,tbl_points[Place],tbl_points[Points],""))))))</f>
        <v>0</v>
      </c>
      <c r="N76" s="3" t="s">
        <v>410</v>
      </c>
      <c r="O76" s="3">
        <f>IF(N76="","",IF(N76="DNS",0,IF(N76="DQ",0,IF(N76="DNF",1,IF(AND(ISNUMBER(N76),N76&gt;59),1,_xlfn.XLOOKUP(N76,tbl_points[Place],tbl_points[Points],""))))))</f>
        <v>0</v>
      </c>
      <c r="P76" s="3" t="s">
        <v>410</v>
      </c>
      <c r="Q76" s="3">
        <f>IF(P76="","",IF(P76="DNS",0,IF(P76="DQ",0,IF(P76="DNF",1,IF(AND(ISNUMBER(P76),P76&gt;59),1,_xlfn.XLOOKUP(P76,tbl_points[Place],tbl_points[Points],""))))))</f>
        <v>0</v>
      </c>
      <c r="S76" s="3" t="str">
        <f>IF(R76="","",IF(R76="DNS",0,IF(R76="DQ",0,IF(R76="DNF",1,IF(AND(ISNUMBER(R76),R76&gt;59),1,_xlfn.XLOOKUP(R76,tbl_points[Place],tbl_points[Points],""))))))</f>
        <v/>
      </c>
      <c r="T76" s="3">
        <f>SUM(tbl_individual[[#This Row],[R1 Pts]],tbl_individual[[#This Row],[R2 Pts]],tbl_individual[[#This Row],[R3 Pts]],tbl_individual[[#This Row],[R4 Pts]],tbl_individual[[#This Row],[R5 Pts]],tbl_individual[[#This Row],[R6 Pts]])</f>
        <v>90</v>
      </c>
      <c r="U7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76" s="3">
        <f>tbl_individual[[#This Row],[Total]]</f>
        <v>90</v>
      </c>
    </row>
    <row r="77" spans="1:22" hidden="1" x14ac:dyDescent="0.4">
      <c r="A77" t="s">
        <v>121</v>
      </c>
      <c r="B77" t="s">
        <v>13</v>
      </c>
      <c r="C77" t="s">
        <v>7</v>
      </c>
      <c r="D77" s="3">
        <v>8193</v>
      </c>
      <c r="E77" s="3" t="s">
        <v>421</v>
      </c>
      <c r="G77" s="3" t="s">
        <v>403</v>
      </c>
      <c r="H77" s="3" t="s">
        <v>410</v>
      </c>
      <c r="I77" s="3">
        <f>IF(H77="","",IF(H77="DNS",0,IF(H77="DQ",0,IF(H77="DNF",1,IF(AND(ISNUMBER(H77),H77&gt;59),1,_xlfn.XLOOKUP(H77,tbl_points[Place],tbl_points[Points],""))))))</f>
        <v>0</v>
      </c>
      <c r="J77" s="3">
        <v>30</v>
      </c>
      <c r="K77" s="3">
        <f>IF(J77="","",IF(J77="DNS",0,IF(J77="DQ",0,IF(J77="DNF",1,IF(AND(ISNUMBER(J77),J77&gt;59),1,_xlfn.XLOOKUP(J77,tbl_points[Place],tbl_points[Points],""))))))</f>
        <v>30</v>
      </c>
      <c r="L77" s="3" t="s">
        <v>410</v>
      </c>
      <c r="M77" s="3">
        <f>IF(L77="","",IF(L77="DNS",0,IF(L77="DQ",0,IF(L77="DNF",1,IF(AND(ISNUMBER(L77),L77&gt;59),1,_xlfn.XLOOKUP(L77,tbl_points[Place],tbl_points[Points],""))))))</f>
        <v>0</v>
      </c>
      <c r="N77" s="3">
        <v>25</v>
      </c>
      <c r="O77" s="3">
        <f>IF(N77="","",IF(N77="DNS",0,IF(N77="DQ",0,IF(N77="DNF",1,IF(AND(ISNUMBER(N77),N77&gt;59),1,_xlfn.XLOOKUP(N77,tbl_points[Place],tbl_points[Points],""))))))</f>
        <v>35</v>
      </c>
      <c r="P77" s="3">
        <v>38</v>
      </c>
      <c r="Q77" s="3">
        <f>IF(P77="","",IF(P77="DNS",0,IF(P77="DQ",0,IF(P77="DNF",1,IF(AND(ISNUMBER(P77),P77&gt;59),1,_xlfn.XLOOKUP(P77,tbl_points[Place],tbl_points[Points],""))))))</f>
        <v>22</v>
      </c>
      <c r="S77" s="3" t="str">
        <f>IF(R77="","",IF(R77="DNS",0,IF(R77="DQ",0,IF(R77="DNF",1,IF(AND(ISNUMBER(R77),R77&gt;59),1,_xlfn.XLOOKUP(R77,tbl_points[Place],tbl_points[Points],""))))))</f>
        <v/>
      </c>
      <c r="T77" s="3">
        <f>SUM(tbl_individual[[#This Row],[R1 Pts]],tbl_individual[[#This Row],[R2 Pts]],tbl_individual[[#This Row],[R3 Pts]],tbl_individual[[#This Row],[R4 Pts]],tbl_individual[[#This Row],[R5 Pts]],tbl_individual[[#This Row],[R6 Pts]])</f>
        <v>87</v>
      </c>
      <c r="U7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77" s="3">
        <f>tbl_individual[[#This Row],[Total]]</f>
        <v>87</v>
      </c>
    </row>
    <row r="78" spans="1:22" hidden="1" x14ac:dyDescent="0.4">
      <c r="A78" t="s">
        <v>122</v>
      </c>
      <c r="B78" t="s">
        <v>13</v>
      </c>
      <c r="C78" t="s">
        <v>7</v>
      </c>
      <c r="D78" s="3">
        <v>8194</v>
      </c>
      <c r="E78" s="3" t="s">
        <v>421</v>
      </c>
      <c r="G78" s="3" t="s">
        <v>403</v>
      </c>
      <c r="H78" s="3" t="s">
        <v>410</v>
      </c>
      <c r="I78" s="3">
        <f>IF(H78="","",IF(H78="DNS",0,IF(H78="DQ",0,IF(H78="DNF",1,IF(AND(ISNUMBER(H78),H78&gt;59),1,_xlfn.XLOOKUP(H78,tbl_points[Place],tbl_points[Points],""))))))</f>
        <v>0</v>
      </c>
      <c r="J78" s="3">
        <v>20</v>
      </c>
      <c r="K78" s="3">
        <f>IF(J78="","",IF(J78="DNS",0,IF(J78="DQ",0,IF(J78="DNF",1,IF(AND(ISNUMBER(J78),J78&gt;59),1,_xlfn.XLOOKUP(J78,tbl_points[Place],tbl_points[Points],""))))))</f>
        <v>40</v>
      </c>
      <c r="L78" s="3" t="s">
        <v>410</v>
      </c>
      <c r="M78" s="3">
        <f>IF(L78="","",IF(L78="DNS",0,IF(L78="DQ",0,IF(L78="DNF",1,IF(AND(ISNUMBER(L78),L78&gt;59),1,_xlfn.XLOOKUP(L78,tbl_points[Place],tbl_points[Points],""))))))</f>
        <v>0</v>
      </c>
      <c r="N78" s="3">
        <v>20</v>
      </c>
      <c r="O78" s="3">
        <f>IF(N78="","",IF(N78="DNS",0,IF(N78="DQ",0,IF(N78="DNF",1,IF(AND(ISNUMBER(N78),N78&gt;59),1,_xlfn.XLOOKUP(N78,tbl_points[Place],tbl_points[Points],""))))))</f>
        <v>40</v>
      </c>
      <c r="P78" s="3">
        <v>15</v>
      </c>
      <c r="Q78" s="3">
        <f>IF(P78="","",IF(P78="DNS",0,IF(P78="DQ",0,IF(P78="DNF",1,IF(AND(ISNUMBER(P78),P78&gt;59),1,_xlfn.XLOOKUP(P78,tbl_points[Place],tbl_points[Points],""))))))</f>
        <v>45</v>
      </c>
      <c r="S78" s="3" t="str">
        <f>IF(R78="","",IF(R78="DNS",0,IF(R78="DQ",0,IF(R78="DNF",1,IF(AND(ISNUMBER(R78),R78&gt;59),1,_xlfn.XLOOKUP(R78,tbl_points[Place],tbl_points[Points],""))))))</f>
        <v/>
      </c>
      <c r="T78" s="3">
        <f>SUM(tbl_individual[[#This Row],[R1 Pts]],tbl_individual[[#This Row],[R2 Pts]],tbl_individual[[#This Row],[R3 Pts]],tbl_individual[[#This Row],[R4 Pts]],tbl_individual[[#This Row],[R5 Pts]],tbl_individual[[#This Row],[R6 Pts]])</f>
        <v>125</v>
      </c>
      <c r="U7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78" s="3">
        <f>tbl_individual[[#This Row],[Total]]</f>
        <v>125</v>
      </c>
    </row>
    <row r="79" spans="1:22" hidden="1" x14ac:dyDescent="0.4">
      <c r="A79" t="s">
        <v>123</v>
      </c>
      <c r="B79" t="s">
        <v>13</v>
      </c>
      <c r="C79" t="s">
        <v>5</v>
      </c>
      <c r="D79" s="3">
        <v>912</v>
      </c>
      <c r="E79" s="3" t="s">
        <v>421</v>
      </c>
      <c r="G79" s="3" t="s">
        <v>403</v>
      </c>
      <c r="H79" s="3">
        <v>31</v>
      </c>
      <c r="I79" s="3">
        <f>IF(H79="","",IF(H79="DNS",0,IF(H79="DQ",0,IF(H79="DNF",1,IF(AND(ISNUMBER(H79),H79&gt;59),1,_xlfn.XLOOKUP(H79,tbl_points[Place],tbl_points[Points],""))))))</f>
        <v>29</v>
      </c>
      <c r="J79" s="3">
        <v>39</v>
      </c>
      <c r="K79" s="3">
        <f>IF(J79="","",IF(J79="DNS",0,IF(J79="DQ",0,IF(J79="DNF",1,IF(AND(ISNUMBER(J79),J79&gt;59),1,_xlfn.XLOOKUP(J79,tbl_points[Place],tbl_points[Points],""))))))</f>
        <v>21</v>
      </c>
      <c r="L79" s="3">
        <v>25</v>
      </c>
      <c r="M79" s="3">
        <f>IF(L79="","",IF(L79="DNS",0,IF(L79="DQ",0,IF(L79="DNF",1,IF(AND(ISNUMBER(L79),L79&gt;59),1,_xlfn.XLOOKUP(L79,tbl_points[Place],tbl_points[Points],""))))))</f>
        <v>35</v>
      </c>
      <c r="N79" s="3">
        <v>39</v>
      </c>
      <c r="O79" s="3">
        <f>IF(N79="","",IF(N79="DNS",0,IF(N79="DQ",0,IF(N79="DNF",1,IF(AND(ISNUMBER(N79),N79&gt;59),1,_xlfn.XLOOKUP(N79,tbl_points[Place],tbl_points[Points],""))))))</f>
        <v>21</v>
      </c>
      <c r="P79" s="3">
        <v>34</v>
      </c>
      <c r="Q79" s="3">
        <f>IF(P79="","",IF(P79="DNS",0,IF(P79="DQ",0,IF(P79="DNF",1,IF(AND(ISNUMBER(P79),P79&gt;59),1,_xlfn.XLOOKUP(P79,tbl_points[Place],tbl_points[Points],""))))))</f>
        <v>26</v>
      </c>
      <c r="S79" s="3" t="str">
        <f>IF(R79="","",IF(R79="DNS",0,IF(R79="DQ",0,IF(R79="DNF",1,IF(AND(ISNUMBER(R79),R79&gt;59),1,_xlfn.XLOOKUP(R79,tbl_points[Place],tbl_points[Points],""))))))</f>
        <v/>
      </c>
      <c r="T79" s="3">
        <f>SUM(tbl_individual[[#This Row],[R1 Pts]],tbl_individual[[#This Row],[R2 Pts]],tbl_individual[[#This Row],[R3 Pts]],tbl_individual[[#This Row],[R4 Pts]],tbl_individual[[#This Row],[R5 Pts]],tbl_individual[[#This Row],[R6 Pts]])</f>
        <v>132</v>
      </c>
      <c r="U79" s="3">
        <f>MIN(tbl_individual[[#This Row],[R1 Pts]],tbl_individual[[#This Row],[R2 Pts]],tbl_individual[[#This Row],[R3 Pts]],tbl_individual[[#This Row],[R4 Pts]],tbl_individual[[#This Row],[R5 Pts]],tbl_individual[[#This Row],[R6 Pts]])</f>
        <v>21</v>
      </c>
      <c r="V79" s="3">
        <f>tbl_individual[[#This Row],[Total]]</f>
        <v>132</v>
      </c>
    </row>
    <row r="80" spans="1:22" hidden="1" x14ac:dyDescent="0.4">
      <c r="A80" t="s">
        <v>124</v>
      </c>
      <c r="B80" t="s">
        <v>13</v>
      </c>
      <c r="C80" t="s">
        <v>5</v>
      </c>
      <c r="D80" s="3">
        <v>913</v>
      </c>
      <c r="E80" s="3" t="s">
        <v>421</v>
      </c>
      <c r="G80" s="3" t="s">
        <v>403</v>
      </c>
      <c r="H80" s="3">
        <v>33</v>
      </c>
      <c r="I80" s="3">
        <f>IF(H80="","",IF(H80="DNS",0,IF(H80="DQ",0,IF(H80="DNF",1,IF(AND(ISNUMBER(H80),H80&gt;59),1,_xlfn.XLOOKUP(H80,tbl_points[Place],tbl_points[Points],""))))))</f>
        <v>27</v>
      </c>
      <c r="J80" s="3">
        <v>21</v>
      </c>
      <c r="K80" s="3">
        <f>IF(J80="","",IF(J80="DNS",0,IF(J80="DQ",0,IF(J80="DNF",1,IF(AND(ISNUMBER(J80),J80&gt;59),1,_xlfn.XLOOKUP(J80,tbl_points[Place],tbl_points[Points],""))))))</f>
        <v>39</v>
      </c>
      <c r="L80" s="3">
        <v>23</v>
      </c>
      <c r="M80" s="3">
        <f>IF(L80="","",IF(L80="DNS",0,IF(L80="DQ",0,IF(L80="DNF",1,IF(AND(ISNUMBER(L80),L80&gt;59),1,_xlfn.XLOOKUP(L80,tbl_points[Place],tbl_points[Points],""))))))</f>
        <v>37</v>
      </c>
      <c r="N80" s="3">
        <v>17</v>
      </c>
      <c r="O80" s="3">
        <f>IF(N80="","",IF(N80="DNS",0,IF(N80="DQ",0,IF(N80="DNF",1,IF(AND(ISNUMBER(N80),N80&gt;59),1,_xlfn.XLOOKUP(N80,tbl_points[Place],tbl_points[Points],""))))))</f>
        <v>43</v>
      </c>
      <c r="P80" s="3" t="s">
        <v>409</v>
      </c>
      <c r="Q80" s="3">
        <f>IF(P80="","",IF(P80="DNS",0,IF(P80="DQ",0,IF(P80="DNF",1,IF(AND(ISNUMBER(P80),P80&gt;59),1,_xlfn.XLOOKUP(P80,tbl_points[Place],tbl_points[Points],""))))))</f>
        <v>1</v>
      </c>
      <c r="S80" s="3" t="str">
        <f>IF(R80="","",IF(R80="DNS",0,IF(R80="DQ",0,IF(R80="DNF",1,IF(AND(ISNUMBER(R80),R80&gt;59),1,_xlfn.XLOOKUP(R80,tbl_points[Place],tbl_points[Points],""))))))</f>
        <v/>
      </c>
      <c r="T80" s="3">
        <f>SUM(tbl_individual[[#This Row],[R1 Pts]],tbl_individual[[#This Row],[R2 Pts]],tbl_individual[[#This Row],[R3 Pts]],tbl_individual[[#This Row],[R4 Pts]],tbl_individual[[#This Row],[R5 Pts]],tbl_individual[[#This Row],[R6 Pts]])</f>
        <v>147</v>
      </c>
      <c r="U80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80" s="3">
        <f>tbl_individual[[#This Row],[Total]]</f>
        <v>147</v>
      </c>
    </row>
    <row r="81" spans="1:22" hidden="1" x14ac:dyDescent="0.4">
      <c r="A81" t="s">
        <v>126</v>
      </c>
      <c r="B81" t="s">
        <v>13</v>
      </c>
      <c r="C81" t="s">
        <v>3</v>
      </c>
      <c r="D81" s="3">
        <v>10159</v>
      </c>
      <c r="E81" s="3" t="s">
        <v>421</v>
      </c>
      <c r="G81" s="3" t="s">
        <v>403</v>
      </c>
      <c r="H81" s="3">
        <v>18</v>
      </c>
      <c r="I81" s="3">
        <f>IF(H81="","",IF(H81="DNS",0,IF(H81="DQ",0,IF(H81="DNF",1,IF(AND(ISNUMBER(H81),H81&gt;59),1,_xlfn.XLOOKUP(H81,tbl_points[Place],tbl_points[Points],""))))))</f>
        <v>42</v>
      </c>
      <c r="J81" s="3">
        <v>28</v>
      </c>
      <c r="K81" s="3">
        <f>IF(J81="","",IF(J81="DNS",0,IF(J81="DQ",0,IF(J81="DNF",1,IF(AND(ISNUMBER(J81),J81&gt;59),1,_xlfn.XLOOKUP(J81,tbl_points[Place],tbl_points[Points],""))))))</f>
        <v>32</v>
      </c>
      <c r="L81" s="3">
        <v>14</v>
      </c>
      <c r="M81" s="3">
        <f>IF(L81="","",IF(L81="DNS",0,IF(L81="DQ",0,IF(L81="DNF",1,IF(AND(ISNUMBER(L81),L81&gt;59),1,_xlfn.XLOOKUP(L81,tbl_points[Place],tbl_points[Points],""))))))</f>
        <v>47</v>
      </c>
      <c r="N81" s="3">
        <v>30</v>
      </c>
      <c r="O81" s="3">
        <f>IF(N81="","",IF(N81="DNS",0,IF(N81="DQ",0,IF(N81="DNF",1,IF(AND(ISNUMBER(N81),N81&gt;59),1,_xlfn.XLOOKUP(N81,tbl_points[Place],tbl_points[Points],""))))))</f>
        <v>30</v>
      </c>
      <c r="P81" s="3" t="s">
        <v>409</v>
      </c>
      <c r="Q81" s="3">
        <f>IF(P81="","",IF(P81="DNS",0,IF(P81="DQ",0,IF(P81="DNF",1,IF(AND(ISNUMBER(P81),P81&gt;59),1,_xlfn.XLOOKUP(P81,tbl_points[Place],tbl_points[Points],""))))))</f>
        <v>1</v>
      </c>
      <c r="S81" s="3" t="str">
        <f>IF(R81="","",IF(R81="DNS",0,IF(R81="DQ",0,IF(R81="DNF",1,IF(AND(ISNUMBER(R81),R81&gt;59),1,_xlfn.XLOOKUP(R81,tbl_points[Place],tbl_points[Points],""))))))</f>
        <v/>
      </c>
      <c r="T81" s="3">
        <f>SUM(tbl_individual[[#This Row],[R1 Pts]],tbl_individual[[#This Row],[R2 Pts]],tbl_individual[[#This Row],[R3 Pts]],tbl_individual[[#This Row],[R4 Pts]],tbl_individual[[#This Row],[R5 Pts]],tbl_individual[[#This Row],[R6 Pts]])</f>
        <v>152</v>
      </c>
      <c r="U81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81" s="3">
        <f>tbl_individual[[#This Row],[Total]]</f>
        <v>152</v>
      </c>
    </row>
    <row r="82" spans="1:22" hidden="1" x14ac:dyDescent="0.4">
      <c r="A82" t="s">
        <v>127</v>
      </c>
      <c r="B82" t="s">
        <v>13</v>
      </c>
      <c r="C82" t="s">
        <v>1</v>
      </c>
      <c r="D82" s="3">
        <v>12024</v>
      </c>
      <c r="E82" s="3" t="s">
        <v>421</v>
      </c>
      <c r="G82" s="3" t="s">
        <v>403</v>
      </c>
      <c r="H82" s="3" t="s">
        <v>410</v>
      </c>
      <c r="I82" s="3">
        <f>IF(H82="","",IF(H82="DNS",0,IF(H82="DQ",0,IF(H82="DNF",1,IF(AND(ISNUMBER(H82),H82&gt;59),1,_xlfn.XLOOKUP(H82,tbl_points[Place],tbl_points[Points],""))))))</f>
        <v>0</v>
      </c>
      <c r="J82" s="3">
        <v>15</v>
      </c>
      <c r="K82" s="3">
        <f>IF(J82="","",IF(J82="DNS",0,IF(J82="DQ",0,IF(J82="DNF",1,IF(AND(ISNUMBER(J82),J82&gt;59),1,_xlfn.XLOOKUP(J82,tbl_points[Place],tbl_points[Points],""))))))</f>
        <v>45</v>
      </c>
      <c r="L82" s="3">
        <v>22</v>
      </c>
      <c r="M82" s="3">
        <f>IF(L82="","",IF(L82="DNS",0,IF(L82="DQ",0,IF(L82="DNF",1,IF(AND(ISNUMBER(L82),L82&gt;59),1,_xlfn.XLOOKUP(L82,tbl_points[Place],tbl_points[Points],""))))))</f>
        <v>38</v>
      </c>
      <c r="N82" s="3">
        <v>16</v>
      </c>
      <c r="O82" s="3">
        <f>IF(N82="","",IF(N82="DNS",0,IF(N82="DQ",0,IF(N82="DNF",1,IF(AND(ISNUMBER(N82),N82&gt;59),1,_xlfn.XLOOKUP(N82,tbl_points[Place],tbl_points[Points],""))))))</f>
        <v>44</v>
      </c>
      <c r="P82" s="3">
        <v>8</v>
      </c>
      <c r="Q82" s="3">
        <f>IF(P82="","",IF(P82="DNS",0,IF(P82="DQ",0,IF(P82="DNF",1,IF(AND(ISNUMBER(P82),P82&gt;59),1,_xlfn.XLOOKUP(P82,tbl_points[Place],tbl_points[Points],""))))))</f>
        <v>65</v>
      </c>
      <c r="S82" s="3" t="str">
        <f>IF(R82="","",IF(R82="DNS",0,IF(R82="DQ",0,IF(R82="DNF",1,IF(AND(ISNUMBER(R82),R82&gt;59),1,_xlfn.XLOOKUP(R82,tbl_points[Place],tbl_points[Points],""))))))</f>
        <v/>
      </c>
      <c r="T82" s="3">
        <f>SUM(tbl_individual[[#This Row],[R1 Pts]],tbl_individual[[#This Row],[R2 Pts]],tbl_individual[[#This Row],[R3 Pts]],tbl_individual[[#This Row],[R4 Pts]],tbl_individual[[#This Row],[R5 Pts]],tbl_individual[[#This Row],[R6 Pts]])</f>
        <v>192</v>
      </c>
      <c r="U8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82" s="3">
        <f>tbl_individual[[#This Row],[Total]]</f>
        <v>192</v>
      </c>
    </row>
    <row r="83" spans="1:22" hidden="1" x14ac:dyDescent="0.4">
      <c r="A83" t="s">
        <v>128</v>
      </c>
      <c r="B83" t="s">
        <v>13</v>
      </c>
      <c r="C83" t="s">
        <v>1</v>
      </c>
      <c r="D83" s="3">
        <v>12025</v>
      </c>
      <c r="E83" s="3" t="s">
        <v>421</v>
      </c>
      <c r="G83" s="3" t="s">
        <v>403</v>
      </c>
      <c r="H83" s="3">
        <v>4</v>
      </c>
      <c r="I83" s="3">
        <f>IF(H83="","",IF(H83="DNS",0,IF(H83="DQ",0,IF(H83="DNF",1,IF(AND(ISNUMBER(H83),H83&gt;59),1,_xlfn.XLOOKUP(H83,tbl_points[Place],tbl_points[Points],""))))))</f>
        <v>85</v>
      </c>
      <c r="J83" s="3">
        <v>2</v>
      </c>
      <c r="K83" s="3">
        <f>IF(J83="","",IF(J83="DNS",0,IF(J83="DQ",0,IF(J83="DNF",1,IF(AND(ISNUMBER(J83),J83&gt;59),1,_xlfn.XLOOKUP(J83,tbl_points[Place],tbl_points[Points],""))))))</f>
        <v>95</v>
      </c>
      <c r="L83" s="3">
        <v>6</v>
      </c>
      <c r="M83" s="3">
        <f>IF(L83="","",IF(L83="DNS",0,IF(L83="DQ",0,IF(L83="DNF",1,IF(AND(ISNUMBER(L83),L83&gt;59),1,_xlfn.XLOOKUP(L83,tbl_points[Place],tbl_points[Points],""))))))</f>
        <v>75</v>
      </c>
      <c r="N83" s="3">
        <v>1</v>
      </c>
      <c r="O83" s="3">
        <f>IF(N83="","",IF(N83="DNS",0,IF(N83="DQ",0,IF(N83="DNF",1,IF(AND(ISNUMBER(N83),N83&gt;59),1,_xlfn.XLOOKUP(N83,tbl_points[Place],tbl_points[Points],""))))))</f>
        <v>100</v>
      </c>
      <c r="P83" s="3">
        <v>2</v>
      </c>
      <c r="Q83" s="3">
        <f>IF(P83="","",IF(P83="DNS",0,IF(P83="DQ",0,IF(P83="DNF",1,IF(AND(ISNUMBER(P83),P83&gt;59),1,_xlfn.XLOOKUP(P83,tbl_points[Place],tbl_points[Points],""))))))</f>
        <v>95</v>
      </c>
      <c r="S83" s="3" t="str">
        <f>IF(R83="","",IF(R83="DNS",0,IF(R83="DQ",0,IF(R83="DNF",1,IF(AND(ISNUMBER(R83),R83&gt;59),1,_xlfn.XLOOKUP(R83,tbl_points[Place],tbl_points[Points],""))))))</f>
        <v/>
      </c>
      <c r="T83" s="3">
        <f>SUM(tbl_individual[[#This Row],[R1 Pts]],tbl_individual[[#This Row],[R2 Pts]],tbl_individual[[#This Row],[R3 Pts]],tbl_individual[[#This Row],[R4 Pts]],tbl_individual[[#This Row],[R5 Pts]],tbl_individual[[#This Row],[R6 Pts]])</f>
        <v>450</v>
      </c>
      <c r="U83" s="3">
        <f>MIN(tbl_individual[[#This Row],[R1 Pts]],tbl_individual[[#This Row],[R2 Pts]],tbl_individual[[#This Row],[R3 Pts]],tbl_individual[[#This Row],[R4 Pts]],tbl_individual[[#This Row],[R5 Pts]],tbl_individual[[#This Row],[R6 Pts]])</f>
        <v>75</v>
      </c>
      <c r="V83" s="3">
        <f>tbl_individual[[#This Row],[Total]]</f>
        <v>450</v>
      </c>
    </row>
    <row r="84" spans="1:22" hidden="1" x14ac:dyDescent="0.4">
      <c r="A84" t="s">
        <v>129</v>
      </c>
      <c r="B84" t="s">
        <v>13</v>
      </c>
      <c r="C84" t="s">
        <v>1</v>
      </c>
      <c r="D84" s="3">
        <v>12026</v>
      </c>
      <c r="E84" s="3" t="s">
        <v>421</v>
      </c>
      <c r="G84" s="3" t="s">
        <v>403</v>
      </c>
      <c r="H84" s="3">
        <v>27</v>
      </c>
      <c r="I84" s="3">
        <f>IF(H84="","",IF(H84="DNS",0,IF(H84="DQ",0,IF(H84="DNF",1,IF(AND(ISNUMBER(H84),H84&gt;59),1,_xlfn.XLOOKUP(H84,tbl_points[Place],tbl_points[Points],""))))))</f>
        <v>33</v>
      </c>
      <c r="J84" s="3">
        <v>56</v>
      </c>
      <c r="K84" s="3">
        <f>IF(J84="","",IF(J84="DNS",0,IF(J84="DQ",0,IF(J84="DNF",1,IF(AND(ISNUMBER(J84),J84&gt;59),1,_xlfn.XLOOKUP(J84,tbl_points[Place],tbl_points[Points],""))))))</f>
        <v>4</v>
      </c>
      <c r="L84" s="3" t="s">
        <v>410</v>
      </c>
      <c r="M84" s="3">
        <f>IF(L84="","",IF(L84="DNS",0,IF(L84="DQ",0,IF(L84="DNF",1,IF(AND(ISNUMBER(L84),L84&gt;59),1,_xlfn.XLOOKUP(L84,tbl_points[Place],tbl_points[Points],""))))))</f>
        <v>0</v>
      </c>
      <c r="N84" s="3" t="s">
        <v>410</v>
      </c>
      <c r="O84" s="3">
        <f>IF(N84="","",IF(N84="DNS",0,IF(N84="DQ",0,IF(N84="DNF",1,IF(AND(ISNUMBER(N84),N84&gt;59),1,_xlfn.XLOOKUP(N84,tbl_points[Place],tbl_points[Points],""))))))</f>
        <v>0</v>
      </c>
      <c r="P84" s="3">
        <v>53</v>
      </c>
      <c r="Q84" s="3">
        <f>IF(P84="","",IF(P84="DNS",0,IF(P84="DQ",0,IF(P84="DNF",1,IF(AND(ISNUMBER(P84),P84&gt;59),1,_xlfn.XLOOKUP(P84,tbl_points[Place],tbl_points[Points],""))))))</f>
        <v>7</v>
      </c>
      <c r="S84" s="3" t="str">
        <f>IF(R84="","",IF(R84="DNS",0,IF(R84="DQ",0,IF(R84="DNF",1,IF(AND(ISNUMBER(R84),R84&gt;59),1,_xlfn.XLOOKUP(R84,tbl_points[Place],tbl_points[Points],""))))))</f>
        <v/>
      </c>
      <c r="T84" s="3">
        <f>SUM(tbl_individual[[#This Row],[R1 Pts]],tbl_individual[[#This Row],[R2 Pts]],tbl_individual[[#This Row],[R3 Pts]],tbl_individual[[#This Row],[R4 Pts]],tbl_individual[[#This Row],[R5 Pts]],tbl_individual[[#This Row],[R6 Pts]])</f>
        <v>44</v>
      </c>
      <c r="U8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84" s="3">
        <f>tbl_individual[[#This Row],[Total]]</f>
        <v>44</v>
      </c>
    </row>
    <row r="85" spans="1:22" hidden="1" x14ac:dyDescent="0.4">
      <c r="A85" t="s">
        <v>130</v>
      </c>
      <c r="B85" t="s">
        <v>13</v>
      </c>
      <c r="C85" t="s">
        <v>1</v>
      </c>
      <c r="D85" s="3">
        <v>12027</v>
      </c>
      <c r="E85" s="3" t="s">
        <v>421</v>
      </c>
      <c r="G85" s="3" t="s">
        <v>403</v>
      </c>
      <c r="H85" s="3">
        <v>43</v>
      </c>
      <c r="I85" s="3">
        <f>IF(H85="","",IF(H85="DNS",0,IF(H85="DQ",0,IF(H85="DNF",1,IF(AND(ISNUMBER(H85),H85&gt;59),1,_xlfn.XLOOKUP(H85,tbl_points[Place],tbl_points[Points],""))))))</f>
        <v>17</v>
      </c>
      <c r="J85" s="3">
        <v>41</v>
      </c>
      <c r="K85" s="3">
        <f>IF(J85="","",IF(J85="DNS",0,IF(J85="DQ",0,IF(J85="DNF",1,IF(AND(ISNUMBER(J85),J85&gt;59),1,_xlfn.XLOOKUP(J85,tbl_points[Place],tbl_points[Points],""))))))</f>
        <v>19</v>
      </c>
      <c r="L85" s="3">
        <v>47</v>
      </c>
      <c r="M85" s="3">
        <f>IF(L85="","",IF(L85="DNS",0,IF(L85="DQ",0,IF(L85="DNF",1,IF(AND(ISNUMBER(L85),L85&gt;59),1,_xlfn.XLOOKUP(L85,tbl_points[Place],tbl_points[Points],""))))))</f>
        <v>13</v>
      </c>
      <c r="N85" s="3">
        <v>34</v>
      </c>
      <c r="O85" s="3">
        <f>IF(N85="","",IF(N85="DNS",0,IF(N85="DQ",0,IF(N85="DNF",1,IF(AND(ISNUMBER(N85),N85&gt;59),1,_xlfn.XLOOKUP(N85,tbl_points[Place],tbl_points[Points],""))))))</f>
        <v>26</v>
      </c>
      <c r="P85" s="3">
        <v>18</v>
      </c>
      <c r="Q85" s="3">
        <f>IF(P85="","",IF(P85="DNS",0,IF(P85="DQ",0,IF(P85="DNF",1,IF(AND(ISNUMBER(P85),P85&gt;59),1,_xlfn.XLOOKUP(P85,tbl_points[Place],tbl_points[Points],""))))))</f>
        <v>42</v>
      </c>
      <c r="S85" s="3" t="str">
        <f>IF(R85="","",IF(R85="DNS",0,IF(R85="DQ",0,IF(R85="DNF",1,IF(AND(ISNUMBER(R85),R85&gt;59),1,_xlfn.XLOOKUP(R85,tbl_points[Place],tbl_points[Points],""))))))</f>
        <v/>
      </c>
      <c r="T85" s="3">
        <f>SUM(tbl_individual[[#This Row],[R1 Pts]],tbl_individual[[#This Row],[R2 Pts]],tbl_individual[[#This Row],[R3 Pts]],tbl_individual[[#This Row],[R4 Pts]],tbl_individual[[#This Row],[R5 Pts]],tbl_individual[[#This Row],[R6 Pts]])</f>
        <v>117</v>
      </c>
      <c r="U85" s="3">
        <f>MIN(tbl_individual[[#This Row],[R1 Pts]],tbl_individual[[#This Row],[R2 Pts]],tbl_individual[[#This Row],[R3 Pts]],tbl_individual[[#This Row],[R4 Pts]],tbl_individual[[#This Row],[R5 Pts]],tbl_individual[[#This Row],[R6 Pts]])</f>
        <v>13</v>
      </c>
      <c r="V85" s="3">
        <f>tbl_individual[[#This Row],[Total]]</f>
        <v>117</v>
      </c>
    </row>
    <row r="86" spans="1:22" hidden="1" x14ac:dyDescent="0.4">
      <c r="A86" t="s">
        <v>131</v>
      </c>
      <c r="B86" t="s">
        <v>13</v>
      </c>
      <c r="C86" t="s">
        <v>1</v>
      </c>
      <c r="D86" s="3">
        <v>12028</v>
      </c>
      <c r="E86" s="3" t="s">
        <v>421</v>
      </c>
      <c r="G86" s="3" t="s">
        <v>403</v>
      </c>
      <c r="H86" s="3">
        <v>42</v>
      </c>
      <c r="I86" s="3">
        <f>IF(H86="","",IF(H86="DNS",0,IF(H86="DQ",0,IF(H86="DNF",1,IF(AND(ISNUMBER(H86),H86&gt;59),1,_xlfn.XLOOKUP(H86,tbl_points[Place],tbl_points[Points],""))))))</f>
        <v>18</v>
      </c>
      <c r="J86" s="3">
        <v>55</v>
      </c>
      <c r="K86" s="3">
        <f>IF(J86="","",IF(J86="DNS",0,IF(J86="DQ",0,IF(J86="DNF",1,IF(AND(ISNUMBER(J86),J86&gt;59),1,_xlfn.XLOOKUP(J86,tbl_points[Place],tbl_points[Points],""))))))</f>
        <v>5</v>
      </c>
      <c r="L86" s="3">
        <v>43</v>
      </c>
      <c r="M86" s="3">
        <f>IF(L86="","",IF(L86="DNS",0,IF(L86="DQ",0,IF(L86="DNF",1,IF(AND(ISNUMBER(L86),L86&gt;59),1,_xlfn.XLOOKUP(L86,tbl_points[Place],tbl_points[Points],""))))))</f>
        <v>17</v>
      </c>
      <c r="N86" s="3">
        <v>37</v>
      </c>
      <c r="O86" s="3">
        <f>IF(N86="","",IF(N86="DNS",0,IF(N86="DQ",0,IF(N86="DNF",1,IF(AND(ISNUMBER(N86),N86&gt;59),1,_xlfn.XLOOKUP(N86,tbl_points[Place],tbl_points[Points],""))))))</f>
        <v>23</v>
      </c>
      <c r="P86" s="3">
        <v>47</v>
      </c>
      <c r="Q86" s="3">
        <f>IF(P86="","",IF(P86="DNS",0,IF(P86="DQ",0,IF(P86="DNF",1,IF(AND(ISNUMBER(P86),P86&gt;59),1,_xlfn.XLOOKUP(P86,tbl_points[Place],tbl_points[Points],""))))))</f>
        <v>13</v>
      </c>
      <c r="S86" s="3" t="str">
        <f>IF(R86="","",IF(R86="DNS",0,IF(R86="DQ",0,IF(R86="DNF",1,IF(AND(ISNUMBER(R86),R86&gt;59),1,_xlfn.XLOOKUP(R86,tbl_points[Place],tbl_points[Points],""))))))</f>
        <v/>
      </c>
      <c r="T86" s="3">
        <f>SUM(tbl_individual[[#This Row],[R1 Pts]],tbl_individual[[#This Row],[R2 Pts]],tbl_individual[[#This Row],[R3 Pts]],tbl_individual[[#This Row],[R4 Pts]],tbl_individual[[#This Row],[R5 Pts]],tbl_individual[[#This Row],[R6 Pts]])</f>
        <v>76</v>
      </c>
      <c r="U86" s="3">
        <f>MIN(tbl_individual[[#This Row],[R1 Pts]],tbl_individual[[#This Row],[R2 Pts]],tbl_individual[[#This Row],[R3 Pts]],tbl_individual[[#This Row],[R4 Pts]],tbl_individual[[#This Row],[R5 Pts]],tbl_individual[[#This Row],[R6 Pts]])</f>
        <v>5</v>
      </c>
      <c r="V86" s="3">
        <f>tbl_individual[[#This Row],[Total]]</f>
        <v>76</v>
      </c>
    </row>
    <row r="87" spans="1:22" hidden="1" x14ac:dyDescent="0.4">
      <c r="A87" t="s">
        <v>132</v>
      </c>
      <c r="B87" t="s">
        <v>13</v>
      </c>
      <c r="C87" t="s">
        <v>1</v>
      </c>
      <c r="D87" s="3">
        <v>12029</v>
      </c>
      <c r="E87" s="3" t="s">
        <v>421</v>
      </c>
      <c r="G87" s="3" t="s">
        <v>403</v>
      </c>
      <c r="H87" s="3" t="s">
        <v>410</v>
      </c>
      <c r="I87" s="3">
        <f>IF(H87="","",IF(H87="DNS",0,IF(H87="DQ",0,IF(H87="DNF",1,IF(AND(ISNUMBER(H87),H87&gt;59),1,_xlfn.XLOOKUP(H87,tbl_points[Place],tbl_points[Points],""))))))</f>
        <v>0</v>
      </c>
      <c r="J87" s="3" t="s">
        <v>410</v>
      </c>
      <c r="K87" s="3">
        <f>IF(J87="","",IF(J87="DNS",0,IF(J87="DQ",0,IF(J87="DNF",1,IF(AND(ISNUMBER(J87),J87&gt;59),1,_xlfn.XLOOKUP(J87,tbl_points[Place],tbl_points[Points],""))))))</f>
        <v>0</v>
      </c>
      <c r="L87" s="3" t="s">
        <v>410</v>
      </c>
      <c r="M87" s="3">
        <f>IF(L87="","",IF(L87="DNS",0,IF(L87="DQ",0,IF(L87="DNF",1,IF(AND(ISNUMBER(L87),L87&gt;59),1,_xlfn.XLOOKUP(L87,tbl_points[Place],tbl_points[Points],""))))))</f>
        <v>0</v>
      </c>
      <c r="N87" s="3" t="s">
        <v>410</v>
      </c>
      <c r="O87" s="3">
        <f>IF(N87="","",IF(N87="DNS",0,IF(N87="DQ",0,IF(N87="DNF",1,IF(AND(ISNUMBER(N87),N87&gt;59),1,_xlfn.XLOOKUP(N87,tbl_points[Place],tbl_points[Points],""))))))</f>
        <v>0</v>
      </c>
      <c r="P87" s="3">
        <v>13</v>
      </c>
      <c r="Q87" s="3">
        <f>IF(P87="","",IF(P87="DNS",0,IF(P87="DQ",0,IF(P87="DNF",1,IF(AND(ISNUMBER(P87),P87&gt;59),1,_xlfn.XLOOKUP(P87,tbl_points[Place],tbl_points[Points],""))))))</f>
        <v>49</v>
      </c>
      <c r="S87" s="3" t="str">
        <f>IF(R87="","",IF(R87="DNS",0,IF(R87="DQ",0,IF(R87="DNF",1,IF(AND(ISNUMBER(R87),R87&gt;59),1,_xlfn.XLOOKUP(R87,tbl_points[Place],tbl_points[Points],""))))))</f>
        <v/>
      </c>
      <c r="T87" s="3">
        <f>SUM(tbl_individual[[#This Row],[R1 Pts]],tbl_individual[[#This Row],[R2 Pts]],tbl_individual[[#This Row],[R3 Pts]],tbl_individual[[#This Row],[R4 Pts]],tbl_individual[[#This Row],[R5 Pts]],tbl_individual[[#This Row],[R6 Pts]])</f>
        <v>49</v>
      </c>
      <c r="U8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87" s="3">
        <f>tbl_individual[[#This Row],[Total]]</f>
        <v>49</v>
      </c>
    </row>
    <row r="88" spans="1:22" hidden="1" x14ac:dyDescent="0.4">
      <c r="A88" t="s">
        <v>133</v>
      </c>
      <c r="B88" t="s">
        <v>13</v>
      </c>
      <c r="C88" t="s">
        <v>1</v>
      </c>
      <c r="D88" s="3">
        <v>12030</v>
      </c>
      <c r="E88" s="3" t="s">
        <v>421</v>
      </c>
      <c r="G88" s="3" t="s">
        <v>403</v>
      </c>
      <c r="H88" s="3">
        <v>6</v>
      </c>
      <c r="I88" s="3">
        <f>IF(H88="","",IF(H88="DNS",0,IF(H88="DQ",0,IF(H88="DNF",1,IF(AND(ISNUMBER(H88),H88&gt;59),1,_xlfn.XLOOKUP(H88,tbl_points[Place],tbl_points[Points],""))))))</f>
        <v>75</v>
      </c>
      <c r="J88" s="3">
        <v>26</v>
      </c>
      <c r="K88" s="3">
        <f>IF(J88="","",IF(J88="DNS",0,IF(J88="DQ",0,IF(J88="DNF",1,IF(AND(ISNUMBER(J88),J88&gt;59),1,_xlfn.XLOOKUP(J88,tbl_points[Place],tbl_points[Points],""))))))</f>
        <v>34</v>
      </c>
      <c r="L88" s="3">
        <v>7</v>
      </c>
      <c r="M88" s="3">
        <f>IF(L88="","",IF(L88="DNS",0,IF(L88="DQ",0,IF(L88="DNF",1,IF(AND(ISNUMBER(L88),L88&gt;59),1,_xlfn.XLOOKUP(L88,tbl_points[Place],tbl_points[Points],""))))))</f>
        <v>70</v>
      </c>
      <c r="N88" s="3">
        <v>17</v>
      </c>
      <c r="O88" s="3">
        <f>IF(N88="","",IF(N88="DNS",0,IF(N88="DQ",0,IF(N88="DNF",1,IF(AND(ISNUMBER(N88),N88&gt;59),1,_xlfn.XLOOKUP(N88,tbl_points[Place],tbl_points[Points],""))))))</f>
        <v>43</v>
      </c>
      <c r="P88" s="3">
        <v>17</v>
      </c>
      <c r="Q88" s="3">
        <f>IF(P88="","",IF(P88="DNS",0,IF(P88="DQ",0,IF(P88="DNF",1,IF(AND(ISNUMBER(P88),P88&gt;59),1,_xlfn.XLOOKUP(P88,tbl_points[Place],tbl_points[Points],""))))))</f>
        <v>43</v>
      </c>
      <c r="S88" s="3" t="str">
        <f>IF(R88="","",IF(R88="DNS",0,IF(R88="DQ",0,IF(R88="DNF",1,IF(AND(ISNUMBER(R88),R88&gt;59),1,_xlfn.XLOOKUP(R88,tbl_points[Place],tbl_points[Points],""))))))</f>
        <v/>
      </c>
      <c r="T88" s="3">
        <f>SUM(tbl_individual[[#This Row],[R1 Pts]],tbl_individual[[#This Row],[R2 Pts]],tbl_individual[[#This Row],[R3 Pts]],tbl_individual[[#This Row],[R4 Pts]],tbl_individual[[#This Row],[R5 Pts]],tbl_individual[[#This Row],[R6 Pts]])</f>
        <v>265</v>
      </c>
      <c r="U88" s="3">
        <f>MIN(tbl_individual[[#This Row],[R1 Pts]],tbl_individual[[#This Row],[R2 Pts]],tbl_individual[[#This Row],[R3 Pts]],tbl_individual[[#This Row],[R4 Pts]],tbl_individual[[#This Row],[R5 Pts]],tbl_individual[[#This Row],[R6 Pts]])</f>
        <v>34</v>
      </c>
      <c r="V88" s="3">
        <f>tbl_individual[[#This Row],[Total]]</f>
        <v>265</v>
      </c>
    </row>
    <row r="89" spans="1:22" hidden="1" x14ac:dyDescent="0.4">
      <c r="A89" t="s">
        <v>125</v>
      </c>
      <c r="B89" t="s">
        <v>13</v>
      </c>
      <c r="C89" t="s">
        <v>1</v>
      </c>
      <c r="D89" s="3">
        <v>12103</v>
      </c>
      <c r="E89" s="3" t="s">
        <v>421</v>
      </c>
      <c r="G89" s="3" t="s">
        <v>403</v>
      </c>
      <c r="H89" s="3">
        <v>1</v>
      </c>
      <c r="I89" s="3">
        <f>IF(H89="","",IF(H89="DNS",0,IF(H89="DQ",0,IF(H89="DNF",1,IF(AND(ISNUMBER(H89),H89&gt;59),1,_xlfn.XLOOKUP(H89,tbl_points[Place],tbl_points[Points],""))))))</f>
        <v>100</v>
      </c>
      <c r="J89" s="3">
        <v>13</v>
      </c>
      <c r="K89" s="3">
        <f>IF(J89="","",IF(J89="DNS",0,IF(J89="DQ",0,IF(J89="DNF",1,IF(AND(ISNUMBER(J89),J89&gt;59),1,_xlfn.XLOOKUP(J89,tbl_points[Place],tbl_points[Points],""))))))</f>
        <v>49</v>
      </c>
      <c r="L89" s="3">
        <v>1</v>
      </c>
      <c r="M89" s="3">
        <f>IF(L89="","",IF(L89="DNS",0,IF(L89="DQ",0,IF(L89="DNF",1,IF(AND(ISNUMBER(L89),L89&gt;59),1,_xlfn.XLOOKUP(L89,tbl_points[Place],tbl_points[Points],""))))))</f>
        <v>100</v>
      </c>
      <c r="N89" s="3">
        <v>12</v>
      </c>
      <c r="O89" s="3">
        <f>IF(N89="","",IF(N89="DNS",0,IF(N89="DQ",0,IF(N89="DNF",1,IF(AND(ISNUMBER(N89),N89&gt;59),1,_xlfn.XLOOKUP(N89,tbl_points[Place],tbl_points[Points],""))))))</f>
        <v>51</v>
      </c>
      <c r="P89" s="3">
        <v>9</v>
      </c>
      <c r="Q89" s="3">
        <f>IF(P89="","",IF(P89="DNS",0,IF(P89="DQ",0,IF(P89="DNF",1,IF(AND(ISNUMBER(P89),P89&gt;59),1,_xlfn.XLOOKUP(P89,tbl_points[Place],tbl_points[Points],""))))))</f>
        <v>60</v>
      </c>
      <c r="S89" s="3" t="str">
        <f>IF(R89="","",IF(R89="DNS",0,IF(R89="DQ",0,IF(R89="DNF",1,IF(AND(ISNUMBER(R89),R89&gt;59),1,_xlfn.XLOOKUP(R89,tbl_points[Place],tbl_points[Points],""))))))</f>
        <v/>
      </c>
      <c r="T89" s="3">
        <f>SUM(tbl_individual[[#This Row],[R1 Pts]],tbl_individual[[#This Row],[R2 Pts]],tbl_individual[[#This Row],[R3 Pts]],tbl_individual[[#This Row],[R4 Pts]],tbl_individual[[#This Row],[R5 Pts]],tbl_individual[[#This Row],[R6 Pts]])</f>
        <v>360</v>
      </c>
      <c r="U89" s="3">
        <f>MIN(tbl_individual[[#This Row],[R1 Pts]],tbl_individual[[#This Row],[R2 Pts]],tbl_individual[[#This Row],[R3 Pts]],tbl_individual[[#This Row],[R4 Pts]],tbl_individual[[#This Row],[R5 Pts]],tbl_individual[[#This Row],[R6 Pts]])</f>
        <v>49</v>
      </c>
      <c r="V89" s="3">
        <f>tbl_individual[[#This Row],[Total]]</f>
        <v>360</v>
      </c>
    </row>
    <row r="90" spans="1:22" hidden="1" x14ac:dyDescent="0.4">
      <c r="A90" t="s">
        <v>134</v>
      </c>
      <c r="B90" t="s">
        <v>13</v>
      </c>
      <c r="C90" t="s">
        <v>2</v>
      </c>
      <c r="D90" s="3">
        <v>1230</v>
      </c>
      <c r="E90" s="3" t="s">
        <v>421</v>
      </c>
      <c r="G90" s="3" t="s">
        <v>407</v>
      </c>
      <c r="H90" s="3" t="s">
        <v>410</v>
      </c>
      <c r="I90" s="3">
        <f>IF(H90="","",IF(H90="DNS",0,IF(H90="DQ",0,IF(H90="DNF",1,IF(AND(ISNUMBER(H90),H90&gt;59),1,_xlfn.XLOOKUP(H90,tbl_points[Place],tbl_points[Points],""))))))</f>
        <v>0</v>
      </c>
      <c r="J90" s="3" t="s">
        <v>410</v>
      </c>
      <c r="K90" s="3">
        <f>IF(J90="","",IF(J90="DNS",0,IF(J90="DQ",0,IF(J90="DNF",1,IF(AND(ISNUMBER(J90),J90&gt;59),1,_xlfn.XLOOKUP(J90,tbl_points[Place],tbl_points[Points],""))))))</f>
        <v>0</v>
      </c>
      <c r="L90" s="3">
        <v>8</v>
      </c>
      <c r="M90" s="3">
        <f>IF(L90="","",IF(L90="DNS",0,IF(L90="DQ",0,IF(L90="DNF",1,IF(AND(ISNUMBER(L90),L90&gt;59),1,_xlfn.XLOOKUP(L90,tbl_points[Place],tbl_points[Points],""))))))</f>
        <v>65</v>
      </c>
      <c r="N90" s="3">
        <v>10</v>
      </c>
      <c r="O90" s="3">
        <f>IF(N90="","",IF(N90="DNS",0,IF(N90="DQ",0,IF(N90="DNF",1,IF(AND(ISNUMBER(N90),N90&gt;59),1,_xlfn.XLOOKUP(N90,tbl_points[Place],tbl_points[Points],""))))))</f>
        <v>55</v>
      </c>
      <c r="P90" s="3">
        <v>11</v>
      </c>
      <c r="Q90" s="3">
        <f>IF(P90="","",IF(P90="DNS",0,IF(P90="DQ",0,IF(P90="DNF",1,IF(AND(ISNUMBER(P90),P90&gt;59),1,_xlfn.XLOOKUP(P90,tbl_points[Place],tbl_points[Points],""))))))</f>
        <v>53</v>
      </c>
      <c r="S90" s="3" t="str">
        <f>IF(R90="","",IF(R90="DNS",0,IF(R90="DQ",0,IF(R90="DNF",1,IF(AND(ISNUMBER(R90),R90&gt;59),1,_xlfn.XLOOKUP(R90,tbl_points[Place],tbl_points[Points],""))))))</f>
        <v/>
      </c>
      <c r="T90" s="3">
        <f>SUM(tbl_individual[[#This Row],[R1 Pts]],tbl_individual[[#This Row],[R2 Pts]],tbl_individual[[#This Row],[R3 Pts]],tbl_individual[[#This Row],[R4 Pts]],tbl_individual[[#This Row],[R5 Pts]],tbl_individual[[#This Row],[R6 Pts]])</f>
        <v>173</v>
      </c>
      <c r="U9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0" s="3">
        <f>tbl_individual[[#This Row],[Total]]</f>
        <v>173</v>
      </c>
    </row>
    <row r="91" spans="1:22" hidden="1" x14ac:dyDescent="0.4">
      <c r="A91" t="s">
        <v>135</v>
      </c>
      <c r="B91" t="s">
        <v>13</v>
      </c>
      <c r="C91" t="s">
        <v>2</v>
      </c>
      <c r="D91" s="3">
        <v>1231</v>
      </c>
      <c r="E91" s="3" t="s">
        <v>421</v>
      </c>
      <c r="G91" s="3" t="s">
        <v>403</v>
      </c>
      <c r="H91" s="3" t="s">
        <v>410</v>
      </c>
      <c r="I91" s="3">
        <f>IF(H91="","",IF(H91="DNS",0,IF(H91="DQ",0,IF(H91="DNF",1,IF(AND(ISNUMBER(H91),H91&gt;59),1,_xlfn.XLOOKUP(H91,tbl_points[Place],tbl_points[Points],""))))))</f>
        <v>0</v>
      </c>
      <c r="J91" s="3" t="s">
        <v>410</v>
      </c>
      <c r="K91" s="3">
        <f>IF(J91="","",IF(J91="DNS",0,IF(J91="DQ",0,IF(J91="DNF",1,IF(AND(ISNUMBER(J91),J91&gt;59),1,_xlfn.XLOOKUP(J91,tbl_points[Place],tbl_points[Points],""))))))</f>
        <v>0</v>
      </c>
      <c r="L91" s="3" t="s">
        <v>410</v>
      </c>
      <c r="M91" s="3">
        <f>IF(L91="","",IF(L91="DNS",0,IF(L91="DQ",0,IF(L91="DNF",1,IF(AND(ISNUMBER(L91),L91&gt;59),1,_xlfn.XLOOKUP(L91,tbl_points[Place],tbl_points[Points],""))))))</f>
        <v>0</v>
      </c>
      <c r="N91" s="3" t="s">
        <v>409</v>
      </c>
      <c r="O91" s="3">
        <f>IF(N91="","",IF(N91="DNS",0,IF(N91="DQ",0,IF(N91="DNF",1,IF(AND(ISNUMBER(N91),N91&gt;59),1,_xlfn.XLOOKUP(N91,tbl_points[Place],tbl_points[Points],""))))))</f>
        <v>1</v>
      </c>
      <c r="P91" s="3" t="s">
        <v>409</v>
      </c>
      <c r="Q91" s="3">
        <f>IF(P91="","",IF(P91="DNS",0,IF(P91="DQ",0,IF(P91="DNF",1,IF(AND(ISNUMBER(P91),P91&gt;59),1,_xlfn.XLOOKUP(P91,tbl_points[Place],tbl_points[Points],""))))))</f>
        <v>1</v>
      </c>
      <c r="S91" s="3" t="str">
        <f>IF(R91="","",IF(R91="DNS",0,IF(R91="DQ",0,IF(R91="DNF",1,IF(AND(ISNUMBER(R91),R91&gt;59),1,_xlfn.XLOOKUP(R91,tbl_points[Place],tbl_points[Points],""))))))</f>
        <v/>
      </c>
      <c r="T91" s="3">
        <f>SUM(tbl_individual[[#This Row],[R1 Pts]],tbl_individual[[#This Row],[R2 Pts]],tbl_individual[[#This Row],[R3 Pts]],tbl_individual[[#This Row],[R4 Pts]],tbl_individual[[#This Row],[R5 Pts]],tbl_individual[[#This Row],[R6 Pts]])</f>
        <v>2</v>
      </c>
      <c r="U9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1" s="3">
        <f>tbl_individual[[#This Row],[Total]]</f>
        <v>2</v>
      </c>
    </row>
    <row r="92" spans="1:22" hidden="1" x14ac:dyDescent="0.4">
      <c r="A92" t="s">
        <v>136</v>
      </c>
      <c r="B92" t="s">
        <v>13</v>
      </c>
      <c r="C92" t="s">
        <v>2</v>
      </c>
      <c r="D92" s="3">
        <v>1232</v>
      </c>
      <c r="E92" s="3" t="s">
        <v>421</v>
      </c>
      <c r="G92" s="3" t="s">
        <v>403</v>
      </c>
      <c r="H92" s="3" t="s">
        <v>410</v>
      </c>
      <c r="I92" s="3">
        <f>IF(H92="","",IF(H92="DNS",0,IF(H92="DQ",0,IF(H92="DNF",1,IF(AND(ISNUMBER(H92),H92&gt;59),1,_xlfn.XLOOKUP(H92,tbl_points[Place],tbl_points[Points],""))))))</f>
        <v>0</v>
      </c>
      <c r="J92" s="3">
        <v>1</v>
      </c>
      <c r="K92" s="3">
        <f>IF(J92="","",IF(J92="DNS",0,IF(J92="DQ",0,IF(J92="DNF",1,IF(AND(ISNUMBER(J92),J92&gt;59),1,_xlfn.XLOOKUP(J92,tbl_points[Place],tbl_points[Points],""))))))</f>
        <v>100</v>
      </c>
      <c r="L92" s="3" t="s">
        <v>410</v>
      </c>
      <c r="M92" s="3">
        <f>IF(L92="","",IF(L92="DNS",0,IF(L92="DQ",0,IF(L92="DNF",1,IF(AND(ISNUMBER(L92),L92&gt;59),1,_xlfn.XLOOKUP(L92,tbl_points[Place],tbl_points[Points],""))))))</f>
        <v>0</v>
      </c>
      <c r="N92" s="3">
        <v>1</v>
      </c>
      <c r="O92" s="3">
        <f>IF(N92="","",IF(N92="DNS",0,IF(N92="DQ",0,IF(N92="DNF",1,IF(AND(ISNUMBER(N92),N92&gt;59),1,_xlfn.XLOOKUP(N92,tbl_points[Place],tbl_points[Points],""))))))</f>
        <v>100</v>
      </c>
      <c r="P92" s="3" t="s">
        <v>409</v>
      </c>
      <c r="Q92" s="3">
        <f>IF(P92="","",IF(P92="DNS",0,IF(P92="DQ",0,IF(P92="DNF",1,IF(AND(ISNUMBER(P92),P92&gt;59),1,_xlfn.XLOOKUP(P92,tbl_points[Place],tbl_points[Points],""))))))</f>
        <v>1</v>
      </c>
      <c r="S92" s="3" t="str">
        <f>IF(R92="","",IF(R92="DNS",0,IF(R92="DQ",0,IF(R92="DNF",1,IF(AND(ISNUMBER(R92),R92&gt;59),1,_xlfn.XLOOKUP(R92,tbl_points[Place],tbl_points[Points],""))))))</f>
        <v/>
      </c>
      <c r="T92" s="3">
        <f>SUM(tbl_individual[[#This Row],[R1 Pts]],tbl_individual[[#This Row],[R2 Pts]],tbl_individual[[#This Row],[R3 Pts]],tbl_individual[[#This Row],[R4 Pts]],tbl_individual[[#This Row],[R5 Pts]],tbl_individual[[#This Row],[R6 Pts]])</f>
        <v>201</v>
      </c>
      <c r="U9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2" s="3">
        <f>tbl_individual[[#This Row],[Total]]</f>
        <v>201</v>
      </c>
    </row>
    <row r="93" spans="1:22" hidden="1" x14ac:dyDescent="0.4">
      <c r="A93" t="s">
        <v>137</v>
      </c>
      <c r="B93" t="s">
        <v>13</v>
      </c>
      <c r="C93" t="s">
        <v>2</v>
      </c>
      <c r="D93" s="3">
        <v>1233</v>
      </c>
      <c r="E93" s="3" t="s">
        <v>421</v>
      </c>
      <c r="G93" s="3" t="s">
        <v>407</v>
      </c>
      <c r="H93" s="3">
        <v>4</v>
      </c>
      <c r="I93" s="3">
        <f>IF(H93="","",IF(H93="DNS",0,IF(H93="DQ",0,IF(H93="DNF",1,IF(AND(ISNUMBER(H93),H93&gt;59),1,_xlfn.XLOOKUP(H93,tbl_points[Place],tbl_points[Points],""))))))</f>
        <v>85</v>
      </c>
      <c r="J93" s="3" t="s">
        <v>410</v>
      </c>
      <c r="K93" s="3">
        <f>IF(J93="","",IF(J93="DNS",0,IF(J93="DQ",0,IF(J93="DNF",1,IF(AND(ISNUMBER(J93),J93&gt;59),1,_xlfn.XLOOKUP(J93,tbl_points[Place],tbl_points[Points],""))))))</f>
        <v>0</v>
      </c>
      <c r="L93" s="3">
        <v>5</v>
      </c>
      <c r="M93" s="3">
        <f>IF(L93="","",IF(L93="DNS",0,IF(L93="DQ",0,IF(L93="DNF",1,IF(AND(ISNUMBER(L93),L93&gt;59),1,_xlfn.XLOOKUP(L93,tbl_points[Place],tbl_points[Points],""))))))</f>
        <v>80</v>
      </c>
      <c r="N93" s="3" t="s">
        <v>409</v>
      </c>
      <c r="O93" s="3">
        <f>IF(N93="","",IF(N93="DNS",0,IF(N93="DQ",0,IF(N93="DNF",1,IF(AND(ISNUMBER(N93),N93&gt;59),1,_xlfn.XLOOKUP(N93,tbl_points[Place],tbl_points[Points],""))))))</f>
        <v>1</v>
      </c>
      <c r="P93" s="3" t="s">
        <v>410</v>
      </c>
      <c r="Q93" s="3">
        <f>IF(P93="","",IF(P93="DNS",0,IF(P93="DQ",0,IF(P93="DNF",1,IF(AND(ISNUMBER(P93),P93&gt;59),1,_xlfn.XLOOKUP(P93,tbl_points[Place],tbl_points[Points],""))))))</f>
        <v>0</v>
      </c>
      <c r="S93" s="3" t="str">
        <f>IF(R93="","",IF(R93="DNS",0,IF(R93="DQ",0,IF(R93="DNF",1,IF(AND(ISNUMBER(R93),R93&gt;59),1,_xlfn.XLOOKUP(R93,tbl_points[Place],tbl_points[Points],""))))))</f>
        <v/>
      </c>
      <c r="T93" s="3">
        <f>SUM(tbl_individual[[#This Row],[R1 Pts]],tbl_individual[[#This Row],[R2 Pts]],tbl_individual[[#This Row],[R3 Pts]],tbl_individual[[#This Row],[R4 Pts]],tbl_individual[[#This Row],[R5 Pts]],tbl_individual[[#This Row],[R6 Pts]])</f>
        <v>166</v>
      </c>
      <c r="U9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3" s="3">
        <f>tbl_individual[[#This Row],[Total]]</f>
        <v>166</v>
      </c>
    </row>
    <row r="94" spans="1:22" hidden="1" x14ac:dyDescent="0.4">
      <c r="A94" t="s">
        <v>1154</v>
      </c>
      <c r="B94" t="s">
        <v>14</v>
      </c>
      <c r="C94" t="s">
        <v>7</v>
      </c>
      <c r="D94" s="3">
        <v>843</v>
      </c>
      <c r="E94" s="3" t="s">
        <v>421</v>
      </c>
      <c r="F94" s="17" t="s">
        <v>1155</v>
      </c>
      <c r="H94" s="3" t="s">
        <v>410</v>
      </c>
      <c r="I94" s="3">
        <f>IF(H94="","",IF(H94="DNS",0,IF(H94="DQ",0,IF(H94="DNF",1,IF(AND(ISNUMBER(H94),H94&gt;59),1,_xlfn.XLOOKUP(H94,tbl_points[Place],tbl_points[Points],""))))))</f>
        <v>0</v>
      </c>
      <c r="J94" s="3" t="s">
        <v>410</v>
      </c>
      <c r="K94" s="3">
        <f>IF(J94="","",IF(J94="DNS",0,IF(J94="DQ",0,IF(J94="DNF",1,IF(AND(ISNUMBER(J94),J94&gt;59),1,_xlfn.XLOOKUP(J94,tbl_points[Place],tbl_points[Points],""))))))</f>
        <v>0</v>
      </c>
      <c r="L94" s="3" t="s">
        <v>410</v>
      </c>
      <c r="M94" s="3">
        <f>IF(L94="","",IF(L94="DNS",0,IF(L94="DQ",0,IF(L94="DNF",1,IF(AND(ISNUMBER(L94),L94&gt;59),1,_xlfn.XLOOKUP(L94,tbl_points[Place],tbl_points[Points],""))))))</f>
        <v>0</v>
      </c>
      <c r="N94" s="3">
        <v>24</v>
      </c>
      <c r="O94" s="3">
        <f>IF(N94="","",IF(N94="DNS",0,IF(N94="DQ",0,IF(N94="DNF",1,IF(AND(ISNUMBER(N94),N94&gt;59),1,_xlfn.XLOOKUP(N94,tbl_points[Place],tbl_points[Points],""))))))</f>
        <v>36</v>
      </c>
      <c r="P94" s="3">
        <v>37</v>
      </c>
      <c r="Q94" s="3">
        <f>IF(P94="","",IF(P94="DNS",0,IF(P94="DQ",0,IF(P94="DNF",1,IF(AND(ISNUMBER(P94),P94&gt;59),1,_xlfn.XLOOKUP(P94,tbl_points[Place],tbl_points[Points],""))))))</f>
        <v>23</v>
      </c>
      <c r="S94" s="3" t="str">
        <f>IF(R94="","",IF(R94="DNS",0,IF(R94="DQ",0,IF(R94="DNF",1,IF(AND(ISNUMBER(R94),R94&gt;59),1,_xlfn.XLOOKUP(R94,tbl_points[Place],tbl_points[Points],""))))))</f>
        <v/>
      </c>
      <c r="T94" s="3">
        <f>SUM(tbl_individual[[#This Row],[R1 Pts]],tbl_individual[[#This Row],[R2 Pts]],tbl_individual[[#This Row],[R3 Pts]],tbl_individual[[#This Row],[R4 Pts]],tbl_individual[[#This Row],[R5 Pts]],tbl_individual[[#This Row],[R6 Pts]])</f>
        <v>59</v>
      </c>
      <c r="U9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4" s="3">
        <f>tbl_individual[[#This Row],[Total]]</f>
        <v>59</v>
      </c>
    </row>
    <row r="95" spans="1:22" hidden="1" x14ac:dyDescent="0.4">
      <c r="A95" t="s">
        <v>138</v>
      </c>
      <c r="B95" t="s">
        <v>14</v>
      </c>
      <c r="C95" t="s">
        <v>7</v>
      </c>
      <c r="D95" s="3">
        <v>8195</v>
      </c>
      <c r="E95" s="3" t="s">
        <v>421</v>
      </c>
      <c r="G95" s="3" t="s">
        <v>403</v>
      </c>
      <c r="H95" s="3" t="s">
        <v>410</v>
      </c>
      <c r="I95" s="3">
        <f>IF(H95="","",IF(H95="DNS",0,IF(H95="DQ",0,IF(H95="DNF",1,IF(AND(ISNUMBER(H95),H95&gt;59),1,_xlfn.XLOOKUP(H95,tbl_points[Place],tbl_points[Points],""))))))</f>
        <v>0</v>
      </c>
      <c r="J95" s="3" t="s">
        <v>410</v>
      </c>
      <c r="K95" s="3">
        <f>IF(J95="","",IF(J95="DNS",0,IF(J95="DQ",0,IF(J95="DNF",1,IF(AND(ISNUMBER(J95),J95&gt;59),1,_xlfn.XLOOKUP(J95,tbl_points[Place],tbl_points[Points],""))))))</f>
        <v>0</v>
      </c>
      <c r="L95" s="3" t="s">
        <v>410</v>
      </c>
      <c r="M95" s="3">
        <f>IF(L95="","",IF(L95="DNS",0,IF(L95="DQ",0,IF(L95="DNF",1,IF(AND(ISNUMBER(L95),L95&gt;59),1,_xlfn.XLOOKUP(L95,tbl_points[Place],tbl_points[Points],""))))))</f>
        <v>0</v>
      </c>
      <c r="N95" s="3" t="s">
        <v>409</v>
      </c>
      <c r="O95" s="3">
        <f>IF(N95="","",IF(N95="DNS",0,IF(N95="DQ",0,IF(N95="DNF",1,IF(AND(ISNUMBER(N95),N95&gt;59),1,_xlfn.XLOOKUP(N95,tbl_points[Place],tbl_points[Points],""))))))</f>
        <v>1</v>
      </c>
      <c r="P95" s="3" t="s">
        <v>410</v>
      </c>
      <c r="Q95" s="3">
        <f>IF(P95="","",IF(P95="DNS",0,IF(P95="DQ",0,IF(P95="DNF",1,IF(AND(ISNUMBER(P95),P95&gt;59),1,_xlfn.XLOOKUP(P95,tbl_points[Place],tbl_points[Points],""))))))</f>
        <v>0</v>
      </c>
      <c r="S95" s="3" t="str">
        <f>IF(R95="","",IF(R95="DNS",0,IF(R95="DQ",0,IF(R95="DNF",1,IF(AND(ISNUMBER(R95),R95&gt;59),1,_xlfn.XLOOKUP(R95,tbl_points[Place],tbl_points[Points],""))))))</f>
        <v/>
      </c>
      <c r="T95" s="3">
        <f>SUM(tbl_individual[[#This Row],[R1 Pts]],tbl_individual[[#This Row],[R2 Pts]],tbl_individual[[#This Row],[R3 Pts]],tbl_individual[[#This Row],[R4 Pts]],tbl_individual[[#This Row],[R5 Pts]],tbl_individual[[#This Row],[R6 Pts]])</f>
        <v>1</v>
      </c>
      <c r="U9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5" s="3">
        <f>tbl_individual[[#This Row],[Total]]</f>
        <v>1</v>
      </c>
    </row>
    <row r="96" spans="1:22" hidden="1" x14ac:dyDescent="0.4">
      <c r="A96" t="s">
        <v>139</v>
      </c>
      <c r="B96" t="s">
        <v>14</v>
      </c>
      <c r="C96" t="s">
        <v>5</v>
      </c>
      <c r="D96" s="3">
        <v>961</v>
      </c>
      <c r="E96" s="3" t="s">
        <v>421</v>
      </c>
      <c r="F96" s="17" t="s">
        <v>428</v>
      </c>
      <c r="G96" s="3" t="s">
        <v>403</v>
      </c>
      <c r="H96" s="3">
        <v>3</v>
      </c>
      <c r="I96" s="3">
        <f>IF(H96="","",IF(H96="DNS",0,IF(H96="DQ",0,IF(H96="DNF",1,IF(AND(ISNUMBER(H96),H96&gt;59),1,_xlfn.XLOOKUP(H96,tbl_points[Place],tbl_points[Points],""))))))</f>
        <v>90</v>
      </c>
      <c r="J96" s="3" t="s">
        <v>410</v>
      </c>
      <c r="K96" s="3">
        <f>IF(J96="","",IF(J96="DNS",0,IF(J96="DQ",0,IF(J96="DNF",1,IF(AND(ISNUMBER(J96),J96&gt;59),1,_xlfn.XLOOKUP(J96,tbl_points[Place],tbl_points[Points],""))))))</f>
        <v>0</v>
      </c>
      <c r="L96" s="3" t="s">
        <v>410</v>
      </c>
      <c r="M96" s="3">
        <f>IF(L96="","",IF(L96="DNS",0,IF(L96="DQ",0,IF(L96="DNF",1,IF(AND(ISNUMBER(L96),L96&gt;59),1,_xlfn.XLOOKUP(L96,tbl_points[Place],tbl_points[Points],""))))))</f>
        <v>0</v>
      </c>
      <c r="N96" s="3" t="s">
        <v>410</v>
      </c>
      <c r="O96" s="3">
        <f>IF(N96="","",IF(N96="DNS",0,IF(N96="DQ",0,IF(N96="DNF",1,IF(AND(ISNUMBER(N96),N96&gt;59),1,_xlfn.XLOOKUP(N96,tbl_points[Place],tbl_points[Points],""))))))</f>
        <v>0</v>
      </c>
      <c r="P96" s="3" t="s">
        <v>409</v>
      </c>
      <c r="Q96" s="3">
        <f>IF(P96="","",IF(P96="DNS",0,IF(P96="DQ",0,IF(P96="DNF",1,IF(AND(ISNUMBER(P96),P96&gt;59),1,_xlfn.XLOOKUP(P96,tbl_points[Place],tbl_points[Points],""))))))</f>
        <v>1</v>
      </c>
      <c r="S96" s="3" t="str">
        <f>IF(R96="","",IF(R96="DNS",0,IF(R96="DQ",0,IF(R96="DNF",1,IF(AND(ISNUMBER(R96),R96&gt;59),1,_xlfn.XLOOKUP(R96,tbl_points[Place],tbl_points[Points],""))))))</f>
        <v/>
      </c>
      <c r="T96" s="3">
        <f>SUM(tbl_individual[[#This Row],[R1 Pts]],tbl_individual[[#This Row],[R2 Pts]],tbl_individual[[#This Row],[R3 Pts]],tbl_individual[[#This Row],[R4 Pts]],tbl_individual[[#This Row],[R5 Pts]],tbl_individual[[#This Row],[R6 Pts]])</f>
        <v>91</v>
      </c>
      <c r="U9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6" s="3">
        <f>tbl_individual[[#This Row],[Total]]</f>
        <v>91</v>
      </c>
    </row>
    <row r="97" spans="1:22" hidden="1" x14ac:dyDescent="0.4">
      <c r="A97" t="s">
        <v>414</v>
      </c>
      <c r="B97" t="s">
        <v>14</v>
      </c>
      <c r="C97" t="s">
        <v>3</v>
      </c>
      <c r="D97" s="3">
        <v>10206</v>
      </c>
      <c r="E97" s="3" t="s">
        <v>421</v>
      </c>
      <c r="G97" s="3" t="s">
        <v>403</v>
      </c>
      <c r="H97" s="3">
        <v>26</v>
      </c>
      <c r="I97" s="3">
        <f>IF(H97="","",IF(H97="DNS",0,IF(H97="DQ",0,IF(H97="DNF",1,IF(AND(ISNUMBER(H97),H97&gt;59),1,_xlfn.XLOOKUP(H97,tbl_points[Place],tbl_points[Points],""))))))</f>
        <v>34</v>
      </c>
      <c r="J97" s="3" t="s">
        <v>410</v>
      </c>
      <c r="K97" s="3">
        <f>IF(J97="","",IF(J97="DNS",0,IF(J97="DQ",0,IF(J97="DNF",1,IF(AND(ISNUMBER(J97),J97&gt;59),1,_xlfn.XLOOKUP(J97,tbl_points[Place],tbl_points[Points],""))))))</f>
        <v>0</v>
      </c>
      <c r="L97" s="3" t="s">
        <v>409</v>
      </c>
      <c r="M97" s="3">
        <f>IF(L97="","",IF(L97="DNS",0,IF(L97="DQ",0,IF(L97="DNF",1,IF(AND(ISNUMBER(L97),L97&gt;59),1,_xlfn.XLOOKUP(L97,tbl_points[Place],tbl_points[Points],""))))))</f>
        <v>1</v>
      </c>
      <c r="N97" s="3">
        <v>45</v>
      </c>
      <c r="O97" s="3">
        <f>IF(N97="","",IF(N97="DNS",0,IF(N97="DQ",0,IF(N97="DNF",1,IF(AND(ISNUMBER(N97),N97&gt;59),1,_xlfn.XLOOKUP(N97,tbl_points[Place],tbl_points[Points],""))))))</f>
        <v>15</v>
      </c>
      <c r="P97" s="3" t="s">
        <v>410</v>
      </c>
      <c r="Q97" s="3">
        <f>IF(P97="","",IF(P97="DNS",0,IF(P97="DQ",0,IF(P97="DNF",1,IF(AND(ISNUMBER(P97),P97&gt;59),1,_xlfn.XLOOKUP(P97,tbl_points[Place],tbl_points[Points],""))))))</f>
        <v>0</v>
      </c>
      <c r="S97" s="3" t="str">
        <f>IF(R97="","",IF(R97="DNS",0,IF(R97="DQ",0,IF(R97="DNF",1,IF(AND(ISNUMBER(R97),R97&gt;59),1,_xlfn.XLOOKUP(R97,tbl_points[Place],tbl_points[Points],""))))))</f>
        <v/>
      </c>
      <c r="T97" s="3">
        <f>SUM(tbl_individual[[#This Row],[R1 Pts]],tbl_individual[[#This Row],[R2 Pts]],tbl_individual[[#This Row],[R3 Pts]],tbl_individual[[#This Row],[R4 Pts]],tbl_individual[[#This Row],[R5 Pts]],tbl_individual[[#This Row],[R6 Pts]])</f>
        <v>50</v>
      </c>
      <c r="U9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7" s="3">
        <f>tbl_individual[[#This Row],[Total]]</f>
        <v>50</v>
      </c>
    </row>
    <row r="98" spans="1:22" hidden="1" x14ac:dyDescent="0.4">
      <c r="A98" t="s">
        <v>426</v>
      </c>
      <c r="B98" t="s">
        <v>14</v>
      </c>
      <c r="C98" t="s">
        <v>3</v>
      </c>
      <c r="D98" s="3">
        <v>10207</v>
      </c>
      <c r="E98" s="3" t="s">
        <v>421</v>
      </c>
      <c r="G98" s="3" t="s">
        <v>403</v>
      </c>
      <c r="H98" s="3" t="s">
        <v>410</v>
      </c>
      <c r="I98" s="3">
        <f>IF(H98="","",IF(H98="DNS",0,IF(H98="DQ",0,IF(H98="DNF",1,IF(AND(ISNUMBER(H98),H98&gt;59),1,_xlfn.XLOOKUP(H98,tbl_points[Place],tbl_points[Points],""))))))</f>
        <v>0</v>
      </c>
      <c r="J98" s="3" t="s">
        <v>410</v>
      </c>
      <c r="K98" s="3">
        <f>IF(J98="","",IF(J98="DNS",0,IF(J98="DQ",0,IF(J98="DNF",1,IF(AND(ISNUMBER(J98),J98&gt;59),1,_xlfn.XLOOKUP(J98,tbl_points[Place],tbl_points[Points],""))))))</f>
        <v>0</v>
      </c>
      <c r="L98" s="3">
        <v>42</v>
      </c>
      <c r="M98" s="3">
        <f>IF(L98="","",IF(L98="DNS",0,IF(L98="DQ",0,IF(L98="DNF",1,IF(AND(ISNUMBER(L98),L98&gt;59),1,_xlfn.XLOOKUP(L98,tbl_points[Place],tbl_points[Points],""))))))</f>
        <v>18</v>
      </c>
      <c r="N98" s="3">
        <v>38</v>
      </c>
      <c r="O98" s="3">
        <f>IF(N98="","",IF(N98="DNS",0,IF(N98="DQ",0,IF(N98="DNF",1,IF(AND(ISNUMBER(N98),N98&gt;59),1,_xlfn.XLOOKUP(N98,tbl_points[Place],tbl_points[Points],""))))))</f>
        <v>22</v>
      </c>
      <c r="P98" s="3">
        <v>26</v>
      </c>
      <c r="Q98" s="3">
        <f>IF(P98="","",IF(P98="DNS",0,IF(P98="DQ",0,IF(P98="DNF",1,IF(AND(ISNUMBER(P98),P98&gt;59),1,_xlfn.XLOOKUP(P98,tbl_points[Place],tbl_points[Points],""))))))</f>
        <v>34</v>
      </c>
      <c r="S98" s="3" t="str">
        <f>IF(R98="","",IF(R98="DNS",0,IF(R98="DQ",0,IF(R98="DNF",1,IF(AND(ISNUMBER(R98),R98&gt;59),1,_xlfn.XLOOKUP(R98,tbl_points[Place],tbl_points[Points],""))))))</f>
        <v/>
      </c>
      <c r="T98" s="3">
        <f>SUM(tbl_individual[[#This Row],[R1 Pts]],tbl_individual[[#This Row],[R2 Pts]],tbl_individual[[#This Row],[R3 Pts]],tbl_individual[[#This Row],[R4 Pts]],tbl_individual[[#This Row],[R5 Pts]],tbl_individual[[#This Row],[R6 Pts]])</f>
        <v>74</v>
      </c>
      <c r="U9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8" s="3">
        <f>tbl_individual[[#This Row],[Total]]</f>
        <v>74</v>
      </c>
    </row>
    <row r="99" spans="1:22" hidden="1" x14ac:dyDescent="0.4">
      <c r="A99" t="s">
        <v>140</v>
      </c>
      <c r="B99" t="s">
        <v>14</v>
      </c>
      <c r="C99" t="s">
        <v>1</v>
      </c>
      <c r="D99" s="3">
        <v>12031</v>
      </c>
      <c r="E99" s="3" t="s">
        <v>421</v>
      </c>
      <c r="G99" s="3" t="s">
        <v>403</v>
      </c>
      <c r="H99" s="3">
        <v>25</v>
      </c>
      <c r="I99" s="3">
        <f>IF(H99="","",IF(H99="DNS",0,IF(H99="DQ",0,IF(H99="DNF",1,IF(AND(ISNUMBER(H99),H99&gt;59),1,_xlfn.XLOOKUP(H99,tbl_points[Place],tbl_points[Points],""))))))</f>
        <v>35</v>
      </c>
      <c r="J99" s="3" t="s">
        <v>410</v>
      </c>
      <c r="K99" s="3">
        <f>IF(J99="","",IF(J99="DNS",0,IF(J99="DQ",0,IF(J99="DNF",1,IF(AND(ISNUMBER(J99),J99&gt;59),1,_xlfn.XLOOKUP(J99,tbl_points[Place],tbl_points[Points],""))))))</f>
        <v>0</v>
      </c>
      <c r="L99" s="3">
        <v>31</v>
      </c>
      <c r="M99" s="3">
        <f>IF(L99="","",IF(L99="DNS",0,IF(L99="DQ",0,IF(L99="DNF",1,IF(AND(ISNUMBER(L99),L99&gt;59),1,_xlfn.XLOOKUP(L99,tbl_points[Place],tbl_points[Points],""))))))</f>
        <v>29</v>
      </c>
      <c r="N99" s="3">
        <v>47</v>
      </c>
      <c r="O99" s="3">
        <f>IF(N99="","",IF(N99="DNS",0,IF(N99="DQ",0,IF(N99="DNF",1,IF(AND(ISNUMBER(N99),N99&gt;59),1,_xlfn.XLOOKUP(N99,tbl_points[Place],tbl_points[Points],""))))))</f>
        <v>13</v>
      </c>
      <c r="P99" s="3">
        <v>37</v>
      </c>
      <c r="Q99" s="3">
        <f>IF(P99="","",IF(P99="DNS",0,IF(P99="DQ",0,IF(P99="DNF",1,IF(AND(ISNUMBER(P99),P99&gt;59),1,_xlfn.XLOOKUP(P99,tbl_points[Place],tbl_points[Points],""))))))</f>
        <v>23</v>
      </c>
      <c r="S99" s="3" t="str">
        <f>IF(R99="","",IF(R99="DNS",0,IF(R99="DQ",0,IF(R99="DNF",1,IF(AND(ISNUMBER(R99),R99&gt;59),1,_xlfn.XLOOKUP(R99,tbl_points[Place],tbl_points[Points],""))))))</f>
        <v/>
      </c>
      <c r="T99" s="3">
        <f>SUM(tbl_individual[[#This Row],[R1 Pts]],tbl_individual[[#This Row],[R2 Pts]],tbl_individual[[#This Row],[R3 Pts]],tbl_individual[[#This Row],[R4 Pts]],tbl_individual[[#This Row],[R5 Pts]],tbl_individual[[#This Row],[R6 Pts]])</f>
        <v>100</v>
      </c>
      <c r="U9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99" s="3">
        <f>tbl_individual[[#This Row],[Total]]</f>
        <v>100</v>
      </c>
    </row>
    <row r="100" spans="1:22" hidden="1" x14ac:dyDescent="0.4">
      <c r="A100" t="s">
        <v>144</v>
      </c>
      <c r="B100" t="s">
        <v>15</v>
      </c>
      <c r="C100" t="s">
        <v>7</v>
      </c>
      <c r="D100" s="3">
        <v>800</v>
      </c>
      <c r="E100" s="3" t="s">
        <v>421</v>
      </c>
      <c r="G100" s="3" t="s">
        <v>403</v>
      </c>
      <c r="H100" s="3">
        <v>26</v>
      </c>
      <c r="I100" s="3">
        <f>IF(H100="","",IF(H100="DNS",0,IF(H100="DQ",0,IF(H100="DNF",1,IF(AND(ISNUMBER(H100),H100&gt;59),1,_xlfn.XLOOKUP(H100,tbl_points[Place],tbl_points[Points],""))))))</f>
        <v>34</v>
      </c>
      <c r="J100" s="3">
        <v>29</v>
      </c>
      <c r="K100" s="3">
        <f>IF(J100="","",IF(J100="DNS",0,IF(J100="DQ",0,IF(J100="DNF",1,IF(AND(ISNUMBER(J100),J100&gt;59),1,_xlfn.XLOOKUP(J100,tbl_points[Place],tbl_points[Points],""))))))</f>
        <v>31</v>
      </c>
      <c r="L100" s="3" t="s">
        <v>410</v>
      </c>
      <c r="M100" s="3">
        <f>IF(L100="","",IF(L100="DNS",0,IF(L100="DQ",0,IF(L100="DNF",1,IF(AND(ISNUMBER(L100),L100&gt;59),1,_xlfn.XLOOKUP(L100,tbl_points[Place],tbl_points[Points],""))))))</f>
        <v>0</v>
      </c>
      <c r="N100" s="3" t="s">
        <v>410</v>
      </c>
      <c r="O100" s="3">
        <f>IF(N100="","",IF(N100="DNS",0,IF(N100="DQ",0,IF(N100="DNF",1,IF(AND(ISNUMBER(N100),N100&gt;59),1,_xlfn.XLOOKUP(N100,tbl_points[Place],tbl_points[Points],""))))))</f>
        <v>0</v>
      </c>
      <c r="P100" s="3">
        <v>33</v>
      </c>
      <c r="Q100" s="3">
        <f>IF(P100="","",IF(P100="DNS",0,IF(P100="DQ",0,IF(P100="DNF",1,IF(AND(ISNUMBER(P100),P100&gt;59),1,_xlfn.XLOOKUP(P100,tbl_points[Place],tbl_points[Points],""))))))</f>
        <v>27</v>
      </c>
      <c r="S100" s="3" t="str">
        <f>IF(R100="","",IF(R100="DNS",0,IF(R100="DQ",0,IF(R100="DNF",1,IF(AND(ISNUMBER(R100),R100&gt;59),1,_xlfn.XLOOKUP(R100,tbl_points[Place],tbl_points[Points],""))))))</f>
        <v/>
      </c>
      <c r="T100" s="3">
        <f>SUM(tbl_individual[[#This Row],[R1 Pts]],tbl_individual[[#This Row],[R2 Pts]],tbl_individual[[#This Row],[R3 Pts]],tbl_individual[[#This Row],[R4 Pts]],tbl_individual[[#This Row],[R5 Pts]],tbl_individual[[#This Row],[R6 Pts]])</f>
        <v>92</v>
      </c>
      <c r="U10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0" s="3">
        <f>tbl_individual[[#This Row],[Total]]</f>
        <v>92</v>
      </c>
    </row>
    <row r="101" spans="1:22" hidden="1" x14ac:dyDescent="0.4">
      <c r="A101" t="s">
        <v>145</v>
      </c>
      <c r="B101" t="s">
        <v>15</v>
      </c>
      <c r="C101" t="s">
        <v>7</v>
      </c>
      <c r="D101" s="3">
        <v>801</v>
      </c>
      <c r="E101" s="3" t="s">
        <v>421</v>
      </c>
      <c r="G101" s="3" t="s">
        <v>403</v>
      </c>
      <c r="H101" s="3" t="s">
        <v>410</v>
      </c>
      <c r="I101" s="3">
        <f>IF(H101="","",IF(H101="DNS",0,IF(H101="DQ",0,IF(H101="DNF",1,IF(AND(ISNUMBER(H101),H101&gt;59),1,_xlfn.XLOOKUP(H101,tbl_points[Place],tbl_points[Points],""))))))</f>
        <v>0</v>
      </c>
      <c r="J101" s="3">
        <v>25</v>
      </c>
      <c r="K101" s="3">
        <f>IF(J101="","",IF(J101="DNS",0,IF(J101="DQ",0,IF(J101="DNF",1,IF(AND(ISNUMBER(J101),J101&gt;59),1,_xlfn.XLOOKUP(J101,tbl_points[Place],tbl_points[Points],""))))))</f>
        <v>35</v>
      </c>
      <c r="L101" s="3" t="s">
        <v>410</v>
      </c>
      <c r="M101" s="3">
        <f>IF(L101="","",IF(L101="DNS",0,IF(L101="DQ",0,IF(L101="DNF",1,IF(AND(ISNUMBER(L101),L101&gt;59),1,_xlfn.XLOOKUP(L101,tbl_points[Place],tbl_points[Points],""))))))</f>
        <v>0</v>
      </c>
      <c r="N101" s="3" t="s">
        <v>410</v>
      </c>
      <c r="O101" s="3">
        <f>IF(N101="","",IF(N101="DNS",0,IF(N101="DQ",0,IF(N101="DNF",1,IF(AND(ISNUMBER(N101),N101&gt;59),1,_xlfn.XLOOKUP(N101,tbl_points[Place],tbl_points[Points],""))))))</f>
        <v>0</v>
      </c>
      <c r="P101" s="3" t="s">
        <v>410</v>
      </c>
      <c r="Q101" s="3">
        <f>IF(P101="","",IF(P101="DNS",0,IF(P101="DQ",0,IF(P101="DNF",1,IF(AND(ISNUMBER(P101),P101&gt;59),1,_xlfn.XLOOKUP(P101,tbl_points[Place],tbl_points[Points],""))))))</f>
        <v>0</v>
      </c>
      <c r="S101" s="3" t="str">
        <f>IF(R101="","",IF(R101="DNS",0,IF(R101="DQ",0,IF(R101="DNF",1,IF(AND(ISNUMBER(R101),R101&gt;59),1,_xlfn.XLOOKUP(R101,tbl_points[Place],tbl_points[Points],""))))))</f>
        <v/>
      </c>
      <c r="T101" s="3">
        <f>SUM(tbl_individual[[#This Row],[R1 Pts]],tbl_individual[[#This Row],[R2 Pts]],tbl_individual[[#This Row],[R3 Pts]],tbl_individual[[#This Row],[R4 Pts]],tbl_individual[[#This Row],[R5 Pts]],tbl_individual[[#This Row],[R6 Pts]])</f>
        <v>35</v>
      </c>
      <c r="U10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1" s="3">
        <f>tbl_individual[[#This Row],[Total]]</f>
        <v>35</v>
      </c>
    </row>
    <row r="102" spans="1:22" hidden="1" x14ac:dyDescent="0.4">
      <c r="A102" t="s">
        <v>143</v>
      </c>
      <c r="B102" t="s">
        <v>15</v>
      </c>
      <c r="C102" t="s">
        <v>7</v>
      </c>
      <c r="D102" s="3">
        <v>802</v>
      </c>
      <c r="E102" s="3" t="s">
        <v>421</v>
      </c>
      <c r="G102" s="3" t="s">
        <v>403</v>
      </c>
      <c r="H102" s="3" t="s">
        <v>410</v>
      </c>
      <c r="I102" s="3">
        <f>IF(H102="","",IF(H102="DNS",0,IF(H102="DQ",0,IF(H102="DNF",1,IF(AND(ISNUMBER(H102),H102&gt;59),1,_xlfn.XLOOKUP(H102,tbl_points[Place],tbl_points[Points],""))))))</f>
        <v>0</v>
      </c>
      <c r="J102" s="3" t="s">
        <v>410</v>
      </c>
      <c r="K102" s="3">
        <f>IF(J102="","",IF(J102="DNS",0,IF(J102="DQ",0,IF(J102="DNF",1,IF(AND(ISNUMBER(J102),J102&gt;59),1,_xlfn.XLOOKUP(J102,tbl_points[Place],tbl_points[Points],""))))))</f>
        <v>0</v>
      </c>
      <c r="L102" s="3" t="s">
        <v>410</v>
      </c>
      <c r="M102" s="3">
        <f>IF(L102="","",IF(L102="DNS",0,IF(L102="DQ",0,IF(L102="DNF",1,IF(AND(ISNUMBER(L102),L102&gt;59),1,_xlfn.XLOOKUP(L102,tbl_points[Place],tbl_points[Points],""))))))</f>
        <v>0</v>
      </c>
      <c r="N102" s="3" t="s">
        <v>410</v>
      </c>
      <c r="O102" s="3">
        <f>IF(N102="","",IF(N102="DNS",0,IF(N102="DQ",0,IF(N102="DNF",1,IF(AND(ISNUMBER(N102),N102&gt;59),1,_xlfn.XLOOKUP(N102,tbl_points[Place],tbl_points[Points],""))))))</f>
        <v>0</v>
      </c>
      <c r="P102" s="3">
        <v>28</v>
      </c>
      <c r="Q102" s="3">
        <f>IF(P102="","",IF(P102="DNS",0,IF(P102="DQ",0,IF(P102="DNF",1,IF(AND(ISNUMBER(P102),P102&gt;59),1,_xlfn.XLOOKUP(P102,tbl_points[Place],tbl_points[Points],""))))))</f>
        <v>32</v>
      </c>
      <c r="S102" s="3" t="str">
        <f>IF(R102="","",IF(R102="DNS",0,IF(R102="DQ",0,IF(R102="DNF",1,IF(AND(ISNUMBER(R102),R102&gt;59),1,_xlfn.XLOOKUP(R102,tbl_points[Place],tbl_points[Points],""))))))</f>
        <v/>
      </c>
      <c r="T102" s="3">
        <f>SUM(tbl_individual[[#This Row],[R1 Pts]],tbl_individual[[#This Row],[R2 Pts]],tbl_individual[[#This Row],[R3 Pts]],tbl_individual[[#This Row],[R4 Pts]],tbl_individual[[#This Row],[R5 Pts]],tbl_individual[[#This Row],[R6 Pts]])</f>
        <v>32</v>
      </c>
      <c r="U10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2" s="3">
        <f>tbl_individual[[#This Row],[Total]]</f>
        <v>32</v>
      </c>
    </row>
    <row r="103" spans="1:22" hidden="1" x14ac:dyDescent="0.4">
      <c r="A103" t="s">
        <v>430</v>
      </c>
      <c r="B103" t="s">
        <v>15</v>
      </c>
      <c r="C103" t="s">
        <v>7</v>
      </c>
      <c r="D103" s="3">
        <v>840</v>
      </c>
      <c r="E103" s="3" t="s">
        <v>421</v>
      </c>
      <c r="F103" s="17" t="s">
        <v>438</v>
      </c>
      <c r="G103" s="3" t="s">
        <v>403</v>
      </c>
      <c r="H103" s="3" t="s">
        <v>410</v>
      </c>
      <c r="I103" s="3">
        <f>IF(H103="","",IF(H103="DNS",0,IF(H103="DQ",0,IF(H103="DNF",1,IF(AND(ISNUMBER(H103),H103&gt;59),1,_xlfn.XLOOKUP(H103,tbl_points[Place],tbl_points[Points],""))))))</f>
        <v>0</v>
      </c>
      <c r="J103" s="3">
        <v>39</v>
      </c>
      <c r="K103" s="3">
        <f>IF(J103="","",IF(J103="DNS",0,IF(J103="DQ",0,IF(J103="DNF",1,IF(AND(ISNUMBER(J103),J103&gt;59),1,_xlfn.XLOOKUP(J103,tbl_points[Place],tbl_points[Points],""))))))</f>
        <v>21</v>
      </c>
      <c r="L103" s="3" t="s">
        <v>410</v>
      </c>
      <c r="M103" s="3">
        <f>IF(L103="","",IF(L103="DNS",0,IF(L103="DQ",0,IF(L103="DNF",1,IF(AND(ISNUMBER(L103),L103&gt;59),1,_xlfn.XLOOKUP(L103,tbl_points[Place],tbl_points[Points],""))))))</f>
        <v>0</v>
      </c>
      <c r="N103" s="3" t="s">
        <v>410</v>
      </c>
      <c r="O103" s="3">
        <f>IF(N103="","",IF(N103="DNS",0,IF(N103="DQ",0,IF(N103="DNF",1,IF(AND(ISNUMBER(N103),N103&gt;59),1,_xlfn.XLOOKUP(N103,tbl_points[Place],tbl_points[Points],""))))))</f>
        <v>0</v>
      </c>
      <c r="P103" s="3">
        <v>35</v>
      </c>
      <c r="Q103" s="3">
        <f>IF(P103="","",IF(P103="DNS",0,IF(P103="DQ",0,IF(P103="DNF",1,IF(AND(ISNUMBER(P103),P103&gt;59),1,_xlfn.XLOOKUP(P103,tbl_points[Place],tbl_points[Points],""))))))</f>
        <v>25</v>
      </c>
      <c r="S103" s="3" t="str">
        <f>IF(R103="","",IF(R103="DNS",0,IF(R103="DQ",0,IF(R103="DNF",1,IF(AND(ISNUMBER(R103),R103&gt;59),1,_xlfn.XLOOKUP(R103,tbl_points[Place],tbl_points[Points],""))))))</f>
        <v/>
      </c>
      <c r="T103" s="3">
        <f>SUM(tbl_individual[[#This Row],[R1 Pts]],tbl_individual[[#This Row],[R2 Pts]],tbl_individual[[#This Row],[R3 Pts]],tbl_individual[[#This Row],[R4 Pts]],tbl_individual[[#This Row],[R5 Pts]],tbl_individual[[#This Row],[R6 Pts]])</f>
        <v>46</v>
      </c>
      <c r="U10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3" s="3">
        <f>tbl_individual[[#This Row],[Total]]</f>
        <v>46</v>
      </c>
    </row>
    <row r="104" spans="1:22" hidden="1" x14ac:dyDescent="0.4">
      <c r="A104" t="s">
        <v>404</v>
      </c>
      <c r="B104" t="s">
        <v>15</v>
      </c>
      <c r="C104" t="s">
        <v>7</v>
      </c>
      <c r="D104" s="3">
        <v>8009</v>
      </c>
      <c r="E104" s="3" t="s">
        <v>421</v>
      </c>
      <c r="F104" s="17" t="s">
        <v>432</v>
      </c>
      <c r="G104" s="3" t="s">
        <v>407</v>
      </c>
      <c r="H104" s="3">
        <v>9</v>
      </c>
      <c r="I104" s="3">
        <f>IF(H104="","",IF(H104="DNS",0,IF(H104="DQ",0,IF(H104="DNF",1,IF(AND(ISNUMBER(H104),H104&gt;59),1,_xlfn.XLOOKUP(H104,tbl_points[Place],tbl_points[Points],""))))))</f>
        <v>60</v>
      </c>
      <c r="J104" s="3" t="s">
        <v>447</v>
      </c>
      <c r="K104" s="3">
        <f>IF(J104="","",IF(J104="DNS",0,IF(J104="DQ",0,IF(J104="DNF",1,IF(AND(ISNUMBER(J104),J104&gt;59),1,_xlfn.XLOOKUP(J104,tbl_points[Place],tbl_points[Points],""))))))</f>
        <v>0</v>
      </c>
      <c r="L104" s="3" t="s">
        <v>410</v>
      </c>
      <c r="M104" s="3">
        <f>IF(L104="","",IF(L104="DNS",0,IF(L104="DQ",0,IF(L104="DNF",1,IF(AND(ISNUMBER(L104),L104&gt;59),1,_xlfn.XLOOKUP(L104,tbl_points[Place],tbl_points[Points],""))))))</f>
        <v>0</v>
      </c>
      <c r="N104" s="3" t="s">
        <v>410</v>
      </c>
      <c r="O104" s="3">
        <f>IF(N104="","",IF(N104="DNS",0,IF(N104="DQ",0,IF(N104="DNF",1,IF(AND(ISNUMBER(N104),N104&gt;59),1,_xlfn.XLOOKUP(N104,tbl_points[Place],tbl_points[Points],""))))))</f>
        <v>0</v>
      </c>
      <c r="P104" s="3" t="s">
        <v>410</v>
      </c>
      <c r="Q104" s="3">
        <f>IF(P104="","",IF(P104="DNS",0,IF(P104="DQ",0,IF(P104="DNF",1,IF(AND(ISNUMBER(P104),P104&gt;59),1,_xlfn.XLOOKUP(P104,tbl_points[Place],tbl_points[Points],""))))))</f>
        <v>0</v>
      </c>
      <c r="S104" s="3" t="str">
        <f>IF(R104="","",IF(R104="DNS",0,IF(R104="DQ",0,IF(R104="DNF",1,IF(AND(ISNUMBER(R104),R104&gt;59),1,_xlfn.XLOOKUP(R104,tbl_points[Place],tbl_points[Points],""))))))</f>
        <v/>
      </c>
      <c r="T104" s="3">
        <f>SUM(tbl_individual[[#This Row],[R1 Pts]],tbl_individual[[#This Row],[R2 Pts]],tbl_individual[[#This Row],[R3 Pts]],tbl_individual[[#This Row],[R4 Pts]],tbl_individual[[#This Row],[R5 Pts]],tbl_individual[[#This Row],[R6 Pts]])</f>
        <v>60</v>
      </c>
      <c r="U10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4" s="3">
        <f>tbl_individual[[#This Row],[Total]]</f>
        <v>60</v>
      </c>
    </row>
    <row r="105" spans="1:22" hidden="1" x14ac:dyDescent="0.4">
      <c r="A105" t="s">
        <v>141</v>
      </c>
      <c r="B105" t="s">
        <v>15</v>
      </c>
      <c r="C105" t="s">
        <v>7</v>
      </c>
      <c r="D105" s="3">
        <v>8197</v>
      </c>
      <c r="E105" s="3" t="s">
        <v>421</v>
      </c>
      <c r="G105" s="3" t="s">
        <v>403</v>
      </c>
      <c r="H105" s="3">
        <v>11</v>
      </c>
      <c r="I105" s="3">
        <f>IF(H105="","",IF(H105="DNS",0,IF(H105="DQ",0,IF(H105="DNF",1,IF(AND(ISNUMBER(H105),H105&gt;59),1,_xlfn.XLOOKUP(H105,tbl_points[Place],tbl_points[Points],""))))))</f>
        <v>53</v>
      </c>
      <c r="J105" s="3">
        <v>3</v>
      </c>
      <c r="K105" s="3">
        <f>IF(J105="","",IF(J105="DNS",0,IF(J105="DQ",0,IF(J105="DNF",1,IF(AND(ISNUMBER(J105),J105&gt;59),1,_xlfn.XLOOKUP(J105,tbl_points[Place],tbl_points[Points],""))))))</f>
        <v>90</v>
      </c>
      <c r="L105" s="3">
        <v>1</v>
      </c>
      <c r="M105" s="3">
        <f>IF(L105="","",IF(L105="DNS",0,IF(L105="DQ",0,IF(L105="DNF",1,IF(AND(ISNUMBER(L105),L105&gt;59),1,_xlfn.XLOOKUP(L105,tbl_points[Place],tbl_points[Points],""))))))</f>
        <v>100</v>
      </c>
      <c r="N105" s="3" t="s">
        <v>410</v>
      </c>
      <c r="O105" s="3">
        <f>IF(N105="","",IF(N105="DNS",0,IF(N105="DQ",0,IF(N105="DNF",1,IF(AND(ISNUMBER(N105),N105&gt;59),1,_xlfn.XLOOKUP(N105,tbl_points[Place],tbl_points[Points],""))))))</f>
        <v>0</v>
      </c>
      <c r="P105" s="3">
        <v>3</v>
      </c>
      <c r="Q105" s="3">
        <f>IF(P105="","",IF(P105="DNS",0,IF(P105="DQ",0,IF(P105="DNF",1,IF(AND(ISNUMBER(P105),P105&gt;59),1,_xlfn.XLOOKUP(P105,tbl_points[Place],tbl_points[Points],""))))))</f>
        <v>90</v>
      </c>
      <c r="S105" s="3" t="str">
        <f>IF(R105="","",IF(R105="DNS",0,IF(R105="DQ",0,IF(R105="DNF",1,IF(AND(ISNUMBER(R105),R105&gt;59),1,_xlfn.XLOOKUP(R105,tbl_points[Place],tbl_points[Points],""))))))</f>
        <v/>
      </c>
      <c r="T105" s="3">
        <f>SUM(tbl_individual[[#This Row],[R1 Pts]],tbl_individual[[#This Row],[R2 Pts]],tbl_individual[[#This Row],[R3 Pts]],tbl_individual[[#This Row],[R4 Pts]],tbl_individual[[#This Row],[R5 Pts]],tbl_individual[[#This Row],[R6 Pts]])</f>
        <v>333</v>
      </c>
      <c r="U10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5" s="3">
        <f>tbl_individual[[#This Row],[Total]]</f>
        <v>333</v>
      </c>
    </row>
    <row r="106" spans="1:22" hidden="1" x14ac:dyDescent="0.4">
      <c r="A106" t="s">
        <v>142</v>
      </c>
      <c r="B106" t="s">
        <v>15</v>
      </c>
      <c r="C106" t="s">
        <v>7</v>
      </c>
      <c r="D106" s="3">
        <v>8198</v>
      </c>
      <c r="E106" s="3" t="s">
        <v>421</v>
      </c>
      <c r="G106" s="3" t="s">
        <v>403</v>
      </c>
      <c r="H106" s="3">
        <v>3</v>
      </c>
      <c r="I106" s="3">
        <f>IF(H106="","",IF(H106="DNS",0,IF(H106="DQ",0,IF(H106="DNF",1,IF(AND(ISNUMBER(H106),H106&gt;59),1,_xlfn.XLOOKUP(H106,tbl_points[Place],tbl_points[Points],""))))))</f>
        <v>90</v>
      </c>
      <c r="J106" s="3">
        <v>19</v>
      </c>
      <c r="K106" s="3">
        <f>IF(J106="","",IF(J106="DNS",0,IF(J106="DQ",0,IF(J106="DNF",1,IF(AND(ISNUMBER(J106),J106&gt;59),1,_xlfn.XLOOKUP(J106,tbl_points[Place],tbl_points[Points],""))))))</f>
        <v>41</v>
      </c>
      <c r="L106" s="3">
        <v>2</v>
      </c>
      <c r="M106" s="3">
        <f>IF(L106="","",IF(L106="DNS",0,IF(L106="DQ",0,IF(L106="DNF",1,IF(AND(ISNUMBER(L106),L106&gt;59),1,_xlfn.XLOOKUP(L106,tbl_points[Place],tbl_points[Points],""))))))</f>
        <v>95</v>
      </c>
      <c r="N106" s="3" t="s">
        <v>410</v>
      </c>
      <c r="O106" s="3">
        <f>IF(N106="","",IF(N106="DNS",0,IF(N106="DQ",0,IF(N106="DNF",1,IF(AND(ISNUMBER(N106),N106&gt;59),1,_xlfn.XLOOKUP(N106,tbl_points[Place],tbl_points[Points],""))))))</f>
        <v>0</v>
      </c>
      <c r="P106" s="3">
        <v>14</v>
      </c>
      <c r="Q106" s="3">
        <f>IF(P106="","",IF(P106="DNS",0,IF(P106="DQ",0,IF(P106="DNF",1,IF(AND(ISNUMBER(P106),P106&gt;59),1,_xlfn.XLOOKUP(P106,tbl_points[Place],tbl_points[Points],""))))))</f>
        <v>47</v>
      </c>
      <c r="S106" s="3" t="str">
        <f>IF(R106="","",IF(R106="DNS",0,IF(R106="DQ",0,IF(R106="DNF",1,IF(AND(ISNUMBER(R106),R106&gt;59),1,_xlfn.XLOOKUP(R106,tbl_points[Place],tbl_points[Points],""))))))</f>
        <v/>
      </c>
      <c r="T106" s="3">
        <f>SUM(tbl_individual[[#This Row],[R1 Pts]],tbl_individual[[#This Row],[R2 Pts]],tbl_individual[[#This Row],[R3 Pts]],tbl_individual[[#This Row],[R4 Pts]],tbl_individual[[#This Row],[R5 Pts]],tbl_individual[[#This Row],[R6 Pts]])</f>
        <v>273</v>
      </c>
      <c r="U10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6" s="3">
        <f>tbl_individual[[#This Row],[Total]]</f>
        <v>273</v>
      </c>
    </row>
    <row r="107" spans="1:22" hidden="1" x14ac:dyDescent="0.4">
      <c r="A107" t="s">
        <v>419</v>
      </c>
      <c r="B107" t="s">
        <v>15</v>
      </c>
      <c r="C107" t="s">
        <v>7</v>
      </c>
      <c r="D107" s="3">
        <v>8199</v>
      </c>
      <c r="E107" s="3" t="s">
        <v>421</v>
      </c>
      <c r="G107" s="3" t="s">
        <v>407</v>
      </c>
      <c r="H107" s="3" t="s">
        <v>410</v>
      </c>
      <c r="I107" s="3">
        <f>IF(H107="","",IF(H107="DNS",0,IF(H107="DQ",0,IF(H107="DNF",1,IF(AND(ISNUMBER(H107),H107&gt;59),1,_xlfn.XLOOKUP(H107,tbl_points[Place],tbl_points[Points],""))))))</f>
        <v>0</v>
      </c>
      <c r="J107" s="3">
        <v>27</v>
      </c>
      <c r="K107" s="3">
        <f>IF(J107="","",IF(J107="DNS",0,IF(J107="DQ",0,IF(J107="DNF",1,IF(AND(ISNUMBER(J107),J107&gt;59),1,_xlfn.XLOOKUP(J107,tbl_points[Place],tbl_points[Points],""))))))</f>
        <v>33</v>
      </c>
      <c r="L107" s="3" t="s">
        <v>410</v>
      </c>
      <c r="M107" s="3">
        <f>IF(L107="","",IF(L107="DNS",0,IF(L107="DQ",0,IF(L107="DNF",1,IF(AND(ISNUMBER(L107),L107&gt;59),1,_xlfn.XLOOKUP(L107,tbl_points[Place],tbl_points[Points],""))))))</f>
        <v>0</v>
      </c>
      <c r="N107" s="3" t="s">
        <v>410</v>
      </c>
      <c r="O107" s="3">
        <f>IF(N107="","",IF(N107="DNS",0,IF(N107="DQ",0,IF(N107="DNF",1,IF(AND(ISNUMBER(N107),N107&gt;59),1,_xlfn.XLOOKUP(N107,tbl_points[Place],tbl_points[Points],""))))))</f>
        <v>0</v>
      </c>
      <c r="P107" s="3">
        <v>16</v>
      </c>
      <c r="Q107" s="3">
        <f>IF(P107="","",IF(P107="DNS",0,IF(P107="DQ",0,IF(P107="DNF",1,IF(AND(ISNUMBER(P107),P107&gt;59),1,_xlfn.XLOOKUP(P107,tbl_points[Place],tbl_points[Points],""))))))</f>
        <v>44</v>
      </c>
      <c r="S107" s="3" t="str">
        <f>IF(R107="","",IF(R107="DNS",0,IF(R107="DQ",0,IF(R107="DNF",1,IF(AND(ISNUMBER(R107),R107&gt;59),1,_xlfn.XLOOKUP(R107,tbl_points[Place],tbl_points[Points],""))))))</f>
        <v/>
      </c>
      <c r="T107" s="3">
        <f>SUM(tbl_individual[[#This Row],[R1 Pts]],tbl_individual[[#This Row],[R2 Pts]],tbl_individual[[#This Row],[R3 Pts]],tbl_individual[[#This Row],[R4 Pts]],tbl_individual[[#This Row],[R5 Pts]],tbl_individual[[#This Row],[R6 Pts]])</f>
        <v>77</v>
      </c>
      <c r="U10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7" s="3">
        <f>tbl_individual[[#This Row],[Total]]</f>
        <v>77</v>
      </c>
    </row>
    <row r="108" spans="1:22" hidden="1" x14ac:dyDescent="0.4">
      <c r="A108" s="11" t="s">
        <v>146</v>
      </c>
      <c r="B108" s="11" t="s">
        <v>15</v>
      </c>
      <c r="C108" s="11" t="s">
        <v>7</v>
      </c>
      <c r="E108" s="3" t="s">
        <v>422</v>
      </c>
      <c r="F108" s="17" t="s">
        <v>431</v>
      </c>
      <c r="I108" s="3" t="str">
        <f>IF(H108="","",IF(H108="DNS",0,IF(H108="DQ",0,IF(H108="DNF",1,IF(AND(ISNUMBER(H108),H108&gt;59),1,_xlfn.XLOOKUP(H108,tbl_points[Place],tbl_points[Points],""))))))</f>
        <v/>
      </c>
      <c r="K108" s="3" t="str">
        <f>IF(J108="","",IF(J108="DNS",0,IF(J108="DQ",0,IF(J108="DNF",1,IF(AND(ISNUMBER(J108),J108&gt;59),1,_xlfn.XLOOKUP(J108,tbl_points[Place],tbl_points[Points],""))))))</f>
        <v/>
      </c>
      <c r="M108" s="3" t="str">
        <f>IF(L108="","",IF(L108="DNS",0,IF(L108="DQ",0,IF(L108="DNF",1,IF(AND(ISNUMBER(L108),L108&gt;59),1,_xlfn.XLOOKUP(L108,tbl_points[Place],tbl_points[Points],""))))))</f>
        <v/>
      </c>
      <c r="O108" s="3" t="str">
        <f>IF(N108="","",IF(N108="DNS",0,IF(N108="DQ",0,IF(N108="DNF",1,IF(AND(ISNUMBER(N108),N108&gt;59),1,_xlfn.XLOOKUP(N108,tbl_points[Place],tbl_points[Points],""))))))</f>
        <v/>
      </c>
      <c r="Q108" s="3" t="str">
        <f>IF(P108="","",IF(P108="DNS",0,IF(P108="DQ",0,IF(P108="DNF",1,IF(AND(ISNUMBER(P108),P108&gt;59),1,_xlfn.XLOOKUP(P108,tbl_points[Place],tbl_points[Points],""))))))</f>
        <v/>
      </c>
      <c r="S108" s="3" t="str">
        <f>IF(R108="","",IF(R108="DNS",0,IF(R108="DQ",0,IF(R108="DNF",1,IF(AND(ISNUMBER(R108),R108&gt;59),1,_xlfn.XLOOKUP(R108,tbl_points[Place],tbl_points[Points],""))))))</f>
        <v/>
      </c>
      <c r="T108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10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8" s="3">
        <f>tbl_individual[[#This Row],[Total]]</f>
        <v>0</v>
      </c>
    </row>
    <row r="109" spans="1:22" hidden="1" x14ac:dyDescent="0.4">
      <c r="A109" t="s">
        <v>148</v>
      </c>
      <c r="B109" t="s">
        <v>15</v>
      </c>
      <c r="C109" t="s">
        <v>8</v>
      </c>
      <c r="D109" s="3">
        <v>854</v>
      </c>
      <c r="E109" s="3" t="s">
        <v>421</v>
      </c>
      <c r="F109" s="17" t="s">
        <v>425</v>
      </c>
      <c r="G109" s="3" t="s">
        <v>403</v>
      </c>
      <c r="H109" s="3">
        <v>6</v>
      </c>
      <c r="I109" s="3">
        <f>IF(H109="","",IF(H109="DNS",0,IF(H109="DQ",0,IF(H109="DNF",1,IF(AND(ISNUMBER(H109),H109&gt;59),1,_xlfn.XLOOKUP(H109,tbl_points[Place],tbl_points[Points],""))))))</f>
        <v>75</v>
      </c>
      <c r="J109" s="3" t="s">
        <v>410</v>
      </c>
      <c r="K109" s="3">
        <f>IF(J109="","",IF(J109="DNS",0,IF(J109="DQ",0,IF(J109="DNF",1,IF(AND(ISNUMBER(J109),J109&gt;59),1,_xlfn.XLOOKUP(J109,tbl_points[Place],tbl_points[Points],""))))))</f>
        <v>0</v>
      </c>
      <c r="L109" s="3">
        <v>7</v>
      </c>
      <c r="M109" s="3">
        <f>IF(L109="","",IF(L109="DNS",0,IF(L109="DQ",0,IF(L109="DNF",1,IF(AND(ISNUMBER(L109),L109&gt;59),1,_xlfn.XLOOKUP(L109,tbl_points[Place],tbl_points[Points],""))))))</f>
        <v>70</v>
      </c>
      <c r="N109" s="3" t="s">
        <v>410</v>
      </c>
      <c r="O109" s="3">
        <f>IF(N109="","",IF(N109="DNS",0,IF(N109="DQ",0,IF(N109="DNF",1,IF(AND(ISNUMBER(N109),N109&gt;59),1,_xlfn.XLOOKUP(N109,tbl_points[Place],tbl_points[Points],""))))))</f>
        <v>0</v>
      </c>
      <c r="P109" s="3">
        <v>9</v>
      </c>
      <c r="Q109" s="3">
        <f>IF(P109="","",IF(P109="DNS",0,IF(P109="DQ",0,IF(P109="DNF",1,IF(AND(ISNUMBER(P109),P109&gt;59),1,_xlfn.XLOOKUP(P109,tbl_points[Place],tbl_points[Points],""))))))</f>
        <v>60</v>
      </c>
      <c r="S109" s="3" t="str">
        <f>IF(R109="","",IF(R109="DNS",0,IF(R109="DQ",0,IF(R109="DNF",1,IF(AND(ISNUMBER(R109),R109&gt;59),1,_xlfn.XLOOKUP(R109,tbl_points[Place],tbl_points[Points],""))))))</f>
        <v/>
      </c>
      <c r="T109" s="3">
        <f>SUM(tbl_individual[[#This Row],[R1 Pts]],tbl_individual[[#This Row],[R2 Pts]],tbl_individual[[#This Row],[R3 Pts]],tbl_individual[[#This Row],[R4 Pts]],tbl_individual[[#This Row],[R5 Pts]],tbl_individual[[#This Row],[R6 Pts]])</f>
        <v>205</v>
      </c>
      <c r="U10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09" s="3">
        <f>tbl_individual[[#This Row],[Total]]</f>
        <v>205</v>
      </c>
    </row>
    <row r="110" spans="1:22" hidden="1" x14ac:dyDescent="0.4">
      <c r="A110" t="s">
        <v>147</v>
      </c>
      <c r="B110" t="s">
        <v>15</v>
      </c>
      <c r="C110" t="s">
        <v>8</v>
      </c>
      <c r="D110" s="3">
        <v>8250</v>
      </c>
      <c r="E110" s="3" t="s">
        <v>421</v>
      </c>
      <c r="G110" s="3" t="s">
        <v>403</v>
      </c>
      <c r="H110" s="3">
        <v>5</v>
      </c>
      <c r="I110" s="3">
        <f>IF(H110="","",IF(H110="DNS",0,IF(H110="DQ",0,IF(H110="DNF",1,IF(AND(ISNUMBER(H110),H110&gt;59),1,_xlfn.XLOOKUP(H110,tbl_points[Place],tbl_points[Points],""))))))</f>
        <v>80</v>
      </c>
      <c r="J110" s="3">
        <v>2</v>
      </c>
      <c r="K110" s="3">
        <f>IF(J110="","",IF(J110="DNS",0,IF(J110="DQ",0,IF(J110="DNF",1,IF(AND(ISNUMBER(J110),J110&gt;59),1,_xlfn.XLOOKUP(J110,tbl_points[Place],tbl_points[Points],""))))))</f>
        <v>95</v>
      </c>
      <c r="L110" s="3">
        <v>5</v>
      </c>
      <c r="M110" s="3">
        <f>IF(L110="","",IF(L110="DNS",0,IF(L110="DQ",0,IF(L110="DNF",1,IF(AND(ISNUMBER(L110),L110&gt;59),1,_xlfn.XLOOKUP(L110,tbl_points[Place],tbl_points[Points],""))))))</f>
        <v>80</v>
      </c>
      <c r="N110" s="3" t="s">
        <v>410</v>
      </c>
      <c r="O110" s="3">
        <f>IF(N110="","",IF(N110="DNS",0,IF(N110="DQ",0,IF(N110="DNF",1,IF(AND(ISNUMBER(N110),N110&gt;59),1,_xlfn.XLOOKUP(N110,tbl_points[Place],tbl_points[Points],""))))))</f>
        <v>0</v>
      </c>
      <c r="P110" s="3">
        <v>5</v>
      </c>
      <c r="Q110" s="3">
        <f>IF(P110="","",IF(P110="DNS",0,IF(P110="DQ",0,IF(P110="DNF",1,IF(AND(ISNUMBER(P110),P110&gt;59),1,_xlfn.XLOOKUP(P110,tbl_points[Place],tbl_points[Points],""))))))</f>
        <v>80</v>
      </c>
      <c r="S110" s="3" t="str">
        <f>IF(R110="","",IF(R110="DNS",0,IF(R110="DQ",0,IF(R110="DNF",1,IF(AND(ISNUMBER(R110),R110&gt;59),1,_xlfn.XLOOKUP(R110,tbl_points[Place],tbl_points[Points],""))))))</f>
        <v/>
      </c>
      <c r="T110" s="3">
        <f>SUM(tbl_individual[[#This Row],[R1 Pts]],tbl_individual[[#This Row],[R2 Pts]],tbl_individual[[#This Row],[R3 Pts]],tbl_individual[[#This Row],[R4 Pts]],tbl_individual[[#This Row],[R5 Pts]],tbl_individual[[#This Row],[R6 Pts]])</f>
        <v>335</v>
      </c>
      <c r="U11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10" s="3">
        <f>tbl_individual[[#This Row],[Total]]</f>
        <v>335</v>
      </c>
    </row>
    <row r="111" spans="1:22" x14ac:dyDescent="0.4">
      <c r="A111" t="s">
        <v>149</v>
      </c>
      <c r="B111" t="s">
        <v>15</v>
      </c>
      <c r="C111" t="s">
        <v>6</v>
      </c>
      <c r="D111" s="3">
        <v>9491</v>
      </c>
      <c r="E111" s="3" t="s">
        <v>421</v>
      </c>
      <c r="G111" s="3" t="s">
        <v>403</v>
      </c>
      <c r="H111" s="3">
        <v>8</v>
      </c>
      <c r="I111" s="3">
        <f>IF(H111="","",IF(H111="DNS",0,IF(H111="DQ",0,IF(H111="DNF",1,IF(AND(ISNUMBER(H111),H111&gt;59),1,_xlfn.XLOOKUP(H111,tbl_points[Place],tbl_points[Points],""))))))</f>
        <v>65</v>
      </c>
      <c r="J111" s="3">
        <v>14</v>
      </c>
      <c r="K111" s="3">
        <f>IF(J111="","",IF(J111="DNS",0,IF(J111="DQ",0,IF(J111="DNF",1,IF(AND(ISNUMBER(J111),J111&gt;59),1,_xlfn.XLOOKUP(J111,tbl_points[Place],tbl_points[Points],""))))))</f>
        <v>47</v>
      </c>
      <c r="L111" s="3">
        <v>7</v>
      </c>
      <c r="M111" s="3">
        <f>IF(L111="","",IF(L111="DNS",0,IF(L111="DQ",0,IF(L111="DNF",1,IF(AND(ISNUMBER(L111),L111&gt;59),1,_xlfn.XLOOKUP(L111,tbl_points[Place],tbl_points[Points],""))))))</f>
        <v>70</v>
      </c>
      <c r="N111" s="3" t="s">
        <v>1156</v>
      </c>
      <c r="O111" s="3" t="str">
        <f>IF(N111="","",IF(N111="DNS",0,IF(N111="DQ",0,IF(N111="DNF",1,IF(AND(ISNUMBER(N111),N111&gt;59),1,_xlfn.XLOOKUP(N111,tbl_points[Place],tbl_points[Points],""))))))</f>
        <v/>
      </c>
      <c r="P111" s="3">
        <v>10</v>
      </c>
      <c r="Q111" s="3">
        <f>IF(P111="","",IF(P111="DNS",0,IF(P111="DQ",0,IF(P111="DNF",1,IF(AND(ISNUMBER(P111),P111&gt;59),1,_xlfn.XLOOKUP(P111,tbl_points[Place],tbl_points[Points],""))))))</f>
        <v>55</v>
      </c>
      <c r="S111" s="3" t="str">
        <f>IF(R111="","",IF(R111="DNS",0,IF(R111="DQ",0,IF(R111="DNF",1,IF(AND(ISNUMBER(R111),R111&gt;59),1,_xlfn.XLOOKUP(R111,tbl_points[Place],tbl_points[Points],""))))))</f>
        <v/>
      </c>
      <c r="T111" s="3">
        <f>SUM(tbl_individual[[#This Row],[R1 Pts]],tbl_individual[[#This Row],[R2 Pts]],tbl_individual[[#This Row],[R3 Pts]],tbl_individual[[#This Row],[R4 Pts]],tbl_individual[[#This Row],[R5 Pts]],tbl_individual[[#This Row],[R6 Pts]])</f>
        <v>237</v>
      </c>
      <c r="U111" s="3">
        <f>MIN(tbl_individual[[#This Row],[R1 Pts]],tbl_individual[[#This Row],[R2 Pts]],tbl_individual[[#This Row],[R3 Pts]],tbl_individual[[#This Row],[R4 Pts]],tbl_individual[[#This Row],[R5 Pts]],tbl_individual[[#This Row],[R6 Pts]])</f>
        <v>47</v>
      </c>
      <c r="V111" s="3">
        <f>tbl_individual[[#This Row],[Total]]</f>
        <v>237</v>
      </c>
    </row>
    <row r="112" spans="1:22" hidden="1" x14ac:dyDescent="0.4">
      <c r="A112" t="s">
        <v>150</v>
      </c>
      <c r="B112" t="s">
        <v>15</v>
      </c>
      <c r="C112" t="s">
        <v>3</v>
      </c>
      <c r="D112" s="3">
        <v>10160</v>
      </c>
      <c r="E112" s="3" t="s">
        <v>421</v>
      </c>
      <c r="G112" s="3" t="s">
        <v>403</v>
      </c>
      <c r="H112" s="3" t="s">
        <v>409</v>
      </c>
      <c r="I112" s="3">
        <f>IF(H112="","",IF(H112="DNS",0,IF(H112="DQ",0,IF(H112="DNF",1,IF(AND(ISNUMBER(H112),H112&gt;59),1,_xlfn.XLOOKUP(H112,tbl_points[Place],tbl_points[Points],""))))))</f>
        <v>1</v>
      </c>
      <c r="J112" s="3" t="s">
        <v>410</v>
      </c>
      <c r="K112" s="3">
        <f>IF(J112="","",IF(J112="DNS",0,IF(J112="DQ",0,IF(J112="DNF",1,IF(AND(ISNUMBER(J112),J112&gt;59),1,_xlfn.XLOOKUP(J112,tbl_points[Place],tbl_points[Points],""))))))</f>
        <v>0</v>
      </c>
      <c r="L112" s="3" t="s">
        <v>410</v>
      </c>
      <c r="M112" s="3">
        <f>IF(L112="","",IF(L112="DNS",0,IF(L112="DQ",0,IF(L112="DNF",1,IF(AND(ISNUMBER(L112),L112&gt;59),1,_xlfn.XLOOKUP(L112,tbl_points[Place],tbl_points[Points],""))))))</f>
        <v>0</v>
      </c>
      <c r="N112" s="3" t="s">
        <v>410</v>
      </c>
      <c r="O112" s="3">
        <f>IF(N112="","",IF(N112="DNS",0,IF(N112="DQ",0,IF(N112="DNF",1,IF(AND(ISNUMBER(N112),N112&gt;59),1,_xlfn.XLOOKUP(N112,tbl_points[Place],tbl_points[Points],""))))))</f>
        <v>0</v>
      </c>
      <c r="P112" s="3" t="s">
        <v>410</v>
      </c>
      <c r="Q112" s="3">
        <f>IF(P112="","",IF(P112="DNS",0,IF(P112="DQ",0,IF(P112="DNF",1,IF(AND(ISNUMBER(P112),P112&gt;59),1,_xlfn.XLOOKUP(P112,tbl_points[Place],tbl_points[Points],""))))))</f>
        <v>0</v>
      </c>
      <c r="S112" s="3" t="str">
        <f>IF(R112="","",IF(R112="DNS",0,IF(R112="DQ",0,IF(R112="DNF",1,IF(AND(ISNUMBER(R112),R112&gt;59),1,_xlfn.XLOOKUP(R112,tbl_points[Place],tbl_points[Points],""))))))</f>
        <v/>
      </c>
      <c r="T112" s="3">
        <f>SUM(tbl_individual[[#This Row],[R1 Pts]],tbl_individual[[#This Row],[R2 Pts]],tbl_individual[[#This Row],[R3 Pts]],tbl_individual[[#This Row],[R4 Pts]],tbl_individual[[#This Row],[R5 Pts]],tbl_individual[[#This Row],[R6 Pts]])</f>
        <v>1</v>
      </c>
      <c r="U11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12" s="3">
        <f>tbl_individual[[#This Row],[Total]]</f>
        <v>1</v>
      </c>
    </row>
    <row r="113" spans="1:22" hidden="1" x14ac:dyDescent="0.4">
      <c r="A113" t="s">
        <v>151</v>
      </c>
      <c r="B113" t="s">
        <v>15</v>
      </c>
      <c r="C113" t="s">
        <v>1</v>
      </c>
      <c r="D113" s="3">
        <v>12032</v>
      </c>
      <c r="E113" s="3" t="s">
        <v>421</v>
      </c>
      <c r="G113" s="3" t="s">
        <v>407</v>
      </c>
      <c r="H113" s="3" t="s">
        <v>409</v>
      </c>
      <c r="I113" s="3">
        <f>IF(H113="","",IF(H113="DNS",0,IF(H113="DQ",0,IF(H113="DNF",1,IF(AND(ISNUMBER(H113),H113&gt;59),1,_xlfn.XLOOKUP(H113,tbl_points[Place],tbl_points[Points],""))))))</f>
        <v>1</v>
      </c>
      <c r="J113" s="3" t="s">
        <v>410</v>
      </c>
      <c r="K113" s="3">
        <f>IF(J113="","",IF(J113="DNS",0,IF(J113="DQ",0,IF(J113="DNF",1,IF(AND(ISNUMBER(J113),J113&gt;59),1,_xlfn.XLOOKUP(J113,tbl_points[Place],tbl_points[Points],""))))))</f>
        <v>0</v>
      </c>
      <c r="L113" s="3" t="s">
        <v>410</v>
      </c>
      <c r="M113" s="3">
        <f>IF(L113="","",IF(L113="DNS",0,IF(L113="DQ",0,IF(L113="DNF",1,IF(AND(ISNUMBER(L113),L113&gt;59),1,_xlfn.XLOOKUP(L113,tbl_points[Place],tbl_points[Points],""))))))</f>
        <v>0</v>
      </c>
      <c r="N113" s="3" t="s">
        <v>410</v>
      </c>
      <c r="O113" s="3">
        <f>IF(N113="","",IF(N113="DNS",0,IF(N113="DQ",0,IF(N113="DNF",1,IF(AND(ISNUMBER(N113),N113&gt;59),1,_xlfn.XLOOKUP(N113,tbl_points[Place],tbl_points[Points],""))))))</f>
        <v>0</v>
      </c>
      <c r="P113" s="3" t="s">
        <v>410</v>
      </c>
      <c r="Q113" s="3">
        <f>IF(P113="","",IF(P113="DNS",0,IF(P113="DQ",0,IF(P113="DNF",1,IF(AND(ISNUMBER(P113),P113&gt;59),1,_xlfn.XLOOKUP(P113,tbl_points[Place],tbl_points[Points],""))))))</f>
        <v>0</v>
      </c>
      <c r="S113" s="3" t="str">
        <f>IF(R113="","",IF(R113="DNS",0,IF(R113="DQ",0,IF(R113="DNF",1,IF(AND(ISNUMBER(R113),R113&gt;59),1,_xlfn.XLOOKUP(R113,tbl_points[Place],tbl_points[Points],""))))))</f>
        <v/>
      </c>
      <c r="T113" s="3">
        <f>SUM(tbl_individual[[#This Row],[R1 Pts]],tbl_individual[[#This Row],[R2 Pts]],tbl_individual[[#This Row],[R3 Pts]],tbl_individual[[#This Row],[R4 Pts]],tbl_individual[[#This Row],[R5 Pts]],tbl_individual[[#This Row],[R6 Pts]])</f>
        <v>1</v>
      </c>
      <c r="U11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13" s="3">
        <f>tbl_individual[[#This Row],[Total]]</f>
        <v>1</v>
      </c>
    </row>
    <row r="114" spans="1:22" hidden="1" x14ac:dyDescent="0.4">
      <c r="A114" t="s">
        <v>152</v>
      </c>
      <c r="B114" t="s">
        <v>15</v>
      </c>
      <c r="C114" t="s">
        <v>1</v>
      </c>
      <c r="D114" s="3">
        <v>12033</v>
      </c>
      <c r="E114" s="3" t="s">
        <v>421</v>
      </c>
      <c r="G114" s="3" t="s">
        <v>407</v>
      </c>
      <c r="H114" s="3">
        <v>5</v>
      </c>
      <c r="I114" s="3">
        <f>IF(H114="","",IF(H114="DNS",0,IF(H114="DQ",0,IF(H114="DNF",1,IF(AND(ISNUMBER(H114),H114&gt;59),1,_xlfn.XLOOKUP(H114,tbl_points[Place],tbl_points[Points],""))))))</f>
        <v>80</v>
      </c>
      <c r="J114" s="3" t="s">
        <v>410</v>
      </c>
      <c r="K114" s="3">
        <f>IF(J114="","",IF(J114="DNS",0,IF(J114="DQ",0,IF(J114="DNF",1,IF(AND(ISNUMBER(J114),J114&gt;59),1,_xlfn.XLOOKUP(J114,tbl_points[Place],tbl_points[Points],""))))))</f>
        <v>0</v>
      </c>
      <c r="L114" s="3" t="s">
        <v>410</v>
      </c>
      <c r="M114" s="3">
        <f>IF(L114="","",IF(L114="DNS",0,IF(L114="DQ",0,IF(L114="DNF",1,IF(AND(ISNUMBER(L114),L114&gt;59),1,_xlfn.XLOOKUP(L114,tbl_points[Place],tbl_points[Points],""))))))</f>
        <v>0</v>
      </c>
      <c r="N114" s="3" t="s">
        <v>410</v>
      </c>
      <c r="O114" s="3">
        <f>IF(N114="","",IF(N114="DNS",0,IF(N114="DQ",0,IF(N114="DNF",1,IF(AND(ISNUMBER(N114),N114&gt;59),1,_xlfn.XLOOKUP(N114,tbl_points[Place],tbl_points[Points],""))))))</f>
        <v>0</v>
      </c>
      <c r="P114" s="3" t="s">
        <v>410</v>
      </c>
      <c r="Q114" s="3">
        <f>IF(P114="","",IF(P114="DNS",0,IF(P114="DQ",0,IF(P114="DNF",1,IF(AND(ISNUMBER(P114),P114&gt;59),1,_xlfn.XLOOKUP(P114,tbl_points[Place],tbl_points[Points],""))))))</f>
        <v>0</v>
      </c>
      <c r="S114" s="3" t="str">
        <f>IF(R114="","",IF(R114="DNS",0,IF(R114="DQ",0,IF(R114="DNF",1,IF(AND(ISNUMBER(R114),R114&gt;59),1,_xlfn.XLOOKUP(R114,tbl_points[Place],tbl_points[Points],""))))))</f>
        <v/>
      </c>
      <c r="T114" s="3">
        <f>SUM(tbl_individual[[#This Row],[R1 Pts]],tbl_individual[[#This Row],[R2 Pts]],tbl_individual[[#This Row],[R3 Pts]],tbl_individual[[#This Row],[R4 Pts]],tbl_individual[[#This Row],[R5 Pts]],tbl_individual[[#This Row],[R6 Pts]])</f>
        <v>80</v>
      </c>
      <c r="U11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14" s="3">
        <f>tbl_individual[[#This Row],[Total]]</f>
        <v>80</v>
      </c>
    </row>
    <row r="115" spans="1:22" hidden="1" x14ac:dyDescent="0.4">
      <c r="A115" t="s">
        <v>153</v>
      </c>
      <c r="B115" t="s">
        <v>16</v>
      </c>
      <c r="C115" t="s">
        <v>7</v>
      </c>
      <c r="D115" s="3">
        <v>803</v>
      </c>
      <c r="E115" s="3" t="s">
        <v>421</v>
      </c>
      <c r="G115" s="3" t="s">
        <v>403</v>
      </c>
      <c r="H115" s="3" t="s">
        <v>410</v>
      </c>
      <c r="I115" s="3">
        <f>IF(H115="","",IF(H115="DNS",0,IF(H115="DQ",0,IF(H115="DNF",1,IF(AND(ISNUMBER(H115),H115&gt;59),1,_xlfn.XLOOKUP(H115,tbl_points[Place],tbl_points[Points],""))))))</f>
        <v>0</v>
      </c>
      <c r="J115" s="3">
        <v>31</v>
      </c>
      <c r="K115" s="3">
        <f>IF(J115="","",IF(J115="DNS",0,IF(J115="DQ",0,IF(J115="DNF",1,IF(AND(ISNUMBER(J115),J115&gt;59),1,_xlfn.XLOOKUP(J115,tbl_points[Place],tbl_points[Points],""))))))</f>
        <v>29</v>
      </c>
      <c r="L115" s="3">
        <v>22</v>
      </c>
      <c r="M115" s="3">
        <f>IF(L115="","",IF(L115="DNS",0,IF(L115="DQ",0,IF(L115="DNF",1,IF(AND(ISNUMBER(L115),L115&gt;59),1,_xlfn.XLOOKUP(L115,tbl_points[Place],tbl_points[Points],""))))))</f>
        <v>38</v>
      </c>
      <c r="N115" s="3" t="s">
        <v>410</v>
      </c>
      <c r="O115" s="3">
        <f>IF(N115="","",IF(N115="DNS",0,IF(N115="DQ",0,IF(N115="DNF",1,IF(AND(ISNUMBER(N115),N115&gt;59),1,_xlfn.XLOOKUP(N115,tbl_points[Place],tbl_points[Points],""))))))</f>
        <v>0</v>
      </c>
      <c r="P115" s="3">
        <v>24</v>
      </c>
      <c r="Q115" s="3">
        <f>IF(P115="","",IF(P115="DNS",0,IF(P115="DQ",0,IF(P115="DNF",1,IF(AND(ISNUMBER(P115),P115&gt;59),1,_xlfn.XLOOKUP(P115,tbl_points[Place],tbl_points[Points],""))))))</f>
        <v>36</v>
      </c>
      <c r="S115" s="3" t="str">
        <f>IF(R115="","",IF(R115="DNS",0,IF(R115="DQ",0,IF(R115="DNF",1,IF(AND(ISNUMBER(R115),R115&gt;59),1,_xlfn.XLOOKUP(R115,tbl_points[Place],tbl_points[Points],""))))))</f>
        <v/>
      </c>
      <c r="T115" s="3">
        <f>SUM(tbl_individual[[#This Row],[R1 Pts]],tbl_individual[[#This Row],[R2 Pts]],tbl_individual[[#This Row],[R3 Pts]],tbl_individual[[#This Row],[R4 Pts]],tbl_individual[[#This Row],[R5 Pts]],tbl_individual[[#This Row],[R6 Pts]])</f>
        <v>103</v>
      </c>
      <c r="U11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15" s="3">
        <f>tbl_individual[[#This Row],[Total]]</f>
        <v>103</v>
      </c>
    </row>
    <row r="116" spans="1:22" hidden="1" x14ac:dyDescent="0.4">
      <c r="A116" t="s">
        <v>154</v>
      </c>
      <c r="B116" t="s">
        <v>16</v>
      </c>
      <c r="C116" t="s">
        <v>7</v>
      </c>
      <c r="D116" s="3">
        <v>804</v>
      </c>
      <c r="E116" s="3" t="s">
        <v>421</v>
      </c>
      <c r="G116" s="3" t="s">
        <v>403</v>
      </c>
      <c r="H116" s="3">
        <v>8</v>
      </c>
      <c r="I116" s="3">
        <f>IF(H116="","",IF(H116="DNS",0,IF(H116="DQ",0,IF(H116="DNF",1,IF(AND(ISNUMBER(H116),H116&gt;59),1,_xlfn.XLOOKUP(H116,tbl_points[Place],tbl_points[Points],""))))))</f>
        <v>65</v>
      </c>
      <c r="J116" s="3">
        <v>5</v>
      </c>
      <c r="K116" s="3">
        <f>IF(J116="","",IF(J116="DNS",0,IF(J116="DQ",0,IF(J116="DNF",1,IF(AND(ISNUMBER(J116),J116&gt;59),1,_xlfn.XLOOKUP(J116,tbl_points[Place],tbl_points[Points],""))))))</f>
        <v>80</v>
      </c>
      <c r="L116" s="3">
        <v>16</v>
      </c>
      <c r="M116" s="3">
        <f>IF(L116="","",IF(L116="DNS",0,IF(L116="DQ",0,IF(L116="DNF",1,IF(AND(ISNUMBER(L116),L116&gt;59),1,_xlfn.XLOOKUP(L116,tbl_points[Place],tbl_points[Points],""))))))</f>
        <v>44</v>
      </c>
      <c r="N116" s="3" t="s">
        <v>410</v>
      </c>
      <c r="O116" s="3">
        <f>IF(N116="","",IF(N116="DNS",0,IF(N116="DQ",0,IF(N116="DNF",1,IF(AND(ISNUMBER(N116),N116&gt;59),1,_xlfn.XLOOKUP(N116,tbl_points[Place],tbl_points[Points],""))))))</f>
        <v>0</v>
      </c>
      <c r="P116" s="3">
        <v>6</v>
      </c>
      <c r="Q116" s="3">
        <f>IF(P116="","",IF(P116="DNS",0,IF(P116="DQ",0,IF(P116="DNF",1,IF(AND(ISNUMBER(P116),P116&gt;59),1,_xlfn.XLOOKUP(P116,tbl_points[Place],tbl_points[Points],""))))))</f>
        <v>75</v>
      </c>
      <c r="S116" s="3" t="str">
        <f>IF(R116="","",IF(R116="DNS",0,IF(R116="DQ",0,IF(R116="DNF",1,IF(AND(ISNUMBER(R116),R116&gt;59),1,_xlfn.XLOOKUP(R116,tbl_points[Place],tbl_points[Points],""))))))</f>
        <v/>
      </c>
      <c r="T116" s="3">
        <f>SUM(tbl_individual[[#This Row],[R1 Pts]],tbl_individual[[#This Row],[R2 Pts]],tbl_individual[[#This Row],[R3 Pts]],tbl_individual[[#This Row],[R4 Pts]],tbl_individual[[#This Row],[R5 Pts]],tbl_individual[[#This Row],[R6 Pts]])</f>
        <v>264</v>
      </c>
      <c r="U11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16" s="3">
        <f>tbl_individual[[#This Row],[Total]]</f>
        <v>264</v>
      </c>
    </row>
    <row r="117" spans="1:22" hidden="1" x14ac:dyDescent="0.4">
      <c r="A117" t="s">
        <v>155</v>
      </c>
      <c r="B117" t="s">
        <v>16</v>
      </c>
      <c r="C117" t="s">
        <v>5</v>
      </c>
      <c r="D117" s="3">
        <v>914</v>
      </c>
      <c r="E117" s="3" t="s">
        <v>421</v>
      </c>
      <c r="G117" s="3" t="s">
        <v>403</v>
      </c>
      <c r="H117" s="3">
        <v>26</v>
      </c>
      <c r="I117" s="3">
        <f>IF(H117="","",IF(H117="DNS",0,IF(H117="DQ",0,IF(H117="DNF",1,IF(AND(ISNUMBER(H117),H117&gt;59),1,_xlfn.XLOOKUP(H117,tbl_points[Place],tbl_points[Points],""))))))</f>
        <v>34</v>
      </c>
      <c r="J117" s="3">
        <v>18</v>
      </c>
      <c r="K117" s="3">
        <f>IF(J117="","",IF(J117="DNS",0,IF(J117="DQ",0,IF(J117="DNF",1,IF(AND(ISNUMBER(J117),J117&gt;59),1,_xlfn.XLOOKUP(J117,tbl_points[Place],tbl_points[Points],""))))))</f>
        <v>42</v>
      </c>
      <c r="L117" s="3">
        <v>16</v>
      </c>
      <c r="M117" s="3">
        <f>IF(L117="","",IF(L117="DNS",0,IF(L117="DQ",0,IF(L117="DNF",1,IF(AND(ISNUMBER(L117),L117&gt;59),1,_xlfn.XLOOKUP(L117,tbl_points[Place],tbl_points[Points],""))))))</f>
        <v>44</v>
      </c>
      <c r="N117" s="3">
        <v>19</v>
      </c>
      <c r="O117" s="3">
        <f>IF(N117="","",IF(N117="DNS",0,IF(N117="DQ",0,IF(N117="DNF",1,IF(AND(ISNUMBER(N117),N117&gt;59),1,_xlfn.XLOOKUP(N117,tbl_points[Place],tbl_points[Points],""))))))</f>
        <v>41</v>
      </c>
      <c r="P117" s="3">
        <v>16</v>
      </c>
      <c r="Q117" s="3">
        <f>IF(P117="","",IF(P117="DNS",0,IF(P117="DQ",0,IF(P117="DNF",1,IF(AND(ISNUMBER(P117),P117&gt;59),1,_xlfn.XLOOKUP(P117,tbl_points[Place],tbl_points[Points],""))))))</f>
        <v>44</v>
      </c>
      <c r="S117" s="3" t="str">
        <f>IF(R117="","",IF(R117="DNS",0,IF(R117="DQ",0,IF(R117="DNF",1,IF(AND(ISNUMBER(R117),R117&gt;59),1,_xlfn.XLOOKUP(R117,tbl_points[Place],tbl_points[Points],""))))))</f>
        <v/>
      </c>
      <c r="T117" s="3">
        <f>SUM(tbl_individual[[#This Row],[R1 Pts]],tbl_individual[[#This Row],[R2 Pts]],tbl_individual[[#This Row],[R3 Pts]],tbl_individual[[#This Row],[R4 Pts]],tbl_individual[[#This Row],[R5 Pts]],tbl_individual[[#This Row],[R6 Pts]])</f>
        <v>205</v>
      </c>
      <c r="U117" s="3">
        <f>MIN(tbl_individual[[#This Row],[R1 Pts]],tbl_individual[[#This Row],[R2 Pts]],tbl_individual[[#This Row],[R3 Pts]],tbl_individual[[#This Row],[R4 Pts]],tbl_individual[[#This Row],[R5 Pts]],tbl_individual[[#This Row],[R6 Pts]])</f>
        <v>34</v>
      </c>
      <c r="V117" s="3">
        <f>tbl_individual[[#This Row],[Total]]</f>
        <v>205</v>
      </c>
    </row>
    <row r="118" spans="1:22" hidden="1" x14ac:dyDescent="0.4">
      <c r="A118" t="s">
        <v>156</v>
      </c>
      <c r="B118" t="s">
        <v>16</v>
      </c>
      <c r="C118" t="s">
        <v>5</v>
      </c>
      <c r="D118" s="3">
        <v>915</v>
      </c>
      <c r="E118" s="3" t="s">
        <v>421</v>
      </c>
      <c r="F118" s="17" t="s">
        <v>425</v>
      </c>
      <c r="G118" s="3" t="s">
        <v>403</v>
      </c>
      <c r="H118" s="3">
        <v>32</v>
      </c>
      <c r="I118" s="3">
        <f>IF(H118="","",IF(H118="DNS",0,IF(H118="DQ",0,IF(H118="DNF",1,IF(AND(ISNUMBER(H118),H118&gt;59),1,_xlfn.XLOOKUP(H118,tbl_points[Place],tbl_points[Points],""))))))</f>
        <v>28</v>
      </c>
      <c r="J118" s="3">
        <v>33</v>
      </c>
      <c r="K118" s="3">
        <f>IF(J118="","",IF(J118="DNS",0,IF(J118="DQ",0,IF(J118="DNF",1,IF(AND(ISNUMBER(J118),J118&gt;59),1,_xlfn.XLOOKUP(J118,tbl_points[Place],tbl_points[Points],""))))))</f>
        <v>27</v>
      </c>
      <c r="L118" s="3">
        <v>17</v>
      </c>
      <c r="M118" s="3">
        <f>IF(L118="","",IF(L118="DNS",0,IF(L118="DQ",0,IF(L118="DNF",1,IF(AND(ISNUMBER(L118),L118&gt;59),1,_xlfn.XLOOKUP(L118,tbl_points[Place],tbl_points[Points],""))))))</f>
        <v>43</v>
      </c>
      <c r="N118" s="3">
        <v>25</v>
      </c>
      <c r="O118" s="3">
        <f>IF(N118="","",IF(N118="DNS",0,IF(N118="DQ",0,IF(N118="DNF",1,IF(AND(ISNUMBER(N118),N118&gt;59),1,_xlfn.XLOOKUP(N118,tbl_points[Place],tbl_points[Points],""))))))</f>
        <v>35</v>
      </c>
      <c r="P118" s="3">
        <v>28</v>
      </c>
      <c r="Q118" s="3">
        <f>IF(P118="","",IF(P118="DNS",0,IF(P118="DQ",0,IF(P118="DNF",1,IF(AND(ISNUMBER(P118),P118&gt;59),1,_xlfn.XLOOKUP(P118,tbl_points[Place],tbl_points[Points],""))))))</f>
        <v>32</v>
      </c>
      <c r="S118" s="3" t="str">
        <f>IF(R118="","",IF(R118="DNS",0,IF(R118="DQ",0,IF(R118="DNF",1,IF(AND(ISNUMBER(R118),R118&gt;59),1,_xlfn.XLOOKUP(R118,tbl_points[Place],tbl_points[Points],""))))))</f>
        <v/>
      </c>
      <c r="T118" s="3">
        <f>SUM(tbl_individual[[#This Row],[R1 Pts]],tbl_individual[[#This Row],[R2 Pts]],tbl_individual[[#This Row],[R3 Pts]],tbl_individual[[#This Row],[R4 Pts]],tbl_individual[[#This Row],[R5 Pts]],tbl_individual[[#This Row],[R6 Pts]])</f>
        <v>165</v>
      </c>
      <c r="U118" s="3">
        <f>MIN(tbl_individual[[#This Row],[R1 Pts]],tbl_individual[[#This Row],[R2 Pts]],tbl_individual[[#This Row],[R3 Pts]],tbl_individual[[#This Row],[R4 Pts]],tbl_individual[[#This Row],[R5 Pts]],tbl_individual[[#This Row],[R6 Pts]])</f>
        <v>27</v>
      </c>
      <c r="V118" s="3">
        <f>tbl_individual[[#This Row],[Total]]</f>
        <v>165</v>
      </c>
    </row>
    <row r="119" spans="1:22" hidden="1" x14ac:dyDescent="0.4">
      <c r="A119" t="s">
        <v>157</v>
      </c>
      <c r="B119" t="s">
        <v>16</v>
      </c>
      <c r="C119" t="s">
        <v>5</v>
      </c>
      <c r="D119" s="3">
        <v>916</v>
      </c>
      <c r="E119" s="3" t="s">
        <v>421</v>
      </c>
      <c r="G119" s="3" t="s">
        <v>403</v>
      </c>
      <c r="H119" s="3">
        <v>20</v>
      </c>
      <c r="I119" s="3">
        <f>IF(H119="","",IF(H119="DNS",0,IF(H119="DQ",0,IF(H119="DNF",1,IF(AND(ISNUMBER(H119),H119&gt;59),1,_xlfn.XLOOKUP(H119,tbl_points[Place],tbl_points[Points],""))))))</f>
        <v>40</v>
      </c>
      <c r="J119" s="3">
        <v>8</v>
      </c>
      <c r="K119" s="3">
        <f>IF(J119="","",IF(J119="DNS",0,IF(J119="DQ",0,IF(J119="DNF",1,IF(AND(ISNUMBER(J119),J119&gt;59),1,_xlfn.XLOOKUP(J119,tbl_points[Place],tbl_points[Points],""))))))</f>
        <v>65</v>
      </c>
      <c r="L119" s="3">
        <v>12</v>
      </c>
      <c r="M119" s="3">
        <f>IF(L119="","",IF(L119="DNS",0,IF(L119="DQ",0,IF(L119="DNF",1,IF(AND(ISNUMBER(L119),L119&gt;59),1,_xlfn.XLOOKUP(L119,tbl_points[Place],tbl_points[Points],""))))))</f>
        <v>51</v>
      </c>
      <c r="N119" s="3">
        <v>7</v>
      </c>
      <c r="O119" s="3">
        <f>IF(N119="","",IF(N119="DNS",0,IF(N119="DQ",0,IF(N119="DNF",1,IF(AND(ISNUMBER(N119),N119&gt;59),1,_xlfn.XLOOKUP(N119,tbl_points[Place],tbl_points[Points],""))))))</f>
        <v>70</v>
      </c>
      <c r="P119" s="3">
        <v>11</v>
      </c>
      <c r="Q119" s="3">
        <f>IF(P119="","",IF(P119="DNS",0,IF(P119="DQ",0,IF(P119="DNF",1,IF(AND(ISNUMBER(P119),P119&gt;59),1,_xlfn.XLOOKUP(P119,tbl_points[Place],tbl_points[Points],""))))))</f>
        <v>53</v>
      </c>
      <c r="S119" s="3" t="str">
        <f>IF(R119="","",IF(R119="DNS",0,IF(R119="DQ",0,IF(R119="DNF",1,IF(AND(ISNUMBER(R119),R119&gt;59),1,_xlfn.XLOOKUP(R119,tbl_points[Place],tbl_points[Points],""))))))</f>
        <v/>
      </c>
      <c r="T119" s="3">
        <f>SUM(tbl_individual[[#This Row],[R1 Pts]],tbl_individual[[#This Row],[R2 Pts]],tbl_individual[[#This Row],[R3 Pts]],tbl_individual[[#This Row],[R4 Pts]],tbl_individual[[#This Row],[R5 Pts]],tbl_individual[[#This Row],[R6 Pts]])</f>
        <v>279</v>
      </c>
      <c r="U119" s="3">
        <f>MIN(tbl_individual[[#This Row],[R1 Pts]],tbl_individual[[#This Row],[R2 Pts]],tbl_individual[[#This Row],[R3 Pts]],tbl_individual[[#This Row],[R4 Pts]],tbl_individual[[#This Row],[R5 Pts]],tbl_individual[[#This Row],[R6 Pts]])</f>
        <v>40</v>
      </c>
      <c r="V119" s="3">
        <f>tbl_individual[[#This Row],[Total]]</f>
        <v>279</v>
      </c>
    </row>
    <row r="120" spans="1:22" hidden="1" x14ac:dyDescent="0.4">
      <c r="A120" t="s">
        <v>158</v>
      </c>
      <c r="B120" t="s">
        <v>16</v>
      </c>
      <c r="C120" t="s">
        <v>5</v>
      </c>
      <c r="D120" s="3">
        <v>917</v>
      </c>
      <c r="E120" s="3" t="s">
        <v>421</v>
      </c>
      <c r="G120" s="3" t="s">
        <v>403</v>
      </c>
      <c r="H120" s="3">
        <v>4</v>
      </c>
      <c r="I120" s="3">
        <f>IF(H120="","",IF(H120="DNS",0,IF(H120="DQ",0,IF(H120="DNF",1,IF(AND(ISNUMBER(H120),H120&gt;59),1,_xlfn.XLOOKUP(H120,tbl_points[Place],tbl_points[Points],""))))))</f>
        <v>85</v>
      </c>
      <c r="J120" s="3">
        <v>11</v>
      </c>
      <c r="K120" s="3">
        <f>IF(J120="","",IF(J120="DNS",0,IF(J120="DQ",0,IF(J120="DNF",1,IF(AND(ISNUMBER(J120),J120&gt;59),1,_xlfn.XLOOKUP(J120,tbl_points[Place],tbl_points[Points],""))))))</f>
        <v>53</v>
      </c>
      <c r="L120" s="3">
        <v>2</v>
      </c>
      <c r="M120" s="3">
        <f>IF(L120="","",IF(L120="DNS",0,IF(L120="DQ",0,IF(L120="DNF",1,IF(AND(ISNUMBER(L120),L120&gt;59),1,_xlfn.XLOOKUP(L120,tbl_points[Place],tbl_points[Points],""))))))</f>
        <v>95</v>
      </c>
      <c r="N120" s="3">
        <v>9</v>
      </c>
      <c r="O120" s="3">
        <f>IF(N120="","",IF(N120="DNS",0,IF(N120="DQ",0,IF(N120="DNF",1,IF(AND(ISNUMBER(N120),N120&gt;59),1,_xlfn.XLOOKUP(N120,tbl_points[Place],tbl_points[Points],""))))))</f>
        <v>60</v>
      </c>
      <c r="P120" s="3">
        <v>10</v>
      </c>
      <c r="Q120" s="3">
        <f>IF(P120="","",IF(P120="DNS",0,IF(P120="DQ",0,IF(P120="DNF",1,IF(AND(ISNUMBER(P120),P120&gt;59),1,_xlfn.XLOOKUP(P120,tbl_points[Place],tbl_points[Points],""))))))</f>
        <v>55</v>
      </c>
      <c r="S120" s="3" t="str">
        <f>IF(R120="","",IF(R120="DNS",0,IF(R120="DQ",0,IF(R120="DNF",1,IF(AND(ISNUMBER(R120),R120&gt;59),1,_xlfn.XLOOKUP(R120,tbl_points[Place],tbl_points[Points],""))))))</f>
        <v/>
      </c>
      <c r="T120" s="3">
        <f>SUM(tbl_individual[[#This Row],[R1 Pts]],tbl_individual[[#This Row],[R2 Pts]],tbl_individual[[#This Row],[R3 Pts]],tbl_individual[[#This Row],[R4 Pts]],tbl_individual[[#This Row],[R5 Pts]],tbl_individual[[#This Row],[R6 Pts]])</f>
        <v>348</v>
      </c>
      <c r="U120" s="3">
        <f>MIN(tbl_individual[[#This Row],[R1 Pts]],tbl_individual[[#This Row],[R2 Pts]],tbl_individual[[#This Row],[R3 Pts]],tbl_individual[[#This Row],[R4 Pts]],tbl_individual[[#This Row],[R5 Pts]],tbl_individual[[#This Row],[R6 Pts]])</f>
        <v>53</v>
      </c>
      <c r="V120" s="3">
        <f>tbl_individual[[#This Row],[Total]]</f>
        <v>348</v>
      </c>
    </row>
    <row r="121" spans="1:22" x14ac:dyDescent="0.4">
      <c r="A121" t="s">
        <v>159</v>
      </c>
      <c r="B121" t="s">
        <v>16</v>
      </c>
      <c r="C121" t="s">
        <v>6</v>
      </c>
      <c r="D121" s="3">
        <v>925</v>
      </c>
      <c r="E121" s="3" t="s">
        <v>421</v>
      </c>
      <c r="G121" s="3" t="s">
        <v>403</v>
      </c>
      <c r="H121" s="3">
        <v>5</v>
      </c>
      <c r="I121" s="3">
        <f>IF(H121="","",IF(H121="DNS",0,IF(H121="DQ",0,IF(H121="DNF",1,IF(AND(ISNUMBER(H121),H121&gt;59),1,_xlfn.XLOOKUP(H121,tbl_points[Place],tbl_points[Points],""))))))</f>
        <v>80</v>
      </c>
      <c r="J121" s="3">
        <v>2</v>
      </c>
      <c r="K121" s="3">
        <f>IF(J121="","",IF(J121="DNS",0,IF(J121="DQ",0,IF(J121="DNF",1,IF(AND(ISNUMBER(J121),J121&gt;59),1,_xlfn.XLOOKUP(J121,tbl_points[Place],tbl_points[Points],""))))))</f>
        <v>95</v>
      </c>
      <c r="L121" s="3">
        <v>3</v>
      </c>
      <c r="M121" s="3">
        <f>IF(L121="","",IF(L121="DNS",0,IF(L121="DQ",0,IF(L121="DNF",1,IF(AND(ISNUMBER(L121),L121&gt;59),1,_xlfn.XLOOKUP(L121,tbl_points[Place],tbl_points[Points],""))))))</f>
        <v>90</v>
      </c>
      <c r="N121" s="3">
        <v>2</v>
      </c>
      <c r="O121" s="3">
        <f>IF(N121="","",IF(N121="DNS",0,IF(N121="DQ",0,IF(N121="DNF",1,IF(AND(ISNUMBER(N121),N121&gt;59),1,_xlfn.XLOOKUP(N121,tbl_points[Place],tbl_points[Points],""))))))</f>
        <v>95</v>
      </c>
      <c r="P121" s="3">
        <v>2</v>
      </c>
      <c r="Q121" s="3">
        <f>IF(P121="","",IF(P121="DNS",0,IF(P121="DQ",0,IF(P121="DNF",1,IF(AND(ISNUMBER(P121),P121&gt;59),1,_xlfn.XLOOKUP(P121,tbl_points[Place],tbl_points[Points],""))))))</f>
        <v>95</v>
      </c>
      <c r="S121" s="3" t="str">
        <f>IF(R121="","",IF(R121="DNS",0,IF(R121="DQ",0,IF(R121="DNF",1,IF(AND(ISNUMBER(R121),R121&gt;59),1,_xlfn.XLOOKUP(R121,tbl_points[Place],tbl_points[Points],""))))))</f>
        <v/>
      </c>
      <c r="T121" s="3">
        <f>SUM(tbl_individual[[#This Row],[R1 Pts]],tbl_individual[[#This Row],[R2 Pts]],tbl_individual[[#This Row],[R3 Pts]],tbl_individual[[#This Row],[R4 Pts]],tbl_individual[[#This Row],[R5 Pts]],tbl_individual[[#This Row],[R6 Pts]])</f>
        <v>455</v>
      </c>
      <c r="U121" s="3">
        <f>MIN(tbl_individual[[#This Row],[R1 Pts]],tbl_individual[[#This Row],[R2 Pts]],tbl_individual[[#This Row],[R3 Pts]],tbl_individual[[#This Row],[R4 Pts]],tbl_individual[[#This Row],[R5 Pts]],tbl_individual[[#This Row],[R6 Pts]])</f>
        <v>80</v>
      </c>
      <c r="V121" s="3">
        <f>tbl_individual[[#This Row],[Total]]</f>
        <v>455</v>
      </c>
    </row>
    <row r="122" spans="1:22" hidden="1" x14ac:dyDescent="0.4">
      <c r="A122" t="s">
        <v>160</v>
      </c>
      <c r="B122" t="s">
        <v>16</v>
      </c>
      <c r="C122" t="s">
        <v>1</v>
      </c>
      <c r="D122" s="3">
        <v>12034</v>
      </c>
      <c r="E122" s="3" t="s">
        <v>421</v>
      </c>
      <c r="G122" s="3" t="s">
        <v>403</v>
      </c>
      <c r="H122" s="3" t="s">
        <v>410</v>
      </c>
      <c r="I122" s="3">
        <f>IF(H122="","",IF(H122="DNS",0,IF(H122="DQ",0,IF(H122="DNF",1,IF(AND(ISNUMBER(H122),H122&gt;59),1,_xlfn.XLOOKUP(H122,tbl_points[Place],tbl_points[Points],""))))))</f>
        <v>0</v>
      </c>
      <c r="J122" s="3">
        <v>46</v>
      </c>
      <c r="K122" s="3">
        <f>IF(J122="","",IF(J122="DNS",0,IF(J122="DQ",0,IF(J122="DNF",1,IF(AND(ISNUMBER(J122),J122&gt;59),1,_xlfn.XLOOKUP(J122,tbl_points[Place],tbl_points[Points],""))))))</f>
        <v>14</v>
      </c>
      <c r="L122" s="3" t="s">
        <v>410</v>
      </c>
      <c r="M122" s="3">
        <f>IF(L122="","",IF(L122="DNS",0,IF(L122="DQ",0,IF(L122="DNF",1,IF(AND(ISNUMBER(L122),L122&gt;59),1,_xlfn.XLOOKUP(L122,tbl_points[Place],tbl_points[Points],""))))))</f>
        <v>0</v>
      </c>
      <c r="N122" s="3">
        <v>38</v>
      </c>
      <c r="O122" s="3">
        <f>IF(N122="","",IF(N122="DNS",0,IF(N122="DQ",0,IF(N122="DNF",1,IF(AND(ISNUMBER(N122),N122&gt;59),1,_xlfn.XLOOKUP(N122,tbl_points[Place],tbl_points[Points],""))))))</f>
        <v>22</v>
      </c>
      <c r="P122" s="3">
        <v>41</v>
      </c>
      <c r="Q122" s="3">
        <f>IF(P122="","",IF(P122="DNS",0,IF(P122="DQ",0,IF(P122="DNF",1,IF(AND(ISNUMBER(P122),P122&gt;59),1,_xlfn.XLOOKUP(P122,tbl_points[Place],tbl_points[Points],""))))))</f>
        <v>19</v>
      </c>
      <c r="S122" s="3" t="str">
        <f>IF(R122="","",IF(R122="DNS",0,IF(R122="DQ",0,IF(R122="DNF",1,IF(AND(ISNUMBER(R122),R122&gt;59),1,_xlfn.XLOOKUP(R122,tbl_points[Place],tbl_points[Points],""))))))</f>
        <v/>
      </c>
      <c r="T122" s="3">
        <f>SUM(tbl_individual[[#This Row],[R1 Pts]],tbl_individual[[#This Row],[R2 Pts]],tbl_individual[[#This Row],[R3 Pts]],tbl_individual[[#This Row],[R4 Pts]],tbl_individual[[#This Row],[R5 Pts]],tbl_individual[[#This Row],[R6 Pts]])</f>
        <v>55</v>
      </c>
      <c r="U12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22" s="3">
        <f>tbl_individual[[#This Row],[Total]]</f>
        <v>55</v>
      </c>
    </row>
    <row r="123" spans="1:22" hidden="1" x14ac:dyDescent="0.4">
      <c r="A123" t="s">
        <v>161</v>
      </c>
      <c r="B123" t="s">
        <v>16</v>
      </c>
      <c r="C123" t="s">
        <v>1</v>
      </c>
      <c r="D123" s="3">
        <v>12035</v>
      </c>
      <c r="E123" s="3" t="s">
        <v>421</v>
      </c>
      <c r="G123" s="3" t="s">
        <v>403</v>
      </c>
      <c r="H123" s="3" t="s">
        <v>410</v>
      </c>
      <c r="I123" s="3">
        <f>IF(H123="","",IF(H123="DNS",0,IF(H123="DQ",0,IF(H123="DNF",1,IF(AND(ISNUMBER(H123),H123&gt;59),1,_xlfn.XLOOKUP(H123,tbl_points[Place],tbl_points[Points],""))))))</f>
        <v>0</v>
      </c>
      <c r="J123" s="3">
        <v>66</v>
      </c>
      <c r="K123" s="3">
        <f>IF(J123="","",IF(J123="DNS",0,IF(J123="DQ",0,IF(J123="DNF",1,IF(AND(ISNUMBER(J123),J123&gt;59),1,_xlfn.XLOOKUP(J123,tbl_points[Place],tbl_points[Points],""))))))</f>
        <v>1</v>
      </c>
      <c r="L123" s="3" t="s">
        <v>410</v>
      </c>
      <c r="M123" s="3">
        <f>IF(L123="","",IF(L123="DNS",0,IF(L123="DQ",0,IF(L123="DNF",1,IF(AND(ISNUMBER(L123),L123&gt;59),1,_xlfn.XLOOKUP(L123,tbl_points[Place],tbl_points[Points],""))))))</f>
        <v>0</v>
      </c>
      <c r="N123" s="3" t="s">
        <v>410</v>
      </c>
      <c r="O123" s="3">
        <f>IF(N123="","",IF(N123="DNS",0,IF(N123="DQ",0,IF(N123="DNF",1,IF(AND(ISNUMBER(N123),N123&gt;59),1,_xlfn.XLOOKUP(N123,tbl_points[Place],tbl_points[Points],""))))))</f>
        <v>0</v>
      </c>
      <c r="P123" s="3" t="s">
        <v>410</v>
      </c>
      <c r="Q123" s="3">
        <f>IF(P123="","",IF(P123="DNS",0,IF(P123="DQ",0,IF(P123="DNF",1,IF(AND(ISNUMBER(P123),P123&gt;59),1,_xlfn.XLOOKUP(P123,tbl_points[Place],tbl_points[Points],""))))))</f>
        <v>0</v>
      </c>
      <c r="S123" s="3" t="str">
        <f>IF(R123="","",IF(R123="DNS",0,IF(R123="DQ",0,IF(R123="DNF",1,IF(AND(ISNUMBER(R123),R123&gt;59),1,_xlfn.XLOOKUP(R123,tbl_points[Place],tbl_points[Points],""))))))</f>
        <v/>
      </c>
      <c r="T123" s="3">
        <f>SUM(tbl_individual[[#This Row],[R1 Pts]],tbl_individual[[#This Row],[R2 Pts]],tbl_individual[[#This Row],[R3 Pts]],tbl_individual[[#This Row],[R4 Pts]],tbl_individual[[#This Row],[R5 Pts]],tbl_individual[[#This Row],[R6 Pts]])</f>
        <v>1</v>
      </c>
      <c r="U12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23" s="3">
        <f>tbl_individual[[#This Row],[Total]]</f>
        <v>1</v>
      </c>
    </row>
    <row r="124" spans="1:22" hidden="1" x14ac:dyDescent="0.4">
      <c r="A124" t="s">
        <v>169</v>
      </c>
      <c r="B124" t="s">
        <v>17</v>
      </c>
      <c r="C124" t="s">
        <v>7</v>
      </c>
      <c r="D124" s="3">
        <v>837</v>
      </c>
      <c r="E124" s="3" t="s">
        <v>421</v>
      </c>
      <c r="G124" s="3" t="s">
        <v>403</v>
      </c>
      <c r="H124" s="3">
        <v>1</v>
      </c>
      <c r="I124" s="3">
        <f>IF(H124="","",IF(H124="DNS",0,IF(H124="DQ",0,IF(H124="DNF",1,IF(AND(ISNUMBER(H124),H124&gt;59),1,_xlfn.XLOOKUP(H124,tbl_points[Place],tbl_points[Points],""))))))</f>
        <v>100</v>
      </c>
      <c r="J124" s="3">
        <v>2</v>
      </c>
      <c r="K124" s="3">
        <f>IF(J124="","",IF(J124="DNS",0,IF(J124="DQ",0,IF(J124="DNF",1,IF(AND(ISNUMBER(J124),J124&gt;59),1,_xlfn.XLOOKUP(J124,tbl_points[Place],tbl_points[Points],""))))))</f>
        <v>95</v>
      </c>
      <c r="L124" s="3" t="s">
        <v>410</v>
      </c>
      <c r="M124" s="3">
        <f>IF(L124="","",IF(L124="DNS",0,IF(L124="DQ",0,IF(L124="DNF",1,IF(AND(ISNUMBER(L124),L124&gt;59),1,_xlfn.XLOOKUP(L124,tbl_points[Place],tbl_points[Points],""))))))</f>
        <v>0</v>
      </c>
      <c r="N124" s="3">
        <v>1</v>
      </c>
      <c r="O124" s="3">
        <f>IF(N124="","",IF(N124="DNS",0,IF(N124="DQ",0,IF(N124="DNF",1,IF(AND(ISNUMBER(N124),N124&gt;59),1,_xlfn.XLOOKUP(N124,tbl_points[Place],tbl_points[Points],""))))))</f>
        <v>100</v>
      </c>
      <c r="P124" s="3">
        <v>1</v>
      </c>
      <c r="Q124" s="3">
        <f>IF(P124="","",IF(P124="DNS",0,IF(P124="DQ",0,IF(P124="DNF",1,IF(AND(ISNUMBER(P124),P124&gt;59),1,_xlfn.XLOOKUP(P124,tbl_points[Place],tbl_points[Points],""))))))</f>
        <v>100</v>
      </c>
      <c r="S124" s="3" t="str">
        <f>IF(R124="","",IF(R124="DNS",0,IF(R124="DQ",0,IF(R124="DNF",1,IF(AND(ISNUMBER(R124),R124&gt;59),1,_xlfn.XLOOKUP(R124,tbl_points[Place],tbl_points[Points],""))))))</f>
        <v/>
      </c>
      <c r="T124" s="3">
        <f>SUM(tbl_individual[[#This Row],[R1 Pts]],tbl_individual[[#This Row],[R2 Pts]],tbl_individual[[#This Row],[R3 Pts]],tbl_individual[[#This Row],[R4 Pts]],tbl_individual[[#This Row],[R5 Pts]],tbl_individual[[#This Row],[R6 Pts]])</f>
        <v>395</v>
      </c>
      <c r="U12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24" s="3">
        <f>tbl_individual[[#This Row],[Total]]</f>
        <v>395</v>
      </c>
    </row>
    <row r="125" spans="1:22" hidden="1" x14ac:dyDescent="0.4">
      <c r="A125" t="s">
        <v>170</v>
      </c>
      <c r="B125" t="s">
        <v>17</v>
      </c>
      <c r="C125" t="s">
        <v>7</v>
      </c>
      <c r="D125" s="3">
        <v>838</v>
      </c>
      <c r="E125" s="3" t="s">
        <v>421</v>
      </c>
      <c r="G125" s="3" t="s">
        <v>403</v>
      </c>
      <c r="H125" s="3">
        <v>2</v>
      </c>
      <c r="I125" s="3">
        <f>IF(H125="","",IF(H125="DNS",0,IF(H125="DQ",0,IF(H125="DNF",1,IF(AND(ISNUMBER(H125),H125&gt;59),1,_xlfn.XLOOKUP(H125,tbl_points[Place],tbl_points[Points],""))))))</f>
        <v>95</v>
      </c>
      <c r="J125" s="3">
        <v>9</v>
      </c>
      <c r="K125" s="3">
        <f>IF(J125="","",IF(J125="DNS",0,IF(J125="DQ",0,IF(J125="DNF",1,IF(AND(ISNUMBER(J125),J125&gt;59),1,_xlfn.XLOOKUP(J125,tbl_points[Place],tbl_points[Points],""))))))</f>
        <v>60</v>
      </c>
      <c r="L125" s="3">
        <v>4</v>
      </c>
      <c r="M125" s="3">
        <f>IF(L125="","",IF(L125="DNS",0,IF(L125="DQ",0,IF(L125="DNF",1,IF(AND(ISNUMBER(L125),L125&gt;59),1,_xlfn.XLOOKUP(L125,tbl_points[Place],tbl_points[Points],""))))))</f>
        <v>85</v>
      </c>
      <c r="N125" s="3">
        <v>5</v>
      </c>
      <c r="O125" s="3">
        <f>IF(N125="","",IF(N125="DNS",0,IF(N125="DQ",0,IF(N125="DNF",1,IF(AND(ISNUMBER(N125),N125&gt;59),1,_xlfn.XLOOKUP(N125,tbl_points[Place],tbl_points[Points],""))))))</f>
        <v>80</v>
      </c>
      <c r="P125" s="3">
        <v>5</v>
      </c>
      <c r="Q125" s="3">
        <f>IF(P125="","",IF(P125="DNS",0,IF(P125="DQ",0,IF(P125="DNF",1,IF(AND(ISNUMBER(P125),P125&gt;59),1,_xlfn.XLOOKUP(P125,tbl_points[Place],tbl_points[Points],""))))))</f>
        <v>80</v>
      </c>
      <c r="S125" s="3" t="str">
        <f>IF(R125="","",IF(R125="DNS",0,IF(R125="DQ",0,IF(R125="DNF",1,IF(AND(ISNUMBER(R125),R125&gt;59),1,_xlfn.XLOOKUP(R125,tbl_points[Place],tbl_points[Points],""))))))</f>
        <v/>
      </c>
      <c r="T125" s="3">
        <f>SUM(tbl_individual[[#This Row],[R1 Pts]],tbl_individual[[#This Row],[R2 Pts]],tbl_individual[[#This Row],[R3 Pts]],tbl_individual[[#This Row],[R4 Pts]],tbl_individual[[#This Row],[R5 Pts]],tbl_individual[[#This Row],[R6 Pts]])</f>
        <v>400</v>
      </c>
      <c r="U125" s="3">
        <f>MIN(tbl_individual[[#This Row],[R1 Pts]],tbl_individual[[#This Row],[R2 Pts]],tbl_individual[[#This Row],[R3 Pts]],tbl_individual[[#This Row],[R4 Pts]],tbl_individual[[#This Row],[R5 Pts]],tbl_individual[[#This Row],[R6 Pts]])</f>
        <v>60</v>
      </c>
      <c r="V125" s="3">
        <f>tbl_individual[[#This Row],[Total]]</f>
        <v>400</v>
      </c>
    </row>
    <row r="126" spans="1:22" hidden="1" x14ac:dyDescent="0.4">
      <c r="A126" t="s">
        <v>408</v>
      </c>
      <c r="B126" t="s">
        <v>17</v>
      </c>
      <c r="C126" t="s">
        <v>7</v>
      </c>
      <c r="D126" s="3">
        <v>839</v>
      </c>
      <c r="E126" s="3" t="s">
        <v>421</v>
      </c>
      <c r="G126" s="3" t="s">
        <v>407</v>
      </c>
      <c r="H126" s="3">
        <v>4</v>
      </c>
      <c r="I126" s="3">
        <f>IF(H126="","",IF(H126="DNS",0,IF(H126="DQ",0,IF(H126="DNF",1,IF(AND(ISNUMBER(H126),H126&gt;59),1,_xlfn.XLOOKUP(H126,tbl_points[Place],tbl_points[Points],""))))))</f>
        <v>85</v>
      </c>
      <c r="J126" s="3" t="s">
        <v>410</v>
      </c>
      <c r="K126" s="3">
        <f>IF(J126="","",IF(J126="DNS",0,IF(J126="DQ",0,IF(J126="DNF",1,IF(AND(ISNUMBER(J126),J126&gt;59),1,_xlfn.XLOOKUP(J126,tbl_points[Place],tbl_points[Points],""))))))</f>
        <v>0</v>
      </c>
      <c r="L126" s="3" t="s">
        <v>410</v>
      </c>
      <c r="M126" s="3">
        <f>IF(L126="","",IF(L126="DNS",0,IF(L126="DQ",0,IF(L126="DNF",1,IF(AND(ISNUMBER(L126),L126&gt;59),1,_xlfn.XLOOKUP(L126,tbl_points[Place],tbl_points[Points],""))))))</f>
        <v>0</v>
      </c>
      <c r="N126" s="3">
        <v>3</v>
      </c>
      <c r="O126" s="3">
        <f>IF(N126="","",IF(N126="DNS",0,IF(N126="DQ",0,IF(N126="DNF",1,IF(AND(ISNUMBER(N126),N126&gt;59),1,_xlfn.XLOOKUP(N126,tbl_points[Place],tbl_points[Points],""))))))</f>
        <v>90</v>
      </c>
      <c r="P126" s="3">
        <v>7</v>
      </c>
      <c r="Q126" s="3">
        <f>IF(P126="","",IF(P126="DNS",0,IF(P126="DQ",0,IF(P126="DNF",1,IF(AND(ISNUMBER(P126),P126&gt;59),1,_xlfn.XLOOKUP(P126,tbl_points[Place],tbl_points[Points],""))))))</f>
        <v>70</v>
      </c>
      <c r="S126" s="3" t="str">
        <f>IF(R126="","",IF(R126="DNS",0,IF(R126="DQ",0,IF(R126="DNF",1,IF(AND(ISNUMBER(R126),R126&gt;59),1,_xlfn.XLOOKUP(R126,tbl_points[Place],tbl_points[Points],""))))))</f>
        <v/>
      </c>
      <c r="T126" s="3">
        <f>SUM(tbl_individual[[#This Row],[R1 Pts]],tbl_individual[[#This Row],[R2 Pts]],tbl_individual[[#This Row],[R3 Pts]],tbl_individual[[#This Row],[R4 Pts]],tbl_individual[[#This Row],[R5 Pts]],tbl_individual[[#This Row],[R6 Pts]])</f>
        <v>245</v>
      </c>
      <c r="U12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26" s="3">
        <f>tbl_individual[[#This Row],[Total]]</f>
        <v>245</v>
      </c>
    </row>
    <row r="127" spans="1:22" hidden="1" x14ac:dyDescent="0.4">
      <c r="A127" t="s">
        <v>441</v>
      </c>
      <c r="B127" t="s">
        <v>17</v>
      </c>
      <c r="C127" t="s">
        <v>7</v>
      </c>
      <c r="D127" s="3">
        <v>841</v>
      </c>
      <c r="E127" s="3" t="s">
        <v>421</v>
      </c>
      <c r="F127" s="17" t="s">
        <v>442</v>
      </c>
      <c r="H127" s="3" t="s">
        <v>410</v>
      </c>
      <c r="I127" s="3">
        <f>IF(H127="","",IF(H127="DNS",0,IF(H127="DQ",0,IF(H127="DNF",1,IF(AND(ISNUMBER(H127),H127&gt;59),1,_xlfn.XLOOKUP(H127,tbl_points[Place],tbl_points[Points],""))))))</f>
        <v>0</v>
      </c>
      <c r="J127" s="3">
        <v>11</v>
      </c>
      <c r="K127" s="3">
        <f>IF(J127="","",IF(J127="DNS",0,IF(J127="DQ",0,IF(J127="DNF",1,IF(AND(ISNUMBER(J127),J127&gt;59),1,_xlfn.XLOOKUP(J127,tbl_points[Place],tbl_points[Points],""))))))</f>
        <v>53</v>
      </c>
      <c r="L127" s="3" t="s">
        <v>410</v>
      </c>
      <c r="M127" s="3">
        <f>IF(L127="","",IF(L127="DNS",0,IF(L127="DQ",0,IF(L127="DNF",1,IF(AND(ISNUMBER(L127),L127&gt;59),1,_xlfn.XLOOKUP(L127,tbl_points[Place],tbl_points[Points],""))))))</f>
        <v>0</v>
      </c>
      <c r="N127" s="3">
        <v>7</v>
      </c>
      <c r="O127" s="3">
        <f>IF(N127="","",IF(N127="DNS",0,IF(N127="DQ",0,IF(N127="DNF",1,IF(AND(ISNUMBER(N127),N127&gt;59),1,_xlfn.XLOOKUP(N127,tbl_points[Place],tbl_points[Points],""))))))</f>
        <v>70</v>
      </c>
      <c r="P127" s="3">
        <v>9</v>
      </c>
      <c r="Q127" s="3">
        <f>IF(P127="","",IF(P127="DNS",0,IF(P127="DQ",0,IF(P127="DNF",1,IF(AND(ISNUMBER(P127),P127&gt;59),1,_xlfn.XLOOKUP(P127,tbl_points[Place],tbl_points[Points],""))))))</f>
        <v>60</v>
      </c>
      <c r="S127" s="3" t="str">
        <f>IF(R127="","",IF(R127="DNS",0,IF(R127="DQ",0,IF(R127="DNF",1,IF(AND(ISNUMBER(R127),R127&gt;59),1,_xlfn.XLOOKUP(R127,tbl_points[Place],tbl_points[Points],""))))))</f>
        <v/>
      </c>
      <c r="T127" s="3">
        <f>SUM(tbl_individual[[#This Row],[R1 Pts]],tbl_individual[[#This Row],[R2 Pts]],tbl_individual[[#This Row],[R3 Pts]],tbl_individual[[#This Row],[R4 Pts]],tbl_individual[[#This Row],[R5 Pts]],tbl_individual[[#This Row],[R6 Pts]])</f>
        <v>183</v>
      </c>
      <c r="U12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27" s="3">
        <f>tbl_individual[[#This Row],[Total]]</f>
        <v>183</v>
      </c>
    </row>
    <row r="128" spans="1:22" hidden="1" x14ac:dyDescent="0.4">
      <c r="A128" t="s">
        <v>445</v>
      </c>
      <c r="B128" t="s">
        <v>17</v>
      </c>
      <c r="C128" t="s">
        <v>8</v>
      </c>
      <c r="D128" s="3">
        <v>859</v>
      </c>
      <c r="E128" s="3" t="s">
        <v>421</v>
      </c>
      <c r="H128" s="3" t="s">
        <v>410</v>
      </c>
      <c r="I128" s="3">
        <f>IF(H128="","",IF(H128="DNS",0,IF(H128="DQ",0,IF(H128="DNF",1,IF(AND(ISNUMBER(H128),H128&gt;59),1,_xlfn.XLOOKUP(H128,tbl_points[Place],tbl_points[Points],""))))))</f>
        <v>0</v>
      </c>
      <c r="J128" s="3" t="s">
        <v>410</v>
      </c>
      <c r="K128" s="3">
        <f>IF(J128="","",IF(J128="DNS",0,IF(J128="DQ",0,IF(J128="DNF",1,IF(AND(ISNUMBER(J128),J128&gt;59),1,_xlfn.XLOOKUP(J128,tbl_points[Place],tbl_points[Points],""))))))</f>
        <v>0</v>
      </c>
      <c r="L128" s="3">
        <v>2</v>
      </c>
      <c r="M128" s="3">
        <f>IF(L128="","",IF(L128="DNS",0,IF(L128="DQ",0,IF(L128="DNF",1,IF(AND(ISNUMBER(L128),L128&gt;59),1,_xlfn.XLOOKUP(L128,tbl_points[Place],tbl_points[Points],""))))))</f>
        <v>95</v>
      </c>
      <c r="N128" s="3" t="s">
        <v>410</v>
      </c>
      <c r="O128" s="3">
        <f>IF(N128="","",IF(N128="DNS",0,IF(N128="DQ",0,IF(N128="DNF",1,IF(AND(ISNUMBER(N128),N128&gt;59),1,_xlfn.XLOOKUP(N128,tbl_points[Place],tbl_points[Points],""))))))</f>
        <v>0</v>
      </c>
      <c r="P128" s="3">
        <v>2</v>
      </c>
      <c r="Q128" s="3">
        <f>IF(P128="","",IF(P128="DNS",0,IF(P128="DQ",0,IF(P128="DNF",1,IF(AND(ISNUMBER(P128),P128&gt;59),1,_xlfn.XLOOKUP(P128,tbl_points[Place],tbl_points[Points],""))))))</f>
        <v>95</v>
      </c>
      <c r="S128" s="3" t="str">
        <f>IF(R128="","",IF(R128="DNS",0,IF(R128="DQ",0,IF(R128="DNF",1,IF(AND(ISNUMBER(R128),R128&gt;59),1,_xlfn.XLOOKUP(R128,tbl_points[Place],tbl_points[Points],""))))))</f>
        <v/>
      </c>
      <c r="T128" s="3">
        <f>SUM(tbl_individual[[#This Row],[R1 Pts]],tbl_individual[[#This Row],[R2 Pts]],tbl_individual[[#This Row],[R3 Pts]],tbl_individual[[#This Row],[R4 Pts]],tbl_individual[[#This Row],[R5 Pts]],tbl_individual[[#This Row],[R6 Pts]])</f>
        <v>190</v>
      </c>
      <c r="U12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28" s="3">
        <f>tbl_individual[[#This Row],[Total]]</f>
        <v>190</v>
      </c>
    </row>
    <row r="129" spans="1:22" hidden="1" x14ac:dyDescent="0.4">
      <c r="A129" t="s">
        <v>165</v>
      </c>
      <c r="B129" t="s">
        <v>17</v>
      </c>
      <c r="C129" t="s">
        <v>5</v>
      </c>
      <c r="D129" s="3">
        <v>955</v>
      </c>
      <c r="E129" s="3" t="s">
        <v>421</v>
      </c>
      <c r="G129" s="3" t="s">
        <v>407</v>
      </c>
      <c r="H129" s="3" t="s">
        <v>410</v>
      </c>
      <c r="I129" s="3">
        <f>IF(H129="","",IF(H129="DNS",0,IF(H129="DQ",0,IF(H129="DNF",1,IF(AND(ISNUMBER(H129),H129&gt;59),1,_xlfn.XLOOKUP(H129,tbl_points[Place],tbl_points[Points],""))))))</f>
        <v>0</v>
      </c>
      <c r="J129" s="3" t="s">
        <v>410</v>
      </c>
      <c r="K129" s="3">
        <f>IF(J129="","",IF(J129="DNS",0,IF(J129="DQ",0,IF(J129="DNF",1,IF(AND(ISNUMBER(J129),J129&gt;59),1,_xlfn.XLOOKUP(J129,tbl_points[Place],tbl_points[Points],""))))))</f>
        <v>0</v>
      </c>
      <c r="L129" s="3" t="s">
        <v>410</v>
      </c>
      <c r="M129" s="3">
        <f>IF(L129="","",IF(L129="DNS",0,IF(L129="DQ",0,IF(L129="DNF",1,IF(AND(ISNUMBER(L129),L129&gt;59),1,_xlfn.XLOOKUP(L129,tbl_points[Place],tbl_points[Points],""))))))</f>
        <v>0</v>
      </c>
      <c r="N129" s="3">
        <v>12</v>
      </c>
      <c r="O129" s="3">
        <f>IF(N129="","",IF(N129="DNS",0,IF(N129="DQ",0,IF(N129="DNF",1,IF(AND(ISNUMBER(N129),N129&gt;59),1,_xlfn.XLOOKUP(N129,tbl_points[Place],tbl_points[Points],""))))))</f>
        <v>51</v>
      </c>
      <c r="P129" s="3">
        <v>7</v>
      </c>
      <c r="Q129" s="3">
        <f>IF(P129="","",IF(P129="DNS",0,IF(P129="DQ",0,IF(P129="DNF",1,IF(AND(ISNUMBER(P129),P129&gt;59),1,_xlfn.XLOOKUP(P129,tbl_points[Place],tbl_points[Points],""))))))</f>
        <v>70</v>
      </c>
      <c r="S129" s="3" t="str">
        <f>IF(R129="","",IF(R129="DNS",0,IF(R129="DQ",0,IF(R129="DNF",1,IF(AND(ISNUMBER(R129),R129&gt;59),1,_xlfn.XLOOKUP(R129,tbl_points[Place],tbl_points[Points],""))))))</f>
        <v/>
      </c>
      <c r="T129" s="3">
        <f>SUM(tbl_individual[[#This Row],[R1 Pts]],tbl_individual[[#This Row],[R2 Pts]],tbl_individual[[#This Row],[R3 Pts]],tbl_individual[[#This Row],[R4 Pts]],tbl_individual[[#This Row],[R5 Pts]],tbl_individual[[#This Row],[R6 Pts]])</f>
        <v>121</v>
      </c>
      <c r="U12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29" s="3">
        <f>tbl_individual[[#This Row],[Total]]</f>
        <v>121</v>
      </c>
    </row>
    <row r="130" spans="1:22" hidden="1" x14ac:dyDescent="0.4">
      <c r="A130" t="s">
        <v>166</v>
      </c>
      <c r="B130" t="s">
        <v>17</v>
      </c>
      <c r="C130" t="s">
        <v>5</v>
      </c>
      <c r="D130" s="3">
        <v>956</v>
      </c>
      <c r="E130" s="3" t="s">
        <v>421</v>
      </c>
      <c r="G130" s="3" t="s">
        <v>403</v>
      </c>
      <c r="H130" s="3" t="s">
        <v>410</v>
      </c>
      <c r="I130" s="3">
        <f>IF(H130="","",IF(H130="DNS",0,IF(H130="DQ",0,IF(H130="DNF",1,IF(AND(ISNUMBER(H130),H130&gt;59),1,_xlfn.XLOOKUP(H130,tbl_points[Place],tbl_points[Points],""))))))</f>
        <v>0</v>
      </c>
      <c r="J130" s="3">
        <v>9</v>
      </c>
      <c r="K130" s="3">
        <f>IF(J130="","",IF(J130="DNS",0,IF(J130="DQ",0,IF(J130="DNF",1,IF(AND(ISNUMBER(J130),J130&gt;59),1,_xlfn.XLOOKUP(J130,tbl_points[Place],tbl_points[Points],""))))))</f>
        <v>60</v>
      </c>
      <c r="L130" s="3" t="s">
        <v>410</v>
      </c>
      <c r="M130" s="3">
        <f>IF(L130="","",IF(L130="DNS",0,IF(L130="DQ",0,IF(L130="DNF",1,IF(AND(ISNUMBER(L130),L130&gt;59),1,_xlfn.XLOOKUP(L130,tbl_points[Place],tbl_points[Points],""))))))</f>
        <v>0</v>
      </c>
      <c r="N130" s="3">
        <v>8</v>
      </c>
      <c r="O130" s="3">
        <f>IF(N130="","",IF(N130="DNS",0,IF(N130="DQ",0,IF(N130="DNF",1,IF(AND(ISNUMBER(N130),N130&gt;59),1,_xlfn.XLOOKUP(N130,tbl_points[Place],tbl_points[Points],""))))))</f>
        <v>65</v>
      </c>
      <c r="P130" s="3">
        <v>8</v>
      </c>
      <c r="Q130" s="3">
        <f>IF(P130="","",IF(P130="DNS",0,IF(P130="DQ",0,IF(P130="DNF",1,IF(AND(ISNUMBER(P130),P130&gt;59),1,_xlfn.XLOOKUP(P130,tbl_points[Place],tbl_points[Points],""))))))</f>
        <v>65</v>
      </c>
      <c r="S130" s="3" t="str">
        <f>IF(R130="","",IF(R130="DNS",0,IF(R130="DQ",0,IF(R130="DNF",1,IF(AND(ISNUMBER(R130),R130&gt;59),1,_xlfn.XLOOKUP(R130,tbl_points[Place],tbl_points[Points],""))))))</f>
        <v/>
      </c>
      <c r="T130" s="3">
        <f>SUM(tbl_individual[[#This Row],[R1 Pts]],tbl_individual[[#This Row],[R2 Pts]],tbl_individual[[#This Row],[R3 Pts]],tbl_individual[[#This Row],[R4 Pts]],tbl_individual[[#This Row],[R5 Pts]],tbl_individual[[#This Row],[R6 Pts]])</f>
        <v>190</v>
      </c>
      <c r="U13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0" s="3">
        <f>tbl_individual[[#This Row],[Total]]</f>
        <v>190</v>
      </c>
    </row>
    <row r="131" spans="1:22" hidden="1" x14ac:dyDescent="0.4">
      <c r="A131" t="s">
        <v>167</v>
      </c>
      <c r="B131" t="s">
        <v>17</v>
      </c>
      <c r="C131" t="s">
        <v>5</v>
      </c>
      <c r="D131" s="3">
        <v>957</v>
      </c>
      <c r="E131" s="3" t="s">
        <v>421</v>
      </c>
      <c r="G131" s="3" t="s">
        <v>407</v>
      </c>
      <c r="H131" s="3" t="s">
        <v>410</v>
      </c>
      <c r="I131" s="3">
        <f>IF(H131="","",IF(H131="DNS",0,IF(H131="DQ",0,IF(H131="DNF",1,IF(AND(ISNUMBER(H131),H131&gt;59),1,_xlfn.XLOOKUP(H131,tbl_points[Place],tbl_points[Points],""))))))</f>
        <v>0</v>
      </c>
      <c r="J131" s="3" t="s">
        <v>410</v>
      </c>
      <c r="K131" s="3">
        <f>IF(J131="","",IF(J131="DNS",0,IF(J131="DQ",0,IF(J131="DNF",1,IF(AND(ISNUMBER(J131),J131&gt;59),1,_xlfn.XLOOKUP(J131,tbl_points[Place],tbl_points[Points],""))))))</f>
        <v>0</v>
      </c>
      <c r="L131" s="3">
        <v>7</v>
      </c>
      <c r="M131" s="3">
        <f>IF(L131="","",IF(L131="DNS",0,IF(L131="DQ",0,IF(L131="DNF",1,IF(AND(ISNUMBER(L131),L131&gt;59),1,_xlfn.XLOOKUP(L131,tbl_points[Place],tbl_points[Points],""))))))</f>
        <v>70</v>
      </c>
      <c r="N131" s="3" t="s">
        <v>410</v>
      </c>
      <c r="O131" s="3">
        <f>IF(N131="","",IF(N131="DNS",0,IF(N131="DQ",0,IF(N131="DNF",1,IF(AND(ISNUMBER(N131),N131&gt;59),1,_xlfn.XLOOKUP(N131,tbl_points[Place],tbl_points[Points],""))))))</f>
        <v>0</v>
      </c>
      <c r="P131" s="3">
        <v>4</v>
      </c>
      <c r="Q131" s="3">
        <f>IF(P131="","",IF(P131="DNS",0,IF(P131="DQ",0,IF(P131="DNF",1,IF(AND(ISNUMBER(P131),P131&gt;59),1,_xlfn.XLOOKUP(P131,tbl_points[Place],tbl_points[Points],""))))))</f>
        <v>85</v>
      </c>
      <c r="S131" s="3" t="str">
        <f>IF(R131="","",IF(R131="DNS",0,IF(R131="DQ",0,IF(R131="DNF",1,IF(AND(ISNUMBER(R131),R131&gt;59),1,_xlfn.XLOOKUP(R131,tbl_points[Place],tbl_points[Points],""))))))</f>
        <v/>
      </c>
      <c r="T131" s="3">
        <f>SUM(tbl_individual[[#This Row],[R1 Pts]],tbl_individual[[#This Row],[R2 Pts]],tbl_individual[[#This Row],[R3 Pts]],tbl_individual[[#This Row],[R4 Pts]],tbl_individual[[#This Row],[R5 Pts]],tbl_individual[[#This Row],[R6 Pts]])</f>
        <v>155</v>
      </c>
      <c r="U13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1" s="3">
        <f>tbl_individual[[#This Row],[Total]]</f>
        <v>155</v>
      </c>
    </row>
    <row r="132" spans="1:22" hidden="1" x14ac:dyDescent="0.4">
      <c r="A132" t="s">
        <v>168</v>
      </c>
      <c r="B132" t="s">
        <v>17</v>
      </c>
      <c r="C132" t="s">
        <v>5</v>
      </c>
      <c r="D132" s="3">
        <v>959</v>
      </c>
      <c r="E132" s="3" t="s">
        <v>421</v>
      </c>
      <c r="G132" s="3" t="s">
        <v>403</v>
      </c>
      <c r="H132" s="3">
        <v>6</v>
      </c>
      <c r="I132" s="3">
        <f>IF(H132="","",IF(H132="DNS",0,IF(H132="DQ",0,IF(H132="DNF",1,IF(AND(ISNUMBER(H132),H132&gt;59),1,_xlfn.XLOOKUP(H132,tbl_points[Place],tbl_points[Points],""))))))</f>
        <v>75</v>
      </c>
      <c r="J132" s="3">
        <v>2</v>
      </c>
      <c r="K132" s="3">
        <f>IF(J132="","",IF(J132="DNS",0,IF(J132="DQ",0,IF(J132="DNF",1,IF(AND(ISNUMBER(J132),J132&gt;59),1,_xlfn.XLOOKUP(J132,tbl_points[Place],tbl_points[Points],""))))))</f>
        <v>95</v>
      </c>
      <c r="L132" s="3" t="s">
        <v>410</v>
      </c>
      <c r="M132" s="3">
        <f>IF(L132="","",IF(L132="DNS",0,IF(L132="DQ",0,IF(L132="DNF",1,IF(AND(ISNUMBER(L132),L132&gt;59),1,_xlfn.XLOOKUP(L132,tbl_points[Place],tbl_points[Points],""))))))</f>
        <v>0</v>
      </c>
      <c r="N132" s="3">
        <v>1</v>
      </c>
      <c r="O132" s="3">
        <f>IF(N132="","",IF(N132="DNS",0,IF(N132="DQ",0,IF(N132="DNF",1,IF(AND(ISNUMBER(N132),N132&gt;59),1,_xlfn.XLOOKUP(N132,tbl_points[Place],tbl_points[Points],""))))))</f>
        <v>100</v>
      </c>
      <c r="P132" s="3">
        <v>3</v>
      </c>
      <c r="Q132" s="3">
        <f>IF(P132="","",IF(P132="DNS",0,IF(P132="DQ",0,IF(P132="DNF",1,IF(AND(ISNUMBER(P132),P132&gt;59),1,_xlfn.XLOOKUP(P132,tbl_points[Place],tbl_points[Points],""))))))</f>
        <v>90</v>
      </c>
      <c r="S132" s="3" t="str">
        <f>IF(R132="","",IF(R132="DNS",0,IF(R132="DQ",0,IF(R132="DNF",1,IF(AND(ISNUMBER(R132),R132&gt;59),1,_xlfn.XLOOKUP(R132,tbl_points[Place],tbl_points[Points],""))))))</f>
        <v/>
      </c>
      <c r="T132" s="3">
        <f>SUM(tbl_individual[[#This Row],[R1 Pts]],tbl_individual[[#This Row],[R2 Pts]],tbl_individual[[#This Row],[R3 Pts]],tbl_individual[[#This Row],[R4 Pts]],tbl_individual[[#This Row],[R5 Pts]],tbl_individual[[#This Row],[R6 Pts]])</f>
        <v>360</v>
      </c>
      <c r="U13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2" s="3">
        <f>tbl_individual[[#This Row],[Total]]</f>
        <v>360</v>
      </c>
    </row>
    <row r="133" spans="1:22" x14ac:dyDescent="0.4">
      <c r="A133" t="s">
        <v>162</v>
      </c>
      <c r="B133" t="s">
        <v>17</v>
      </c>
      <c r="C133" t="s">
        <v>6</v>
      </c>
      <c r="D133" s="3">
        <v>936</v>
      </c>
      <c r="E133" s="3" t="s">
        <v>421</v>
      </c>
      <c r="G133" s="3" t="s">
        <v>403</v>
      </c>
      <c r="H133" s="3">
        <v>4</v>
      </c>
      <c r="I133" s="3">
        <f>IF(H133="","",IF(H133="DNS",0,IF(H133="DQ",0,IF(H133="DNF",1,IF(AND(ISNUMBER(H133),H133&gt;59),1,_xlfn.XLOOKUP(H133,tbl_points[Place],tbl_points[Points],""))))))</f>
        <v>85</v>
      </c>
      <c r="J133" s="3">
        <v>6</v>
      </c>
      <c r="K133" s="3">
        <f>IF(J133="","",IF(J133="DNS",0,IF(J133="DQ",0,IF(J133="DNF",1,IF(AND(ISNUMBER(J133),J133&gt;59),1,_xlfn.XLOOKUP(J133,tbl_points[Place],tbl_points[Points],""))))))</f>
        <v>75</v>
      </c>
      <c r="L133" s="3" t="s">
        <v>410</v>
      </c>
      <c r="M133" s="3">
        <f>IF(L133="","",IF(L133="DNS",0,IF(L133="DQ",0,IF(L133="DNF",1,IF(AND(ISNUMBER(L133),L133&gt;59),1,_xlfn.XLOOKUP(L133,tbl_points[Place],tbl_points[Points],""))))))</f>
        <v>0</v>
      </c>
      <c r="N133" s="3">
        <v>7</v>
      </c>
      <c r="O133" s="3">
        <f>IF(N133="","",IF(N133="DNS",0,IF(N133="DQ",0,IF(N133="DNF",1,IF(AND(ISNUMBER(N133),N133&gt;59),1,_xlfn.XLOOKUP(N133,tbl_points[Place],tbl_points[Points],""))))))</f>
        <v>70</v>
      </c>
      <c r="P133" s="3">
        <v>4</v>
      </c>
      <c r="Q133" s="3">
        <f>IF(P133="","",IF(P133="DNS",0,IF(P133="DQ",0,IF(P133="DNF",1,IF(AND(ISNUMBER(P133),P133&gt;59),1,_xlfn.XLOOKUP(P133,tbl_points[Place],tbl_points[Points],""))))))</f>
        <v>85</v>
      </c>
      <c r="S133" s="3" t="str">
        <f>IF(R133="","",IF(R133="DNS",0,IF(R133="DQ",0,IF(R133="DNF",1,IF(AND(ISNUMBER(R133),R133&gt;59),1,_xlfn.XLOOKUP(R133,tbl_points[Place],tbl_points[Points],""))))))</f>
        <v/>
      </c>
      <c r="T133" s="3">
        <f>SUM(tbl_individual[[#This Row],[R1 Pts]],tbl_individual[[#This Row],[R2 Pts]],tbl_individual[[#This Row],[R3 Pts]],tbl_individual[[#This Row],[R4 Pts]],tbl_individual[[#This Row],[R5 Pts]],tbl_individual[[#This Row],[R6 Pts]])</f>
        <v>315</v>
      </c>
      <c r="U13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3" s="3">
        <f>tbl_individual[[#This Row],[Total]]</f>
        <v>315</v>
      </c>
    </row>
    <row r="134" spans="1:22" x14ac:dyDescent="0.4">
      <c r="A134" t="s">
        <v>163</v>
      </c>
      <c r="B134" t="s">
        <v>17</v>
      </c>
      <c r="C134" t="s">
        <v>6</v>
      </c>
      <c r="D134" s="3">
        <v>937</v>
      </c>
      <c r="E134" s="3" t="s">
        <v>421</v>
      </c>
      <c r="G134" s="3" t="s">
        <v>403</v>
      </c>
      <c r="H134" s="3">
        <v>7</v>
      </c>
      <c r="I134" s="3">
        <f>IF(H134="","",IF(H134="DNS",0,IF(H134="DQ",0,IF(H134="DNF",1,IF(AND(ISNUMBER(H134),H134&gt;59),1,_xlfn.XLOOKUP(H134,tbl_points[Place],tbl_points[Points],""))))))</f>
        <v>70</v>
      </c>
      <c r="J134" s="3">
        <v>3</v>
      </c>
      <c r="K134" s="3">
        <f>IF(J134="","",IF(J134="DNS",0,IF(J134="DQ",0,IF(J134="DNF",1,IF(AND(ISNUMBER(J134),J134&gt;59),1,_xlfn.XLOOKUP(J134,tbl_points[Place],tbl_points[Points],""))))))</f>
        <v>90</v>
      </c>
      <c r="L134" s="3" t="s">
        <v>410</v>
      </c>
      <c r="M134" s="3">
        <f>IF(L134="","",IF(L134="DNS",0,IF(L134="DQ",0,IF(L134="DNF",1,IF(AND(ISNUMBER(L134),L134&gt;59),1,_xlfn.XLOOKUP(L134,tbl_points[Place],tbl_points[Points],""))))))</f>
        <v>0</v>
      </c>
      <c r="N134" s="3">
        <v>6</v>
      </c>
      <c r="O134" s="3">
        <f>IF(N134="","",IF(N134="DNS",0,IF(N134="DQ",0,IF(N134="DNF",1,IF(AND(ISNUMBER(N134),N134&gt;59),1,_xlfn.XLOOKUP(N134,tbl_points[Place],tbl_points[Points],""))))))</f>
        <v>75</v>
      </c>
      <c r="P134" s="3">
        <v>3</v>
      </c>
      <c r="Q134" s="3">
        <f>IF(P134="","",IF(P134="DNS",0,IF(P134="DQ",0,IF(P134="DNF",1,IF(AND(ISNUMBER(P134),P134&gt;59),1,_xlfn.XLOOKUP(P134,tbl_points[Place],tbl_points[Points],""))))))</f>
        <v>90</v>
      </c>
      <c r="S134" s="3" t="str">
        <f>IF(R134="","",IF(R134="DNS",0,IF(R134="DQ",0,IF(R134="DNF",1,IF(AND(ISNUMBER(R134),R134&gt;59),1,_xlfn.XLOOKUP(R134,tbl_points[Place],tbl_points[Points],""))))))</f>
        <v/>
      </c>
      <c r="T134" s="3">
        <f>SUM(tbl_individual[[#This Row],[R1 Pts]],tbl_individual[[#This Row],[R2 Pts]],tbl_individual[[#This Row],[R3 Pts]],tbl_individual[[#This Row],[R4 Pts]],tbl_individual[[#This Row],[R5 Pts]],tbl_individual[[#This Row],[R6 Pts]])</f>
        <v>325</v>
      </c>
      <c r="U13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4" s="3">
        <f>tbl_individual[[#This Row],[Total]]</f>
        <v>325</v>
      </c>
    </row>
    <row r="135" spans="1:22" x14ac:dyDescent="0.4">
      <c r="A135" t="s">
        <v>164</v>
      </c>
      <c r="B135" t="s">
        <v>17</v>
      </c>
      <c r="C135" t="s">
        <v>6</v>
      </c>
      <c r="D135" s="3">
        <v>938</v>
      </c>
      <c r="E135" s="3" t="s">
        <v>421</v>
      </c>
      <c r="G135" s="3" t="s">
        <v>407</v>
      </c>
      <c r="H135" s="3" t="s">
        <v>410</v>
      </c>
      <c r="I135" s="3">
        <f>IF(H135="","",IF(H135="DNS",0,IF(H135="DQ",0,IF(H135="DNF",1,IF(AND(ISNUMBER(H135),H135&gt;59),1,_xlfn.XLOOKUP(H135,tbl_points[Place],tbl_points[Points],""))))))</f>
        <v>0</v>
      </c>
      <c r="J135" s="3" t="s">
        <v>410</v>
      </c>
      <c r="K135" s="3">
        <f>IF(J135="","",IF(J135="DNS",0,IF(J135="DQ",0,IF(J135="DNF",1,IF(AND(ISNUMBER(J135),J135&gt;59),1,_xlfn.XLOOKUP(J135,tbl_points[Place],tbl_points[Points],""))))))</f>
        <v>0</v>
      </c>
      <c r="L135" s="3" t="s">
        <v>410</v>
      </c>
      <c r="M135" s="3">
        <f>IF(L135="","",IF(L135="DNS",0,IF(L135="DQ",0,IF(L135="DNF",1,IF(AND(ISNUMBER(L135),L135&gt;59),1,_xlfn.XLOOKUP(L135,tbl_points[Place],tbl_points[Points],""))))))</f>
        <v>0</v>
      </c>
      <c r="N135" s="3" t="s">
        <v>410</v>
      </c>
      <c r="O135" s="3">
        <f>IF(N135="","",IF(N135="DNS",0,IF(N135="DQ",0,IF(N135="DNF",1,IF(AND(ISNUMBER(N135),N135&gt;59),1,_xlfn.XLOOKUP(N135,tbl_points[Place],tbl_points[Points],""))))))</f>
        <v>0</v>
      </c>
      <c r="P135" s="3" t="s">
        <v>410</v>
      </c>
      <c r="Q135" s="3">
        <f>IF(P135="","",IF(P135="DNS",0,IF(P135="DQ",0,IF(P135="DNF",1,IF(AND(ISNUMBER(P135),P135&gt;59),1,_xlfn.XLOOKUP(P135,tbl_points[Place],tbl_points[Points],""))))))</f>
        <v>0</v>
      </c>
      <c r="S135" s="3" t="str">
        <f>IF(R135="","",IF(R135="DNS",0,IF(R135="DQ",0,IF(R135="DNF",1,IF(AND(ISNUMBER(R135),R135&gt;59),1,_xlfn.XLOOKUP(R135,tbl_points[Place],tbl_points[Points],""))))))</f>
        <v/>
      </c>
      <c r="T135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13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5" s="3">
        <f>tbl_individual[[#This Row],[Total]]</f>
        <v>0</v>
      </c>
    </row>
    <row r="136" spans="1:22" hidden="1" x14ac:dyDescent="0.4">
      <c r="A136" t="s">
        <v>171</v>
      </c>
      <c r="B136" t="s">
        <v>18</v>
      </c>
      <c r="C136" t="s">
        <v>7</v>
      </c>
      <c r="D136" s="3">
        <v>806</v>
      </c>
      <c r="E136" s="3" t="s">
        <v>421</v>
      </c>
      <c r="G136" s="3" t="s">
        <v>403</v>
      </c>
      <c r="H136" s="3" t="s">
        <v>410</v>
      </c>
      <c r="I136" s="3">
        <f>IF(H136="","",IF(H136="DNS",0,IF(H136="DQ",0,IF(H136="DNF",1,IF(AND(ISNUMBER(H136),H136&gt;59),1,_xlfn.XLOOKUP(H136,tbl_points[Place],tbl_points[Points],""))))))</f>
        <v>0</v>
      </c>
      <c r="J136" s="3" t="s">
        <v>410</v>
      </c>
      <c r="K136" s="3">
        <f>IF(J136="","",IF(J136="DNS",0,IF(J136="DQ",0,IF(J136="DNF",1,IF(AND(ISNUMBER(J136),J136&gt;59),1,_xlfn.XLOOKUP(J136,tbl_points[Place],tbl_points[Points],""))))))</f>
        <v>0</v>
      </c>
      <c r="L136" s="3">
        <v>37</v>
      </c>
      <c r="M136" s="3">
        <f>IF(L136="","",IF(L136="DNS",0,IF(L136="DQ",0,IF(L136="DNF",1,IF(AND(ISNUMBER(L136),L136&gt;59),1,_xlfn.XLOOKUP(L136,tbl_points[Place],tbl_points[Points],""))))))</f>
        <v>23</v>
      </c>
      <c r="N136" s="3">
        <v>40</v>
      </c>
      <c r="O136" s="3">
        <f>IF(N136="","",IF(N136="DNS",0,IF(N136="DQ",0,IF(N136="DNF",1,IF(AND(ISNUMBER(N136),N136&gt;59),1,_xlfn.XLOOKUP(N136,tbl_points[Place],tbl_points[Points],""))))))</f>
        <v>20</v>
      </c>
      <c r="P136" s="3">
        <v>45</v>
      </c>
      <c r="Q136" s="3">
        <f>IF(P136="","",IF(P136="DNS",0,IF(P136="DQ",0,IF(P136="DNF",1,IF(AND(ISNUMBER(P136),P136&gt;59),1,_xlfn.XLOOKUP(P136,tbl_points[Place],tbl_points[Points],""))))))</f>
        <v>15</v>
      </c>
      <c r="S136" s="3" t="str">
        <f>IF(R136="","",IF(R136="DNS",0,IF(R136="DQ",0,IF(R136="DNF",1,IF(AND(ISNUMBER(R136),R136&gt;59),1,_xlfn.XLOOKUP(R136,tbl_points[Place],tbl_points[Points],""))))))</f>
        <v/>
      </c>
      <c r="T136" s="3">
        <f>SUM(tbl_individual[[#This Row],[R1 Pts]],tbl_individual[[#This Row],[R2 Pts]],tbl_individual[[#This Row],[R3 Pts]],tbl_individual[[#This Row],[R4 Pts]],tbl_individual[[#This Row],[R5 Pts]],tbl_individual[[#This Row],[R6 Pts]])</f>
        <v>58</v>
      </c>
      <c r="U13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6" s="3">
        <f>tbl_individual[[#This Row],[Total]]</f>
        <v>58</v>
      </c>
    </row>
    <row r="137" spans="1:22" hidden="1" x14ac:dyDescent="0.4">
      <c r="A137" t="s">
        <v>172</v>
      </c>
      <c r="B137" t="s">
        <v>18</v>
      </c>
      <c r="C137" t="s">
        <v>7</v>
      </c>
      <c r="D137" s="3">
        <v>807</v>
      </c>
      <c r="E137" s="3" t="s">
        <v>421</v>
      </c>
      <c r="G137" s="3" t="s">
        <v>403</v>
      </c>
      <c r="H137" s="3" t="s">
        <v>410</v>
      </c>
      <c r="I137" s="3">
        <f>IF(H137="","",IF(H137="DNS",0,IF(H137="DQ",0,IF(H137="DNF",1,IF(AND(ISNUMBER(H137),H137&gt;59),1,_xlfn.XLOOKUP(H137,tbl_points[Place],tbl_points[Points],""))))))</f>
        <v>0</v>
      </c>
      <c r="J137" s="3" t="s">
        <v>410</v>
      </c>
      <c r="K137" s="3">
        <f>IF(J137="","",IF(J137="DNS",0,IF(J137="DQ",0,IF(J137="DNF",1,IF(AND(ISNUMBER(J137),J137&gt;59),1,_xlfn.XLOOKUP(J137,tbl_points[Place],tbl_points[Points],""))))))</f>
        <v>0</v>
      </c>
      <c r="L137" s="3">
        <v>38</v>
      </c>
      <c r="M137" s="3">
        <f>IF(L137="","",IF(L137="DNS",0,IF(L137="DQ",0,IF(L137="DNF",1,IF(AND(ISNUMBER(L137),L137&gt;59),1,_xlfn.XLOOKUP(L137,tbl_points[Place],tbl_points[Points],""))))))</f>
        <v>22</v>
      </c>
      <c r="N137" s="3">
        <v>38</v>
      </c>
      <c r="O137" s="3">
        <f>IF(N137="","",IF(N137="DNS",0,IF(N137="DQ",0,IF(N137="DNF",1,IF(AND(ISNUMBER(N137),N137&gt;59),1,_xlfn.XLOOKUP(N137,tbl_points[Place],tbl_points[Points],""))))))</f>
        <v>22</v>
      </c>
      <c r="P137" s="3" t="s">
        <v>410</v>
      </c>
      <c r="Q137" s="3">
        <f>IF(P137="","",IF(P137="DNS",0,IF(P137="DQ",0,IF(P137="DNF",1,IF(AND(ISNUMBER(P137),P137&gt;59),1,_xlfn.XLOOKUP(P137,tbl_points[Place],tbl_points[Points],""))))))</f>
        <v>0</v>
      </c>
      <c r="S137" s="3" t="str">
        <f>IF(R137="","",IF(R137="DNS",0,IF(R137="DQ",0,IF(R137="DNF",1,IF(AND(ISNUMBER(R137),R137&gt;59),1,_xlfn.XLOOKUP(R137,tbl_points[Place],tbl_points[Points],""))))))</f>
        <v/>
      </c>
      <c r="T137" s="3">
        <f>SUM(tbl_individual[[#This Row],[R1 Pts]],tbl_individual[[#This Row],[R2 Pts]],tbl_individual[[#This Row],[R3 Pts]],tbl_individual[[#This Row],[R4 Pts]],tbl_individual[[#This Row],[R5 Pts]],tbl_individual[[#This Row],[R6 Pts]])</f>
        <v>44</v>
      </c>
      <c r="U13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7" s="3">
        <f>tbl_individual[[#This Row],[Total]]</f>
        <v>44</v>
      </c>
    </row>
    <row r="138" spans="1:22" hidden="1" x14ac:dyDescent="0.4">
      <c r="A138" t="s">
        <v>173</v>
      </c>
      <c r="B138" t="s">
        <v>18</v>
      </c>
      <c r="C138" t="s">
        <v>7</v>
      </c>
      <c r="D138" s="3">
        <v>808</v>
      </c>
      <c r="E138" s="3" t="s">
        <v>421</v>
      </c>
      <c r="G138" s="3" t="s">
        <v>403</v>
      </c>
      <c r="H138" s="3" t="s">
        <v>410</v>
      </c>
      <c r="I138" s="3">
        <f>IF(H138="","",IF(H138="DNS",0,IF(H138="DQ",0,IF(H138="DNF",1,IF(AND(ISNUMBER(H138),H138&gt;59),1,_xlfn.XLOOKUP(H138,tbl_points[Place],tbl_points[Points],""))))))</f>
        <v>0</v>
      </c>
      <c r="J138" s="3" t="s">
        <v>410</v>
      </c>
      <c r="K138" s="3">
        <f>IF(J138="","",IF(J138="DNS",0,IF(J138="DQ",0,IF(J138="DNF",1,IF(AND(ISNUMBER(J138),J138&gt;59),1,_xlfn.XLOOKUP(J138,tbl_points[Place],tbl_points[Points],""))))))</f>
        <v>0</v>
      </c>
      <c r="L138" s="3">
        <v>39</v>
      </c>
      <c r="M138" s="3">
        <f>IF(L138="","",IF(L138="DNS",0,IF(L138="DQ",0,IF(L138="DNF",1,IF(AND(ISNUMBER(L138),L138&gt;59),1,_xlfn.XLOOKUP(L138,tbl_points[Place],tbl_points[Points],""))))))</f>
        <v>21</v>
      </c>
      <c r="N138" s="3">
        <v>39</v>
      </c>
      <c r="O138" s="3">
        <f>IF(N138="","",IF(N138="DNS",0,IF(N138="DQ",0,IF(N138="DNF",1,IF(AND(ISNUMBER(N138),N138&gt;59),1,_xlfn.XLOOKUP(N138,tbl_points[Place],tbl_points[Points],""))))))</f>
        <v>21</v>
      </c>
      <c r="P138" s="3">
        <v>44</v>
      </c>
      <c r="Q138" s="3">
        <f>IF(P138="","",IF(P138="DNS",0,IF(P138="DQ",0,IF(P138="DNF",1,IF(AND(ISNUMBER(P138),P138&gt;59),1,_xlfn.XLOOKUP(P138,tbl_points[Place],tbl_points[Points],""))))))</f>
        <v>16</v>
      </c>
      <c r="S138" s="3" t="str">
        <f>IF(R138="","",IF(R138="DNS",0,IF(R138="DQ",0,IF(R138="DNF",1,IF(AND(ISNUMBER(R138),R138&gt;59),1,_xlfn.XLOOKUP(R138,tbl_points[Place],tbl_points[Points],""))))))</f>
        <v/>
      </c>
      <c r="T138" s="3">
        <f>SUM(tbl_individual[[#This Row],[R1 Pts]],tbl_individual[[#This Row],[R2 Pts]],tbl_individual[[#This Row],[R3 Pts]],tbl_individual[[#This Row],[R4 Pts]],tbl_individual[[#This Row],[R5 Pts]],tbl_individual[[#This Row],[R6 Pts]])</f>
        <v>58</v>
      </c>
      <c r="U13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8" s="3">
        <f>tbl_individual[[#This Row],[Total]]</f>
        <v>58</v>
      </c>
    </row>
    <row r="139" spans="1:22" hidden="1" x14ac:dyDescent="0.4">
      <c r="A139" t="s">
        <v>174</v>
      </c>
      <c r="B139" t="s">
        <v>18</v>
      </c>
      <c r="C139" t="s">
        <v>8</v>
      </c>
      <c r="D139" s="3">
        <v>868</v>
      </c>
      <c r="E139" s="3" t="s">
        <v>421</v>
      </c>
      <c r="G139" s="3" t="s">
        <v>403</v>
      </c>
      <c r="H139" s="3" t="s">
        <v>410</v>
      </c>
      <c r="I139" s="3">
        <f>IF(H139="","",IF(H139="DNS",0,IF(H139="DQ",0,IF(H139="DNF",1,IF(AND(ISNUMBER(H139),H139&gt;59),1,_xlfn.XLOOKUP(H139,tbl_points[Place],tbl_points[Points],""))))))</f>
        <v>0</v>
      </c>
      <c r="J139" s="3" t="s">
        <v>410</v>
      </c>
      <c r="K139" s="3">
        <f>IF(J139="","",IF(J139="DNS",0,IF(J139="DQ",0,IF(J139="DNF",1,IF(AND(ISNUMBER(J139),J139&gt;59),1,_xlfn.XLOOKUP(J139,tbl_points[Place],tbl_points[Points],""))))))</f>
        <v>0</v>
      </c>
      <c r="L139" s="3" t="s">
        <v>410</v>
      </c>
      <c r="M139" s="3">
        <f>IF(L139="","",IF(L139="DNS",0,IF(L139="DQ",0,IF(L139="DNF",1,IF(AND(ISNUMBER(L139),L139&gt;59),1,_xlfn.XLOOKUP(L139,tbl_points[Place],tbl_points[Points],""))))))</f>
        <v>0</v>
      </c>
      <c r="N139" s="3">
        <v>3</v>
      </c>
      <c r="O139" s="3">
        <f>IF(N139="","",IF(N139="DNS",0,IF(N139="DQ",0,IF(N139="DNF",1,IF(AND(ISNUMBER(N139),N139&gt;59),1,_xlfn.XLOOKUP(N139,tbl_points[Place],tbl_points[Points],""))))))</f>
        <v>90</v>
      </c>
      <c r="P139" s="3">
        <v>6</v>
      </c>
      <c r="Q139" s="3">
        <f>IF(P139="","",IF(P139="DNS",0,IF(P139="DQ",0,IF(P139="DNF",1,IF(AND(ISNUMBER(P139),P139&gt;59),1,_xlfn.XLOOKUP(P139,tbl_points[Place],tbl_points[Points],""))))))</f>
        <v>75</v>
      </c>
      <c r="S139" s="3" t="str">
        <f>IF(R139="","",IF(R139="DNS",0,IF(R139="DQ",0,IF(R139="DNF",1,IF(AND(ISNUMBER(R139),R139&gt;59),1,_xlfn.XLOOKUP(R139,tbl_points[Place],tbl_points[Points],""))))))</f>
        <v/>
      </c>
      <c r="T139" s="3">
        <f>SUM(tbl_individual[[#This Row],[R1 Pts]],tbl_individual[[#This Row],[R2 Pts]],tbl_individual[[#This Row],[R3 Pts]],tbl_individual[[#This Row],[R4 Pts]],tbl_individual[[#This Row],[R5 Pts]],tbl_individual[[#This Row],[R6 Pts]])</f>
        <v>165</v>
      </c>
      <c r="U13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39" s="3">
        <f>tbl_individual[[#This Row],[Total]]</f>
        <v>165</v>
      </c>
    </row>
    <row r="140" spans="1:22" hidden="1" x14ac:dyDescent="0.4">
      <c r="A140" t="s">
        <v>175</v>
      </c>
      <c r="B140" t="s">
        <v>18</v>
      </c>
      <c r="C140" t="s">
        <v>4</v>
      </c>
      <c r="D140" s="3">
        <v>1032</v>
      </c>
      <c r="E140" s="3" t="s">
        <v>421</v>
      </c>
      <c r="G140" s="3" t="s">
        <v>403</v>
      </c>
      <c r="H140" s="3" t="s">
        <v>410</v>
      </c>
      <c r="I140" s="3">
        <f>IF(H140="","",IF(H140="DNS",0,IF(H140="DQ",0,IF(H140="DNF",1,IF(AND(ISNUMBER(H140),H140&gt;59),1,_xlfn.XLOOKUP(H140,tbl_points[Place],tbl_points[Points],""))))))</f>
        <v>0</v>
      </c>
      <c r="J140" s="3" t="s">
        <v>410</v>
      </c>
      <c r="K140" s="3">
        <f>IF(J140="","",IF(J140="DNS",0,IF(J140="DQ",0,IF(J140="DNF",1,IF(AND(ISNUMBER(J140),J140&gt;59),1,_xlfn.XLOOKUP(J140,tbl_points[Place],tbl_points[Points],""))))))</f>
        <v>0</v>
      </c>
      <c r="L140" s="3">
        <v>11</v>
      </c>
      <c r="M140" s="3">
        <f>IF(L140="","",IF(L140="DNS",0,IF(L140="DQ",0,IF(L140="DNF",1,IF(AND(ISNUMBER(L140),L140&gt;59),1,_xlfn.XLOOKUP(L140,tbl_points[Place],tbl_points[Points],""))))))</f>
        <v>53</v>
      </c>
      <c r="N140" s="3">
        <v>13</v>
      </c>
      <c r="O140" s="3">
        <f>IF(N140="","",IF(N140="DNS",0,IF(N140="DQ",0,IF(N140="DNF",1,IF(AND(ISNUMBER(N140),N140&gt;59),1,_xlfn.XLOOKUP(N140,tbl_points[Place],tbl_points[Points],""))))))</f>
        <v>49</v>
      </c>
      <c r="P140" s="3" t="s">
        <v>410</v>
      </c>
      <c r="Q140" s="3">
        <f>IF(P140="","",IF(P140="DNS",0,IF(P140="DQ",0,IF(P140="DNF",1,IF(AND(ISNUMBER(P140),P140&gt;59),1,_xlfn.XLOOKUP(P140,tbl_points[Place],tbl_points[Points],""))))))</f>
        <v>0</v>
      </c>
      <c r="S140" s="3" t="str">
        <f>IF(R140="","",IF(R140="DNS",0,IF(R140="DQ",0,IF(R140="DNF",1,IF(AND(ISNUMBER(R140),R140&gt;59),1,_xlfn.XLOOKUP(R140,tbl_points[Place],tbl_points[Points],""))))))</f>
        <v/>
      </c>
      <c r="T140" s="3">
        <f>SUM(tbl_individual[[#This Row],[R1 Pts]],tbl_individual[[#This Row],[R2 Pts]],tbl_individual[[#This Row],[R3 Pts]],tbl_individual[[#This Row],[R4 Pts]],tbl_individual[[#This Row],[R5 Pts]],tbl_individual[[#This Row],[R6 Pts]])</f>
        <v>102</v>
      </c>
      <c r="U14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40" s="3">
        <f>tbl_individual[[#This Row],[Total]]</f>
        <v>102</v>
      </c>
    </row>
    <row r="141" spans="1:22" hidden="1" x14ac:dyDescent="0.4">
      <c r="A141" t="s">
        <v>176</v>
      </c>
      <c r="B141" t="s">
        <v>19</v>
      </c>
      <c r="C141" t="s">
        <v>5</v>
      </c>
      <c r="D141" s="3">
        <v>918</v>
      </c>
      <c r="E141" s="3" t="s">
        <v>421</v>
      </c>
      <c r="G141" s="3" t="s">
        <v>407</v>
      </c>
      <c r="H141" s="3" t="s">
        <v>410</v>
      </c>
      <c r="I141" s="3">
        <f>IF(H141="","",IF(H141="DNS",0,IF(H141="DQ",0,IF(H141="DNF",1,IF(AND(ISNUMBER(H141),H141&gt;59),1,_xlfn.XLOOKUP(H141,tbl_points[Place],tbl_points[Points],""))))))</f>
        <v>0</v>
      </c>
      <c r="J141" s="3" t="s">
        <v>410</v>
      </c>
      <c r="K141" s="3">
        <f>IF(J141="","",IF(J141="DNS",0,IF(J141="DQ",0,IF(J141="DNF",1,IF(AND(ISNUMBER(J141),J141&gt;59),1,_xlfn.XLOOKUP(J141,tbl_points[Place],tbl_points[Points],""))))))</f>
        <v>0</v>
      </c>
      <c r="L141" s="3" t="s">
        <v>410</v>
      </c>
      <c r="M141" s="3">
        <f>IF(L141="","",IF(L141="DNS",0,IF(L141="DQ",0,IF(L141="DNF",1,IF(AND(ISNUMBER(L141),L141&gt;59),1,_xlfn.XLOOKUP(L141,tbl_points[Place],tbl_points[Points],""))))))</f>
        <v>0</v>
      </c>
      <c r="N141" s="3" t="s">
        <v>410</v>
      </c>
      <c r="O141" s="3">
        <f>IF(N141="","",IF(N141="DNS",0,IF(N141="DQ",0,IF(N141="DNF",1,IF(AND(ISNUMBER(N141),N141&gt;59),1,_xlfn.XLOOKUP(N141,tbl_points[Place],tbl_points[Points],""))))))</f>
        <v>0</v>
      </c>
      <c r="P141" s="3" t="s">
        <v>410</v>
      </c>
      <c r="Q141" s="3">
        <f>IF(P141="","",IF(P141="DNS",0,IF(P141="DQ",0,IF(P141="DNF",1,IF(AND(ISNUMBER(P141),P141&gt;59),1,_xlfn.XLOOKUP(P141,tbl_points[Place],tbl_points[Points],""))))))</f>
        <v>0</v>
      </c>
      <c r="S141" s="3" t="str">
        <f>IF(R141="","",IF(R141="DNS",0,IF(R141="DQ",0,IF(R141="DNF",1,IF(AND(ISNUMBER(R141),R141&gt;59),1,_xlfn.XLOOKUP(R141,tbl_points[Place],tbl_points[Points],""))))))</f>
        <v/>
      </c>
      <c r="T141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14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41" s="3">
        <f>tbl_individual[[#This Row],[Total]]</f>
        <v>0</v>
      </c>
    </row>
    <row r="142" spans="1:22" hidden="1" x14ac:dyDescent="0.4">
      <c r="A142" t="s">
        <v>177</v>
      </c>
      <c r="B142" t="s">
        <v>19</v>
      </c>
      <c r="C142" t="s">
        <v>3</v>
      </c>
      <c r="D142" s="3">
        <v>10162</v>
      </c>
      <c r="E142" s="3" t="s">
        <v>421</v>
      </c>
      <c r="G142" s="3" t="s">
        <v>407</v>
      </c>
      <c r="H142" s="3" t="s">
        <v>410</v>
      </c>
      <c r="I142" s="3">
        <f>IF(H142="","",IF(H142="DNS",0,IF(H142="DQ",0,IF(H142="DNF",1,IF(AND(ISNUMBER(H142),H142&gt;59),1,_xlfn.XLOOKUP(H142,tbl_points[Place],tbl_points[Points],""))))))</f>
        <v>0</v>
      </c>
      <c r="J142" s="3">
        <v>24</v>
      </c>
      <c r="K142" s="3">
        <f>IF(J142="","",IF(J142="DNS",0,IF(J142="DQ",0,IF(J142="DNF",1,IF(AND(ISNUMBER(J142),J142&gt;59),1,_xlfn.XLOOKUP(J142,tbl_points[Place],tbl_points[Points],""))))))</f>
        <v>36</v>
      </c>
      <c r="L142" s="3" t="s">
        <v>410</v>
      </c>
      <c r="M142" s="3">
        <f>IF(L142="","",IF(L142="DNS",0,IF(L142="DQ",0,IF(L142="DNF",1,IF(AND(ISNUMBER(L142),L142&gt;59),1,_xlfn.XLOOKUP(L142,tbl_points[Place],tbl_points[Points],""))))))</f>
        <v>0</v>
      </c>
      <c r="N142" s="3">
        <v>40</v>
      </c>
      <c r="O142" s="3">
        <f>IF(N142="","",IF(N142="DNS",0,IF(N142="DQ",0,IF(N142="DNF",1,IF(AND(ISNUMBER(N142),N142&gt;59),1,_xlfn.XLOOKUP(N142,tbl_points[Place],tbl_points[Points],""))))))</f>
        <v>20</v>
      </c>
      <c r="P142" s="3">
        <v>38</v>
      </c>
      <c r="Q142" s="3">
        <f>IF(P142="","",IF(P142="DNS",0,IF(P142="DQ",0,IF(P142="DNF",1,IF(AND(ISNUMBER(P142),P142&gt;59),1,_xlfn.XLOOKUP(P142,tbl_points[Place],tbl_points[Points],""))))))</f>
        <v>22</v>
      </c>
      <c r="S142" s="3" t="str">
        <f>IF(R142="","",IF(R142="DNS",0,IF(R142="DQ",0,IF(R142="DNF",1,IF(AND(ISNUMBER(R142),R142&gt;59),1,_xlfn.XLOOKUP(R142,tbl_points[Place],tbl_points[Points],""))))))</f>
        <v/>
      </c>
      <c r="T142" s="3">
        <f>SUM(tbl_individual[[#This Row],[R1 Pts]],tbl_individual[[#This Row],[R2 Pts]],tbl_individual[[#This Row],[R3 Pts]],tbl_individual[[#This Row],[R4 Pts]],tbl_individual[[#This Row],[R5 Pts]],tbl_individual[[#This Row],[R6 Pts]])</f>
        <v>78</v>
      </c>
      <c r="U14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42" s="3">
        <f>tbl_individual[[#This Row],[Total]]</f>
        <v>78</v>
      </c>
    </row>
    <row r="143" spans="1:22" hidden="1" x14ac:dyDescent="0.4">
      <c r="A143" t="s">
        <v>178</v>
      </c>
      <c r="B143" t="s">
        <v>19</v>
      </c>
      <c r="C143" t="s">
        <v>3</v>
      </c>
      <c r="D143" s="3">
        <v>10163</v>
      </c>
      <c r="E143" s="3" t="s">
        <v>421</v>
      </c>
      <c r="G143" s="3" t="s">
        <v>407</v>
      </c>
      <c r="H143" s="3" t="s">
        <v>410</v>
      </c>
      <c r="I143" s="3">
        <f>IF(H143="","",IF(H143="DNS",0,IF(H143="DQ",0,IF(H143="DNF",1,IF(AND(ISNUMBER(H143),H143&gt;59),1,_xlfn.XLOOKUP(H143,tbl_points[Place],tbl_points[Points],""))))))</f>
        <v>0</v>
      </c>
      <c r="J143" s="3" t="s">
        <v>410</v>
      </c>
      <c r="K143" s="3">
        <f>IF(J143="","",IF(J143="DNS",0,IF(J143="DQ",0,IF(J143="DNF",1,IF(AND(ISNUMBER(J143),J143&gt;59),1,_xlfn.XLOOKUP(J143,tbl_points[Place],tbl_points[Points],""))))))</f>
        <v>0</v>
      </c>
      <c r="L143" s="3" t="s">
        <v>410</v>
      </c>
      <c r="M143" s="3">
        <f>IF(L143="","",IF(L143="DNS",0,IF(L143="DQ",0,IF(L143="DNF",1,IF(AND(ISNUMBER(L143),L143&gt;59),1,_xlfn.XLOOKUP(L143,tbl_points[Place],tbl_points[Points],""))))))</f>
        <v>0</v>
      </c>
      <c r="N143" s="3">
        <v>35</v>
      </c>
      <c r="O143" s="3">
        <f>IF(N143="","",IF(N143="DNS",0,IF(N143="DQ",0,IF(N143="DNF",1,IF(AND(ISNUMBER(N143),N143&gt;59),1,_xlfn.XLOOKUP(N143,tbl_points[Place],tbl_points[Points],""))))))</f>
        <v>25</v>
      </c>
      <c r="P143" s="3">
        <v>39</v>
      </c>
      <c r="Q143" s="3">
        <f>IF(P143="","",IF(P143="DNS",0,IF(P143="DQ",0,IF(P143="DNF",1,IF(AND(ISNUMBER(P143),P143&gt;59),1,_xlfn.XLOOKUP(P143,tbl_points[Place],tbl_points[Points],""))))))</f>
        <v>21</v>
      </c>
      <c r="S143" s="3" t="str">
        <f>IF(R143="","",IF(R143="DNS",0,IF(R143="DQ",0,IF(R143="DNF",1,IF(AND(ISNUMBER(R143),R143&gt;59),1,_xlfn.XLOOKUP(R143,tbl_points[Place],tbl_points[Points],""))))))</f>
        <v/>
      </c>
      <c r="T143" s="3">
        <f>SUM(tbl_individual[[#This Row],[R1 Pts]],tbl_individual[[#This Row],[R2 Pts]],tbl_individual[[#This Row],[R3 Pts]],tbl_individual[[#This Row],[R4 Pts]],tbl_individual[[#This Row],[R5 Pts]],tbl_individual[[#This Row],[R6 Pts]])</f>
        <v>46</v>
      </c>
      <c r="U14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43" s="3">
        <f>tbl_individual[[#This Row],[Total]]</f>
        <v>46</v>
      </c>
    </row>
    <row r="144" spans="1:22" hidden="1" x14ac:dyDescent="0.4">
      <c r="A144" t="s">
        <v>179</v>
      </c>
      <c r="B144" t="s">
        <v>19</v>
      </c>
      <c r="C144" t="s">
        <v>3</v>
      </c>
      <c r="D144" s="3">
        <v>10164</v>
      </c>
      <c r="E144" s="3" t="s">
        <v>421</v>
      </c>
      <c r="G144" s="3" t="s">
        <v>407</v>
      </c>
      <c r="H144" s="3" t="s">
        <v>410</v>
      </c>
      <c r="I144" s="3">
        <f>IF(H144="","",IF(H144="DNS",0,IF(H144="DQ",0,IF(H144="DNF",1,IF(AND(ISNUMBER(H144),H144&gt;59),1,_xlfn.XLOOKUP(H144,tbl_points[Place],tbl_points[Points],""))))))</f>
        <v>0</v>
      </c>
      <c r="J144" s="3" t="s">
        <v>410</v>
      </c>
      <c r="K144" s="3">
        <f>IF(J144="","",IF(J144="DNS",0,IF(J144="DQ",0,IF(J144="DNF",1,IF(AND(ISNUMBER(J144),J144&gt;59),1,_xlfn.XLOOKUP(J144,tbl_points[Place],tbl_points[Points],""))))))</f>
        <v>0</v>
      </c>
      <c r="L144" s="3" t="s">
        <v>410</v>
      </c>
      <c r="M144" s="3">
        <f>IF(L144="","",IF(L144="DNS",0,IF(L144="DQ",0,IF(L144="DNF",1,IF(AND(ISNUMBER(L144),L144&gt;59),1,_xlfn.XLOOKUP(L144,tbl_points[Place],tbl_points[Points],""))))))</f>
        <v>0</v>
      </c>
      <c r="N144" s="3">
        <v>55</v>
      </c>
      <c r="O144" s="3">
        <f>IF(N144="","",IF(N144="DNS",0,IF(N144="DQ",0,IF(N144="DNF",1,IF(AND(ISNUMBER(N144),N144&gt;59),1,_xlfn.XLOOKUP(N144,tbl_points[Place],tbl_points[Points],""))))))</f>
        <v>5</v>
      </c>
      <c r="P144" s="3" t="s">
        <v>409</v>
      </c>
      <c r="Q144" s="3">
        <f>IF(P144="","",IF(P144="DNS",0,IF(P144="DQ",0,IF(P144="DNF",1,IF(AND(ISNUMBER(P144),P144&gt;59),1,_xlfn.XLOOKUP(P144,tbl_points[Place],tbl_points[Points],""))))))</f>
        <v>1</v>
      </c>
      <c r="S144" s="3" t="str">
        <f>IF(R144="","",IF(R144="DNS",0,IF(R144="DQ",0,IF(R144="DNF",1,IF(AND(ISNUMBER(R144),R144&gt;59),1,_xlfn.XLOOKUP(R144,tbl_points[Place],tbl_points[Points],""))))))</f>
        <v/>
      </c>
      <c r="T144" s="3">
        <f>SUM(tbl_individual[[#This Row],[R1 Pts]],tbl_individual[[#This Row],[R2 Pts]],tbl_individual[[#This Row],[R3 Pts]],tbl_individual[[#This Row],[R4 Pts]],tbl_individual[[#This Row],[R5 Pts]],tbl_individual[[#This Row],[R6 Pts]])</f>
        <v>6</v>
      </c>
      <c r="U14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44" s="3">
        <f>tbl_individual[[#This Row],[Total]]</f>
        <v>6</v>
      </c>
    </row>
    <row r="145" spans="1:22" hidden="1" x14ac:dyDescent="0.4">
      <c r="A145" t="s">
        <v>180</v>
      </c>
      <c r="B145" t="s">
        <v>19</v>
      </c>
      <c r="C145" t="s">
        <v>1</v>
      </c>
      <c r="D145" s="3">
        <v>12036</v>
      </c>
      <c r="E145" s="3" t="s">
        <v>421</v>
      </c>
      <c r="G145" s="3" t="s">
        <v>407</v>
      </c>
      <c r="H145" s="3" t="s">
        <v>410</v>
      </c>
      <c r="I145" s="3">
        <f>IF(H145="","",IF(H145="DNS",0,IF(H145="DQ",0,IF(H145="DNF",1,IF(AND(ISNUMBER(H145),H145&gt;59),1,_xlfn.XLOOKUP(H145,tbl_points[Place],tbl_points[Points],""))))))</f>
        <v>0</v>
      </c>
      <c r="J145" s="3" t="s">
        <v>410</v>
      </c>
      <c r="K145" s="3">
        <f>IF(J145="","",IF(J145="DNS",0,IF(J145="DQ",0,IF(J145="DNF",1,IF(AND(ISNUMBER(J145),J145&gt;59),1,_xlfn.XLOOKUP(J145,tbl_points[Place],tbl_points[Points],""))))))</f>
        <v>0</v>
      </c>
      <c r="L145" s="3" t="s">
        <v>410</v>
      </c>
      <c r="M145" s="3">
        <f>IF(L145="","",IF(L145="DNS",0,IF(L145="DQ",0,IF(L145="DNF",1,IF(AND(ISNUMBER(L145),L145&gt;59),1,_xlfn.XLOOKUP(L145,tbl_points[Place],tbl_points[Points],""))))))</f>
        <v>0</v>
      </c>
      <c r="N145" s="3">
        <v>53</v>
      </c>
      <c r="O145" s="3">
        <f>IF(N145="","",IF(N145="DNS",0,IF(N145="DQ",0,IF(N145="DNF",1,IF(AND(ISNUMBER(N145),N145&gt;59),1,_xlfn.XLOOKUP(N145,tbl_points[Place],tbl_points[Points],""))))))</f>
        <v>7</v>
      </c>
      <c r="P145" s="3" t="s">
        <v>410</v>
      </c>
      <c r="Q145" s="3">
        <f>IF(P145="","",IF(P145="DNS",0,IF(P145="DQ",0,IF(P145="DNF",1,IF(AND(ISNUMBER(P145),P145&gt;59),1,_xlfn.XLOOKUP(P145,tbl_points[Place],tbl_points[Points],""))))))</f>
        <v>0</v>
      </c>
      <c r="S145" s="3" t="str">
        <f>IF(R145="","",IF(R145="DNS",0,IF(R145="DQ",0,IF(R145="DNF",1,IF(AND(ISNUMBER(R145),R145&gt;59),1,_xlfn.XLOOKUP(R145,tbl_points[Place],tbl_points[Points],""))))))</f>
        <v/>
      </c>
      <c r="T145" s="3">
        <f>SUM(tbl_individual[[#This Row],[R1 Pts]],tbl_individual[[#This Row],[R2 Pts]],tbl_individual[[#This Row],[R3 Pts]],tbl_individual[[#This Row],[R4 Pts]],tbl_individual[[#This Row],[R5 Pts]],tbl_individual[[#This Row],[R6 Pts]])</f>
        <v>7</v>
      </c>
      <c r="U14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45" s="3">
        <f>tbl_individual[[#This Row],[Total]]</f>
        <v>7</v>
      </c>
    </row>
    <row r="146" spans="1:22" hidden="1" x14ac:dyDescent="0.4">
      <c r="A146" t="s">
        <v>181</v>
      </c>
      <c r="B146" t="s">
        <v>19</v>
      </c>
      <c r="C146" t="s">
        <v>1</v>
      </c>
      <c r="D146" s="3">
        <v>12037</v>
      </c>
      <c r="E146" s="3" t="s">
        <v>421</v>
      </c>
      <c r="G146" s="3" t="s">
        <v>407</v>
      </c>
      <c r="H146" s="3" t="s">
        <v>410</v>
      </c>
      <c r="I146" s="3">
        <f>IF(H146="","",IF(H146="DNS",0,IF(H146="DQ",0,IF(H146="DNF",1,IF(AND(ISNUMBER(H146),H146&gt;59),1,_xlfn.XLOOKUP(H146,tbl_points[Place],tbl_points[Points],""))))))</f>
        <v>0</v>
      </c>
      <c r="J146" s="3" t="s">
        <v>410</v>
      </c>
      <c r="K146" s="3">
        <f>IF(J146="","",IF(J146="DNS",0,IF(J146="DQ",0,IF(J146="DNF",1,IF(AND(ISNUMBER(J146),J146&gt;59),1,_xlfn.XLOOKUP(J146,tbl_points[Place],tbl_points[Points],""))))))</f>
        <v>0</v>
      </c>
      <c r="L146" s="3" t="s">
        <v>410</v>
      </c>
      <c r="M146" s="3">
        <f>IF(L146="","",IF(L146="DNS",0,IF(L146="DQ",0,IF(L146="DNF",1,IF(AND(ISNUMBER(L146),L146&gt;59),1,_xlfn.XLOOKUP(L146,tbl_points[Place],tbl_points[Points],""))))))</f>
        <v>0</v>
      </c>
      <c r="N146" s="3" t="s">
        <v>410</v>
      </c>
      <c r="O146" s="3">
        <f>IF(N146="","",IF(N146="DNS",0,IF(N146="DQ",0,IF(N146="DNF",1,IF(AND(ISNUMBER(N146),N146&gt;59),1,_xlfn.XLOOKUP(N146,tbl_points[Place],tbl_points[Points],""))))))</f>
        <v>0</v>
      </c>
      <c r="P146" s="3" t="s">
        <v>409</v>
      </c>
      <c r="Q146" s="3">
        <f>IF(P146="","",IF(P146="DNS",0,IF(P146="DQ",0,IF(P146="DNF",1,IF(AND(ISNUMBER(P146),P146&gt;59),1,_xlfn.XLOOKUP(P146,tbl_points[Place],tbl_points[Points],""))))))</f>
        <v>1</v>
      </c>
      <c r="S146" s="3" t="str">
        <f>IF(R146="","",IF(R146="DNS",0,IF(R146="DQ",0,IF(R146="DNF",1,IF(AND(ISNUMBER(R146),R146&gt;59),1,_xlfn.XLOOKUP(R146,tbl_points[Place],tbl_points[Points],""))))))</f>
        <v/>
      </c>
      <c r="T146" s="3">
        <f>SUM(tbl_individual[[#This Row],[R1 Pts]],tbl_individual[[#This Row],[R2 Pts]],tbl_individual[[#This Row],[R3 Pts]],tbl_individual[[#This Row],[R4 Pts]],tbl_individual[[#This Row],[R5 Pts]],tbl_individual[[#This Row],[R6 Pts]])</f>
        <v>1</v>
      </c>
      <c r="U14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46" s="3">
        <f>tbl_individual[[#This Row],[Total]]</f>
        <v>1</v>
      </c>
    </row>
    <row r="147" spans="1:22" hidden="1" x14ac:dyDescent="0.4">
      <c r="A147" t="s">
        <v>182</v>
      </c>
      <c r="B147" t="s">
        <v>20</v>
      </c>
      <c r="C147" t="s">
        <v>7</v>
      </c>
      <c r="D147" s="3">
        <v>809</v>
      </c>
      <c r="E147" s="3" t="s">
        <v>421</v>
      </c>
      <c r="G147" s="3" t="s">
        <v>403</v>
      </c>
      <c r="H147" s="3">
        <v>34</v>
      </c>
      <c r="I147" s="3">
        <f>IF(H147="","",IF(H147="DNS",0,IF(H147="DQ",0,IF(H147="DNF",1,IF(AND(ISNUMBER(H147),H147&gt;59),1,_xlfn.XLOOKUP(H147,tbl_points[Place],tbl_points[Points],""))))))</f>
        <v>26</v>
      </c>
      <c r="J147" s="3">
        <v>45</v>
      </c>
      <c r="K147" s="3">
        <f>IF(J147="","",IF(J147="DNS",0,IF(J147="DQ",0,IF(J147="DNF",1,IF(AND(ISNUMBER(J147),J147&gt;59),1,_xlfn.XLOOKUP(J147,tbl_points[Place],tbl_points[Points],""))))))</f>
        <v>15</v>
      </c>
      <c r="L147" s="3">
        <v>33</v>
      </c>
      <c r="M147" s="3">
        <f>IF(L147="","",IF(L147="DNS",0,IF(L147="DQ",0,IF(L147="DNF",1,IF(AND(ISNUMBER(L147),L147&gt;59),1,_xlfn.XLOOKUP(L147,tbl_points[Place],tbl_points[Points],""))))))</f>
        <v>27</v>
      </c>
      <c r="N147" s="3">
        <v>31</v>
      </c>
      <c r="O147" s="3">
        <f>IF(N147="","",IF(N147="DNS",0,IF(N147="DQ",0,IF(N147="DNF",1,IF(AND(ISNUMBER(N147),N147&gt;59),1,_xlfn.XLOOKUP(N147,tbl_points[Place],tbl_points[Points],""))))))</f>
        <v>29</v>
      </c>
      <c r="P147" s="3">
        <v>41</v>
      </c>
      <c r="Q147" s="3">
        <f>IF(P147="","",IF(P147="DNS",0,IF(P147="DQ",0,IF(P147="DNF",1,IF(AND(ISNUMBER(P147),P147&gt;59),1,_xlfn.XLOOKUP(P147,tbl_points[Place],tbl_points[Points],""))))))</f>
        <v>19</v>
      </c>
      <c r="S147" s="3" t="str">
        <f>IF(R147="","",IF(R147="DNS",0,IF(R147="DQ",0,IF(R147="DNF",1,IF(AND(ISNUMBER(R147),R147&gt;59),1,_xlfn.XLOOKUP(R147,tbl_points[Place],tbl_points[Points],""))))))</f>
        <v/>
      </c>
      <c r="T147" s="3">
        <f>SUM(tbl_individual[[#This Row],[R1 Pts]],tbl_individual[[#This Row],[R2 Pts]],tbl_individual[[#This Row],[R3 Pts]],tbl_individual[[#This Row],[R4 Pts]],tbl_individual[[#This Row],[R5 Pts]],tbl_individual[[#This Row],[R6 Pts]])</f>
        <v>116</v>
      </c>
      <c r="U147" s="3">
        <f>MIN(tbl_individual[[#This Row],[R1 Pts]],tbl_individual[[#This Row],[R2 Pts]],tbl_individual[[#This Row],[R3 Pts]],tbl_individual[[#This Row],[R4 Pts]],tbl_individual[[#This Row],[R5 Pts]],tbl_individual[[#This Row],[R6 Pts]])</f>
        <v>15</v>
      </c>
      <c r="V147" s="3">
        <f>tbl_individual[[#This Row],[Total]]</f>
        <v>116</v>
      </c>
    </row>
    <row r="148" spans="1:22" hidden="1" x14ac:dyDescent="0.4">
      <c r="A148" t="s">
        <v>183</v>
      </c>
      <c r="B148" t="s">
        <v>20</v>
      </c>
      <c r="C148" t="s">
        <v>7</v>
      </c>
      <c r="D148" s="3">
        <v>810</v>
      </c>
      <c r="E148" s="3" t="s">
        <v>421</v>
      </c>
      <c r="G148" s="3" t="s">
        <v>403</v>
      </c>
      <c r="H148" s="3">
        <v>17</v>
      </c>
      <c r="I148" s="3">
        <f>IF(H148="","",IF(H148="DNS",0,IF(H148="DQ",0,IF(H148="DNF",1,IF(AND(ISNUMBER(H148),H148&gt;59),1,_xlfn.XLOOKUP(H148,tbl_points[Place],tbl_points[Points],""))))))</f>
        <v>43</v>
      </c>
      <c r="J148" s="3">
        <v>18</v>
      </c>
      <c r="K148" s="3">
        <f>IF(J148="","",IF(J148="DNS",0,IF(J148="DQ",0,IF(J148="DNF",1,IF(AND(ISNUMBER(J148),J148&gt;59),1,_xlfn.XLOOKUP(J148,tbl_points[Place],tbl_points[Points],""))))))</f>
        <v>42</v>
      </c>
      <c r="L148" s="3">
        <v>9</v>
      </c>
      <c r="M148" s="3">
        <f>IF(L148="","",IF(L148="DNS",0,IF(L148="DQ",0,IF(L148="DNF",1,IF(AND(ISNUMBER(L148),L148&gt;59),1,_xlfn.XLOOKUP(L148,tbl_points[Place],tbl_points[Points],""))))))</f>
        <v>60</v>
      </c>
      <c r="N148" s="3">
        <v>19</v>
      </c>
      <c r="O148" s="3">
        <f>IF(N148="","",IF(N148="DNS",0,IF(N148="DQ",0,IF(N148="DNF",1,IF(AND(ISNUMBER(N148),N148&gt;59),1,_xlfn.XLOOKUP(N148,tbl_points[Place],tbl_points[Points],""))))))</f>
        <v>41</v>
      </c>
      <c r="P148" s="3">
        <v>20</v>
      </c>
      <c r="Q148" s="3">
        <f>IF(P148="","",IF(P148="DNS",0,IF(P148="DQ",0,IF(P148="DNF",1,IF(AND(ISNUMBER(P148),P148&gt;59),1,_xlfn.XLOOKUP(P148,tbl_points[Place],tbl_points[Points],""))))))</f>
        <v>40</v>
      </c>
      <c r="S148" s="3" t="str">
        <f>IF(R148="","",IF(R148="DNS",0,IF(R148="DQ",0,IF(R148="DNF",1,IF(AND(ISNUMBER(R148),R148&gt;59),1,_xlfn.XLOOKUP(R148,tbl_points[Place],tbl_points[Points],""))))))</f>
        <v/>
      </c>
      <c r="T148" s="3">
        <f>SUM(tbl_individual[[#This Row],[R1 Pts]],tbl_individual[[#This Row],[R2 Pts]],tbl_individual[[#This Row],[R3 Pts]],tbl_individual[[#This Row],[R4 Pts]],tbl_individual[[#This Row],[R5 Pts]],tbl_individual[[#This Row],[R6 Pts]])</f>
        <v>226</v>
      </c>
      <c r="U148" s="3">
        <f>MIN(tbl_individual[[#This Row],[R1 Pts]],tbl_individual[[#This Row],[R2 Pts]],tbl_individual[[#This Row],[R3 Pts]],tbl_individual[[#This Row],[R4 Pts]],tbl_individual[[#This Row],[R5 Pts]],tbl_individual[[#This Row],[R6 Pts]])</f>
        <v>40</v>
      </c>
      <c r="V148" s="3">
        <f>tbl_individual[[#This Row],[Total]]</f>
        <v>226</v>
      </c>
    </row>
    <row r="149" spans="1:22" hidden="1" x14ac:dyDescent="0.4">
      <c r="A149" t="s">
        <v>436</v>
      </c>
      <c r="B149" t="s">
        <v>20</v>
      </c>
      <c r="C149" t="s">
        <v>7</v>
      </c>
      <c r="D149" s="3">
        <v>811</v>
      </c>
      <c r="E149" s="3" t="s">
        <v>421</v>
      </c>
      <c r="F149" s="17" t="s">
        <v>438</v>
      </c>
      <c r="G149" s="3" t="s">
        <v>403</v>
      </c>
      <c r="H149" s="3" t="s">
        <v>410</v>
      </c>
      <c r="I149" s="3">
        <f>IF(H149="","",IF(H149="DNS",0,IF(H149="DQ",0,IF(H149="DNF",1,IF(AND(ISNUMBER(H149),H149&gt;59),1,_xlfn.XLOOKUP(H149,tbl_points[Place],tbl_points[Points],""))))))</f>
        <v>0</v>
      </c>
      <c r="J149" s="3" t="s">
        <v>410</v>
      </c>
      <c r="K149" s="3">
        <f>IF(J149="","",IF(J149="DNS",0,IF(J149="DQ",0,IF(J149="DNF",1,IF(AND(ISNUMBER(J149),J149&gt;59),1,_xlfn.XLOOKUP(J149,tbl_points[Place],tbl_points[Points],""))))))</f>
        <v>0</v>
      </c>
      <c r="L149" s="3">
        <v>3</v>
      </c>
      <c r="M149" s="3">
        <f>IF(L149="","",IF(L149="DNS",0,IF(L149="DQ",0,IF(L149="DNF",1,IF(AND(ISNUMBER(L149),L149&gt;59),1,_xlfn.XLOOKUP(L149,tbl_points[Place],tbl_points[Points],""))))))</f>
        <v>90</v>
      </c>
      <c r="N149" s="3">
        <v>12</v>
      </c>
      <c r="O149" s="3">
        <f>IF(N149="","",IF(N149="DNS",0,IF(N149="DQ",0,IF(N149="DNF",1,IF(AND(ISNUMBER(N149),N149&gt;59),1,_xlfn.XLOOKUP(N149,tbl_points[Place],tbl_points[Points],""))))))</f>
        <v>51</v>
      </c>
      <c r="P149" s="3">
        <v>10</v>
      </c>
      <c r="Q149" s="3">
        <f>IF(P149="","",IF(P149="DNS",0,IF(P149="DQ",0,IF(P149="DNF",1,IF(AND(ISNUMBER(P149),P149&gt;59),1,_xlfn.XLOOKUP(P149,tbl_points[Place],tbl_points[Points],""))))))</f>
        <v>55</v>
      </c>
      <c r="S149" s="3" t="str">
        <f>IF(R149="","",IF(R149="DNS",0,IF(R149="DQ",0,IF(R149="DNF",1,IF(AND(ISNUMBER(R149),R149&gt;59),1,_xlfn.XLOOKUP(R149,tbl_points[Place],tbl_points[Points],""))))))</f>
        <v/>
      </c>
      <c r="T149" s="3">
        <f>SUM(tbl_individual[[#This Row],[R1 Pts]],tbl_individual[[#This Row],[R2 Pts]],tbl_individual[[#This Row],[R3 Pts]],tbl_individual[[#This Row],[R4 Pts]],tbl_individual[[#This Row],[R5 Pts]],tbl_individual[[#This Row],[R6 Pts]])</f>
        <v>196</v>
      </c>
      <c r="U14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49" s="3">
        <f>tbl_individual[[#This Row],[Total]]</f>
        <v>196</v>
      </c>
    </row>
    <row r="150" spans="1:22" hidden="1" x14ac:dyDescent="0.4">
      <c r="A150" t="s">
        <v>185</v>
      </c>
      <c r="B150" t="s">
        <v>20</v>
      </c>
      <c r="C150" t="s">
        <v>7</v>
      </c>
      <c r="D150" s="3">
        <v>812</v>
      </c>
      <c r="E150" s="3" t="s">
        <v>421</v>
      </c>
      <c r="G150" s="3" t="s">
        <v>403</v>
      </c>
      <c r="H150" s="3">
        <v>31</v>
      </c>
      <c r="I150" s="3">
        <f>IF(H150="","",IF(H150="DNS",0,IF(H150="DQ",0,IF(H150="DNF",1,IF(AND(ISNUMBER(H150),H150&gt;59),1,_xlfn.XLOOKUP(H150,tbl_points[Place],tbl_points[Points],""))))))</f>
        <v>29</v>
      </c>
      <c r="J150" s="3">
        <v>26</v>
      </c>
      <c r="K150" s="3">
        <f>IF(J150="","",IF(J150="DNS",0,IF(J150="DQ",0,IF(J150="DNF",1,IF(AND(ISNUMBER(J150),J150&gt;59),1,_xlfn.XLOOKUP(J150,tbl_points[Place],tbl_points[Points],""))))))</f>
        <v>34</v>
      </c>
      <c r="L150" s="3">
        <v>29</v>
      </c>
      <c r="M150" s="3">
        <f>IF(L150="","",IF(L150="DNS",0,IF(L150="DQ",0,IF(L150="DNF",1,IF(AND(ISNUMBER(L150),L150&gt;59),1,_xlfn.XLOOKUP(L150,tbl_points[Place],tbl_points[Points],""))))))</f>
        <v>31</v>
      </c>
      <c r="N150" s="3">
        <v>17</v>
      </c>
      <c r="O150" s="3">
        <f>IF(N150="","",IF(N150="DNS",0,IF(N150="DQ",0,IF(N150="DNF",1,IF(AND(ISNUMBER(N150),N150&gt;59),1,_xlfn.XLOOKUP(N150,tbl_points[Place],tbl_points[Points],""))))))</f>
        <v>43</v>
      </c>
      <c r="P150" s="3">
        <v>31</v>
      </c>
      <c r="Q150" s="3">
        <f>IF(P150="","",IF(P150="DNS",0,IF(P150="DQ",0,IF(P150="DNF",1,IF(AND(ISNUMBER(P150),P150&gt;59),1,_xlfn.XLOOKUP(P150,tbl_points[Place],tbl_points[Points],""))))))</f>
        <v>29</v>
      </c>
      <c r="S150" s="3" t="str">
        <f>IF(R150="","",IF(R150="DNS",0,IF(R150="DQ",0,IF(R150="DNF",1,IF(AND(ISNUMBER(R150),R150&gt;59),1,_xlfn.XLOOKUP(R150,tbl_points[Place],tbl_points[Points],""))))))</f>
        <v/>
      </c>
      <c r="T150" s="3">
        <f>SUM(tbl_individual[[#This Row],[R1 Pts]],tbl_individual[[#This Row],[R2 Pts]],tbl_individual[[#This Row],[R3 Pts]],tbl_individual[[#This Row],[R4 Pts]],tbl_individual[[#This Row],[R5 Pts]],tbl_individual[[#This Row],[R6 Pts]])</f>
        <v>166</v>
      </c>
      <c r="U150" s="3">
        <f>MIN(tbl_individual[[#This Row],[R1 Pts]],tbl_individual[[#This Row],[R2 Pts]],tbl_individual[[#This Row],[R3 Pts]],tbl_individual[[#This Row],[R4 Pts]],tbl_individual[[#This Row],[R5 Pts]],tbl_individual[[#This Row],[R6 Pts]])</f>
        <v>29</v>
      </c>
      <c r="V150" s="3">
        <f>tbl_individual[[#This Row],[Total]]</f>
        <v>166</v>
      </c>
    </row>
    <row r="151" spans="1:22" hidden="1" x14ac:dyDescent="0.4">
      <c r="A151" t="s">
        <v>184</v>
      </c>
      <c r="B151" t="s">
        <v>20</v>
      </c>
      <c r="C151" t="s">
        <v>7</v>
      </c>
      <c r="E151" s="3" t="s">
        <v>433</v>
      </c>
      <c r="F151" s="17" t="s">
        <v>435</v>
      </c>
      <c r="H151" s="3" t="s">
        <v>410</v>
      </c>
      <c r="I151" s="3">
        <f>IF(H151="","",IF(H151="DNS",0,IF(H151="DQ",0,IF(H151="DNF",1,IF(AND(ISNUMBER(H151),H151&gt;59),1,_xlfn.XLOOKUP(H151,tbl_points[Place],tbl_points[Points],""))))))</f>
        <v>0</v>
      </c>
      <c r="K151" s="3" t="str">
        <f>IF(J151="","",IF(J151="DNS",0,IF(J151="DQ",0,IF(J151="DNF",1,IF(AND(ISNUMBER(J151),J151&gt;59),1,_xlfn.XLOOKUP(J151,tbl_points[Place],tbl_points[Points],""))))))</f>
        <v/>
      </c>
      <c r="M151" s="3" t="str">
        <f>IF(L151="","",IF(L151="DNS",0,IF(L151="DQ",0,IF(L151="DNF",1,IF(AND(ISNUMBER(L151),L151&gt;59),1,_xlfn.XLOOKUP(L151,tbl_points[Place],tbl_points[Points],""))))))</f>
        <v/>
      </c>
      <c r="O151" s="3" t="str">
        <f>IF(N151="","",IF(N151="DNS",0,IF(N151="DQ",0,IF(N151="DNF",1,IF(AND(ISNUMBER(N151),N151&gt;59),1,_xlfn.XLOOKUP(N151,tbl_points[Place],tbl_points[Points],""))))))</f>
        <v/>
      </c>
      <c r="Q151" s="3" t="str">
        <f>IF(P151="","",IF(P151="DNS",0,IF(P151="DQ",0,IF(P151="DNF",1,IF(AND(ISNUMBER(P151),P151&gt;59),1,_xlfn.XLOOKUP(P151,tbl_points[Place],tbl_points[Points],""))))))</f>
        <v/>
      </c>
      <c r="S151" s="3" t="str">
        <f>IF(R151="","",IF(R151="DNS",0,IF(R151="DQ",0,IF(R151="DNF",1,IF(AND(ISNUMBER(R151),R151&gt;59),1,_xlfn.XLOOKUP(R151,tbl_points[Place],tbl_points[Points],""))))))</f>
        <v/>
      </c>
      <c r="T151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15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51" s="3">
        <f>tbl_individual[[#This Row],[Total]]</f>
        <v>0</v>
      </c>
    </row>
    <row r="152" spans="1:22" hidden="1" x14ac:dyDescent="0.4">
      <c r="A152" t="s">
        <v>186</v>
      </c>
      <c r="B152" t="s">
        <v>20</v>
      </c>
      <c r="C152" t="s">
        <v>5</v>
      </c>
      <c r="D152" s="3">
        <v>919</v>
      </c>
      <c r="E152" s="3" t="s">
        <v>421</v>
      </c>
      <c r="G152" s="3" t="s">
        <v>403</v>
      </c>
      <c r="H152" s="3">
        <v>2</v>
      </c>
      <c r="I152" s="3">
        <f>IF(H152="","",IF(H152="DNS",0,IF(H152="DQ",0,IF(H152="DNF",1,IF(AND(ISNUMBER(H152),H152&gt;59),1,_xlfn.XLOOKUP(H152,tbl_points[Place],tbl_points[Points],""))))))</f>
        <v>95</v>
      </c>
      <c r="J152" s="3" t="s">
        <v>409</v>
      </c>
      <c r="K152" s="3">
        <f>IF(J152="","",IF(J152="DNS",0,IF(J152="DQ",0,IF(J152="DNF",1,IF(AND(ISNUMBER(J152),J152&gt;59),1,_xlfn.XLOOKUP(J152,tbl_points[Place],tbl_points[Points],""))))))</f>
        <v>1</v>
      </c>
      <c r="L152" s="3">
        <v>1</v>
      </c>
      <c r="M152" s="3">
        <f>IF(L152="","",IF(L152="DNS",0,IF(L152="DQ",0,IF(L152="DNF",1,IF(AND(ISNUMBER(L152),L152&gt;59),1,_xlfn.XLOOKUP(L152,tbl_points[Place],tbl_points[Points],""))))))</f>
        <v>100</v>
      </c>
      <c r="N152" s="3">
        <v>5</v>
      </c>
      <c r="O152" s="3">
        <f>IF(N152="","",IF(N152="DNS",0,IF(N152="DQ",0,IF(N152="DNF",1,IF(AND(ISNUMBER(N152),N152&gt;59),1,_xlfn.XLOOKUP(N152,tbl_points[Place],tbl_points[Points],""))))))</f>
        <v>80</v>
      </c>
      <c r="P152" s="3">
        <v>2</v>
      </c>
      <c r="Q152" s="3">
        <f>IF(P152="","",IF(P152="DNS",0,IF(P152="DQ",0,IF(P152="DNF",1,IF(AND(ISNUMBER(P152),P152&gt;59),1,_xlfn.XLOOKUP(P152,tbl_points[Place],tbl_points[Points],""))))))</f>
        <v>95</v>
      </c>
      <c r="S152" s="3" t="str">
        <f>IF(R152="","",IF(R152="DNS",0,IF(R152="DQ",0,IF(R152="DNF",1,IF(AND(ISNUMBER(R152),R152&gt;59),1,_xlfn.XLOOKUP(R152,tbl_points[Place],tbl_points[Points],""))))))</f>
        <v/>
      </c>
      <c r="T152" s="3">
        <f>SUM(tbl_individual[[#This Row],[R1 Pts]],tbl_individual[[#This Row],[R2 Pts]],tbl_individual[[#This Row],[R3 Pts]],tbl_individual[[#This Row],[R4 Pts]],tbl_individual[[#This Row],[R5 Pts]],tbl_individual[[#This Row],[R6 Pts]])</f>
        <v>371</v>
      </c>
      <c r="U152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152" s="3">
        <f>tbl_individual[[#This Row],[Total]]</f>
        <v>371</v>
      </c>
    </row>
    <row r="153" spans="1:22" hidden="1" x14ac:dyDescent="0.4">
      <c r="A153" t="s">
        <v>187</v>
      </c>
      <c r="B153" t="s">
        <v>20</v>
      </c>
      <c r="C153" t="s">
        <v>5</v>
      </c>
      <c r="D153" s="3">
        <v>920</v>
      </c>
      <c r="E153" s="3" t="s">
        <v>421</v>
      </c>
      <c r="G153" s="3" t="s">
        <v>403</v>
      </c>
      <c r="H153" s="3" t="s">
        <v>410</v>
      </c>
      <c r="I153" s="3">
        <f>IF(H153="","",IF(H153="DNS",0,IF(H153="DQ",0,IF(H153="DNF",1,IF(AND(ISNUMBER(H153),H153&gt;59),1,_xlfn.XLOOKUP(H153,tbl_points[Place],tbl_points[Points],""))))))</f>
        <v>0</v>
      </c>
      <c r="J153" s="3">
        <v>22</v>
      </c>
      <c r="K153" s="3">
        <f>IF(J153="","",IF(J153="DNS",0,IF(J153="DQ",0,IF(J153="DNF",1,IF(AND(ISNUMBER(J153),J153&gt;59),1,_xlfn.XLOOKUP(J153,tbl_points[Place],tbl_points[Points],""))))))</f>
        <v>38</v>
      </c>
      <c r="L153" s="3">
        <v>4</v>
      </c>
      <c r="M153" s="3">
        <f>IF(L153="","",IF(L153="DNS",0,IF(L153="DQ",0,IF(L153="DNF",1,IF(AND(ISNUMBER(L153),L153&gt;59),1,_xlfn.XLOOKUP(L153,tbl_points[Place],tbl_points[Points],""))))))</f>
        <v>85</v>
      </c>
      <c r="N153" s="3">
        <v>14</v>
      </c>
      <c r="O153" s="3">
        <f>IF(N153="","",IF(N153="DNS",0,IF(N153="DQ",0,IF(N153="DNF",1,IF(AND(ISNUMBER(N153),N153&gt;59),1,_xlfn.XLOOKUP(N153,tbl_points[Place],tbl_points[Points],""))))))</f>
        <v>47</v>
      </c>
      <c r="P153" s="3">
        <v>15</v>
      </c>
      <c r="Q153" s="3">
        <f>IF(P153="","",IF(P153="DNS",0,IF(P153="DQ",0,IF(P153="DNF",1,IF(AND(ISNUMBER(P153),P153&gt;59),1,_xlfn.XLOOKUP(P153,tbl_points[Place],tbl_points[Points],""))))))</f>
        <v>45</v>
      </c>
      <c r="S153" s="3" t="str">
        <f>IF(R153="","",IF(R153="DNS",0,IF(R153="DQ",0,IF(R153="DNF",1,IF(AND(ISNUMBER(R153),R153&gt;59),1,_xlfn.XLOOKUP(R153,tbl_points[Place],tbl_points[Points],""))))))</f>
        <v/>
      </c>
      <c r="T153" s="3">
        <f>SUM(tbl_individual[[#This Row],[R1 Pts]],tbl_individual[[#This Row],[R2 Pts]],tbl_individual[[#This Row],[R3 Pts]],tbl_individual[[#This Row],[R4 Pts]],tbl_individual[[#This Row],[R5 Pts]],tbl_individual[[#This Row],[R6 Pts]])</f>
        <v>215</v>
      </c>
      <c r="U15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53" s="3">
        <f>tbl_individual[[#This Row],[Total]]</f>
        <v>215</v>
      </c>
    </row>
    <row r="154" spans="1:22" hidden="1" x14ac:dyDescent="0.4">
      <c r="A154" t="s">
        <v>188</v>
      </c>
      <c r="B154" t="s">
        <v>20</v>
      </c>
      <c r="C154" t="s">
        <v>5</v>
      </c>
      <c r="D154" s="3">
        <v>921</v>
      </c>
      <c r="E154" s="3" t="s">
        <v>421</v>
      </c>
      <c r="G154" s="3" t="s">
        <v>403</v>
      </c>
      <c r="H154" s="3">
        <v>25</v>
      </c>
      <c r="I154" s="3">
        <f>IF(H154="","",IF(H154="DNS",0,IF(H154="DQ",0,IF(H154="DNF",1,IF(AND(ISNUMBER(H154),H154&gt;59),1,_xlfn.XLOOKUP(H154,tbl_points[Place],tbl_points[Points],""))))))</f>
        <v>35</v>
      </c>
      <c r="J154" s="3">
        <v>14</v>
      </c>
      <c r="K154" s="3">
        <f>IF(J154="","",IF(J154="DNS",0,IF(J154="DQ",0,IF(J154="DNF",1,IF(AND(ISNUMBER(J154),J154&gt;59),1,_xlfn.XLOOKUP(J154,tbl_points[Place],tbl_points[Points],""))))))</f>
        <v>47</v>
      </c>
      <c r="L154" s="3">
        <v>22</v>
      </c>
      <c r="M154" s="3">
        <f>IF(L154="","",IF(L154="DNS",0,IF(L154="DQ",0,IF(L154="DNF",1,IF(AND(ISNUMBER(L154),L154&gt;59),1,_xlfn.XLOOKUP(L154,tbl_points[Place],tbl_points[Points],""))))))</f>
        <v>38</v>
      </c>
      <c r="N154" s="3">
        <v>48</v>
      </c>
      <c r="O154" s="3">
        <f>IF(N154="","",IF(N154="DNS",0,IF(N154="DQ",0,IF(N154="DNF",1,IF(AND(ISNUMBER(N154),N154&gt;59),1,_xlfn.XLOOKUP(N154,tbl_points[Place],tbl_points[Points],""))))))</f>
        <v>12</v>
      </c>
      <c r="P154" s="3" t="s">
        <v>409</v>
      </c>
      <c r="Q154" s="3">
        <f>IF(P154="","",IF(P154="DNS",0,IF(P154="DQ",0,IF(P154="DNF",1,IF(AND(ISNUMBER(P154),P154&gt;59),1,_xlfn.XLOOKUP(P154,tbl_points[Place],tbl_points[Points],""))))))</f>
        <v>1</v>
      </c>
      <c r="S154" s="3" t="str">
        <f>IF(R154="","",IF(R154="DNS",0,IF(R154="DQ",0,IF(R154="DNF",1,IF(AND(ISNUMBER(R154),R154&gt;59),1,_xlfn.XLOOKUP(R154,tbl_points[Place],tbl_points[Points],""))))))</f>
        <v/>
      </c>
      <c r="T154" s="3">
        <f>SUM(tbl_individual[[#This Row],[R1 Pts]],tbl_individual[[#This Row],[R2 Pts]],tbl_individual[[#This Row],[R3 Pts]],tbl_individual[[#This Row],[R4 Pts]],tbl_individual[[#This Row],[R5 Pts]],tbl_individual[[#This Row],[R6 Pts]])</f>
        <v>133</v>
      </c>
      <c r="U154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154" s="3">
        <f>tbl_individual[[#This Row],[Total]]</f>
        <v>133</v>
      </c>
    </row>
    <row r="155" spans="1:22" hidden="1" x14ac:dyDescent="0.4">
      <c r="A155" t="s">
        <v>189</v>
      </c>
      <c r="B155" t="s">
        <v>20</v>
      </c>
      <c r="C155" t="s">
        <v>5</v>
      </c>
      <c r="D155" s="3">
        <v>922</v>
      </c>
      <c r="E155" s="3" t="s">
        <v>421</v>
      </c>
      <c r="G155" s="3" t="s">
        <v>403</v>
      </c>
      <c r="H155" s="3">
        <v>17</v>
      </c>
      <c r="I155" s="3">
        <f>IF(H155="","",IF(H155="DNS",0,IF(H155="DQ",0,IF(H155="DNF",1,IF(AND(ISNUMBER(H155),H155&gt;59),1,_xlfn.XLOOKUP(H155,tbl_points[Place],tbl_points[Points],""))))))</f>
        <v>43</v>
      </c>
      <c r="J155" s="3">
        <v>44</v>
      </c>
      <c r="K155" s="3">
        <f>IF(J155="","",IF(J155="DNS",0,IF(J155="DQ",0,IF(J155="DNF",1,IF(AND(ISNUMBER(J155),J155&gt;59),1,_xlfn.XLOOKUP(J155,tbl_points[Place],tbl_points[Points],""))))))</f>
        <v>16</v>
      </c>
      <c r="L155" s="3">
        <v>11</v>
      </c>
      <c r="M155" s="3">
        <f>IF(L155="","",IF(L155="DNS",0,IF(L155="DQ",0,IF(L155="DNF",1,IF(AND(ISNUMBER(L155),L155&gt;59),1,_xlfn.XLOOKUP(L155,tbl_points[Place],tbl_points[Points],""))))))</f>
        <v>53</v>
      </c>
      <c r="N155" s="3">
        <v>40</v>
      </c>
      <c r="O155" s="3">
        <f>IF(N155="","",IF(N155="DNS",0,IF(N155="DQ",0,IF(N155="DNF",1,IF(AND(ISNUMBER(N155),N155&gt;59),1,_xlfn.XLOOKUP(N155,tbl_points[Place],tbl_points[Points],""))))))</f>
        <v>20</v>
      </c>
      <c r="P155" s="3">
        <v>44</v>
      </c>
      <c r="Q155" s="3">
        <f>IF(P155="","",IF(P155="DNS",0,IF(P155="DQ",0,IF(P155="DNF",1,IF(AND(ISNUMBER(P155),P155&gt;59),1,_xlfn.XLOOKUP(P155,tbl_points[Place],tbl_points[Points],""))))))</f>
        <v>16</v>
      </c>
      <c r="S155" s="3" t="str">
        <f>IF(R155="","",IF(R155="DNS",0,IF(R155="DQ",0,IF(R155="DNF",1,IF(AND(ISNUMBER(R155),R155&gt;59),1,_xlfn.XLOOKUP(R155,tbl_points[Place],tbl_points[Points],""))))))</f>
        <v/>
      </c>
      <c r="T155" s="3">
        <f>SUM(tbl_individual[[#This Row],[R1 Pts]],tbl_individual[[#This Row],[R2 Pts]],tbl_individual[[#This Row],[R3 Pts]],tbl_individual[[#This Row],[R4 Pts]],tbl_individual[[#This Row],[R5 Pts]],tbl_individual[[#This Row],[R6 Pts]])</f>
        <v>148</v>
      </c>
      <c r="U155" s="3">
        <f>MIN(tbl_individual[[#This Row],[R1 Pts]],tbl_individual[[#This Row],[R2 Pts]],tbl_individual[[#This Row],[R3 Pts]],tbl_individual[[#This Row],[R4 Pts]],tbl_individual[[#This Row],[R5 Pts]],tbl_individual[[#This Row],[R6 Pts]])</f>
        <v>16</v>
      </c>
      <c r="V155" s="3">
        <f>tbl_individual[[#This Row],[Total]]</f>
        <v>148</v>
      </c>
    </row>
    <row r="156" spans="1:22" hidden="1" x14ac:dyDescent="0.4">
      <c r="A156" t="s">
        <v>190</v>
      </c>
      <c r="B156" t="s">
        <v>20</v>
      </c>
      <c r="C156" t="s">
        <v>3</v>
      </c>
      <c r="D156" s="3">
        <v>10165</v>
      </c>
      <c r="E156" s="3" t="s">
        <v>421</v>
      </c>
      <c r="G156" s="3" t="s">
        <v>403</v>
      </c>
      <c r="H156" s="3">
        <v>21</v>
      </c>
      <c r="I156" s="3">
        <f>IF(H156="","",IF(H156="DNS",0,IF(H156="DQ",0,IF(H156="DNF",1,IF(AND(ISNUMBER(H156),H156&gt;59),1,_xlfn.XLOOKUP(H156,tbl_points[Place],tbl_points[Points],""))))))</f>
        <v>39</v>
      </c>
      <c r="J156" s="3" t="s">
        <v>410</v>
      </c>
      <c r="K156" s="3">
        <f>IF(J156="","",IF(J156="DNS",0,IF(J156="DQ",0,IF(J156="DNF",1,IF(AND(ISNUMBER(J156),J156&gt;59),1,_xlfn.XLOOKUP(J156,tbl_points[Place],tbl_points[Points],""))))))</f>
        <v>0</v>
      </c>
      <c r="L156" s="3">
        <v>15</v>
      </c>
      <c r="M156" s="3">
        <f>IF(L156="","",IF(L156="DNS",0,IF(L156="DQ",0,IF(L156="DNF",1,IF(AND(ISNUMBER(L156),L156&gt;59),1,_xlfn.XLOOKUP(L156,tbl_points[Place],tbl_points[Points],""))))))</f>
        <v>45</v>
      </c>
      <c r="N156" s="3">
        <v>19</v>
      </c>
      <c r="O156" s="3">
        <f>IF(N156="","",IF(N156="DNS",0,IF(N156="DQ",0,IF(N156="DNF",1,IF(AND(ISNUMBER(N156),N156&gt;59),1,_xlfn.XLOOKUP(N156,tbl_points[Place],tbl_points[Points],""))))))</f>
        <v>41</v>
      </c>
      <c r="P156" s="3">
        <v>13</v>
      </c>
      <c r="Q156" s="3">
        <f>IF(P156="","",IF(P156="DNS",0,IF(P156="DQ",0,IF(P156="DNF",1,IF(AND(ISNUMBER(P156),P156&gt;59),1,_xlfn.XLOOKUP(P156,tbl_points[Place],tbl_points[Points],""))))))</f>
        <v>49</v>
      </c>
      <c r="S156" s="3" t="str">
        <f>IF(R156="","",IF(R156="DNS",0,IF(R156="DQ",0,IF(R156="DNF",1,IF(AND(ISNUMBER(R156),R156&gt;59),1,_xlfn.XLOOKUP(R156,tbl_points[Place],tbl_points[Points],""))))))</f>
        <v/>
      </c>
      <c r="T156" s="3">
        <f>SUM(tbl_individual[[#This Row],[R1 Pts]],tbl_individual[[#This Row],[R2 Pts]],tbl_individual[[#This Row],[R3 Pts]],tbl_individual[[#This Row],[R4 Pts]],tbl_individual[[#This Row],[R5 Pts]],tbl_individual[[#This Row],[R6 Pts]])</f>
        <v>174</v>
      </c>
      <c r="U15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56" s="3">
        <f>tbl_individual[[#This Row],[Total]]</f>
        <v>174</v>
      </c>
    </row>
    <row r="157" spans="1:22" hidden="1" x14ac:dyDescent="0.4">
      <c r="A157" t="s">
        <v>191</v>
      </c>
      <c r="B157" t="s">
        <v>20</v>
      </c>
      <c r="C157" t="s">
        <v>3</v>
      </c>
      <c r="D157" s="3">
        <v>10166</v>
      </c>
      <c r="E157" s="3" t="s">
        <v>421</v>
      </c>
      <c r="G157" s="3" t="s">
        <v>403</v>
      </c>
      <c r="H157" s="3">
        <v>34</v>
      </c>
      <c r="I157" s="3">
        <f>IF(H157="","",IF(H157="DNS",0,IF(H157="DQ",0,IF(H157="DNF",1,IF(AND(ISNUMBER(H157),H157&gt;59),1,_xlfn.XLOOKUP(H157,tbl_points[Place],tbl_points[Points],""))))))</f>
        <v>26</v>
      </c>
      <c r="J157" s="3">
        <v>42</v>
      </c>
      <c r="K157" s="3">
        <f>IF(J157="","",IF(J157="DNS",0,IF(J157="DQ",0,IF(J157="DNF",1,IF(AND(ISNUMBER(J157),J157&gt;59),1,_xlfn.XLOOKUP(J157,tbl_points[Place],tbl_points[Points],""))))))</f>
        <v>18</v>
      </c>
      <c r="L157" s="3" t="s">
        <v>410</v>
      </c>
      <c r="M157" s="3">
        <f>IF(L157="","",IF(L157="DNS",0,IF(L157="DQ",0,IF(L157="DNF",1,IF(AND(ISNUMBER(L157),L157&gt;59),1,_xlfn.XLOOKUP(L157,tbl_points[Place],tbl_points[Points],""))))))</f>
        <v>0</v>
      </c>
      <c r="N157" s="3">
        <v>49</v>
      </c>
      <c r="O157" s="3">
        <f>IF(N157="","",IF(N157="DNS",0,IF(N157="DQ",0,IF(N157="DNF",1,IF(AND(ISNUMBER(N157),N157&gt;59),1,_xlfn.XLOOKUP(N157,tbl_points[Place],tbl_points[Points],""))))))</f>
        <v>11</v>
      </c>
      <c r="P157" s="3">
        <v>37</v>
      </c>
      <c r="Q157" s="3">
        <f>IF(P157="","",IF(P157="DNS",0,IF(P157="DQ",0,IF(P157="DNF",1,IF(AND(ISNUMBER(P157),P157&gt;59),1,_xlfn.XLOOKUP(P157,tbl_points[Place],tbl_points[Points],""))))))</f>
        <v>23</v>
      </c>
      <c r="S157" s="3" t="str">
        <f>IF(R157="","",IF(R157="DNS",0,IF(R157="DQ",0,IF(R157="DNF",1,IF(AND(ISNUMBER(R157),R157&gt;59),1,_xlfn.XLOOKUP(R157,tbl_points[Place],tbl_points[Points],""))))))</f>
        <v/>
      </c>
      <c r="T157" s="3">
        <f>SUM(tbl_individual[[#This Row],[R1 Pts]],tbl_individual[[#This Row],[R2 Pts]],tbl_individual[[#This Row],[R3 Pts]],tbl_individual[[#This Row],[R4 Pts]],tbl_individual[[#This Row],[R5 Pts]],tbl_individual[[#This Row],[R6 Pts]])</f>
        <v>78</v>
      </c>
      <c r="U15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57" s="3">
        <f>tbl_individual[[#This Row],[Total]]</f>
        <v>78</v>
      </c>
    </row>
    <row r="158" spans="1:22" hidden="1" x14ac:dyDescent="0.4">
      <c r="A158" t="s">
        <v>192</v>
      </c>
      <c r="B158" t="s">
        <v>20</v>
      </c>
      <c r="C158" t="s">
        <v>3</v>
      </c>
      <c r="D158" s="3">
        <v>10167</v>
      </c>
      <c r="E158" s="3" t="s">
        <v>421</v>
      </c>
      <c r="G158" s="3" t="s">
        <v>403</v>
      </c>
      <c r="H158" s="3">
        <v>5</v>
      </c>
      <c r="I158" s="3">
        <f>IF(H158="","",IF(H158="DNS",0,IF(H158="DQ",0,IF(H158="DNF",1,IF(AND(ISNUMBER(H158),H158&gt;59),1,_xlfn.XLOOKUP(H158,tbl_points[Place],tbl_points[Points],""))))))</f>
        <v>80</v>
      </c>
      <c r="J158" s="3">
        <v>4</v>
      </c>
      <c r="K158" s="3">
        <f>IF(J158="","",IF(J158="DNS",0,IF(J158="DQ",0,IF(J158="DNF",1,IF(AND(ISNUMBER(J158),J158&gt;59),1,_xlfn.XLOOKUP(J158,tbl_points[Place],tbl_points[Points],""))))))</f>
        <v>85</v>
      </c>
      <c r="L158" s="3">
        <v>4</v>
      </c>
      <c r="M158" s="3">
        <f>IF(L158="","",IF(L158="DNS",0,IF(L158="DQ",0,IF(L158="DNF",1,IF(AND(ISNUMBER(L158),L158&gt;59),1,_xlfn.XLOOKUP(L158,tbl_points[Place],tbl_points[Points],""))))))</f>
        <v>85</v>
      </c>
      <c r="N158" s="3">
        <v>5</v>
      </c>
      <c r="O158" s="3">
        <f>IF(N158="","",IF(N158="DNS",0,IF(N158="DQ",0,IF(N158="DNF",1,IF(AND(ISNUMBER(N158),N158&gt;59),1,_xlfn.XLOOKUP(N158,tbl_points[Place],tbl_points[Points],""))))))</f>
        <v>80</v>
      </c>
      <c r="P158" s="3">
        <v>4</v>
      </c>
      <c r="Q158" s="3">
        <f>IF(P158="","",IF(P158="DNS",0,IF(P158="DQ",0,IF(P158="DNF",1,IF(AND(ISNUMBER(P158),P158&gt;59),1,_xlfn.XLOOKUP(P158,tbl_points[Place],tbl_points[Points],""))))))</f>
        <v>85</v>
      </c>
      <c r="S158" s="3" t="str">
        <f>IF(R158="","",IF(R158="DNS",0,IF(R158="DQ",0,IF(R158="DNF",1,IF(AND(ISNUMBER(R158),R158&gt;59),1,_xlfn.XLOOKUP(R158,tbl_points[Place],tbl_points[Points],""))))))</f>
        <v/>
      </c>
      <c r="T158" s="3">
        <f>SUM(tbl_individual[[#This Row],[R1 Pts]],tbl_individual[[#This Row],[R2 Pts]],tbl_individual[[#This Row],[R3 Pts]],tbl_individual[[#This Row],[R4 Pts]],tbl_individual[[#This Row],[R5 Pts]],tbl_individual[[#This Row],[R6 Pts]])</f>
        <v>415</v>
      </c>
      <c r="U158" s="3">
        <f>MIN(tbl_individual[[#This Row],[R1 Pts]],tbl_individual[[#This Row],[R2 Pts]],tbl_individual[[#This Row],[R3 Pts]],tbl_individual[[#This Row],[R4 Pts]],tbl_individual[[#This Row],[R5 Pts]],tbl_individual[[#This Row],[R6 Pts]])</f>
        <v>80</v>
      </c>
      <c r="V158" s="3">
        <f>tbl_individual[[#This Row],[Total]]</f>
        <v>415</v>
      </c>
    </row>
    <row r="159" spans="1:22" hidden="1" x14ac:dyDescent="0.4">
      <c r="A159" t="s">
        <v>193</v>
      </c>
      <c r="B159" t="s">
        <v>20</v>
      </c>
      <c r="C159" t="s">
        <v>3</v>
      </c>
      <c r="D159" s="3">
        <v>10168</v>
      </c>
      <c r="E159" s="3" t="s">
        <v>421</v>
      </c>
      <c r="G159" s="3" t="s">
        <v>403</v>
      </c>
      <c r="H159" s="3">
        <v>32</v>
      </c>
      <c r="I159" s="3">
        <f>IF(H159="","",IF(H159="DNS",0,IF(H159="DQ",0,IF(H159="DNF",1,IF(AND(ISNUMBER(H159),H159&gt;59),1,_xlfn.XLOOKUP(H159,tbl_points[Place],tbl_points[Points],""))))))</f>
        <v>28</v>
      </c>
      <c r="J159" s="3">
        <v>39</v>
      </c>
      <c r="K159" s="3">
        <f>IF(J159="","",IF(J159="DNS",0,IF(J159="DQ",0,IF(J159="DNF",1,IF(AND(ISNUMBER(J159),J159&gt;59),1,_xlfn.XLOOKUP(J159,tbl_points[Place],tbl_points[Points],""))))))</f>
        <v>21</v>
      </c>
      <c r="L159" s="3">
        <v>34</v>
      </c>
      <c r="M159" s="3">
        <f>IF(L159="","",IF(L159="DNS",0,IF(L159="DQ",0,IF(L159="DNF",1,IF(AND(ISNUMBER(L159),L159&gt;59),1,_xlfn.XLOOKUP(L159,tbl_points[Place],tbl_points[Points],""))))))</f>
        <v>26</v>
      </c>
      <c r="N159" s="3">
        <v>43</v>
      </c>
      <c r="O159" s="3">
        <f>IF(N159="","",IF(N159="DNS",0,IF(N159="DQ",0,IF(N159="DNF",1,IF(AND(ISNUMBER(N159),N159&gt;59),1,_xlfn.XLOOKUP(N159,tbl_points[Place],tbl_points[Points],""))))))</f>
        <v>17</v>
      </c>
      <c r="P159" s="3">
        <v>36</v>
      </c>
      <c r="Q159" s="3">
        <f>IF(P159="","",IF(P159="DNS",0,IF(P159="DQ",0,IF(P159="DNF",1,IF(AND(ISNUMBER(P159),P159&gt;59),1,_xlfn.XLOOKUP(P159,tbl_points[Place],tbl_points[Points],""))))))</f>
        <v>24</v>
      </c>
      <c r="S159" s="3" t="str">
        <f>IF(R159="","",IF(R159="DNS",0,IF(R159="DQ",0,IF(R159="DNF",1,IF(AND(ISNUMBER(R159),R159&gt;59),1,_xlfn.XLOOKUP(R159,tbl_points[Place],tbl_points[Points],""))))))</f>
        <v/>
      </c>
      <c r="T159" s="3">
        <f>SUM(tbl_individual[[#This Row],[R1 Pts]],tbl_individual[[#This Row],[R2 Pts]],tbl_individual[[#This Row],[R3 Pts]],tbl_individual[[#This Row],[R4 Pts]],tbl_individual[[#This Row],[R5 Pts]],tbl_individual[[#This Row],[R6 Pts]])</f>
        <v>116</v>
      </c>
      <c r="U159" s="3">
        <f>MIN(tbl_individual[[#This Row],[R1 Pts]],tbl_individual[[#This Row],[R2 Pts]],tbl_individual[[#This Row],[R3 Pts]],tbl_individual[[#This Row],[R4 Pts]],tbl_individual[[#This Row],[R5 Pts]],tbl_individual[[#This Row],[R6 Pts]])</f>
        <v>17</v>
      </c>
      <c r="V159" s="3">
        <f>tbl_individual[[#This Row],[Total]]</f>
        <v>116</v>
      </c>
    </row>
    <row r="160" spans="1:22" hidden="1" x14ac:dyDescent="0.4">
      <c r="A160" t="s">
        <v>194</v>
      </c>
      <c r="B160" t="s">
        <v>20</v>
      </c>
      <c r="C160" t="s">
        <v>3</v>
      </c>
      <c r="D160" s="3">
        <v>10169</v>
      </c>
      <c r="E160" s="3" t="s">
        <v>421</v>
      </c>
      <c r="G160" s="3" t="s">
        <v>403</v>
      </c>
      <c r="H160" s="3" t="s">
        <v>410</v>
      </c>
      <c r="I160" s="3">
        <f>IF(H160="","",IF(H160="DNS",0,IF(H160="DQ",0,IF(H160="DNF",1,IF(AND(ISNUMBER(H160),H160&gt;59),1,_xlfn.XLOOKUP(H160,tbl_points[Place],tbl_points[Points],""))))))</f>
        <v>0</v>
      </c>
      <c r="J160" s="3">
        <v>8</v>
      </c>
      <c r="K160" s="3">
        <f>IF(J160="","",IF(J160="DNS",0,IF(J160="DQ",0,IF(J160="DNF",1,IF(AND(ISNUMBER(J160),J160&gt;59),1,_xlfn.XLOOKUP(J160,tbl_points[Place],tbl_points[Points],""))))))</f>
        <v>65</v>
      </c>
      <c r="L160" s="3">
        <v>11</v>
      </c>
      <c r="M160" s="3">
        <f>IF(L160="","",IF(L160="DNS",0,IF(L160="DQ",0,IF(L160="DNF",1,IF(AND(ISNUMBER(L160),L160&gt;59),1,_xlfn.XLOOKUP(L160,tbl_points[Place],tbl_points[Points],""))))))</f>
        <v>53</v>
      </c>
      <c r="N160" s="3">
        <v>4</v>
      </c>
      <c r="O160" s="3">
        <f>IF(N160="","",IF(N160="DNS",0,IF(N160="DQ",0,IF(N160="DNF",1,IF(AND(ISNUMBER(N160),N160&gt;59),1,_xlfn.XLOOKUP(N160,tbl_points[Place],tbl_points[Points],""))))))</f>
        <v>85</v>
      </c>
      <c r="P160" s="3">
        <v>3</v>
      </c>
      <c r="Q160" s="3">
        <f>IF(P160="","",IF(P160="DNS",0,IF(P160="DQ",0,IF(P160="DNF",1,IF(AND(ISNUMBER(P160),P160&gt;59),1,_xlfn.XLOOKUP(P160,tbl_points[Place],tbl_points[Points],""))))))</f>
        <v>90</v>
      </c>
      <c r="S160" s="3" t="str">
        <f>IF(R160="","",IF(R160="DNS",0,IF(R160="DQ",0,IF(R160="DNF",1,IF(AND(ISNUMBER(R160),R160&gt;59),1,_xlfn.XLOOKUP(R160,tbl_points[Place],tbl_points[Points],""))))))</f>
        <v/>
      </c>
      <c r="T160" s="3">
        <f>SUM(tbl_individual[[#This Row],[R1 Pts]],tbl_individual[[#This Row],[R2 Pts]],tbl_individual[[#This Row],[R3 Pts]],tbl_individual[[#This Row],[R4 Pts]],tbl_individual[[#This Row],[R5 Pts]],tbl_individual[[#This Row],[R6 Pts]])</f>
        <v>293</v>
      </c>
      <c r="U16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60" s="3">
        <f>tbl_individual[[#This Row],[Total]]</f>
        <v>293</v>
      </c>
    </row>
    <row r="161" spans="1:22" hidden="1" x14ac:dyDescent="0.4">
      <c r="A161" t="s">
        <v>195</v>
      </c>
      <c r="B161" t="s">
        <v>20</v>
      </c>
      <c r="C161" t="s">
        <v>3</v>
      </c>
      <c r="D161" s="3">
        <v>10170</v>
      </c>
      <c r="E161" s="3" t="s">
        <v>421</v>
      </c>
      <c r="G161" s="3" t="s">
        <v>403</v>
      </c>
      <c r="H161" s="3" t="s">
        <v>410</v>
      </c>
      <c r="I161" s="3">
        <f>IF(H161="","",IF(H161="DNS",0,IF(H161="DQ",0,IF(H161="DNF",1,IF(AND(ISNUMBER(H161),H161&gt;59),1,_xlfn.XLOOKUP(H161,tbl_points[Place],tbl_points[Points],""))))))</f>
        <v>0</v>
      </c>
      <c r="J161" s="3">
        <v>32</v>
      </c>
      <c r="K161" s="3">
        <f>IF(J161="","",IF(J161="DNS",0,IF(J161="DQ",0,IF(J161="DNF",1,IF(AND(ISNUMBER(J161),J161&gt;59),1,_xlfn.XLOOKUP(J161,tbl_points[Place],tbl_points[Points],""))))))</f>
        <v>28</v>
      </c>
      <c r="L161" s="3">
        <v>20</v>
      </c>
      <c r="M161" s="3">
        <f>IF(L161="","",IF(L161="DNS",0,IF(L161="DQ",0,IF(L161="DNF",1,IF(AND(ISNUMBER(L161),L161&gt;59),1,_xlfn.XLOOKUP(L161,tbl_points[Place],tbl_points[Points],""))))))</f>
        <v>40</v>
      </c>
      <c r="N161" s="3">
        <v>31</v>
      </c>
      <c r="O161" s="3">
        <f>IF(N161="","",IF(N161="DNS",0,IF(N161="DQ",0,IF(N161="DNF",1,IF(AND(ISNUMBER(N161),N161&gt;59),1,_xlfn.XLOOKUP(N161,tbl_points[Place],tbl_points[Points],""))))))</f>
        <v>29</v>
      </c>
      <c r="P161" s="3">
        <v>25</v>
      </c>
      <c r="Q161" s="3">
        <f>IF(P161="","",IF(P161="DNS",0,IF(P161="DQ",0,IF(P161="DNF",1,IF(AND(ISNUMBER(P161),P161&gt;59),1,_xlfn.XLOOKUP(P161,tbl_points[Place],tbl_points[Points],""))))))</f>
        <v>35</v>
      </c>
      <c r="S161" s="3" t="str">
        <f>IF(R161="","",IF(R161="DNS",0,IF(R161="DQ",0,IF(R161="DNF",1,IF(AND(ISNUMBER(R161),R161&gt;59),1,_xlfn.XLOOKUP(R161,tbl_points[Place],tbl_points[Points],""))))))</f>
        <v/>
      </c>
      <c r="T161" s="3">
        <f>SUM(tbl_individual[[#This Row],[R1 Pts]],tbl_individual[[#This Row],[R2 Pts]],tbl_individual[[#This Row],[R3 Pts]],tbl_individual[[#This Row],[R4 Pts]],tbl_individual[[#This Row],[R5 Pts]],tbl_individual[[#This Row],[R6 Pts]])</f>
        <v>132</v>
      </c>
      <c r="U16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61" s="3">
        <f>tbl_individual[[#This Row],[Total]]</f>
        <v>132</v>
      </c>
    </row>
    <row r="162" spans="1:22" hidden="1" x14ac:dyDescent="0.4">
      <c r="A162" t="s">
        <v>196</v>
      </c>
      <c r="B162" t="s">
        <v>20</v>
      </c>
      <c r="C162" t="s">
        <v>3</v>
      </c>
      <c r="D162" s="3">
        <v>10171</v>
      </c>
      <c r="E162" s="3" t="s">
        <v>421</v>
      </c>
      <c r="G162" s="3" t="s">
        <v>403</v>
      </c>
      <c r="H162" s="3">
        <v>2</v>
      </c>
      <c r="I162" s="3">
        <f>IF(H162="","",IF(H162="DNS",0,IF(H162="DQ",0,IF(H162="DNF",1,IF(AND(ISNUMBER(H162),H162&gt;59),1,_xlfn.XLOOKUP(H162,tbl_points[Place],tbl_points[Points],""))))))</f>
        <v>95</v>
      </c>
      <c r="J162" s="3">
        <v>17</v>
      </c>
      <c r="K162" s="3">
        <f>IF(J162="","",IF(J162="DNS",0,IF(J162="DQ",0,IF(J162="DNF",1,IF(AND(ISNUMBER(J162),J162&gt;59),1,_xlfn.XLOOKUP(J162,tbl_points[Place],tbl_points[Points],""))))))</f>
        <v>43</v>
      </c>
      <c r="L162" s="3">
        <v>1</v>
      </c>
      <c r="M162" s="3">
        <f>IF(L162="","",IF(L162="DNS",0,IF(L162="DQ",0,IF(L162="DNF",1,IF(AND(ISNUMBER(L162),L162&gt;59),1,_xlfn.XLOOKUP(L162,tbl_points[Place],tbl_points[Points],""))))))</f>
        <v>100</v>
      </c>
      <c r="N162" s="3">
        <v>26</v>
      </c>
      <c r="O162" s="3">
        <f>IF(N162="","",IF(N162="DNS",0,IF(N162="DQ",0,IF(N162="DNF",1,IF(AND(ISNUMBER(N162),N162&gt;59),1,_xlfn.XLOOKUP(N162,tbl_points[Place],tbl_points[Points],""))))))</f>
        <v>34</v>
      </c>
      <c r="P162" s="3">
        <v>14</v>
      </c>
      <c r="Q162" s="3">
        <f>IF(P162="","",IF(P162="DNS",0,IF(P162="DQ",0,IF(P162="DNF",1,IF(AND(ISNUMBER(P162),P162&gt;59),1,_xlfn.XLOOKUP(P162,tbl_points[Place],tbl_points[Points],""))))))</f>
        <v>47</v>
      </c>
      <c r="S162" s="3" t="str">
        <f>IF(R162="","",IF(R162="DNS",0,IF(R162="DQ",0,IF(R162="DNF",1,IF(AND(ISNUMBER(R162),R162&gt;59),1,_xlfn.XLOOKUP(R162,tbl_points[Place],tbl_points[Points],""))))))</f>
        <v/>
      </c>
      <c r="T162" s="3">
        <f>SUM(tbl_individual[[#This Row],[R1 Pts]],tbl_individual[[#This Row],[R2 Pts]],tbl_individual[[#This Row],[R3 Pts]],tbl_individual[[#This Row],[R4 Pts]],tbl_individual[[#This Row],[R5 Pts]],tbl_individual[[#This Row],[R6 Pts]])</f>
        <v>319</v>
      </c>
      <c r="U162" s="3">
        <f>MIN(tbl_individual[[#This Row],[R1 Pts]],tbl_individual[[#This Row],[R2 Pts]],tbl_individual[[#This Row],[R3 Pts]],tbl_individual[[#This Row],[R4 Pts]],tbl_individual[[#This Row],[R5 Pts]],tbl_individual[[#This Row],[R6 Pts]])</f>
        <v>34</v>
      </c>
      <c r="V162" s="3">
        <f>tbl_individual[[#This Row],[Total]]</f>
        <v>319</v>
      </c>
    </row>
    <row r="163" spans="1:22" hidden="1" x14ac:dyDescent="0.4">
      <c r="A163" t="s">
        <v>405</v>
      </c>
      <c r="B163" t="s">
        <v>20</v>
      </c>
      <c r="C163" t="s">
        <v>3</v>
      </c>
      <c r="D163" s="3">
        <v>10203</v>
      </c>
      <c r="E163" s="3" t="s">
        <v>421</v>
      </c>
      <c r="G163" s="3" t="s">
        <v>403</v>
      </c>
      <c r="H163" s="3">
        <v>39</v>
      </c>
      <c r="I163" s="3">
        <f>IF(H163="","",IF(H163="DNS",0,IF(H163="DQ",0,IF(H163="DNF",1,IF(AND(ISNUMBER(H163),H163&gt;59),1,_xlfn.XLOOKUP(H163,tbl_points[Place],tbl_points[Points],""))))))</f>
        <v>21</v>
      </c>
      <c r="J163" s="3">
        <v>47</v>
      </c>
      <c r="K163" s="3">
        <f>IF(J163="","",IF(J163="DNS",0,IF(J163="DQ",0,IF(J163="DNF",1,IF(AND(ISNUMBER(J163),J163&gt;59),1,_xlfn.XLOOKUP(J163,tbl_points[Place],tbl_points[Points],""))))))</f>
        <v>13</v>
      </c>
      <c r="L163" s="3">
        <v>38</v>
      </c>
      <c r="M163" s="3">
        <f>IF(L163="","",IF(L163="DNS",0,IF(L163="DQ",0,IF(L163="DNF",1,IF(AND(ISNUMBER(L163),L163&gt;59),1,_xlfn.XLOOKUP(L163,tbl_points[Place],tbl_points[Points],""))))))</f>
        <v>22</v>
      </c>
      <c r="N163" s="3" t="s">
        <v>410</v>
      </c>
      <c r="O163" s="3">
        <f>IF(N163="","",IF(N163="DNS",0,IF(N163="DQ",0,IF(N163="DNF",1,IF(AND(ISNUMBER(N163),N163&gt;59),1,_xlfn.XLOOKUP(N163,tbl_points[Place],tbl_points[Points],""))))))</f>
        <v>0</v>
      </c>
      <c r="P163" s="3" t="s">
        <v>410</v>
      </c>
      <c r="Q163" s="3">
        <f>IF(P163="","",IF(P163="DNS",0,IF(P163="DQ",0,IF(P163="DNF",1,IF(AND(ISNUMBER(P163),P163&gt;59),1,_xlfn.XLOOKUP(P163,tbl_points[Place],tbl_points[Points],""))))))</f>
        <v>0</v>
      </c>
      <c r="S163" s="3" t="str">
        <f>IF(R163="","",IF(R163="DNS",0,IF(R163="DQ",0,IF(R163="DNF",1,IF(AND(ISNUMBER(R163),R163&gt;59),1,_xlfn.XLOOKUP(R163,tbl_points[Place],tbl_points[Points],""))))))</f>
        <v/>
      </c>
      <c r="T163" s="3">
        <f>SUM(tbl_individual[[#This Row],[R1 Pts]],tbl_individual[[#This Row],[R2 Pts]],tbl_individual[[#This Row],[R3 Pts]],tbl_individual[[#This Row],[R4 Pts]],tbl_individual[[#This Row],[R5 Pts]],tbl_individual[[#This Row],[R6 Pts]])</f>
        <v>56</v>
      </c>
      <c r="U16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63" s="3">
        <f>tbl_individual[[#This Row],[Total]]</f>
        <v>56</v>
      </c>
    </row>
    <row r="164" spans="1:22" hidden="1" x14ac:dyDescent="0.4">
      <c r="A164" t="s">
        <v>197</v>
      </c>
      <c r="B164" t="s">
        <v>20</v>
      </c>
      <c r="C164" t="s">
        <v>1</v>
      </c>
      <c r="D164" s="3">
        <v>12038</v>
      </c>
      <c r="E164" s="3" t="s">
        <v>421</v>
      </c>
      <c r="G164" s="3" t="s">
        <v>403</v>
      </c>
      <c r="H164" s="3">
        <v>18</v>
      </c>
      <c r="I164" s="3">
        <f>IF(H164="","",IF(H164="DNS",0,IF(H164="DQ",0,IF(H164="DNF",1,IF(AND(ISNUMBER(H164),H164&gt;59),1,_xlfn.XLOOKUP(H164,tbl_points[Place],tbl_points[Points],""))))))</f>
        <v>42</v>
      </c>
      <c r="J164" s="3">
        <v>12</v>
      </c>
      <c r="K164" s="3">
        <f>IF(J164="","",IF(J164="DNS",0,IF(J164="DQ",0,IF(J164="DNF",1,IF(AND(ISNUMBER(J164),J164&gt;59),1,_xlfn.XLOOKUP(J164,tbl_points[Place],tbl_points[Points],""))))))</f>
        <v>51</v>
      </c>
      <c r="L164" s="3">
        <v>19</v>
      </c>
      <c r="M164" s="3">
        <f>IF(L164="","",IF(L164="DNS",0,IF(L164="DQ",0,IF(L164="DNF",1,IF(AND(ISNUMBER(L164),L164&gt;59),1,_xlfn.XLOOKUP(L164,tbl_points[Place],tbl_points[Points],""))))))</f>
        <v>41</v>
      </c>
      <c r="N164" s="3">
        <v>9</v>
      </c>
      <c r="O164" s="3">
        <f>IF(N164="","",IF(N164="DNS",0,IF(N164="DQ",0,IF(N164="DNF",1,IF(AND(ISNUMBER(N164),N164&gt;59),1,_xlfn.XLOOKUP(N164,tbl_points[Place],tbl_points[Points],""))))))</f>
        <v>60</v>
      </c>
      <c r="P164" s="3" t="s">
        <v>410</v>
      </c>
      <c r="Q164" s="3">
        <f>IF(P164="","",IF(P164="DNS",0,IF(P164="DQ",0,IF(P164="DNF",1,IF(AND(ISNUMBER(P164),P164&gt;59),1,_xlfn.XLOOKUP(P164,tbl_points[Place],tbl_points[Points],""))))))</f>
        <v>0</v>
      </c>
      <c r="S164" s="3" t="str">
        <f>IF(R164="","",IF(R164="DNS",0,IF(R164="DQ",0,IF(R164="DNF",1,IF(AND(ISNUMBER(R164),R164&gt;59),1,_xlfn.XLOOKUP(R164,tbl_points[Place],tbl_points[Points],""))))))</f>
        <v/>
      </c>
      <c r="T164" s="3">
        <f>SUM(tbl_individual[[#This Row],[R1 Pts]],tbl_individual[[#This Row],[R2 Pts]],tbl_individual[[#This Row],[R3 Pts]],tbl_individual[[#This Row],[R4 Pts]],tbl_individual[[#This Row],[R5 Pts]],tbl_individual[[#This Row],[R6 Pts]])</f>
        <v>194</v>
      </c>
      <c r="U16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64" s="3">
        <f>tbl_individual[[#This Row],[Total]]</f>
        <v>194</v>
      </c>
    </row>
    <row r="165" spans="1:22" hidden="1" x14ac:dyDescent="0.4">
      <c r="A165" t="s">
        <v>198</v>
      </c>
      <c r="B165" t="s">
        <v>20</v>
      </c>
      <c r="C165" t="s">
        <v>1</v>
      </c>
      <c r="D165" s="3">
        <v>12039</v>
      </c>
      <c r="E165" s="3" t="s">
        <v>421</v>
      </c>
      <c r="G165" s="3" t="s">
        <v>403</v>
      </c>
      <c r="H165" s="3">
        <v>22</v>
      </c>
      <c r="I165" s="3">
        <f>IF(H165="","",IF(H165="DNS",0,IF(H165="DQ",0,IF(H165="DNF",1,IF(AND(ISNUMBER(H165),H165&gt;59),1,_xlfn.XLOOKUP(H165,tbl_points[Place],tbl_points[Points],""))))))</f>
        <v>38</v>
      </c>
      <c r="J165" s="3">
        <v>53</v>
      </c>
      <c r="K165" s="3">
        <f>IF(J165="","",IF(J165="DNS",0,IF(J165="DQ",0,IF(J165="DNF",1,IF(AND(ISNUMBER(J165),J165&gt;59),1,_xlfn.XLOOKUP(J165,tbl_points[Place],tbl_points[Points],""))))))</f>
        <v>7</v>
      </c>
      <c r="L165" s="3">
        <v>28</v>
      </c>
      <c r="M165" s="3">
        <f>IF(L165="","",IF(L165="DNS",0,IF(L165="DQ",0,IF(L165="DNF",1,IF(AND(ISNUMBER(L165),L165&gt;59),1,_xlfn.XLOOKUP(L165,tbl_points[Place],tbl_points[Points],""))))))</f>
        <v>32</v>
      </c>
      <c r="N165" s="3">
        <v>55</v>
      </c>
      <c r="O165" s="3">
        <f>IF(N165="","",IF(N165="DNS",0,IF(N165="DQ",0,IF(N165="DNF",1,IF(AND(ISNUMBER(N165),N165&gt;59),1,_xlfn.XLOOKUP(N165,tbl_points[Place],tbl_points[Points],""))))))</f>
        <v>5</v>
      </c>
      <c r="P165" s="3">
        <v>51</v>
      </c>
      <c r="Q165" s="3">
        <f>IF(P165="","",IF(P165="DNS",0,IF(P165="DQ",0,IF(P165="DNF",1,IF(AND(ISNUMBER(P165),P165&gt;59),1,_xlfn.XLOOKUP(P165,tbl_points[Place],tbl_points[Points],""))))))</f>
        <v>9</v>
      </c>
      <c r="S165" s="3" t="str">
        <f>IF(R165="","",IF(R165="DNS",0,IF(R165="DQ",0,IF(R165="DNF",1,IF(AND(ISNUMBER(R165),R165&gt;59),1,_xlfn.XLOOKUP(R165,tbl_points[Place],tbl_points[Points],""))))))</f>
        <v/>
      </c>
      <c r="T165" s="3">
        <f>SUM(tbl_individual[[#This Row],[R1 Pts]],tbl_individual[[#This Row],[R2 Pts]],tbl_individual[[#This Row],[R3 Pts]],tbl_individual[[#This Row],[R4 Pts]],tbl_individual[[#This Row],[R5 Pts]],tbl_individual[[#This Row],[R6 Pts]])</f>
        <v>91</v>
      </c>
      <c r="U165" s="3">
        <f>MIN(tbl_individual[[#This Row],[R1 Pts]],tbl_individual[[#This Row],[R2 Pts]],tbl_individual[[#This Row],[R3 Pts]],tbl_individual[[#This Row],[R4 Pts]],tbl_individual[[#This Row],[R5 Pts]],tbl_individual[[#This Row],[R6 Pts]])</f>
        <v>5</v>
      </c>
      <c r="V165" s="3">
        <f>tbl_individual[[#This Row],[Total]]</f>
        <v>91</v>
      </c>
    </row>
    <row r="166" spans="1:22" hidden="1" x14ac:dyDescent="0.4">
      <c r="A166" t="s">
        <v>199</v>
      </c>
      <c r="B166" t="s">
        <v>20</v>
      </c>
      <c r="C166" t="s">
        <v>1</v>
      </c>
      <c r="D166" s="3">
        <v>12040</v>
      </c>
      <c r="E166" s="3" t="s">
        <v>421</v>
      </c>
      <c r="G166" s="3" t="s">
        <v>403</v>
      </c>
      <c r="H166" s="3">
        <v>3</v>
      </c>
      <c r="I166" s="3">
        <f>IF(H166="","",IF(H166="DNS",0,IF(H166="DQ",0,IF(H166="DNF",1,IF(AND(ISNUMBER(H166),H166&gt;59),1,_xlfn.XLOOKUP(H166,tbl_points[Place],tbl_points[Points],""))))))</f>
        <v>90</v>
      </c>
      <c r="J166" s="3">
        <v>7</v>
      </c>
      <c r="K166" s="3">
        <f>IF(J166="","",IF(J166="DNS",0,IF(J166="DQ",0,IF(J166="DNF",1,IF(AND(ISNUMBER(J166),J166&gt;59),1,_xlfn.XLOOKUP(J166,tbl_points[Place],tbl_points[Points],""))))))</f>
        <v>70</v>
      </c>
      <c r="L166" s="3">
        <v>13</v>
      </c>
      <c r="M166" s="3">
        <f>IF(L166="","",IF(L166="DNS",0,IF(L166="DQ",0,IF(L166="DNF",1,IF(AND(ISNUMBER(L166),L166&gt;59),1,_xlfn.XLOOKUP(L166,tbl_points[Place],tbl_points[Points],""))))))</f>
        <v>49</v>
      </c>
      <c r="N166" s="3" t="s">
        <v>410</v>
      </c>
      <c r="O166" s="3">
        <f>IF(N166="","",IF(N166="DNS",0,IF(N166="DQ",0,IF(N166="DNF",1,IF(AND(ISNUMBER(N166),N166&gt;59),1,_xlfn.XLOOKUP(N166,tbl_points[Place],tbl_points[Points],""))))))</f>
        <v>0</v>
      </c>
      <c r="P166" s="3" t="s">
        <v>410</v>
      </c>
      <c r="Q166" s="3">
        <f>IF(P166="","",IF(P166="DNS",0,IF(P166="DQ",0,IF(P166="DNF",1,IF(AND(ISNUMBER(P166),P166&gt;59),1,_xlfn.XLOOKUP(P166,tbl_points[Place],tbl_points[Points],""))))))</f>
        <v>0</v>
      </c>
      <c r="S166" s="3" t="str">
        <f>IF(R166="","",IF(R166="DNS",0,IF(R166="DQ",0,IF(R166="DNF",1,IF(AND(ISNUMBER(R166),R166&gt;59),1,_xlfn.XLOOKUP(R166,tbl_points[Place],tbl_points[Points],""))))))</f>
        <v/>
      </c>
      <c r="T166" s="3">
        <f>SUM(tbl_individual[[#This Row],[R1 Pts]],tbl_individual[[#This Row],[R2 Pts]],tbl_individual[[#This Row],[R3 Pts]],tbl_individual[[#This Row],[R4 Pts]],tbl_individual[[#This Row],[R5 Pts]],tbl_individual[[#This Row],[R6 Pts]])</f>
        <v>209</v>
      </c>
      <c r="U16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66" s="3">
        <f>tbl_individual[[#This Row],[Total]]</f>
        <v>209</v>
      </c>
    </row>
    <row r="167" spans="1:22" hidden="1" x14ac:dyDescent="0.4">
      <c r="A167" t="s">
        <v>200</v>
      </c>
      <c r="B167" t="s">
        <v>20</v>
      </c>
      <c r="C167" t="s">
        <v>1</v>
      </c>
      <c r="D167" s="3">
        <v>12041</v>
      </c>
      <c r="E167" s="3" t="s">
        <v>421</v>
      </c>
      <c r="G167" s="3" t="s">
        <v>403</v>
      </c>
      <c r="H167" s="3" t="s">
        <v>410</v>
      </c>
      <c r="I167" s="3">
        <f>IF(H167="","",IF(H167="DNS",0,IF(H167="DQ",0,IF(H167="DNF",1,IF(AND(ISNUMBER(H167),H167&gt;59),1,_xlfn.XLOOKUP(H167,tbl_points[Place],tbl_points[Points],""))))))</f>
        <v>0</v>
      </c>
      <c r="J167" s="3">
        <v>16</v>
      </c>
      <c r="K167" s="3">
        <f>IF(J167="","",IF(J167="DNS",0,IF(J167="DQ",0,IF(J167="DNF",1,IF(AND(ISNUMBER(J167),J167&gt;59),1,_xlfn.XLOOKUP(J167,tbl_points[Place],tbl_points[Points],""))))))</f>
        <v>44</v>
      </c>
      <c r="L167" s="3">
        <v>35</v>
      </c>
      <c r="M167" s="3">
        <f>IF(L167="","",IF(L167="DNS",0,IF(L167="DQ",0,IF(L167="DNF",1,IF(AND(ISNUMBER(L167),L167&gt;59),1,_xlfn.XLOOKUP(L167,tbl_points[Place],tbl_points[Points],""))))))</f>
        <v>25</v>
      </c>
      <c r="N167" s="3">
        <v>6</v>
      </c>
      <c r="O167" s="3">
        <f>IF(N167="","",IF(N167="DNS",0,IF(N167="DQ",0,IF(N167="DNF",1,IF(AND(ISNUMBER(N167),N167&gt;59),1,_xlfn.XLOOKUP(N167,tbl_points[Place],tbl_points[Points],""))))))</f>
        <v>75</v>
      </c>
      <c r="P167" s="3">
        <v>22</v>
      </c>
      <c r="Q167" s="3">
        <f>IF(P167="","",IF(P167="DNS",0,IF(P167="DQ",0,IF(P167="DNF",1,IF(AND(ISNUMBER(P167),P167&gt;59),1,_xlfn.XLOOKUP(P167,tbl_points[Place],tbl_points[Points],""))))))</f>
        <v>38</v>
      </c>
      <c r="S167" s="3" t="str">
        <f>IF(R167="","",IF(R167="DNS",0,IF(R167="DQ",0,IF(R167="DNF",1,IF(AND(ISNUMBER(R167),R167&gt;59),1,_xlfn.XLOOKUP(R167,tbl_points[Place],tbl_points[Points],""))))))</f>
        <v/>
      </c>
      <c r="T167" s="3">
        <f>SUM(tbl_individual[[#This Row],[R1 Pts]],tbl_individual[[#This Row],[R2 Pts]],tbl_individual[[#This Row],[R3 Pts]],tbl_individual[[#This Row],[R4 Pts]],tbl_individual[[#This Row],[R5 Pts]],tbl_individual[[#This Row],[R6 Pts]])</f>
        <v>182</v>
      </c>
      <c r="U16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67" s="3">
        <f>tbl_individual[[#This Row],[Total]]</f>
        <v>182</v>
      </c>
    </row>
    <row r="168" spans="1:22" hidden="1" x14ac:dyDescent="0.4">
      <c r="A168" t="s">
        <v>201</v>
      </c>
      <c r="B168" t="s">
        <v>20</v>
      </c>
      <c r="C168" t="s">
        <v>1</v>
      </c>
      <c r="D168" s="3">
        <v>12042</v>
      </c>
      <c r="E168" s="3" t="s">
        <v>421</v>
      </c>
      <c r="G168" s="3" t="s">
        <v>403</v>
      </c>
      <c r="H168" s="3" t="s">
        <v>410</v>
      </c>
      <c r="I168" s="3">
        <f>IF(H168="","",IF(H168="DNS",0,IF(H168="DQ",0,IF(H168="DNF",1,IF(AND(ISNUMBER(H168),H168&gt;59),1,_xlfn.XLOOKUP(H168,tbl_points[Place],tbl_points[Points],""))))))</f>
        <v>0</v>
      </c>
      <c r="J168" s="3">
        <v>69</v>
      </c>
      <c r="K168" s="3">
        <f>IF(J168="","",IF(J168="DNS",0,IF(J168="DQ",0,IF(J168="DNF",1,IF(AND(ISNUMBER(J168),J168&gt;59),1,_xlfn.XLOOKUP(J168,tbl_points[Place],tbl_points[Points],""))))))</f>
        <v>1</v>
      </c>
      <c r="L168" s="3" t="s">
        <v>410</v>
      </c>
      <c r="M168" s="3">
        <f>IF(L168="","",IF(L168="DNS",0,IF(L168="DQ",0,IF(L168="DNF",1,IF(AND(ISNUMBER(L168),L168&gt;59),1,_xlfn.XLOOKUP(L168,tbl_points[Place],tbl_points[Points],""))))))</f>
        <v>0</v>
      </c>
      <c r="N168" s="3" t="s">
        <v>410</v>
      </c>
      <c r="O168" s="3">
        <f>IF(N168="","",IF(N168="DNS",0,IF(N168="DQ",0,IF(N168="DNF",1,IF(AND(ISNUMBER(N168),N168&gt;59),1,_xlfn.XLOOKUP(N168,tbl_points[Place],tbl_points[Points],""))))))</f>
        <v>0</v>
      </c>
      <c r="P168" s="3" t="s">
        <v>410</v>
      </c>
      <c r="Q168" s="3">
        <f>IF(P168="","",IF(P168="DNS",0,IF(P168="DQ",0,IF(P168="DNF",1,IF(AND(ISNUMBER(P168),P168&gt;59),1,_xlfn.XLOOKUP(P168,tbl_points[Place],tbl_points[Points],""))))))</f>
        <v>0</v>
      </c>
      <c r="S168" s="3" t="str">
        <f>IF(R168="","",IF(R168="DNS",0,IF(R168="DQ",0,IF(R168="DNF",1,IF(AND(ISNUMBER(R168),R168&gt;59),1,_xlfn.XLOOKUP(R168,tbl_points[Place],tbl_points[Points],""))))))</f>
        <v/>
      </c>
      <c r="T168" s="3">
        <f>SUM(tbl_individual[[#This Row],[R1 Pts]],tbl_individual[[#This Row],[R2 Pts]],tbl_individual[[#This Row],[R3 Pts]],tbl_individual[[#This Row],[R4 Pts]],tbl_individual[[#This Row],[R5 Pts]],tbl_individual[[#This Row],[R6 Pts]])</f>
        <v>1</v>
      </c>
      <c r="U16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68" s="3">
        <f>tbl_individual[[#This Row],[Total]]</f>
        <v>1</v>
      </c>
    </row>
    <row r="169" spans="1:22" hidden="1" x14ac:dyDescent="0.4">
      <c r="A169" t="s">
        <v>202</v>
      </c>
      <c r="B169" t="s">
        <v>20</v>
      </c>
      <c r="C169" t="s">
        <v>1</v>
      </c>
      <c r="D169" s="3">
        <v>12043</v>
      </c>
      <c r="E169" s="3" t="s">
        <v>421</v>
      </c>
      <c r="G169" s="3" t="s">
        <v>403</v>
      </c>
      <c r="H169" s="3">
        <v>17</v>
      </c>
      <c r="I169" s="3">
        <f>IF(H169="","",IF(H169="DNS",0,IF(H169="DQ",0,IF(H169="DNF",1,IF(AND(ISNUMBER(H169),H169&gt;59),1,_xlfn.XLOOKUP(H169,tbl_points[Place],tbl_points[Points],""))))))</f>
        <v>43</v>
      </c>
      <c r="J169" s="3">
        <v>1</v>
      </c>
      <c r="K169" s="3">
        <f>IF(J169="","",IF(J169="DNS",0,IF(J169="DQ",0,IF(J169="DNF",1,IF(AND(ISNUMBER(J169),J169&gt;59),1,_xlfn.XLOOKUP(J169,tbl_points[Place],tbl_points[Points],""))))))</f>
        <v>100</v>
      </c>
      <c r="L169" s="3">
        <v>9</v>
      </c>
      <c r="M169" s="3">
        <f>IF(L169="","",IF(L169="DNS",0,IF(L169="DQ",0,IF(L169="DNF",1,IF(AND(ISNUMBER(L169),L169&gt;59),1,_xlfn.XLOOKUP(L169,tbl_points[Place],tbl_points[Points],""))))))</f>
        <v>60</v>
      </c>
      <c r="N169" s="3">
        <v>2</v>
      </c>
      <c r="O169" s="3">
        <f>IF(N169="","",IF(N169="DNS",0,IF(N169="DQ",0,IF(N169="DNF",1,IF(AND(ISNUMBER(N169),N169&gt;59),1,_xlfn.XLOOKUP(N169,tbl_points[Place],tbl_points[Points],""))))))</f>
        <v>95</v>
      </c>
      <c r="P169" s="3">
        <v>3</v>
      </c>
      <c r="Q169" s="3">
        <f>IF(P169="","",IF(P169="DNS",0,IF(P169="DQ",0,IF(P169="DNF",1,IF(AND(ISNUMBER(P169),P169&gt;59),1,_xlfn.XLOOKUP(P169,tbl_points[Place],tbl_points[Points],""))))))</f>
        <v>90</v>
      </c>
      <c r="S169" s="3" t="str">
        <f>IF(R169="","",IF(R169="DNS",0,IF(R169="DQ",0,IF(R169="DNF",1,IF(AND(ISNUMBER(R169),R169&gt;59),1,_xlfn.XLOOKUP(R169,tbl_points[Place],tbl_points[Points],""))))))</f>
        <v/>
      </c>
      <c r="T169" s="3">
        <f>SUM(tbl_individual[[#This Row],[R1 Pts]],tbl_individual[[#This Row],[R2 Pts]],tbl_individual[[#This Row],[R3 Pts]],tbl_individual[[#This Row],[R4 Pts]],tbl_individual[[#This Row],[R5 Pts]],tbl_individual[[#This Row],[R6 Pts]])</f>
        <v>388</v>
      </c>
      <c r="U169" s="3">
        <f>MIN(tbl_individual[[#This Row],[R1 Pts]],tbl_individual[[#This Row],[R2 Pts]],tbl_individual[[#This Row],[R3 Pts]],tbl_individual[[#This Row],[R4 Pts]],tbl_individual[[#This Row],[R5 Pts]],tbl_individual[[#This Row],[R6 Pts]])</f>
        <v>43</v>
      </c>
      <c r="V169" s="3">
        <f>tbl_individual[[#This Row],[Total]]</f>
        <v>388</v>
      </c>
    </row>
    <row r="170" spans="1:22" hidden="1" x14ac:dyDescent="0.4">
      <c r="A170" t="s">
        <v>203</v>
      </c>
      <c r="B170" t="s">
        <v>20</v>
      </c>
      <c r="C170" t="s">
        <v>1</v>
      </c>
      <c r="D170" s="3">
        <v>12044</v>
      </c>
      <c r="E170" s="3" t="s">
        <v>421</v>
      </c>
      <c r="G170" s="3" t="s">
        <v>403</v>
      </c>
      <c r="H170" s="3">
        <v>9</v>
      </c>
      <c r="I170" s="3">
        <f>IF(H170="","",IF(H170="DNS",0,IF(H170="DQ",0,IF(H170="DNF",1,IF(AND(ISNUMBER(H170),H170&gt;59),1,_xlfn.XLOOKUP(H170,tbl_points[Place],tbl_points[Points],""))))))</f>
        <v>60</v>
      </c>
      <c r="J170" s="3">
        <v>28</v>
      </c>
      <c r="K170" s="3">
        <f>IF(J170="","",IF(J170="DNS",0,IF(J170="DQ",0,IF(J170="DNF",1,IF(AND(ISNUMBER(J170),J170&gt;59),1,_xlfn.XLOOKUP(J170,tbl_points[Place],tbl_points[Points],""))))))</f>
        <v>32</v>
      </c>
      <c r="L170" s="3">
        <v>10</v>
      </c>
      <c r="M170" s="3">
        <f>IF(L170="","",IF(L170="DNS",0,IF(L170="DQ",0,IF(L170="DNF",1,IF(AND(ISNUMBER(L170),L170&gt;59),1,_xlfn.XLOOKUP(L170,tbl_points[Place],tbl_points[Points],""))))))</f>
        <v>55</v>
      </c>
      <c r="N170" s="3">
        <v>23</v>
      </c>
      <c r="O170" s="3">
        <f>IF(N170="","",IF(N170="DNS",0,IF(N170="DQ",0,IF(N170="DNF",1,IF(AND(ISNUMBER(N170),N170&gt;59),1,_xlfn.XLOOKUP(N170,tbl_points[Place],tbl_points[Points],""))))))</f>
        <v>37</v>
      </c>
      <c r="P170" s="3">
        <v>14</v>
      </c>
      <c r="Q170" s="3">
        <f>IF(P170="","",IF(P170="DNS",0,IF(P170="DQ",0,IF(P170="DNF",1,IF(AND(ISNUMBER(P170),P170&gt;59),1,_xlfn.XLOOKUP(P170,tbl_points[Place],tbl_points[Points],""))))))</f>
        <v>47</v>
      </c>
      <c r="S170" s="3" t="str">
        <f>IF(R170="","",IF(R170="DNS",0,IF(R170="DQ",0,IF(R170="DNF",1,IF(AND(ISNUMBER(R170),R170&gt;59),1,_xlfn.XLOOKUP(R170,tbl_points[Place],tbl_points[Points],""))))))</f>
        <v/>
      </c>
      <c r="T170" s="3">
        <f>SUM(tbl_individual[[#This Row],[R1 Pts]],tbl_individual[[#This Row],[R2 Pts]],tbl_individual[[#This Row],[R3 Pts]],tbl_individual[[#This Row],[R4 Pts]],tbl_individual[[#This Row],[R5 Pts]],tbl_individual[[#This Row],[R6 Pts]])</f>
        <v>231</v>
      </c>
      <c r="U170" s="3">
        <f>MIN(tbl_individual[[#This Row],[R1 Pts]],tbl_individual[[#This Row],[R2 Pts]],tbl_individual[[#This Row],[R3 Pts]],tbl_individual[[#This Row],[R4 Pts]],tbl_individual[[#This Row],[R5 Pts]],tbl_individual[[#This Row],[R6 Pts]])</f>
        <v>32</v>
      </c>
      <c r="V170" s="3">
        <f>tbl_individual[[#This Row],[Total]]</f>
        <v>231</v>
      </c>
    </row>
    <row r="171" spans="1:22" hidden="1" x14ac:dyDescent="0.4">
      <c r="A171" t="s">
        <v>204</v>
      </c>
      <c r="B171" t="s">
        <v>20</v>
      </c>
      <c r="C171" t="s">
        <v>1</v>
      </c>
      <c r="D171" s="3">
        <v>12045</v>
      </c>
      <c r="E171" s="3" t="s">
        <v>421</v>
      </c>
      <c r="G171" s="3" t="s">
        <v>403</v>
      </c>
      <c r="H171" s="3" t="s">
        <v>410</v>
      </c>
      <c r="I171" s="3">
        <f>IF(H171="","",IF(H171="DNS",0,IF(H171="DQ",0,IF(H171="DNF",1,IF(AND(ISNUMBER(H171),H171&gt;59),1,_xlfn.XLOOKUP(H171,tbl_points[Place],tbl_points[Points],""))))))</f>
        <v>0</v>
      </c>
      <c r="J171" s="3">
        <v>4</v>
      </c>
      <c r="K171" s="3">
        <f>IF(J171="","",IF(J171="DNS",0,IF(J171="DQ",0,IF(J171="DNF",1,IF(AND(ISNUMBER(J171),J171&gt;59),1,_xlfn.XLOOKUP(J171,tbl_points[Place],tbl_points[Points],""))))))</f>
        <v>85</v>
      </c>
      <c r="L171" s="3">
        <v>12</v>
      </c>
      <c r="M171" s="3">
        <f>IF(L171="","",IF(L171="DNS",0,IF(L171="DQ",0,IF(L171="DNF",1,IF(AND(ISNUMBER(L171),L171&gt;59),1,_xlfn.XLOOKUP(L171,tbl_points[Place],tbl_points[Points],""))))))</f>
        <v>51</v>
      </c>
      <c r="N171" s="3" t="s">
        <v>410</v>
      </c>
      <c r="O171" s="3">
        <f>IF(N171="","",IF(N171="DNS",0,IF(N171="DQ",0,IF(N171="DNF",1,IF(AND(ISNUMBER(N171),N171&gt;59),1,_xlfn.XLOOKUP(N171,tbl_points[Place],tbl_points[Points],""))))))</f>
        <v>0</v>
      </c>
      <c r="P171" s="3" t="s">
        <v>410</v>
      </c>
      <c r="Q171" s="3">
        <f>IF(P171="","",IF(P171="DNS",0,IF(P171="DQ",0,IF(P171="DNF",1,IF(AND(ISNUMBER(P171),P171&gt;59),1,_xlfn.XLOOKUP(P171,tbl_points[Place],tbl_points[Points],""))))))</f>
        <v>0</v>
      </c>
      <c r="S171" s="3" t="str">
        <f>IF(R171="","",IF(R171="DNS",0,IF(R171="DQ",0,IF(R171="DNF",1,IF(AND(ISNUMBER(R171),R171&gt;59),1,_xlfn.XLOOKUP(R171,tbl_points[Place],tbl_points[Points],""))))))</f>
        <v/>
      </c>
      <c r="T171" s="3">
        <f>SUM(tbl_individual[[#This Row],[R1 Pts]],tbl_individual[[#This Row],[R2 Pts]],tbl_individual[[#This Row],[R3 Pts]],tbl_individual[[#This Row],[R4 Pts]],tbl_individual[[#This Row],[R5 Pts]],tbl_individual[[#This Row],[R6 Pts]])</f>
        <v>136</v>
      </c>
      <c r="U17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71" s="3">
        <f>tbl_individual[[#This Row],[Total]]</f>
        <v>136</v>
      </c>
    </row>
    <row r="172" spans="1:22" hidden="1" x14ac:dyDescent="0.4">
      <c r="A172" t="s">
        <v>205</v>
      </c>
      <c r="B172" t="s">
        <v>20</v>
      </c>
      <c r="C172" t="s">
        <v>1</v>
      </c>
      <c r="D172" s="3">
        <v>12046</v>
      </c>
      <c r="E172" s="3" t="s">
        <v>421</v>
      </c>
      <c r="G172" s="3" t="s">
        <v>403</v>
      </c>
      <c r="H172" s="3">
        <v>23</v>
      </c>
      <c r="I172" s="3">
        <f>IF(H172="","",IF(H172="DNS",0,IF(H172="DQ",0,IF(H172="DNF",1,IF(AND(ISNUMBER(H172),H172&gt;59),1,_xlfn.XLOOKUP(H172,tbl_points[Place],tbl_points[Points],""))))))</f>
        <v>37</v>
      </c>
      <c r="J172" s="3">
        <v>71</v>
      </c>
      <c r="K172" s="3">
        <f>IF(J172="","",IF(J172="DNS",0,IF(J172="DQ",0,IF(J172="DNF",1,IF(AND(ISNUMBER(J172),J172&gt;59),1,_xlfn.XLOOKUP(J172,tbl_points[Place],tbl_points[Points],""))))))</f>
        <v>1</v>
      </c>
      <c r="L172" s="3">
        <v>16</v>
      </c>
      <c r="M172" s="3">
        <f>IF(L172="","",IF(L172="DNS",0,IF(L172="DQ",0,IF(L172="DNF",1,IF(AND(ISNUMBER(L172),L172&gt;59),1,_xlfn.XLOOKUP(L172,tbl_points[Place],tbl_points[Points],""))))))</f>
        <v>44</v>
      </c>
      <c r="N172" s="3">
        <v>32</v>
      </c>
      <c r="O172" s="3">
        <f>IF(N172="","",IF(N172="DNS",0,IF(N172="DQ",0,IF(N172="DNF",1,IF(AND(ISNUMBER(N172),N172&gt;59),1,_xlfn.XLOOKUP(N172,tbl_points[Place],tbl_points[Points],""))))))</f>
        <v>28</v>
      </c>
      <c r="P172" s="3">
        <v>31</v>
      </c>
      <c r="Q172" s="3">
        <f>IF(P172="","",IF(P172="DNS",0,IF(P172="DQ",0,IF(P172="DNF",1,IF(AND(ISNUMBER(P172),P172&gt;59),1,_xlfn.XLOOKUP(P172,tbl_points[Place],tbl_points[Points],""))))))</f>
        <v>29</v>
      </c>
      <c r="S172" s="3" t="str">
        <f>IF(R172="","",IF(R172="DNS",0,IF(R172="DQ",0,IF(R172="DNF",1,IF(AND(ISNUMBER(R172),R172&gt;59),1,_xlfn.XLOOKUP(R172,tbl_points[Place],tbl_points[Points],""))))))</f>
        <v/>
      </c>
      <c r="T172" s="3">
        <f>SUM(tbl_individual[[#This Row],[R1 Pts]],tbl_individual[[#This Row],[R2 Pts]],tbl_individual[[#This Row],[R3 Pts]],tbl_individual[[#This Row],[R4 Pts]],tbl_individual[[#This Row],[R5 Pts]],tbl_individual[[#This Row],[R6 Pts]])</f>
        <v>139</v>
      </c>
      <c r="U172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172" s="3">
        <f>tbl_individual[[#This Row],[Total]]</f>
        <v>139</v>
      </c>
    </row>
    <row r="173" spans="1:22" hidden="1" x14ac:dyDescent="0.4">
      <c r="A173" t="s">
        <v>206</v>
      </c>
      <c r="B173" t="s">
        <v>20</v>
      </c>
      <c r="C173" t="s">
        <v>1</v>
      </c>
      <c r="D173" s="3">
        <v>12047</v>
      </c>
      <c r="E173" s="3" t="s">
        <v>421</v>
      </c>
      <c r="G173" s="3" t="s">
        <v>403</v>
      </c>
      <c r="H173" s="3" t="s">
        <v>410</v>
      </c>
      <c r="I173" s="3">
        <f>IF(H173="","",IF(H173="DNS",0,IF(H173="DQ",0,IF(H173="DNF",1,IF(AND(ISNUMBER(H173),H173&gt;59),1,_xlfn.XLOOKUP(H173,tbl_points[Place],tbl_points[Points],""))))))</f>
        <v>0</v>
      </c>
      <c r="J173" s="3">
        <v>3</v>
      </c>
      <c r="K173" s="3">
        <f>IF(J173="","",IF(J173="DNS",0,IF(J173="DQ",0,IF(J173="DNF",1,IF(AND(ISNUMBER(J173),J173&gt;59),1,_xlfn.XLOOKUP(J173,tbl_points[Place],tbl_points[Points],""))))))</f>
        <v>90</v>
      </c>
      <c r="L173" s="3">
        <v>3</v>
      </c>
      <c r="M173" s="3">
        <f>IF(L173="","",IF(L173="DNS",0,IF(L173="DQ",0,IF(L173="DNF",1,IF(AND(ISNUMBER(L173),L173&gt;59),1,_xlfn.XLOOKUP(L173,tbl_points[Place],tbl_points[Points],""))))))</f>
        <v>90</v>
      </c>
      <c r="N173" s="3">
        <v>3</v>
      </c>
      <c r="O173" s="3">
        <f>IF(N173="","",IF(N173="DNS",0,IF(N173="DQ",0,IF(N173="DNF",1,IF(AND(ISNUMBER(N173),N173&gt;59),1,_xlfn.XLOOKUP(N173,tbl_points[Place],tbl_points[Points],""))))))</f>
        <v>90</v>
      </c>
      <c r="P173" s="3">
        <v>7</v>
      </c>
      <c r="Q173" s="3">
        <f>IF(P173="","",IF(P173="DNS",0,IF(P173="DQ",0,IF(P173="DNF",1,IF(AND(ISNUMBER(P173),P173&gt;59),1,_xlfn.XLOOKUP(P173,tbl_points[Place],tbl_points[Points],""))))))</f>
        <v>70</v>
      </c>
      <c r="S173" s="3" t="str">
        <f>IF(R173="","",IF(R173="DNS",0,IF(R173="DQ",0,IF(R173="DNF",1,IF(AND(ISNUMBER(R173),R173&gt;59),1,_xlfn.XLOOKUP(R173,tbl_points[Place],tbl_points[Points],""))))))</f>
        <v/>
      </c>
      <c r="T173" s="3">
        <f>SUM(tbl_individual[[#This Row],[R1 Pts]],tbl_individual[[#This Row],[R2 Pts]],tbl_individual[[#This Row],[R3 Pts]],tbl_individual[[#This Row],[R4 Pts]],tbl_individual[[#This Row],[R5 Pts]],tbl_individual[[#This Row],[R6 Pts]])</f>
        <v>340</v>
      </c>
      <c r="U17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73" s="3">
        <f>tbl_individual[[#This Row],[Total]]</f>
        <v>340</v>
      </c>
    </row>
    <row r="174" spans="1:22" hidden="1" x14ac:dyDescent="0.4">
      <c r="A174" t="s">
        <v>207</v>
      </c>
      <c r="B174" t="s">
        <v>20</v>
      </c>
      <c r="C174" t="s">
        <v>1</v>
      </c>
      <c r="D174" s="3">
        <v>12048</v>
      </c>
      <c r="E174" s="3" t="s">
        <v>421</v>
      </c>
      <c r="G174" s="3" t="s">
        <v>403</v>
      </c>
      <c r="H174" s="3">
        <v>35</v>
      </c>
      <c r="I174" s="3">
        <f>IF(H174="","",IF(H174="DNS",0,IF(H174="DQ",0,IF(H174="DNF",1,IF(AND(ISNUMBER(H174),H174&gt;59),1,_xlfn.XLOOKUP(H174,tbl_points[Place],tbl_points[Points],""))))))</f>
        <v>25</v>
      </c>
      <c r="J174" s="3">
        <v>37</v>
      </c>
      <c r="K174" s="3">
        <f>IF(J174="","",IF(J174="DNS",0,IF(J174="DQ",0,IF(J174="DNF",1,IF(AND(ISNUMBER(J174),J174&gt;59),1,_xlfn.XLOOKUP(J174,tbl_points[Place],tbl_points[Points],""))))))</f>
        <v>23</v>
      </c>
      <c r="L174" s="3" t="s">
        <v>410</v>
      </c>
      <c r="M174" s="3">
        <f>IF(L174="","",IF(L174="DNS",0,IF(L174="DQ",0,IF(L174="DNF",1,IF(AND(ISNUMBER(L174),L174&gt;59),1,_xlfn.XLOOKUP(L174,tbl_points[Place],tbl_points[Points],""))))))</f>
        <v>0</v>
      </c>
      <c r="N174" s="3">
        <v>31</v>
      </c>
      <c r="O174" s="3">
        <f>IF(N174="","",IF(N174="DNS",0,IF(N174="DQ",0,IF(N174="DNF",1,IF(AND(ISNUMBER(N174),N174&gt;59),1,_xlfn.XLOOKUP(N174,tbl_points[Place],tbl_points[Points],""))))))</f>
        <v>29</v>
      </c>
      <c r="P174" s="3">
        <v>45</v>
      </c>
      <c r="Q174" s="3">
        <f>IF(P174="","",IF(P174="DNS",0,IF(P174="DQ",0,IF(P174="DNF",1,IF(AND(ISNUMBER(P174),P174&gt;59),1,_xlfn.XLOOKUP(P174,tbl_points[Place],tbl_points[Points],""))))))</f>
        <v>15</v>
      </c>
      <c r="S174" s="3" t="str">
        <f>IF(R174="","",IF(R174="DNS",0,IF(R174="DQ",0,IF(R174="DNF",1,IF(AND(ISNUMBER(R174),R174&gt;59),1,_xlfn.XLOOKUP(R174,tbl_points[Place],tbl_points[Points],""))))))</f>
        <v/>
      </c>
      <c r="T174" s="3">
        <f>SUM(tbl_individual[[#This Row],[R1 Pts]],tbl_individual[[#This Row],[R2 Pts]],tbl_individual[[#This Row],[R3 Pts]],tbl_individual[[#This Row],[R4 Pts]],tbl_individual[[#This Row],[R5 Pts]],tbl_individual[[#This Row],[R6 Pts]])</f>
        <v>92</v>
      </c>
      <c r="U17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74" s="3">
        <f>tbl_individual[[#This Row],[Total]]</f>
        <v>92</v>
      </c>
    </row>
    <row r="175" spans="1:22" hidden="1" x14ac:dyDescent="0.4">
      <c r="A175" t="s">
        <v>208</v>
      </c>
      <c r="B175" t="s">
        <v>20</v>
      </c>
      <c r="C175" t="s">
        <v>2</v>
      </c>
      <c r="D175" s="3">
        <v>1234</v>
      </c>
      <c r="E175" s="3" t="s">
        <v>422</v>
      </c>
      <c r="G175" s="3" t="s">
        <v>407</v>
      </c>
      <c r="H175" s="3" t="s">
        <v>410</v>
      </c>
      <c r="I175" s="3">
        <f>IF(H175="","",IF(H175="DNS",0,IF(H175="DQ",0,IF(H175="DNF",1,IF(AND(ISNUMBER(H175),H175&gt;59),1,_xlfn.XLOOKUP(H175,tbl_points[Place],tbl_points[Points],""))))))</f>
        <v>0</v>
      </c>
      <c r="J175" s="3" t="s">
        <v>410</v>
      </c>
      <c r="K175" s="3">
        <f>IF(J175="","",IF(J175="DNS",0,IF(J175="DQ",0,IF(J175="DNF",1,IF(AND(ISNUMBER(J175),J175&gt;59),1,_xlfn.XLOOKUP(J175,tbl_points[Place],tbl_points[Points],""))))))</f>
        <v>0</v>
      </c>
      <c r="L175" s="3" t="s">
        <v>410</v>
      </c>
      <c r="M175" s="3">
        <f>IF(L175="","",IF(L175="DNS",0,IF(L175="DQ",0,IF(L175="DNF",1,IF(AND(ISNUMBER(L175),L175&gt;59),1,_xlfn.XLOOKUP(L175,tbl_points[Place],tbl_points[Points],""))))))</f>
        <v>0</v>
      </c>
      <c r="O175" s="3" t="str">
        <f>IF(N175="","",IF(N175="DNS",0,IF(N175="DQ",0,IF(N175="DNF",1,IF(AND(ISNUMBER(N175),N175&gt;59),1,_xlfn.XLOOKUP(N175,tbl_points[Place],tbl_points[Points],""))))))</f>
        <v/>
      </c>
      <c r="Q175" s="3" t="str">
        <f>IF(P175="","",IF(P175="DNS",0,IF(P175="DQ",0,IF(P175="DNF",1,IF(AND(ISNUMBER(P175),P175&gt;59),1,_xlfn.XLOOKUP(P175,tbl_points[Place],tbl_points[Points],""))))))</f>
        <v/>
      </c>
      <c r="S175" s="3" t="str">
        <f>IF(R175="","",IF(R175="DNS",0,IF(R175="DQ",0,IF(R175="DNF",1,IF(AND(ISNUMBER(R175),R175&gt;59),1,_xlfn.XLOOKUP(R175,tbl_points[Place],tbl_points[Points],""))))))</f>
        <v/>
      </c>
      <c r="T175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17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75" s="3">
        <f>tbl_individual[[#This Row],[Total]]</f>
        <v>0</v>
      </c>
    </row>
    <row r="176" spans="1:22" hidden="1" x14ac:dyDescent="0.4">
      <c r="A176" t="s">
        <v>209</v>
      </c>
      <c r="B176" t="s">
        <v>20</v>
      </c>
      <c r="C176" t="s">
        <v>2</v>
      </c>
      <c r="D176" s="3">
        <v>1235</v>
      </c>
      <c r="E176" s="3" t="s">
        <v>421</v>
      </c>
      <c r="G176" s="3" t="s">
        <v>403</v>
      </c>
      <c r="H176" s="3">
        <v>2</v>
      </c>
      <c r="I176" s="3">
        <f>IF(H176="","",IF(H176="DNS",0,IF(H176="DQ",0,IF(H176="DNF",1,IF(AND(ISNUMBER(H176),H176&gt;59),1,_xlfn.XLOOKUP(H176,tbl_points[Place],tbl_points[Points],""))))))</f>
        <v>95</v>
      </c>
      <c r="J176" s="3">
        <v>8</v>
      </c>
      <c r="K176" s="3">
        <f>IF(J176="","",IF(J176="DNS",0,IF(J176="DQ",0,IF(J176="DNF",1,IF(AND(ISNUMBER(J176),J176&gt;59),1,_xlfn.XLOOKUP(J176,tbl_points[Place],tbl_points[Points],""))))))</f>
        <v>65</v>
      </c>
      <c r="L176" s="3">
        <v>2</v>
      </c>
      <c r="M176" s="3">
        <f>IF(L176="","",IF(L176="DNS",0,IF(L176="DQ",0,IF(L176="DNF",1,IF(AND(ISNUMBER(L176),L176&gt;59),1,_xlfn.XLOOKUP(L176,tbl_points[Place],tbl_points[Points],""))))))</f>
        <v>95</v>
      </c>
      <c r="N176" s="3">
        <v>3</v>
      </c>
      <c r="O176" s="3">
        <f>IF(N176="","",IF(N176="DNS",0,IF(N176="DQ",0,IF(N176="DNF",1,IF(AND(ISNUMBER(N176),N176&gt;59),1,_xlfn.XLOOKUP(N176,tbl_points[Place],tbl_points[Points],""))))))</f>
        <v>90</v>
      </c>
      <c r="P176" s="3">
        <v>5</v>
      </c>
      <c r="Q176" s="3">
        <f>IF(P176="","",IF(P176="DNS",0,IF(P176="DQ",0,IF(P176="DNF",1,IF(AND(ISNUMBER(P176),P176&gt;59),1,_xlfn.XLOOKUP(P176,tbl_points[Place],tbl_points[Points],""))))))</f>
        <v>80</v>
      </c>
      <c r="S176" s="3" t="str">
        <f>IF(R176="","",IF(R176="DNS",0,IF(R176="DQ",0,IF(R176="DNF",1,IF(AND(ISNUMBER(R176),R176&gt;59),1,_xlfn.XLOOKUP(R176,tbl_points[Place],tbl_points[Points],""))))))</f>
        <v/>
      </c>
      <c r="T176" s="3">
        <f>SUM(tbl_individual[[#This Row],[R1 Pts]],tbl_individual[[#This Row],[R2 Pts]],tbl_individual[[#This Row],[R3 Pts]],tbl_individual[[#This Row],[R4 Pts]],tbl_individual[[#This Row],[R5 Pts]],tbl_individual[[#This Row],[R6 Pts]])</f>
        <v>425</v>
      </c>
      <c r="U176" s="3">
        <f>MIN(tbl_individual[[#This Row],[R1 Pts]],tbl_individual[[#This Row],[R2 Pts]],tbl_individual[[#This Row],[R3 Pts]],tbl_individual[[#This Row],[R4 Pts]],tbl_individual[[#This Row],[R5 Pts]],tbl_individual[[#This Row],[R6 Pts]])</f>
        <v>65</v>
      </c>
      <c r="V176" s="3">
        <f>tbl_individual[[#This Row],[Total]]</f>
        <v>425</v>
      </c>
    </row>
    <row r="177" spans="1:22" hidden="1" x14ac:dyDescent="0.4">
      <c r="A177" t="s">
        <v>210</v>
      </c>
      <c r="B177" t="s">
        <v>20</v>
      </c>
      <c r="C177" t="s">
        <v>2</v>
      </c>
      <c r="D177" s="3">
        <v>1236</v>
      </c>
      <c r="E177" s="3" t="s">
        <v>421</v>
      </c>
      <c r="G177" s="3" t="s">
        <v>403</v>
      </c>
      <c r="H177" s="3">
        <v>7</v>
      </c>
      <c r="I177" s="3">
        <f>IF(H177="","",IF(H177="DNS",0,IF(H177="DQ",0,IF(H177="DNF",1,IF(AND(ISNUMBER(H177),H177&gt;59),1,_xlfn.XLOOKUP(H177,tbl_points[Place],tbl_points[Points],""))))))</f>
        <v>70</v>
      </c>
      <c r="J177" s="3">
        <v>5</v>
      </c>
      <c r="K177" s="3">
        <f>IF(J177="","",IF(J177="DNS",0,IF(J177="DQ",0,IF(J177="DNF",1,IF(AND(ISNUMBER(J177),J177&gt;59),1,_xlfn.XLOOKUP(J177,tbl_points[Place],tbl_points[Points],""))))))</f>
        <v>80</v>
      </c>
      <c r="L177" s="3" t="s">
        <v>410</v>
      </c>
      <c r="M177" s="3">
        <f>IF(L177="","",IF(L177="DNS",0,IF(L177="DQ",0,IF(L177="DNF",1,IF(AND(ISNUMBER(L177),L177&gt;59),1,_xlfn.XLOOKUP(L177,tbl_points[Place],tbl_points[Points],""))))))</f>
        <v>0</v>
      </c>
      <c r="N177" s="3">
        <v>2</v>
      </c>
      <c r="O177" s="3">
        <f>IF(N177="","",IF(N177="DNS",0,IF(N177="DQ",0,IF(N177="DNF",1,IF(AND(ISNUMBER(N177),N177&gt;59),1,_xlfn.XLOOKUP(N177,tbl_points[Place],tbl_points[Points],""))))))</f>
        <v>95</v>
      </c>
      <c r="P177" s="3">
        <v>2</v>
      </c>
      <c r="Q177" s="3">
        <f>IF(P177="","",IF(P177="DNS",0,IF(P177="DQ",0,IF(P177="DNF",1,IF(AND(ISNUMBER(P177),P177&gt;59),1,_xlfn.XLOOKUP(P177,tbl_points[Place],tbl_points[Points],""))))))</f>
        <v>95</v>
      </c>
      <c r="S177" s="3" t="str">
        <f>IF(R177="","",IF(R177="DNS",0,IF(R177="DQ",0,IF(R177="DNF",1,IF(AND(ISNUMBER(R177),R177&gt;59),1,_xlfn.XLOOKUP(R177,tbl_points[Place],tbl_points[Points],""))))))</f>
        <v/>
      </c>
      <c r="T177" s="3">
        <f>SUM(tbl_individual[[#This Row],[R1 Pts]],tbl_individual[[#This Row],[R2 Pts]],tbl_individual[[#This Row],[R3 Pts]],tbl_individual[[#This Row],[R4 Pts]],tbl_individual[[#This Row],[R5 Pts]],tbl_individual[[#This Row],[R6 Pts]])</f>
        <v>340</v>
      </c>
      <c r="U17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77" s="3">
        <f>tbl_individual[[#This Row],[Total]]</f>
        <v>340</v>
      </c>
    </row>
    <row r="178" spans="1:22" hidden="1" x14ac:dyDescent="0.4">
      <c r="A178" t="s">
        <v>214</v>
      </c>
      <c r="B178" t="s">
        <v>21</v>
      </c>
      <c r="C178" t="s">
        <v>3</v>
      </c>
      <c r="D178" s="3">
        <v>10172</v>
      </c>
      <c r="E178" s="3" t="s">
        <v>421</v>
      </c>
      <c r="G178" s="3" t="s">
        <v>403</v>
      </c>
      <c r="H178" s="3" t="s">
        <v>409</v>
      </c>
      <c r="I178" s="3">
        <f>IF(H178="","",IF(H178="DNS",0,IF(H178="DQ",0,IF(H178="DNF",1,IF(AND(ISNUMBER(H178),H178&gt;59),1,_xlfn.XLOOKUP(H178,tbl_points[Place],tbl_points[Points],""))))))</f>
        <v>1</v>
      </c>
      <c r="J178" s="3">
        <v>34</v>
      </c>
      <c r="K178" s="3">
        <f>IF(J178="","",IF(J178="DNS",0,IF(J178="DQ",0,IF(J178="DNF",1,IF(AND(ISNUMBER(J178),J178&gt;59),1,_xlfn.XLOOKUP(J178,tbl_points[Place],tbl_points[Points],""))))))</f>
        <v>26</v>
      </c>
      <c r="L178" s="3" t="s">
        <v>410</v>
      </c>
      <c r="M178" s="3">
        <f>IF(L178="","",IF(L178="DNS",0,IF(L178="DQ",0,IF(L178="DNF",1,IF(AND(ISNUMBER(L178),L178&gt;59),1,_xlfn.XLOOKUP(L178,tbl_points[Place],tbl_points[Points],""))))))</f>
        <v>0</v>
      </c>
      <c r="N178" s="3" t="s">
        <v>410</v>
      </c>
      <c r="O178" s="3">
        <f>IF(N178="","",IF(N178="DNS",0,IF(N178="DQ",0,IF(N178="DNF",1,IF(AND(ISNUMBER(N178),N178&gt;59),1,_xlfn.XLOOKUP(N178,tbl_points[Place],tbl_points[Points],""))))))</f>
        <v>0</v>
      </c>
      <c r="P178" s="3" t="s">
        <v>410</v>
      </c>
      <c r="Q178" s="3">
        <f>IF(P178="","",IF(P178="DNS",0,IF(P178="DQ",0,IF(P178="DNF",1,IF(AND(ISNUMBER(P178),P178&gt;59),1,_xlfn.XLOOKUP(P178,tbl_points[Place],tbl_points[Points],""))))))</f>
        <v>0</v>
      </c>
      <c r="S178" s="3" t="str">
        <f>IF(R178="","",IF(R178="DNS",0,IF(R178="DQ",0,IF(R178="DNF",1,IF(AND(ISNUMBER(R178),R178&gt;59),1,_xlfn.XLOOKUP(R178,tbl_points[Place],tbl_points[Points],""))))))</f>
        <v/>
      </c>
      <c r="T178" s="3">
        <f>SUM(tbl_individual[[#This Row],[R1 Pts]],tbl_individual[[#This Row],[R2 Pts]],tbl_individual[[#This Row],[R3 Pts]],tbl_individual[[#This Row],[R4 Pts]],tbl_individual[[#This Row],[R5 Pts]],tbl_individual[[#This Row],[R6 Pts]])</f>
        <v>27</v>
      </c>
      <c r="U17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78" s="3">
        <f>tbl_individual[[#This Row],[Total]]</f>
        <v>27</v>
      </c>
    </row>
    <row r="179" spans="1:22" hidden="1" x14ac:dyDescent="0.4">
      <c r="A179" t="s">
        <v>215</v>
      </c>
      <c r="B179" t="s">
        <v>21</v>
      </c>
      <c r="C179" t="s">
        <v>3</v>
      </c>
      <c r="D179" s="3">
        <v>10173</v>
      </c>
      <c r="E179" s="3" t="s">
        <v>421</v>
      </c>
      <c r="G179" s="3" t="s">
        <v>403</v>
      </c>
      <c r="H179" s="3">
        <v>10</v>
      </c>
      <c r="I179" s="3">
        <f>IF(H179="","",IF(H179="DNS",0,IF(H179="DQ",0,IF(H179="DNF",1,IF(AND(ISNUMBER(H179),H179&gt;59),1,_xlfn.XLOOKUP(H179,tbl_points[Place],tbl_points[Points],""))))))</f>
        <v>55</v>
      </c>
      <c r="J179" s="3">
        <v>12</v>
      </c>
      <c r="K179" s="3">
        <f>IF(J179="","",IF(J179="DNS",0,IF(J179="DQ",0,IF(J179="DNF",1,IF(AND(ISNUMBER(J179),J179&gt;59),1,_xlfn.XLOOKUP(J179,tbl_points[Place],tbl_points[Points],""))))))</f>
        <v>51</v>
      </c>
      <c r="L179" s="3" t="s">
        <v>410</v>
      </c>
      <c r="M179" s="3">
        <f>IF(L179="","",IF(L179="DNS",0,IF(L179="DQ",0,IF(L179="DNF",1,IF(AND(ISNUMBER(L179),L179&gt;59),1,_xlfn.XLOOKUP(L179,tbl_points[Place],tbl_points[Points],""))))))</f>
        <v>0</v>
      </c>
      <c r="N179" s="3">
        <v>10</v>
      </c>
      <c r="O179" s="3">
        <f>IF(N179="","",IF(N179="DNS",0,IF(N179="DQ",0,IF(N179="DNF",1,IF(AND(ISNUMBER(N179),N179&gt;59),1,_xlfn.XLOOKUP(N179,tbl_points[Place],tbl_points[Points],""))))))</f>
        <v>55</v>
      </c>
      <c r="P179" s="3" t="s">
        <v>409</v>
      </c>
      <c r="Q179" s="3">
        <f>IF(P179="","",IF(P179="DNS",0,IF(P179="DQ",0,IF(P179="DNF",1,IF(AND(ISNUMBER(P179),P179&gt;59),1,_xlfn.XLOOKUP(P179,tbl_points[Place],tbl_points[Points],""))))))</f>
        <v>1</v>
      </c>
      <c r="S179" s="3" t="str">
        <f>IF(R179="","",IF(R179="DNS",0,IF(R179="DQ",0,IF(R179="DNF",1,IF(AND(ISNUMBER(R179),R179&gt;59),1,_xlfn.XLOOKUP(R179,tbl_points[Place],tbl_points[Points],""))))))</f>
        <v/>
      </c>
      <c r="T179" s="3">
        <f>SUM(tbl_individual[[#This Row],[R1 Pts]],tbl_individual[[#This Row],[R2 Pts]],tbl_individual[[#This Row],[R3 Pts]],tbl_individual[[#This Row],[R4 Pts]],tbl_individual[[#This Row],[R5 Pts]],tbl_individual[[#This Row],[R6 Pts]])</f>
        <v>162</v>
      </c>
      <c r="U17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79" s="3">
        <f>tbl_individual[[#This Row],[Total]]</f>
        <v>162</v>
      </c>
    </row>
    <row r="180" spans="1:22" hidden="1" x14ac:dyDescent="0.4">
      <c r="A180" t="s">
        <v>216</v>
      </c>
      <c r="B180" t="s">
        <v>21</v>
      </c>
      <c r="C180" t="s">
        <v>3</v>
      </c>
      <c r="D180" s="3">
        <v>10174</v>
      </c>
      <c r="E180" s="3" t="s">
        <v>421</v>
      </c>
      <c r="G180" s="3" t="s">
        <v>403</v>
      </c>
      <c r="H180" s="3">
        <v>3</v>
      </c>
      <c r="I180" s="3">
        <f>IF(H180="","",IF(H180="DNS",0,IF(H180="DQ",0,IF(H180="DNF",1,IF(AND(ISNUMBER(H180),H180&gt;59),1,_xlfn.XLOOKUP(H180,tbl_points[Place],tbl_points[Points],""))))))</f>
        <v>90</v>
      </c>
      <c r="J180" s="3">
        <v>2</v>
      </c>
      <c r="K180" s="3">
        <f>IF(J180="","",IF(J180="DNS",0,IF(J180="DQ",0,IF(J180="DNF",1,IF(AND(ISNUMBER(J180),J180&gt;59),1,_xlfn.XLOOKUP(J180,tbl_points[Place],tbl_points[Points],""))))))</f>
        <v>95</v>
      </c>
      <c r="L180" s="3">
        <v>8</v>
      </c>
      <c r="M180" s="3">
        <f>IF(L180="","",IF(L180="DNS",0,IF(L180="DQ",0,IF(L180="DNF",1,IF(AND(ISNUMBER(L180),L180&gt;59),1,_xlfn.XLOOKUP(L180,tbl_points[Place],tbl_points[Points],""))))))</f>
        <v>65</v>
      </c>
      <c r="N180" s="3">
        <v>7</v>
      </c>
      <c r="O180" s="3">
        <f>IF(N180="","",IF(N180="DNS",0,IF(N180="DQ",0,IF(N180="DNF",1,IF(AND(ISNUMBER(N180),N180&gt;59),1,_xlfn.XLOOKUP(N180,tbl_points[Place],tbl_points[Points],""))))))</f>
        <v>70</v>
      </c>
      <c r="P180" s="3">
        <v>1</v>
      </c>
      <c r="Q180" s="3">
        <f>IF(P180="","",IF(P180="DNS",0,IF(P180="DQ",0,IF(P180="DNF",1,IF(AND(ISNUMBER(P180),P180&gt;59),1,_xlfn.XLOOKUP(P180,tbl_points[Place],tbl_points[Points],""))))))</f>
        <v>100</v>
      </c>
      <c r="S180" s="3" t="str">
        <f>IF(R180="","",IF(R180="DNS",0,IF(R180="DQ",0,IF(R180="DNF",1,IF(AND(ISNUMBER(R180),R180&gt;59),1,_xlfn.XLOOKUP(R180,tbl_points[Place],tbl_points[Points],""))))))</f>
        <v/>
      </c>
      <c r="T180" s="3">
        <f>SUM(tbl_individual[[#This Row],[R1 Pts]],tbl_individual[[#This Row],[R2 Pts]],tbl_individual[[#This Row],[R3 Pts]],tbl_individual[[#This Row],[R4 Pts]],tbl_individual[[#This Row],[R5 Pts]],tbl_individual[[#This Row],[R6 Pts]])</f>
        <v>420</v>
      </c>
      <c r="U180" s="3">
        <f>MIN(tbl_individual[[#This Row],[R1 Pts]],tbl_individual[[#This Row],[R2 Pts]],tbl_individual[[#This Row],[R3 Pts]],tbl_individual[[#This Row],[R4 Pts]],tbl_individual[[#This Row],[R5 Pts]],tbl_individual[[#This Row],[R6 Pts]])</f>
        <v>65</v>
      </c>
      <c r="V180" s="3">
        <f>tbl_individual[[#This Row],[Total]]</f>
        <v>420</v>
      </c>
    </row>
    <row r="181" spans="1:22" hidden="1" x14ac:dyDescent="0.4">
      <c r="A181" t="s">
        <v>217</v>
      </c>
      <c r="B181" t="s">
        <v>21</v>
      </c>
      <c r="C181" t="s">
        <v>3</v>
      </c>
      <c r="D181" s="3">
        <v>10175</v>
      </c>
      <c r="E181" s="3" t="s">
        <v>421</v>
      </c>
      <c r="G181" s="3" t="s">
        <v>403</v>
      </c>
      <c r="H181" s="3">
        <v>1</v>
      </c>
      <c r="I181" s="3">
        <f>IF(H181="","",IF(H181="DNS",0,IF(H181="DQ",0,IF(H181="DNF",1,IF(AND(ISNUMBER(H181),H181&gt;59),1,_xlfn.XLOOKUP(H181,tbl_points[Place],tbl_points[Points],""))))))</f>
        <v>100</v>
      </c>
      <c r="J181" s="3">
        <v>1</v>
      </c>
      <c r="K181" s="3">
        <f>IF(J181="","",IF(J181="DNS",0,IF(J181="DQ",0,IF(J181="DNF",1,IF(AND(ISNUMBER(J181),J181&gt;59),1,_xlfn.XLOOKUP(J181,tbl_points[Place],tbl_points[Points],""))))))</f>
        <v>100</v>
      </c>
      <c r="L181" s="3" t="s">
        <v>410</v>
      </c>
      <c r="M181" s="3">
        <f>IF(L181="","",IF(L181="DNS",0,IF(L181="DQ",0,IF(L181="DNF",1,IF(AND(ISNUMBER(L181),L181&gt;59),1,_xlfn.XLOOKUP(L181,tbl_points[Place],tbl_points[Points],""))))))</f>
        <v>0</v>
      </c>
      <c r="N181" s="3" t="s">
        <v>410</v>
      </c>
      <c r="O181" s="3">
        <f>IF(N181="","",IF(N181="DNS",0,IF(N181="DQ",0,IF(N181="DNF",1,IF(AND(ISNUMBER(N181),N181&gt;59),1,_xlfn.XLOOKUP(N181,tbl_points[Place],tbl_points[Points],""))))))</f>
        <v>0</v>
      </c>
      <c r="P181" s="3" t="s">
        <v>410</v>
      </c>
      <c r="Q181" s="3">
        <f>IF(P181="","",IF(P181="DNS",0,IF(P181="DQ",0,IF(P181="DNF",1,IF(AND(ISNUMBER(P181),P181&gt;59),1,_xlfn.XLOOKUP(P181,tbl_points[Place],tbl_points[Points],""))))))</f>
        <v>0</v>
      </c>
      <c r="S181" s="3" t="str">
        <f>IF(R181="","",IF(R181="DNS",0,IF(R181="DQ",0,IF(R181="DNF",1,IF(AND(ISNUMBER(R181),R181&gt;59),1,_xlfn.XLOOKUP(R181,tbl_points[Place],tbl_points[Points],""))))))</f>
        <v/>
      </c>
      <c r="T181" s="3">
        <f>SUM(tbl_individual[[#This Row],[R1 Pts]],tbl_individual[[#This Row],[R2 Pts]],tbl_individual[[#This Row],[R3 Pts]],tbl_individual[[#This Row],[R4 Pts]],tbl_individual[[#This Row],[R5 Pts]],tbl_individual[[#This Row],[R6 Pts]])</f>
        <v>200</v>
      </c>
      <c r="U18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81" s="3">
        <f>tbl_individual[[#This Row],[Total]]</f>
        <v>200</v>
      </c>
    </row>
    <row r="182" spans="1:22" hidden="1" x14ac:dyDescent="0.4">
      <c r="A182" t="s">
        <v>218</v>
      </c>
      <c r="B182" t="s">
        <v>21</v>
      </c>
      <c r="C182" t="s">
        <v>3</v>
      </c>
      <c r="D182" s="3">
        <v>10176</v>
      </c>
      <c r="E182" s="3" t="s">
        <v>421</v>
      </c>
      <c r="G182" s="3" t="s">
        <v>403</v>
      </c>
      <c r="H182" s="3">
        <v>35</v>
      </c>
      <c r="I182" s="3">
        <f>IF(H182="","",IF(H182="DNS",0,IF(H182="DQ",0,IF(H182="DNF",1,IF(AND(ISNUMBER(H182),H182&gt;59),1,_xlfn.XLOOKUP(H182,tbl_points[Place],tbl_points[Points],""))))))</f>
        <v>25</v>
      </c>
      <c r="J182" s="3">
        <v>16</v>
      </c>
      <c r="K182" s="3">
        <f>IF(J182="","",IF(J182="DNS",0,IF(J182="DQ",0,IF(J182="DNF",1,IF(AND(ISNUMBER(J182),J182&gt;59),1,_xlfn.XLOOKUP(J182,tbl_points[Place],tbl_points[Points],""))))))</f>
        <v>44</v>
      </c>
      <c r="L182" s="3">
        <v>12</v>
      </c>
      <c r="M182" s="3">
        <f>IF(L182="","",IF(L182="DNS",0,IF(L182="DQ",0,IF(L182="DNF",1,IF(AND(ISNUMBER(L182),L182&gt;59),1,_xlfn.XLOOKUP(L182,tbl_points[Place],tbl_points[Points],""))))))</f>
        <v>51</v>
      </c>
      <c r="N182" s="3">
        <v>14</v>
      </c>
      <c r="O182" s="3">
        <f>IF(N182="","",IF(N182="DNS",0,IF(N182="DQ",0,IF(N182="DNF",1,IF(AND(ISNUMBER(N182),N182&gt;59),1,_xlfn.XLOOKUP(N182,tbl_points[Place],tbl_points[Points],""))))))</f>
        <v>47</v>
      </c>
      <c r="P182" s="3">
        <v>9</v>
      </c>
      <c r="Q182" s="3">
        <f>IF(P182="","",IF(P182="DNS",0,IF(P182="DQ",0,IF(P182="DNF",1,IF(AND(ISNUMBER(P182),P182&gt;59),1,_xlfn.XLOOKUP(P182,tbl_points[Place],tbl_points[Points],""))))))</f>
        <v>60</v>
      </c>
      <c r="S182" s="3" t="str">
        <f>IF(R182="","",IF(R182="DNS",0,IF(R182="DQ",0,IF(R182="DNF",1,IF(AND(ISNUMBER(R182),R182&gt;59),1,_xlfn.XLOOKUP(R182,tbl_points[Place],tbl_points[Points],""))))))</f>
        <v/>
      </c>
      <c r="T182" s="3">
        <f>SUM(tbl_individual[[#This Row],[R1 Pts]],tbl_individual[[#This Row],[R2 Pts]],tbl_individual[[#This Row],[R3 Pts]],tbl_individual[[#This Row],[R4 Pts]],tbl_individual[[#This Row],[R5 Pts]],tbl_individual[[#This Row],[R6 Pts]])</f>
        <v>227</v>
      </c>
      <c r="U182" s="3">
        <f>MIN(tbl_individual[[#This Row],[R1 Pts]],tbl_individual[[#This Row],[R2 Pts]],tbl_individual[[#This Row],[R3 Pts]],tbl_individual[[#This Row],[R4 Pts]],tbl_individual[[#This Row],[R5 Pts]],tbl_individual[[#This Row],[R6 Pts]])</f>
        <v>25</v>
      </c>
      <c r="V182" s="3">
        <f>tbl_individual[[#This Row],[Total]]</f>
        <v>227</v>
      </c>
    </row>
    <row r="183" spans="1:22" hidden="1" x14ac:dyDescent="0.4">
      <c r="A183" t="s">
        <v>219</v>
      </c>
      <c r="B183" t="s">
        <v>21</v>
      </c>
      <c r="C183" t="s">
        <v>3</v>
      </c>
      <c r="D183" s="3">
        <v>10177</v>
      </c>
      <c r="E183" s="3" t="s">
        <v>421</v>
      </c>
      <c r="G183" s="3" t="s">
        <v>403</v>
      </c>
      <c r="H183" s="3">
        <v>31</v>
      </c>
      <c r="I183" s="3">
        <f>IF(H183="","",IF(H183="DNS",0,IF(H183="DQ",0,IF(H183="DNF",1,IF(AND(ISNUMBER(H183),H183&gt;59),1,_xlfn.XLOOKUP(H183,tbl_points[Place],tbl_points[Points],""))))))</f>
        <v>29</v>
      </c>
      <c r="J183" s="3">
        <v>36</v>
      </c>
      <c r="K183" s="3">
        <f>IF(J183="","",IF(J183="DNS",0,IF(J183="DQ",0,IF(J183="DNF",1,IF(AND(ISNUMBER(J183),J183&gt;59),1,_xlfn.XLOOKUP(J183,tbl_points[Place],tbl_points[Points],""))))))</f>
        <v>24</v>
      </c>
      <c r="L183" s="3">
        <v>44</v>
      </c>
      <c r="M183" s="3">
        <f>IF(L183="","",IF(L183="DNS",0,IF(L183="DQ",0,IF(L183="DNF",1,IF(AND(ISNUMBER(L183),L183&gt;59),1,_xlfn.XLOOKUP(L183,tbl_points[Place],tbl_points[Points],""))))))</f>
        <v>16</v>
      </c>
      <c r="N183" s="3" t="s">
        <v>409</v>
      </c>
      <c r="O183" s="3">
        <f>IF(N183="","",IF(N183="DNS",0,IF(N183="DQ",0,IF(N183="DNF",1,IF(AND(ISNUMBER(N183),N183&gt;59),1,_xlfn.XLOOKUP(N183,tbl_points[Place],tbl_points[Points],""))))))</f>
        <v>1</v>
      </c>
      <c r="P183" s="3">
        <v>32</v>
      </c>
      <c r="Q183" s="3">
        <f>IF(P183="","",IF(P183="DNS",0,IF(P183="DQ",0,IF(P183="DNF",1,IF(AND(ISNUMBER(P183),P183&gt;59),1,_xlfn.XLOOKUP(P183,tbl_points[Place],tbl_points[Points],""))))))</f>
        <v>28</v>
      </c>
      <c r="S183" s="3" t="str">
        <f>IF(R183="","",IF(R183="DNS",0,IF(R183="DQ",0,IF(R183="DNF",1,IF(AND(ISNUMBER(R183),R183&gt;59),1,_xlfn.XLOOKUP(R183,tbl_points[Place],tbl_points[Points],""))))))</f>
        <v/>
      </c>
      <c r="T183" s="3">
        <f>SUM(tbl_individual[[#This Row],[R1 Pts]],tbl_individual[[#This Row],[R2 Pts]],tbl_individual[[#This Row],[R3 Pts]],tbl_individual[[#This Row],[R4 Pts]],tbl_individual[[#This Row],[R5 Pts]],tbl_individual[[#This Row],[R6 Pts]])</f>
        <v>98</v>
      </c>
      <c r="U183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183" s="3">
        <f>tbl_individual[[#This Row],[Total]]</f>
        <v>98</v>
      </c>
    </row>
    <row r="184" spans="1:22" hidden="1" x14ac:dyDescent="0.4">
      <c r="A184" t="s">
        <v>220</v>
      </c>
      <c r="B184" t="s">
        <v>21</v>
      </c>
      <c r="C184" t="s">
        <v>3</v>
      </c>
      <c r="D184" s="3">
        <v>10178</v>
      </c>
      <c r="E184" s="3" t="s">
        <v>421</v>
      </c>
      <c r="G184" s="3" t="s">
        <v>403</v>
      </c>
      <c r="H184" s="3">
        <v>6</v>
      </c>
      <c r="I184" s="3">
        <f>IF(H184="","",IF(H184="DNS",0,IF(H184="DQ",0,IF(H184="DNF",1,IF(AND(ISNUMBER(H184),H184&gt;59),1,_xlfn.XLOOKUP(H184,tbl_points[Place],tbl_points[Points],""))))))</f>
        <v>75</v>
      </c>
      <c r="J184" s="3" t="s">
        <v>409</v>
      </c>
      <c r="K184" s="3">
        <f>IF(J184="","",IF(J184="DNS",0,IF(J184="DQ",0,IF(J184="DNF",1,IF(AND(ISNUMBER(J184),J184&gt;59),1,_xlfn.XLOOKUP(J184,tbl_points[Place],tbl_points[Points],""))))))</f>
        <v>1</v>
      </c>
      <c r="L184" s="3">
        <v>3</v>
      </c>
      <c r="M184" s="3">
        <f>IF(L184="","",IF(L184="DNS",0,IF(L184="DQ",0,IF(L184="DNF",1,IF(AND(ISNUMBER(L184),L184&gt;59),1,_xlfn.XLOOKUP(L184,tbl_points[Place],tbl_points[Points],""))))))</f>
        <v>90</v>
      </c>
      <c r="N184" s="3">
        <v>17</v>
      </c>
      <c r="O184" s="3">
        <f>IF(N184="","",IF(N184="DNS",0,IF(N184="DQ",0,IF(N184="DNF",1,IF(AND(ISNUMBER(N184),N184&gt;59),1,_xlfn.XLOOKUP(N184,tbl_points[Place],tbl_points[Points],""))))))</f>
        <v>43</v>
      </c>
      <c r="P184" s="3">
        <v>10</v>
      </c>
      <c r="Q184" s="3">
        <f>IF(P184="","",IF(P184="DNS",0,IF(P184="DQ",0,IF(P184="DNF",1,IF(AND(ISNUMBER(P184),P184&gt;59),1,_xlfn.XLOOKUP(P184,tbl_points[Place],tbl_points[Points],""))))))</f>
        <v>55</v>
      </c>
      <c r="S184" s="3" t="str">
        <f>IF(R184="","",IF(R184="DNS",0,IF(R184="DQ",0,IF(R184="DNF",1,IF(AND(ISNUMBER(R184),R184&gt;59),1,_xlfn.XLOOKUP(R184,tbl_points[Place],tbl_points[Points],""))))))</f>
        <v/>
      </c>
      <c r="T184" s="3">
        <f>SUM(tbl_individual[[#This Row],[R1 Pts]],tbl_individual[[#This Row],[R2 Pts]],tbl_individual[[#This Row],[R3 Pts]],tbl_individual[[#This Row],[R4 Pts]],tbl_individual[[#This Row],[R5 Pts]],tbl_individual[[#This Row],[R6 Pts]])</f>
        <v>264</v>
      </c>
      <c r="U184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184" s="3">
        <f>tbl_individual[[#This Row],[Total]]</f>
        <v>264</v>
      </c>
    </row>
    <row r="185" spans="1:22" hidden="1" x14ac:dyDescent="0.4">
      <c r="A185" t="s">
        <v>211</v>
      </c>
      <c r="B185" t="s">
        <v>21</v>
      </c>
      <c r="C185" t="s">
        <v>4</v>
      </c>
      <c r="D185" s="3">
        <v>1033</v>
      </c>
      <c r="E185" s="3" t="s">
        <v>421</v>
      </c>
      <c r="G185" s="3" t="s">
        <v>403</v>
      </c>
      <c r="H185" s="3">
        <v>3</v>
      </c>
      <c r="I185" s="3">
        <f>IF(H185="","",IF(H185="DNS",0,IF(H185="DQ",0,IF(H185="DNF",1,IF(AND(ISNUMBER(H185),H185&gt;59),1,_xlfn.XLOOKUP(H185,tbl_points[Place],tbl_points[Points],""))))))</f>
        <v>90</v>
      </c>
      <c r="J185" s="3">
        <v>11</v>
      </c>
      <c r="K185" s="3">
        <f>IF(J185="","",IF(J185="DNS",0,IF(J185="DQ",0,IF(J185="DNF",1,IF(AND(ISNUMBER(J185),J185&gt;59),1,_xlfn.XLOOKUP(J185,tbl_points[Place],tbl_points[Points],""))))))</f>
        <v>53</v>
      </c>
      <c r="L185" s="3">
        <v>4</v>
      </c>
      <c r="M185" s="3">
        <f>IF(L185="","",IF(L185="DNS",0,IF(L185="DQ",0,IF(L185="DNF",1,IF(AND(ISNUMBER(L185),L185&gt;59),1,_xlfn.XLOOKUP(L185,tbl_points[Place],tbl_points[Points],""))))))</f>
        <v>85</v>
      </c>
      <c r="N185" s="3" t="s">
        <v>410</v>
      </c>
      <c r="O185" s="3">
        <f>IF(N185="","",IF(N185="DNS",0,IF(N185="DQ",0,IF(N185="DNF",1,IF(AND(ISNUMBER(N185),N185&gt;59),1,_xlfn.XLOOKUP(N185,tbl_points[Place],tbl_points[Points],""))))))</f>
        <v>0</v>
      </c>
      <c r="P185" s="3">
        <v>8</v>
      </c>
      <c r="Q185" s="3">
        <f>IF(P185="","",IF(P185="DNS",0,IF(P185="DQ",0,IF(P185="DNF",1,IF(AND(ISNUMBER(P185),P185&gt;59),1,_xlfn.XLOOKUP(P185,tbl_points[Place],tbl_points[Points],""))))))</f>
        <v>65</v>
      </c>
      <c r="S185" s="3" t="str">
        <f>IF(R185="","",IF(R185="DNS",0,IF(R185="DQ",0,IF(R185="DNF",1,IF(AND(ISNUMBER(R185),R185&gt;59),1,_xlfn.XLOOKUP(R185,tbl_points[Place],tbl_points[Points],""))))))</f>
        <v/>
      </c>
      <c r="T185" s="3">
        <f>SUM(tbl_individual[[#This Row],[R1 Pts]],tbl_individual[[#This Row],[R2 Pts]],tbl_individual[[#This Row],[R3 Pts]],tbl_individual[[#This Row],[R4 Pts]],tbl_individual[[#This Row],[R5 Pts]],tbl_individual[[#This Row],[R6 Pts]])</f>
        <v>293</v>
      </c>
      <c r="U18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85" s="3">
        <f>tbl_individual[[#This Row],[Total]]</f>
        <v>293</v>
      </c>
    </row>
    <row r="186" spans="1:22" hidden="1" x14ac:dyDescent="0.4">
      <c r="A186" t="s">
        <v>212</v>
      </c>
      <c r="B186" t="s">
        <v>21</v>
      </c>
      <c r="C186" t="s">
        <v>4</v>
      </c>
      <c r="D186" s="3">
        <v>1034</v>
      </c>
      <c r="E186" s="3" t="s">
        <v>421</v>
      </c>
      <c r="G186" s="3" t="s">
        <v>403</v>
      </c>
      <c r="H186" s="3">
        <v>2</v>
      </c>
      <c r="I186" s="3">
        <f>IF(H186="","",IF(H186="DNS",0,IF(H186="DQ",0,IF(H186="DNF",1,IF(AND(ISNUMBER(H186),H186&gt;59),1,_xlfn.XLOOKUP(H186,tbl_points[Place],tbl_points[Points],""))))))</f>
        <v>95</v>
      </c>
      <c r="J186" s="3" t="s">
        <v>410</v>
      </c>
      <c r="K186" s="3">
        <f>IF(J186="","",IF(J186="DNS",0,IF(J186="DQ",0,IF(J186="DNF",1,IF(AND(ISNUMBER(J186),J186&gt;59),1,_xlfn.XLOOKUP(J186,tbl_points[Place],tbl_points[Points],""))))))</f>
        <v>0</v>
      </c>
      <c r="L186" s="3">
        <v>3</v>
      </c>
      <c r="M186" s="3">
        <f>IF(L186="","",IF(L186="DNS",0,IF(L186="DQ",0,IF(L186="DNF",1,IF(AND(ISNUMBER(L186),L186&gt;59),1,_xlfn.XLOOKUP(L186,tbl_points[Place],tbl_points[Points],""))))))</f>
        <v>90</v>
      </c>
      <c r="N186" s="3" t="s">
        <v>410</v>
      </c>
      <c r="O186" s="3">
        <f>IF(N186="","",IF(N186="DNS",0,IF(N186="DQ",0,IF(N186="DNF",1,IF(AND(ISNUMBER(N186),N186&gt;59),1,_xlfn.XLOOKUP(N186,tbl_points[Place],tbl_points[Points],""))))))</f>
        <v>0</v>
      </c>
      <c r="P186" s="3">
        <v>6</v>
      </c>
      <c r="Q186" s="3">
        <f>IF(P186="","",IF(P186="DNS",0,IF(P186="DQ",0,IF(P186="DNF",1,IF(AND(ISNUMBER(P186),P186&gt;59),1,_xlfn.XLOOKUP(P186,tbl_points[Place],tbl_points[Points],""))))))</f>
        <v>75</v>
      </c>
      <c r="S186" s="3" t="str">
        <f>IF(R186="","",IF(R186="DNS",0,IF(R186="DQ",0,IF(R186="DNF",1,IF(AND(ISNUMBER(R186),R186&gt;59),1,_xlfn.XLOOKUP(R186,tbl_points[Place],tbl_points[Points],""))))))</f>
        <v/>
      </c>
      <c r="T186" s="3">
        <f>SUM(tbl_individual[[#This Row],[R1 Pts]],tbl_individual[[#This Row],[R2 Pts]],tbl_individual[[#This Row],[R3 Pts]],tbl_individual[[#This Row],[R4 Pts]],tbl_individual[[#This Row],[R5 Pts]],tbl_individual[[#This Row],[R6 Pts]])</f>
        <v>260</v>
      </c>
      <c r="U18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86" s="3">
        <f>tbl_individual[[#This Row],[Total]]</f>
        <v>260</v>
      </c>
    </row>
    <row r="187" spans="1:22" hidden="1" x14ac:dyDescent="0.4">
      <c r="A187" t="s">
        <v>213</v>
      </c>
      <c r="B187" t="s">
        <v>21</v>
      </c>
      <c r="C187" t="s">
        <v>4</v>
      </c>
      <c r="D187" s="3">
        <v>1035</v>
      </c>
      <c r="E187" s="3" t="s">
        <v>421</v>
      </c>
      <c r="G187" s="3" t="s">
        <v>403</v>
      </c>
      <c r="H187" s="3" t="s">
        <v>410</v>
      </c>
      <c r="I187" s="3">
        <f>IF(H187="","",IF(H187="DNS",0,IF(H187="DQ",0,IF(H187="DNF",1,IF(AND(ISNUMBER(H187),H187&gt;59),1,_xlfn.XLOOKUP(H187,tbl_points[Place],tbl_points[Points],""))))))</f>
        <v>0</v>
      </c>
      <c r="J187" s="3">
        <v>1</v>
      </c>
      <c r="K187" s="3">
        <f>IF(J187="","",IF(J187="DNS",0,IF(J187="DQ",0,IF(J187="DNF",1,IF(AND(ISNUMBER(J187),J187&gt;59),1,_xlfn.XLOOKUP(J187,tbl_points[Place],tbl_points[Points],""))))))</f>
        <v>100</v>
      </c>
      <c r="L187" s="3" t="s">
        <v>410</v>
      </c>
      <c r="M187" s="3">
        <f>IF(L187="","",IF(L187="DNS",0,IF(L187="DQ",0,IF(L187="DNF",1,IF(AND(ISNUMBER(L187),L187&gt;59),1,_xlfn.XLOOKUP(L187,tbl_points[Place],tbl_points[Points],""))))))</f>
        <v>0</v>
      </c>
      <c r="N187" s="3">
        <v>1</v>
      </c>
      <c r="O187" s="3">
        <f>IF(N187="","",IF(N187="DNS",0,IF(N187="DQ",0,IF(N187="DNF",1,IF(AND(ISNUMBER(N187),N187&gt;59),1,_xlfn.XLOOKUP(N187,tbl_points[Place],tbl_points[Points],""))))))</f>
        <v>100</v>
      </c>
      <c r="P187" s="3">
        <v>1</v>
      </c>
      <c r="Q187" s="3">
        <f>IF(P187="","",IF(P187="DNS",0,IF(P187="DQ",0,IF(P187="DNF",1,IF(AND(ISNUMBER(P187),P187&gt;59),1,_xlfn.XLOOKUP(P187,tbl_points[Place],tbl_points[Points],""))))))</f>
        <v>100</v>
      </c>
      <c r="S187" s="3" t="str">
        <f>IF(R187="","",IF(R187="DNS",0,IF(R187="DQ",0,IF(R187="DNF",1,IF(AND(ISNUMBER(R187),R187&gt;59),1,_xlfn.XLOOKUP(R187,tbl_points[Place],tbl_points[Points],""))))))</f>
        <v/>
      </c>
      <c r="T187" s="3">
        <f>SUM(tbl_individual[[#This Row],[R1 Pts]],tbl_individual[[#This Row],[R2 Pts]],tbl_individual[[#This Row],[R3 Pts]],tbl_individual[[#This Row],[R4 Pts]],tbl_individual[[#This Row],[R5 Pts]],tbl_individual[[#This Row],[R6 Pts]])</f>
        <v>300</v>
      </c>
      <c r="U18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87" s="3">
        <f>tbl_individual[[#This Row],[Total]]</f>
        <v>300</v>
      </c>
    </row>
    <row r="188" spans="1:22" hidden="1" x14ac:dyDescent="0.4">
      <c r="A188" t="s">
        <v>223</v>
      </c>
      <c r="B188" t="s">
        <v>21</v>
      </c>
      <c r="C188" t="s">
        <v>1</v>
      </c>
      <c r="D188" s="3">
        <v>12049</v>
      </c>
      <c r="E188" s="3" t="s">
        <v>421</v>
      </c>
      <c r="G188" s="3" t="s">
        <v>403</v>
      </c>
      <c r="H188" s="3">
        <v>8</v>
      </c>
      <c r="I188" s="3">
        <f>IF(H188="","",IF(H188="DNS",0,IF(H188="DQ",0,IF(H188="DNF",1,IF(AND(ISNUMBER(H188),H188&gt;59),1,_xlfn.XLOOKUP(H188,tbl_points[Place],tbl_points[Points],""))))))</f>
        <v>65</v>
      </c>
      <c r="J188" s="3">
        <v>23</v>
      </c>
      <c r="K188" s="3">
        <f>IF(J188="","",IF(J188="DNS",0,IF(J188="DQ",0,IF(J188="DNF",1,IF(AND(ISNUMBER(J188),J188&gt;59),1,_xlfn.XLOOKUP(J188,tbl_points[Place],tbl_points[Points],""))))))</f>
        <v>37</v>
      </c>
      <c r="L188" s="3" t="s">
        <v>410</v>
      </c>
      <c r="M188" s="3">
        <f>IF(L188="","",IF(L188="DNS",0,IF(L188="DQ",0,IF(L188="DNF",1,IF(AND(ISNUMBER(L188),L188&gt;59),1,_xlfn.XLOOKUP(L188,tbl_points[Place],tbl_points[Points],""))))))</f>
        <v>0</v>
      </c>
      <c r="N188" s="3" t="s">
        <v>409</v>
      </c>
      <c r="O188" s="3">
        <f>IF(N188="","",IF(N188="DNS",0,IF(N188="DQ",0,IF(N188="DNF",1,IF(AND(ISNUMBER(N188),N188&gt;59),1,_xlfn.XLOOKUP(N188,tbl_points[Place],tbl_points[Points],""))))))</f>
        <v>1</v>
      </c>
      <c r="P188" s="3">
        <v>15</v>
      </c>
      <c r="Q188" s="3">
        <f>IF(P188="","",IF(P188="DNS",0,IF(P188="DQ",0,IF(P188="DNF",1,IF(AND(ISNUMBER(P188),P188&gt;59),1,_xlfn.XLOOKUP(P188,tbl_points[Place],tbl_points[Points],""))))))</f>
        <v>45</v>
      </c>
      <c r="S188" s="3" t="str">
        <f>IF(R188="","",IF(R188="DNS",0,IF(R188="DQ",0,IF(R188="DNF",1,IF(AND(ISNUMBER(R188),R188&gt;59),1,_xlfn.XLOOKUP(R188,tbl_points[Place],tbl_points[Points],""))))))</f>
        <v/>
      </c>
      <c r="T188" s="3">
        <f>SUM(tbl_individual[[#This Row],[R1 Pts]],tbl_individual[[#This Row],[R2 Pts]],tbl_individual[[#This Row],[R3 Pts]],tbl_individual[[#This Row],[R4 Pts]],tbl_individual[[#This Row],[R5 Pts]],tbl_individual[[#This Row],[R6 Pts]])</f>
        <v>148</v>
      </c>
      <c r="U18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88" s="3">
        <f>tbl_individual[[#This Row],[Total]]</f>
        <v>148</v>
      </c>
    </row>
    <row r="189" spans="1:22" hidden="1" x14ac:dyDescent="0.4">
      <c r="A189" t="s">
        <v>224</v>
      </c>
      <c r="B189" t="s">
        <v>21</v>
      </c>
      <c r="C189" t="s">
        <v>1</v>
      </c>
      <c r="D189" s="3">
        <v>12050</v>
      </c>
      <c r="E189" s="3" t="s">
        <v>421</v>
      </c>
      <c r="G189" s="3" t="s">
        <v>403</v>
      </c>
      <c r="H189" s="3">
        <v>30</v>
      </c>
      <c r="I189" s="3">
        <f>IF(H189="","",IF(H189="DNS",0,IF(H189="DQ",0,IF(H189="DNF",1,IF(AND(ISNUMBER(H189),H189&gt;59),1,_xlfn.XLOOKUP(H189,tbl_points[Place],tbl_points[Points],""))))))</f>
        <v>30</v>
      </c>
      <c r="J189" s="3">
        <v>31</v>
      </c>
      <c r="K189" s="3">
        <f>IF(J189="","",IF(J189="DNS",0,IF(J189="DQ",0,IF(J189="DNF",1,IF(AND(ISNUMBER(J189),J189&gt;59),1,_xlfn.XLOOKUP(J189,tbl_points[Place],tbl_points[Points],""))))))</f>
        <v>29</v>
      </c>
      <c r="L189" s="3" t="s">
        <v>410</v>
      </c>
      <c r="M189" s="3">
        <f>IF(L189="","",IF(L189="DNS",0,IF(L189="DQ",0,IF(L189="DNF",1,IF(AND(ISNUMBER(L189),L189&gt;59),1,_xlfn.XLOOKUP(L189,tbl_points[Place],tbl_points[Points],""))))))</f>
        <v>0</v>
      </c>
      <c r="N189" s="3">
        <v>22</v>
      </c>
      <c r="O189" s="3">
        <f>IF(N189="","",IF(N189="DNS",0,IF(N189="DQ",0,IF(N189="DNF",1,IF(AND(ISNUMBER(N189),N189&gt;59),1,_xlfn.XLOOKUP(N189,tbl_points[Place],tbl_points[Points],""))))))</f>
        <v>38</v>
      </c>
      <c r="P189" s="3">
        <v>16</v>
      </c>
      <c r="Q189" s="3">
        <f>IF(P189="","",IF(P189="DNS",0,IF(P189="DQ",0,IF(P189="DNF",1,IF(AND(ISNUMBER(P189),P189&gt;59),1,_xlfn.XLOOKUP(P189,tbl_points[Place],tbl_points[Points],""))))))</f>
        <v>44</v>
      </c>
      <c r="S189" s="3" t="str">
        <f>IF(R189="","",IF(R189="DNS",0,IF(R189="DQ",0,IF(R189="DNF",1,IF(AND(ISNUMBER(R189),R189&gt;59),1,_xlfn.XLOOKUP(R189,tbl_points[Place],tbl_points[Points],""))))))</f>
        <v/>
      </c>
      <c r="T189" s="3">
        <f>SUM(tbl_individual[[#This Row],[R1 Pts]],tbl_individual[[#This Row],[R2 Pts]],tbl_individual[[#This Row],[R3 Pts]],tbl_individual[[#This Row],[R4 Pts]],tbl_individual[[#This Row],[R5 Pts]],tbl_individual[[#This Row],[R6 Pts]])</f>
        <v>141</v>
      </c>
      <c r="U18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89" s="3">
        <f>tbl_individual[[#This Row],[Total]]</f>
        <v>141</v>
      </c>
    </row>
    <row r="190" spans="1:22" hidden="1" x14ac:dyDescent="0.4">
      <c r="A190" t="s">
        <v>225</v>
      </c>
      <c r="B190" t="s">
        <v>21</v>
      </c>
      <c r="C190" t="s">
        <v>1</v>
      </c>
      <c r="D190" s="3">
        <v>12051</v>
      </c>
      <c r="E190" s="3" t="s">
        <v>421</v>
      </c>
      <c r="G190" s="3" t="s">
        <v>403</v>
      </c>
      <c r="H190" s="3">
        <v>28</v>
      </c>
      <c r="I190" s="3">
        <f>IF(H190="","",IF(H190="DNS",0,IF(H190="DQ",0,IF(H190="DNF",1,IF(AND(ISNUMBER(H190),H190&gt;59),1,_xlfn.XLOOKUP(H190,tbl_points[Place],tbl_points[Points],""))))))</f>
        <v>32</v>
      </c>
      <c r="J190" s="3">
        <v>40</v>
      </c>
      <c r="K190" s="3">
        <f>IF(J190="","",IF(J190="DNS",0,IF(J190="DQ",0,IF(J190="DNF",1,IF(AND(ISNUMBER(J190),J190&gt;59),1,_xlfn.XLOOKUP(J190,tbl_points[Place],tbl_points[Points],""))))))</f>
        <v>20</v>
      </c>
      <c r="L190" s="3">
        <v>32</v>
      </c>
      <c r="M190" s="3">
        <f>IF(L190="","",IF(L190="DNS",0,IF(L190="DQ",0,IF(L190="DNF",1,IF(AND(ISNUMBER(L190),L190&gt;59),1,_xlfn.XLOOKUP(L190,tbl_points[Place],tbl_points[Points],""))))))</f>
        <v>28</v>
      </c>
      <c r="N190" s="3" t="s">
        <v>410</v>
      </c>
      <c r="O190" s="3">
        <f>IF(N190="","",IF(N190="DNS",0,IF(N190="DQ",0,IF(N190="DNF",1,IF(AND(ISNUMBER(N190),N190&gt;59),1,_xlfn.XLOOKUP(N190,tbl_points[Place],tbl_points[Points],""))))))</f>
        <v>0</v>
      </c>
      <c r="P190" s="3" t="s">
        <v>410</v>
      </c>
      <c r="Q190" s="3">
        <f>IF(P190="","",IF(P190="DNS",0,IF(P190="DQ",0,IF(P190="DNF",1,IF(AND(ISNUMBER(P190),P190&gt;59),1,_xlfn.XLOOKUP(P190,tbl_points[Place],tbl_points[Points],""))))))</f>
        <v>0</v>
      </c>
      <c r="S190" s="3" t="str">
        <f>IF(R190="","",IF(R190="DNS",0,IF(R190="DQ",0,IF(R190="DNF",1,IF(AND(ISNUMBER(R190),R190&gt;59),1,_xlfn.XLOOKUP(R190,tbl_points[Place],tbl_points[Points],""))))))</f>
        <v/>
      </c>
      <c r="T190" s="3">
        <f>SUM(tbl_individual[[#This Row],[R1 Pts]],tbl_individual[[#This Row],[R2 Pts]],tbl_individual[[#This Row],[R3 Pts]],tbl_individual[[#This Row],[R4 Pts]],tbl_individual[[#This Row],[R5 Pts]],tbl_individual[[#This Row],[R6 Pts]])</f>
        <v>80</v>
      </c>
      <c r="U19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90" s="3">
        <f>tbl_individual[[#This Row],[Total]]</f>
        <v>80</v>
      </c>
    </row>
    <row r="191" spans="1:22" hidden="1" x14ac:dyDescent="0.4">
      <c r="A191" t="s">
        <v>226</v>
      </c>
      <c r="B191" t="s">
        <v>21</v>
      </c>
      <c r="C191" t="s">
        <v>1</v>
      </c>
      <c r="D191" s="3">
        <v>12052</v>
      </c>
      <c r="E191" s="3" t="s">
        <v>421</v>
      </c>
      <c r="G191" s="3" t="s">
        <v>403</v>
      </c>
      <c r="H191" s="3">
        <v>19</v>
      </c>
      <c r="I191" s="3">
        <f>IF(H191="","",IF(H191="DNS",0,IF(H191="DQ",0,IF(H191="DNF",1,IF(AND(ISNUMBER(H191),H191&gt;59),1,_xlfn.XLOOKUP(H191,tbl_points[Place],tbl_points[Points],""))))))</f>
        <v>41</v>
      </c>
      <c r="J191" s="3">
        <v>11</v>
      </c>
      <c r="K191" s="3">
        <f>IF(J191="","",IF(J191="DNS",0,IF(J191="DQ",0,IF(J191="DNF",1,IF(AND(ISNUMBER(J191),J191&gt;59),1,_xlfn.XLOOKUP(J191,tbl_points[Place],tbl_points[Points],""))))))</f>
        <v>53</v>
      </c>
      <c r="L191" s="3" t="s">
        <v>410</v>
      </c>
      <c r="M191" s="3">
        <f>IF(L191="","",IF(L191="DNS",0,IF(L191="DQ",0,IF(L191="DNF",1,IF(AND(ISNUMBER(L191),L191&gt;59),1,_xlfn.XLOOKUP(L191,tbl_points[Place],tbl_points[Points],""))))))</f>
        <v>0</v>
      </c>
      <c r="N191" s="3" t="s">
        <v>410</v>
      </c>
      <c r="O191" s="3">
        <f>IF(N191="","",IF(N191="DNS",0,IF(N191="DQ",0,IF(N191="DNF",1,IF(AND(ISNUMBER(N191),N191&gt;59),1,_xlfn.XLOOKUP(N191,tbl_points[Place],tbl_points[Points],""))))))</f>
        <v>0</v>
      </c>
      <c r="P191" s="3">
        <v>4</v>
      </c>
      <c r="Q191" s="3">
        <f>IF(P191="","",IF(P191="DNS",0,IF(P191="DQ",0,IF(P191="DNF",1,IF(AND(ISNUMBER(P191),P191&gt;59),1,_xlfn.XLOOKUP(P191,tbl_points[Place],tbl_points[Points],""))))))</f>
        <v>85</v>
      </c>
      <c r="S191" s="3" t="str">
        <f>IF(R191="","",IF(R191="DNS",0,IF(R191="DQ",0,IF(R191="DNF",1,IF(AND(ISNUMBER(R191),R191&gt;59),1,_xlfn.XLOOKUP(R191,tbl_points[Place],tbl_points[Points],""))))))</f>
        <v/>
      </c>
      <c r="T191" s="3">
        <f>SUM(tbl_individual[[#This Row],[R1 Pts]],tbl_individual[[#This Row],[R2 Pts]],tbl_individual[[#This Row],[R3 Pts]],tbl_individual[[#This Row],[R4 Pts]],tbl_individual[[#This Row],[R5 Pts]],tbl_individual[[#This Row],[R6 Pts]])</f>
        <v>179</v>
      </c>
      <c r="U19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91" s="3">
        <f>tbl_individual[[#This Row],[Total]]</f>
        <v>179</v>
      </c>
    </row>
    <row r="192" spans="1:22" hidden="1" x14ac:dyDescent="0.4">
      <c r="A192" t="s">
        <v>227</v>
      </c>
      <c r="B192" t="s">
        <v>21</v>
      </c>
      <c r="C192" t="s">
        <v>1</v>
      </c>
      <c r="D192" s="3">
        <v>12053</v>
      </c>
      <c r="E192" s="3" t="s">
        <v>421</v>
      </c>
      <c r="G192" s="3" t="s">
        <v>407</v>
      </c>
      <c r="H192" s="3">
        <v>31</v>
      </c>
      <c r="I192" s="3">
        <f>IF(H192="","",IF(H192="DNS",0,IF(H192="DQ",0,IF(H192="DNF",1,IF(AND(ISNUMBER(H192),H192&gt;59),1,_xlfn.XLOOKUP(H192,tbl_points[Place],tbl_points[Points],""))))))</f>
        <v>29</v>
      </c>
      <c r="J192" s="3" t="s">
        <v>410</v>
      </c>
      <c r="K192" s="3">
        <f>IF(J192="","",IF(J192="DNS",0,IF(J192="DQ",0,IF(J192="DNF",1,IF(AND(ISNUMBER(J192),J192&gt;59),1,_xlfn.XLOOKUP(J192,tbl_points[Place],tbl_points[Points],""))))))</f>
        <v>0</v>
      </c>
      <c r="L192" s="3">
        <v>36</v>
      </c>
      <c r="M192" s="3">
        <f>IF(L192="","",IF(L192="DNS",0,IF(L192="DQ",0,IF(L192="DNF",1,IF(AND(ISNUMBER(L192),L192&gt;59),1,_xlfn.XLOOKUP(L192,tbl_points[Place],tbl_points[Points],""))))))</f>
        <v>24</v>
      </c>
      <c r="N192" s="3" t="s">
        <v>410</v>
      </c>
      <c r="O192" s="3">
        <f>IF(N192="","",IF(N192="DNS",0,IF(N192="DQ",0,IF(N192="DNF",1,IF(AND(ISNUMBER(N192),N192&gt;59),1,_xlfn.XLOOKUP(N192,tbl_points[Place],tbl_points[Points],""))))))</f>
        <v>0</v>
      </c>
      <c r="P192" s="3">
        <v>33</v>
      </c>
      <c r="Q192" s="3">
        <f>IF(P192="","",IF(P192="DNS",0,IF(P192="DQ",0,IF(P192="DNF",1,IF(AND(ISNUMBER(P192),P192&gt;59),1,_xlfn.XLOOKUP(P192,tbl_points[Place],tbl_points[Points],""))))))</f>
        <v>27</v>
      </c>
      <c r="S192" s="3" t="str">
        <f>IF(R192="","",IF(R192="DNS",0,IF(R192="DQ",0,IF(R192="DNF",1,IF(AND(ISNUMBER(R192),R192&gt;59),1,_xlfn.XLOOKUP(R192,tbl_points[Place],tbl_points[Points],""))))))</f>
        <v/>
      </c>
      <c r="T192" s="3">
        <f>SUM(tbl_individual[[#This Row],[R1 Pts]],tbl_individual[[#This Row],[R2 Pts]],tbl_individual[[#This Row],[R3 Pts]],tbl_individual[[#This Row],[R4 Pts]],tbl_individual[[#This Row],[R5 Pts]],tbl_individual[[#This Row],[R6 Pts]])</f>
        <v>80</v>
      </c>
      <c r="U19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92" s="3">
        <f>tbl_individual[[#This Row],[Total]]</f>
        <v>80</v>
      </c>
    </row>
    <row r="193" spans="1:22" hidden="1" x14ac:dyDescent="0.4">
      <c r="A193" t="s">
        <v>228</v>
      </c>
      <c r="B193" t="s">
        <v>21</v>
      </c>
      <c r="C193" t="s">
        <v>1</v>
      </c>
      <c r="D193" s="3">
        <v>12054</v>
      </c>
      <c r="E193" s="3" t="s">
        <v>421</v>
      </c>
      <c r="G193" s="3" t="s">
        <v>407</v>
      </c>
      <c r="H193" s="3" t="s">
        <v>410</v>
      </c>
      <c r="I193" s="3">
        <f>IF(H193="","",IF(H193="DNS",0,IF(H193="DQ",0,IF(H193="DNF",1,IF(AND(ISNUMBER(H193),H193&gt;59),1,_xlfn.XLOOKUP(H193,tbl_points[Place],tbl_points[Points],""))))))</f>
        <v>0</v>
      </c>
      <c r="J193" s="3" t="s">
        <v>410</v>
      </c>
      <c r="K193" s="3">
        <f>IF(J193="","",IF(J193="DNS",0,IF(J193="DQ",0,IF(J193="DNF",1,IF(AND(ISNUMBER(J193),J193&gt;59),1,_xlfn.XLOOKUP(J193,tbl_points[Place],tbl_points[Points],""))))))</f>
        <v>0</v>
      </c>
      <c r="L193" s="3">
        <v>27</v>
      </c>
      <c r="M193" s="3">
        <f>IF(L193="","",IF(L193="DNS",0,IF(L193="DQ",0,IF(L193="DNF",1,IF(AND(ISNUMBER(L193),L193&gt;59),1,_xlfn.XLOOKUP(L193,tbl_points[Place],tbl_points[Points],""))))))</f>
        <v>33</v>
      </c>
      <c r="N193" s="3" t="s">
        <v>410</v>
      </c>
      <c r="O193" s="3">
        <f>IF(N193="","",IF(N193="DNS",0,IF(N193="DQ",0,IF(N193="DNF",1,IF(AND(ISNUMBER(N193),N193&gt;59),1,_xlfn.XLOOKUP(N193,tbl_points[Place],tbl_points[Points],""))))))</f>
        <v>0</v>
      </c>
      <c r="P193" s="3" t="s">
        <v>410</v>
      </c>
      <c r="Q193" s="3">
        <f>IF(P193="","",IF(P193="DNS",0,IF(P193="DQ",0,IF(P193="DNF",1,IF(AND(ISNUMBER(P193),P193&gt;59),1,_xlfn.XLOOKUP(P193,tbl_points[Place],tbl_points[Points],""))))))</f>
        <v>0</v>
      </c>
      <c r="S193" s="3" t="str">
        <f>IF(R193="","",IF(R193="DNS",0,IF(R193="DQ",0,IF(R193="DNF",1,IF(AND(ISNUMBER(R193),R193&gt;59),1,_xlfn.XLOOKUP(R193,tbl_points[Place],tbl_points[Points],""))))))</f>
        <v/>
      </c>
      <c r="T193" s="3">
        <f>SUM(tbl_individual[[#This Row],[R1 Pts]],tbl_individual[[#This Row],[R2 Pts]],tbl_individual[[#This Row],[R3 Pts]],tbl_individual[[#This Row],[R4 Pts]],tbl_individual[[#This Row],[R5 Pts]],tbl_individual[[#This Row],[R6 Pts]])</f>
        <v>33</v>
      </c>
      <c r="U19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93" s="3">
        <f>tbl_individual[[#This Row],[Total]]</f>
        <v>33</v>
      </c>
    </row>
    <row r="194" spans="1:22" hidden="1" x14ac:dyDescent="0.4">
      <c r="A194" t="s">
        <v>229</v>
      </c>
      <c r="B194" t="s">
        <v>21</v>
      </c>
      <c r="C194" t="s">
        <v>1</v>
      </c>
      <c r="D194" s="3">
        <v>12055</v>
      </c>
      <c r="E194" s="3" t="s">
        <v>421</v>
      </c>
      <c r="G194" s="3" t="s">
        <v>403</v>
      </c>
      <c r="H194" s="3" t="s">
        <v>410</v>
      </c>
      <c r="I194" s="3">
        <f>IF(H194="","",IF(H194="DNS",0,IF(H194="DQ",0,IF(H194="DNF",1,IF(AND(ISNUMBER(H194),H194&gt;59),1,_xlfn.XLOOKUP(H194,tbl_points[Place],tbl_points[Points],""))))))</f>
        <v>0</v>
      </c>
      <c r="J194" s="3">
        <v>45</v>
      </c>
      <c r="K194" s="3">
        <f>IF(J194="","",IF(J194="DNS",0,IF(J194="DQ",0,IF(J194="DNF",1,IF(AND(ISNUMBER(J194),J194&gt;59),1,_xlfn.XLOOKUP(J194,tbl_points[Place],tbl_points[Points],""))))))</f>
        <v>15</v>
      </c>
      <c r="L194" s="3" t="s">
        <v>410</v>
      </c>
      <c r="M194" s="3">
        <f>IF(L194="","",IF(L194="DNS",0,IF(L194="DQ",0,IF(L194="DNF",1,IF(AND(ISNUMBER(L194),L194&gt;59),1,_xlfn.XLOOKUP(L194,tbl_points[Place],tbl_points[Points],""))))))</f>
        <v>0</v>
      </c>
      <c r="N194" s="3" t="s">
        <v>410</v>
      </c>
      <c r="O194" s="3">
        <f>IF(N194="","",IF(N194="DNS",0,IF(N194="DQ",0,IF(N194="DNF",1,IF(AND(ISNUMBER(N194),N194&gt;59),1,_xlfn.XLOOKUP(N194,tbl_points[Place],tbl_points[Points],""))))))</f>
        <v>0</v>
      </c>
      <c r="P194" s="3" t="s">
        <v>410</v>
      </c>
      <c r="Q194" s="3">
        <f>IF(P194="","",IF(P194="DNS",0,IF(P194="DQ",0,IF(P194="DNF",1,IF(AND(ISNUMBER(P194),P194&gt;59),1,_xlfn.XLOOKUP(P194,tbl_points[Place],tbl_points[Points],""))))))</f>
        <v>0</v>
      </c>
      <c r="S194" s="3" t="str">
        <f>IF(R194="","",IF(R194="DNS",0,IF(R194="DQ",0,IF(R194="DNF",1,IF(AND(ISNUMBER(R194),R194&gt;59),1,_xlfn.XLOOKUP(R194,tbl_points[Place],tbl_points[Points],""))))))</f>
        <v/>
      </c>
      <c r="T194" s="3">
        <f>SUM(tbl_individual[[#This Row],[R1 Pts]],tbl_individual[[#This Row],[R2 Pts]],tbl_individual[[#This Row],[R3 Pts]],tbl_individual[[#This Row],[R4 Pts]],tbl_individual[[#This Row],[R5 Pts]],tbl_individual[[#This Row],[R6 Pts]])</f>
        <v>15</v>
      </c>
      <c r="U19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94" s="3">
        <f>tbl_individual[[#This Row],[Total]]</f>
        <v>15</v>
      </c>
    </row>
    <row r="195" spans="1:22" hidden="1" x14ac:dyDescent="0.4">
      <c r="A195" t="s">
        <v>230</v>
      </c>
      <c r="B195" t="s">
        <v>21</v>
      </c>
      <c r="C195" t="s">
        <v>1</v>
      </c>
      <c r="D195" s="3">
        <v>12056</v>
      </c>
      <c r="E195" s="3" t="s">
        <v>421</v>
      </c>
      <c r="G195" s="3" t="s">
        <v>403</v>
      </c>
      <c r="H195" s="3" t="s">
        <v>410</v>
      </c>
      <c r="I195" s="3">
        <f>IF(H195="","",IF(H195="DNS",0,IF(H195="DQ",0,IF(H195="DNF",1,IF(AND(ISNUMBER(H195),H195&gt;59),1,_xlfn.XLOOKUP(H195,tbl_points[Place],tbl_points[Points],""))))))</f>
        <v>0</v>
      </c>
      <c r="J195" s="3">
        <v>51</v>
      </c>
      <c r="K195" s="3">
        <f>IF(J195="","",IF(J195="DNS",0,IF(J195="DQ",0,IF(J195="DNF",1,IF(AND(ISNUMBER(J195),J195&gt;59),1,_xlfn.XLOOKUP(J195,tbl_points[Place],tbl_points[Points],""))))))</f>
        <v>9</v>
      </c>
      <c r="L195" s="3" t="s">
        <v>410</v>
      </c>
      <c r="M195" s="3">
        <f>IF(L195="","",IF(L195="DNS",0,IF(L195="DQ",0,IF(L195="DNF",1,IF(AND(ISNUMBER(L195),L195&gt;59),1,_xlfn.XLOOKUP(L195,tbl_points[Place],tbl_points[Points],""))))))</f>
        <v>0</v>
      </c>
      <c r="N195" s="3">
        <v>41</v>
      </c>
      <c r="O195" s="3">
        <f>IF(N195="","",IF(N195="DNS",0,IF(N195="DQ",0,IF(N195="DNF",1,IF(AND(ISNUMBER(N195),N195&gt;59),1,_xlfn.XLOOKUP(N195,tbl_points[Place],tbl_points[Points],""))))))</f>
        <v>19</v>
      </c>
      <c r="P195" s="3" t="s">
        <v>410</v>
      </c>
      <c r="Q195" s="3">
        <f>IF(P195="","",IF(P195="DNS",0,IF(P195="DQ",0,IF(P195="DNF",1,IF(AND(ISNUMBER(P195),P195&gt;59),1,_xlfn.XLOOKUP(P195,tbl_points[Place],tbl_points[Points],""))))))</f>
        <v>0</v>
      </c>
      <c r="S195" s="3" t="str">
        <f>IF(R195="","",IF(R195="DNS",0,IF(R195="DQ",0,IF(R195="DNF",1,IF(AND(ISNUMBER(R195),R195&gt;59),1,_xlfn.XLOOKUP(R195,tbl_points[Place],tbl_points[Points],""))))))</f>
        <v/>
      </c>
      <c r="T195" s="3">
        <f>SUM(tbl_individual[[#This Row],[R1 Pts]],tbl_individual[[#This Row],[R2 Pts]],tbl_individual[[#This Row],[R3 Pts]],tbl_individual[[#This Row],[R4 Pts]],tbl_individual[[#This Row],[R5 Pts]],tbl_individual[[#This Row],[R6 Pts]])</f>
        <v>28</v>
      </c>
      <c r="U19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95" s="3">
        <f>tbl_individual[[#This Row],[Total]]</f>
        <v>28</v>
      </c>
    </row>
    <row r="196" spans="1:22" hidden="1" x14ac:dyDescent="0.4">
      <c r="A196" t="s">
        <v>231</v>
      </c>
      <c r="B196" t="s">
        <v>21</v>
      </c>
      <c r="C196" t="s">
        <v>1</v>
      </c>
      <c r="D196" s="3">
        <v>12057</v>
      </c>
      <c r="E196" s="3" t="s">
        <v>421</v>
      </c>
      <c r="G196" s="3" t="s">
        <v>403</v>
      </c>
      <c r="H196" s="3">
        <v>48</v>
      </c>
      <c r="I196" s="3">
        <f>IF(H196="","",IF(H196="DNS",0,IF(H196="DQ",0,IF(H196="DNF",1,IF(AND(ISNUMBER(H196),H196&gt;59),1,_xlfn.XLOOKUP(H196,tbl_points[Place],tbl_points[Points],""))))))</f>
        <v>12</v>
      </c>
      <c r="J196" s="3">
        <v>49</v>
      </c>
      <c r="K196" s="3">
        <f>IF(J196="","",IF(J196="DNS",0,IF(J196="DQ",0,IF(J196="DNF",1,IF(AND(ISNUMBER(J196),J196&gt;59),1,_xlfn.XLOOKUP(J196,tbl_points[Place],tbl_points[Points],""))))))</f>
        <v>11</v>
      </c>
      <c r="L196" s="3">
        <v>50</v>
      </c>
      <c r="M196" s="3">
        <f>IF(L196="","",IF(L196="DNS",0,IF(L196="DQ",0,IF(L196="DNF",1,IF(AND(ISNUMBER(L196),L196&gt;59),1,_xlfn.XLOOKUP(L196,tbl_points[Place],tbl_points[Points],""))))))</f>
        <v>10</v>
      </c>
      <c r="N196" s="3">
        <v>26</v>
      </c>
      <c r="O196" s="3">
        <f>IF(N196="","",IF(N196="DNS",0,IF(N196="DQ",0,IF(N196="DNF",1,IF(AND(ISNUMBER(N196),N196&gt;59),1,_xlfn.XLOOKUP(N196,tbl_points[Place],tbl_points[Points],""))))))</f>
        <v>34</v>
      </c>
      <c r="P196" s="3">
        <v>35</v>
      </c>
      <c r="Q196" s="3">
        <f>IF(P196="","",IF(P196="DNS",0,IF(P196="DQ",0,IF(P196="DNF",1,IF(AND(ISNUMBER(P196),P196&gt;59),1,_xlfn.XLOOKUP(P196,tbl_points[Place],tbl_points[Points],""))))))</f>
        <v>25</v>
      </c>
      <c r="S196" s="3" t="str">
        <f>IF(R196="","",IF(R196="DNS",0,IF(R196="DQ",0,IF(R196="DNF",1,IF(AND(ISNUMBER(R196),R196&gt;59),1,_xlfn.XLOOKUP(R196,tbl_points[Place],tbl_points[Points],""))))))</f>
        <v/>
      </c>
      <c r="T196" s="3">
        <f>SUM(tbl_individual[[#This Row],[R1 Pts]],tbl_individual[[#This Row],[R2 Pts]],tbl_individual[[#This Row],[R3 Pts]],tbl_individual[[#This Row],[R4 Pts]],tbl_individual[[#This Row],[R5 Pts]],tbl_individual[[#This Row],[R6 Pts]])</f>
        <v>92</v>
      </c>
      <c r="U196" s="3">
        <f>MIN(tbl_individual[[#This Row],[R1 Pts]],tbl_individual[[#This Row],[R2 Pts]],tbl_individual[[#This Row],[R3 Pts]],tbl_individual[[#This Row],[R4 Pts]],tbl_individual[[#This Row],[R5 Pts]],tbl_individual[[#This Row],[R6 Pts]])</f>
        <v>10</v>
      </c>
      <c r="V196" s="3">
        <f>tbl_individual[[#This Row],[Total]]</f>
        <v>92</v>
      </c>
    </row>
    <row r="197" spans="1:22" hidden="1" x14ac:dyDescent="0.4">
      <c r="A197" t="s">
        <v>232</v>
      </c>
      <c r="B197" t="s">
        <v>21</v>
      </c>
      <c r="C197" t="s">
        <v>1</v>
      </c>
      <c r="D197" s="3">
        <v>12058</v>
      </c>
      <c r="E197" s="3" t="s">
        <v>421</v>
      </c>
      <c r="G197" s="3" t="s">
        <v>403</v>
      </c>
      <c r="H197" s="3" t="s">
        <v>410</v>
      </c>
      <c r="I197" s="3">
        <f>IF(H197="","",IF(H197="DNS",0,IF(H197="DQ",0,IF(H197="DNF",1,IF(AND(ISNUMBER(H197),H197&gt;59),1,_xlfn.XLOOKUP(H197,tbl_points[Place],tbl_points[Points],""))))))</f>
        <v>0</v>
      </c>
      <c r="J197" s="3">
        <v>6</v>
      </c>
      <c r="K197" s="3">
        <f>IF(J197="","",IF(J197="DNS",0,IF(J197="DQ",0,IF(J197="DNF",1,IF(AND(ISNUMBER(J197),J197&gt;59),1,_xlfn.XLOOKUP(J197,tbl_points[Place],tbl_points[Points],""))))))</f>
        <v>75</v>
      </c>
      <c r="L197" s="3" t="s">
        <v>410</v>
      </c>
      <c r="M197" s="3">
        <f>IF(L197="","",IF(L197="DNS",0,IF(L197="DQ",0,IF(L197="DNF",1,IF(AND(ISNUMBER(L197),L197&gt;59),1,_xlfn.XLOOKUP(L197,tbl_points[Place],tbl_points[Points],""))))))</f>
        <v>0</v>
      </c>
      <c r="N197" s="3" t="s">
        <v>410</v>
      </c>
      <c r="O197" s="3">
        <f>IF(N197="","",IF(N197="DNS",0,IF(N197="DQ",0,IF(N197="DNF",1,IF(AND(ISNUMBER(N197),N197&gt;59),1,_xlfn.XLOOKUP(N197,tbl_points[Place],tbl_points[Points],""))))))</f>
        <v>0</v>
      </c>
      <c r="P197" s="3" t="s">
        <v>410</v>
      </c>
      <c r="Q197" s="3">
        <f>IF(P197="","",IF(P197="DNS",0,IF(P197="DQ",0,IF(P197="DNF",1,IF(AND(ISNUMBER(P197),P197&gt;59),1,_xlfn.XLOOKUP(P197,tbl_points[Place],tbl_points[Points],""))))))</f>
        <v>0</v>
      </c>
      <c r="S197" s="3" t="str">
        <f>IF(R197="","",IF(R197="DNS",0,IF(R197="DQ",0,IF(R197="DNF",1,IF(AND(ISNUMBER(R197),R197&gt;59),1,_xlfn.XLOOKUP(R197,tbl_points[Place],tbl_points[Points],""))))))</f>
        <v/>
      </c>
      <c r="T197" s="3">
        <f>SUM(tbl_individual[[#This Row],[R1 Pts]],tbl_individual[[#This Row],[R2 Pts]],tbl_individual[[#This Row],[R3 Pts]],tbl_individual[[#This Row],[R4 Pts]],tbl_individual[[#This Row],[R5 Pts]],tbl_individual[[#This Row],[R6 Pts]])</f>
        <v>75</v>
      </c>
      <c r="U19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97" s="3">
        <f>tbl_individual[[#This Row],[Total]]</f>
        <v>75</v>
      </c>
    </row>
    <row r="198" spans="1:22" hidden="1" x14ac:dyDescent="0.4">
      <c r="A198" t="s">
        <v>233</v>
      </c>
      <c r="B198" t="s">
        <v>21</v>
      </c>
      <c r="C198" t="s">
        <v>1</v>
      </c>
      <c r="D198" s="3">
        <v>12059</v>
      </c>
      <c r="E198" s="3" t="s">
        <v>421</v>
      </c>
      <c r="G198" s="3" t="s">
        <v>407</v>
      </c>
      <c r="H198" s="3" t="s">
        <v>410</v>
      </c>
      <c r="I198" s="3">
        <f>IF(H198="","",IF(H198="DNS",0,IF(H198="DQ",0,IF(H198="DNF",1,IF(AND(ISNUMBER(H198),H198&gt;59),1,_xlfn.XLOOKUP(H198,tbl_points[Place],tbl_points[Points],""))))))</f>
        <v>0</v>
      </c>
      <c r="J198" s="3" t="s">
        <v>410</v>
      </c>
      <c r="K198" s="3">
        <f>IF(J198="","",IF(J198="DNS",0,IF(J198="DQ",0,IF(J198="DNF",1,IF(AND(ISNUMBER(J198),J198&gt;59),1,_xlfn.XLOOKUP(J198,tbl_points[Place],tbl_points[Points],""))))))</f>
        <v>0</v>
      </c>
      <c r="L198" s="3" t="s">
        <v>410</v>
      </c>
      <c r="M198" s="3">
        <f>IF(L198="","",IF(L198="DNS",0,IF(L198="DQ",0,IF(L198="DNF",1,IF(AND(ISNUMBER(L198),L198&gt;59),1,_xlfn.XLOOKUP(L198,tbl_points[Place],tbl_points[Points],""))))))</f>
        <v>0</v>
      </c>
      <c r="N198" s="3" t="s">
        <v>410</v>
      </c>
      <c r="O198" s="3">
        <f>IF(N198="","",IF(N198="DNS",0,IF(N198="DQ",0,IF(N198="DNF",1,IF(AND(ISNUMBER(N198),N198&gt;59),1,_xlfn.XLOOKUP(N198,tbl_points[Place],tbl_points[Points],""))))))</f>
        <v>0</v>
      </c>
      <c r="P198" s="3">
        <v>1</v>
      </c>
      <c r="Q198" s="3">
        <f>IF(P198="","",IF(P198="DNS",0,IF(P198="DQ",0,IF(P198="DNF",1,IF(AND(ISNUMBER(P198),P198&gt;59),1,_xlfn.XLOOKUP(P198,tbl_points[Place],tbl_points[Points],""))))))</f>
        <v>100</v>
      </c>
      <c r="S198" s="3" t="str">
        <f>IF(R198="","",IF(R198="DNS",0,IF(R198="DQ",0,IF(R198="DNF",1,IF(AND(ISNUMBER(R198),R198&gt;59),1,_xlfn.XLOOKUP(R198,tbl_points[Place],tbl_points[Points],""))))))</f>
        <v/>
      </c>
      <c r="T198" s="3">
        <f>SUM(tbl_individual[[#This Row],[R1 Pts]],tbl_individual[[#This Row],[R2 Pts]],tbl_individual[[#This Row],[R3 Pts]],tbl_individual[[#This Row],[R4 Pts]],tbl_individual[[#This Row],[R5 Pts]],tbl_individual[[#This Row],[R6 Pts]])</f>
        <v>100</v>
      </c>
      <c r="U19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198" s="3">
        <f>tbl_individual[[#This Row],[Total]]</f>
        <v>100</v>
      </c>
    </row>
    <row r="199" spans="1:22" hidden="1" x14ac:dyDescent="0.4">
      <c r="A199" t="s">
        <v>234</v>
      </c>
      <c r="B199" t="s">
        <v>21</v>
      </c>
      <c r="C199" t="s">
        <v>1</v>
      </c>
      <c r="D199" s="3">
        <v>12060</v>
      </c>
      <c r="E199" s="3" t="s">
        <v>421</v>
      </c>
      <c r="G199" s="3" t="s">
        <v>403</v>
      </c>
      <c r="H199" s="3">
        <v>16</v>
      </c>
      <c r="I199" s="3">
        <f>IF(H199="","",IF(H199="DNS",0,IF(H199="DQ",0,IF(H199="DNF",1,IF(AND(ISNUMBER(H199),H199&gt;59),1,_xlfn.XLOOKUP(H199,tbl_points[Place],tbl_points[Points],""))))))</f>
        <v>44</v>
      </c>
      <c r="J199" s="3">
        <v>47</v>
      </c>
      <c r="K199" s="3">
        <f>IF(J199="","",IF(J199="DNS",0,IF(J199="DQ",0,IF(J199="DNF",1,IF(AND(ISNUMBER(J199),J199&gt;59),1,_xlfn.XLOOKUP(J199,tbl_points[Place],tbl_points[Points],""))))))</f>
        <v>13</v>
      </c>
      <c r="L199" s="3">
        <v>21</v>
      </c>
      <c r="M199" s="3">
        <f>IF(L199="","",IF(L199="DNS",0,IF(L199="DQ",0,IF(L199="DNF",1,IF(AND(ISNUMBER(L199),L199&gt;59),1,_xlfn.XLOOKUP(L199,tbl_points[Place],tbl_points[Points],""))))))</f>
        <v>39</v>
      </c>
      <c r="N199" s="3">
        <v>35</v>
      </c>
      <c r="O199" s="3">
        <f>IF(N199="","",IF(N199="DNS",0,IF(N199="DQ",0,IF(N199="DNF",1,IF(AND(ISNUMBER(N199),N199&gt;59),1,_xlfn.XLOOKUP(N199,tbl_points[Place],tbl_points[Points],""))))))</f>
        <v>25</v>
      </c>
      <c r="P199" s="3">
        <v>25</v>
      </c>
      <c r="Q199" s="3">
        <f>IF(P199="","",IF(P199="DNS",0,IF(P199="DQ",0,IF(P199="DNF",1,IF(AND(ISNUMBER(P199),P199&gt;59),1,_xlfn.XLOOKUP(P199,tbl_points[Place],tbl_points[Points],""))))))</f>
        <v>35</v>
      </c>
      <c r="S199" s="3" t="str">
        <f>IF(R199="","",IF(R199="DNS",0,IF(R199="DQ",0,IF(R199="DNF",1,IF(AND(ISNUMBER(R199),R199&gt;59),1,_xlfn.XLOOKUP(R199,tbl_points[Place],tbl_points[Points],""))))))</f>
        <v/>
      </c>
      <c r="T199" s="3">
        <f>SUM(tbl_individual[[#This Row],[R1 Pts]],tbl_individual[[#This Row],[R2 Pts]],tbl_individual[[#This Row],[R3 Pts]],tbl_individual[[#This Row],[R4 Pts]],tbl_individual[[#This Row],[R5 Pts]],tbl_individual[[#This Row],[R6 Pts]])</f>
        <v>156</v>
      </c>
      <c r="U199" s="3">
        <f>MIN(tbl_individual[[#This Row],[R1 Pts]],tbl_individual[[#This Row],[R2 Pts]],tbl_individual[[#This Row],[R3 Pts]],tbl_individual[[#This Row],[R4 Pts]],tbl_individual[[#This Row],[R5 Pts]],tbl_individual[[#This Row],[R6 Pts]])</f>
        <v>13</v>
      </c>
      <c r="V199" s="3">
        <f>tbl_individual[[#This Row],[Total]]</f>
        <v>156</v>
      </c>
    </row>
    <row r="200" spans="1:22" hidden="1" x14ac:dyDescent="0.4">
      <c r="A200" t="s">
        <v>221</v>
      </c>
      <c r="B200" t="s">
        <v>21</v>
      </c>
      <c r="C200" t="s">
        <v>2</v>
      </c>
      <c r="D200" s="3">
        <v>1237</v>
      </c>
      <c r="E200" s="3" t="s">
        <v>421</v>
      </c>
      <c r="G200" s="3" t="s">
        <v>407</v>
      </c>
      <c r="H200" s="3">
        <v>11</v>
      </c>
      <c r="I200" s="3">
        <f>IF(H200="","",IF(H200="DNS",0,IF(H200="DQ",0,IF(H200="DNF",1,IF(AND(ISNUMBER(H200),H200&gt;59),1,_xlfn.XLOOKUP(H200,tbl_points[Place],tbl_points[Points],""))))))</f>
        <v>53</v>
      </c>
      <c r="J200" s="3" t="s">
        <v>410</v>
      </c>
      <c r="K200" s="3">
        <f>IF(J200="","",IF(J200="DNS",0,IF(J200="DQ",0,IF(J200="DNF",1,IF(AND(ISNUMBER(J200),J200&gt;59),1,_xlfn.XLOOKUP(J200,tbl_points[Place],tbl_points[Points],""))))))</f>
        <v>0</v>
      </c>
      <c r="L200" s="3" t="s">
        <v>410</v>
      </c>
      <c r="M200" s="3">
        <f>IF(L200="","",IF(L200="DNS",0,IF(L200="DQ",0,IF(L200="DNF",1,IF(AND(ISNUMBER(L200),L200&gt;59),1,_xlfn.XLOOKUP(L200,tbl_points[Place],tbl_points[Points],""))))))</f>
        <v>0</v>
      </c>
      <c r="N200" s="3" t="s">
        <v>410</v>
      </c>
      <c r="O200" s="3">
        <f>IF(N200="","",IF(N200="DNS",0,IF(N200="DQ",0,IF(N200="DNF",1,IF(AND(ISNUMBER(N200),N200&gt;59),1,_xlfn.XLOOKUP(N200,tbl_points[Place],tbl_points[Points],""))))))</f>
        <v>0</v>
      </c>
      <c r="P200" s="3" t="s">
        <v>410</v>
      </c>
      <c r="Q200" s="3">
        <f>IF(P200="","",IF(P200="DNS",0,IF(P200="DQ",0,IF(P200="DNF",1,IF(AND(ISNUMBER(P200),P200&gt;59),1,_xlfn.XLOOKUP(P200,tbl_points[Place],tbl_points[Points],""))))))</f>
        <v>0</v>
      </c>
      <c r="S200" s="3" t="str">
        <f>IF(R200="","",IF(R200="DNS",0,IF(R200="DQ",0,IF(R200="DNF",1,IF(AND(ISNUMBER(R200),R200&gt;59),1,_xlfn.XLOOKUP(R200,tbl_points[Place],tbl_points[Points],""))))))</f>
        <v/>
      </c>
      <c r="T200" s="3">
        <f>SUM(tbl_individual[[#This Row],[R1 Pts]],tbl_individual[[#This Row],[R2 Pts]],tbl_individual[[#This Row],[R3 Pts]],tbl_individual[[#This Row],[R4 Pts]],tbl_individual[[#This Row],[R5 Pts]],tbl_individual[[#This Row],[R6 Pts]])</f>
        <v>53</v>
      </c>
      <c r="U20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00" s="3">
        <f>tbl_individual[[#This Row],[Total]]</f>
        <v>53</v>
      </c>
    </row>
    <row r="201" spans="1:22" hidden="1" x14ac:dyDescent="0.4">
      <c r="A201" t="s">
        <v>222</v>
      </c>
      <c r="B201" t="s">
        <v>21</v>
      </c>
      <c r="C201" t="s">
        <v>2</v>
      </c>
      <c r="D201" s="3">
        <v>1238</v>
      </c>
      <c r="E201" s="3" t="s">
        <v>421</v>
      </c>
      <c r="G201" s="3" t="s">
        <v>403</v>
      </c>
      <c r="H201" s="3" t="s">
        <v>410</v>
      </c>
      <c r="I201" s="3">
        <f>IF(H201="","",IF(H201="DNS",0,IF(H201="DQ",0,IF(H201="DNF",1,IF(AND(ISNUMBER(H201),H201&gt;59),1,_xlfn.XLOOKUP(H201,tbl_points[Place],tbl_points[Points],""))))))</f>
        <v>0</v>
      </c>
      <c r="J201" s="3">
        <v>2</v>
      </c>
      <c r="K201" s="3">
        <f>IF(J201="","",IF(J201="DNS",0,IF(J201="DQ",0,IF(J201="DNF",1,IF(AND(ISNUMBER(J201),J201&gt;59),1,_xlfn.XLOOKUP(J201,tbl_points[Place],tbl_points[Points],""))))))</f>
        <v>95</v>
      </c>
      <c r="L201" s="3" t="s">
        <v>410</v>
      </c>
      <c r="M201" s="3">
        <f>IF(L201="","",IF(L201="DNS",0,IF(L201="DQ",0,IF(L201="DNF",1,IF(AND(ISNUMBER(L201),L201&gt;59),1,_xlfn.XLOOKUP(L201,tbl_points[Place],tbl_points[Points],""))))))</f>
        <v>0</v>
      </c>
      <c r="N201" s="3" t="s">
        <v>410</v>
      </c>
      <c r="O201" s="3">
        <f>IF(N201="","",IF(N201="DNS",0,IF(N201="DQ",0,IF(N201="DNF",1,IF(AND(ISNUMBER(N201),N201&gt;59),1,_xlfn.XLOOKUP(N201,tbl_points[Place],tbl_points[Points],""))))))</f>
        <v>0</v>
      </c>
      <c r="P201" s="3" t="s">
        <v>410</v>
      </c>
      <c r="Q201" s="3">
        <f>IF(P201="","",IF(P201="DNS",0,IF(P201="DQ",0,IF(P201="DNF",1,IF(AND(ISNUMBER(P201),P201&gt;59),1,_xlfn.XLOOKUP(P201,tbl_points[Place],tbl_points[Points],""))))))</f>
        <v>0</v>
      </c>
      <c r="S201" s="3" t="str">
        <f>IF(R201="","",IF(R201="DNS",0,IF(R201="DQ",0,IF(R201="DNF",1,IF(AND(ISNUMBER(R201),R201&gt;59),1,_xlfn.XLOOKUP(R201,tbl_points[Place],tbl_points[Points],""))))))</f>
        <v/>
      </c>
      <c r="T201" s="3">
        <f>SUM(tbl_individual[[#This Row],[R1 Pts]],tbl_individual[[#This Row],[R2 Pts]],tbl_individual[[#This Row],[R3 Pts]],tbl_individual[[#This Row],[R4 Pts]],tbl_individual[[#This Row],[R5 Pts]],tbl_individual[[#This Row],[R6 Pts]])</f>
        <v>95</v>
      </c>
      <c r="U20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01" s="3">
        <f>tbl_individual[[#This Row],[Total]]</f>
        <v>95</v>
      </c>
    </row>
    <row r="202" spans="1:22" hidden="1" x14ac:dyDescent="0.4">
      <c r="A202" t="s">
        <v>235</v>
      </c>
      <c r="B202" t="s">
        <v>22</v>
      </c>
      <c r="C202" t="s">
        <v>7</v>
      </c>
      <c r="D202" s="3">
        <v>813</v>
      </c>
      <c r="E202" s="3" t="s">
        <v>421</v>
      </c>
      <c r="G202" s="3" t="s">
        <v>403</v>
      </c>
      <c r="H202" s="3" t="s">
        <v>410</v>
      </c>
      <c r="I202" s="3">
        <f>IF(H202="","",IF(H202="DNS",0,IF(H202="DQ",0,IF(H202="DNF",1,IF(AND(ISNUMBER(H202),H202&gt;59),1,_xlfn.XLOOKUP(H202,tbl_points[Place],tbl_points[Points],""))))))</f>
        <v>0</v>
      </c>
      <c r="J202" s="3">
        <v>8</v>
      </c>
      <c r="K202" s="3">
        <f>IF(J202="","",IF(J202="DNS",0,IF(J202="DQ",0,IF(J202="DNF",1,IF(AND(ISNUMBER(J202),J202&gt;59),1,_xlfn.XLOOKUP(J202,tbl_points[Place],tbl_points[Points],""))))))</f>
        <v>65</v>
      </c>
      <c r="L202" s="3">
        <v>17</v>
      </c>
      <c r="M202" s="3">
        <f>IF(L202="","",IF(L202="DNS",0,IF(L202="DQ",0,IF(L202="DNF",1,IF(AND(ISNUMBER(L202),L202&gt;59),1,_xlfn.XLOOKUP(L202,tbl_points[Place],tbl_points[Points],""))))))</f>
        <v>43</v>
      </c>
      <c r="N202" s="3" t="s">
        <v>410</v>
      </c>
      <c r="O202" s="3">
        <f>IF(N202="","",IF(N202="DNS",0,IF(N202="DQ",0,IF(N202="DNF",1,IF(AND(ISNUMBER(N202),N202&gt;59),1,_xlfn.XLOOKUP(N202,tbl_points[Place],tbl_points[Points],""))))))</f>
        <v>0</v>
      </c>
      <c r="P202" s="3">
        <v>18</v>
      </c>
      <c r="Q202" s="3">
        <f>IF(P202="","",IF(P202="DNS",0,IF(P202="DQ",0,IF(P202="DNF",1,IF(AND(ISNUMBER(P202),P202&gt;59),1,_xlfn.XLOOKUP(P202,tbl_points[Place],tbl_points[Points],""))))))</f>
        <v>42</v>
      </c>
      <c r="S202" s="3" t="str">
        <f>IF(R202="","",IF(R202="DNS",0,IF(R202="DQ",0,IF(R202="DNF",1,IF(AND(ISNUMBER(R202),R202&gt;59),1,_xlfn.XLOOKUP(R202,tbl_points[Place],tbl_points[Points],""))))))</f>
        <v/>
      </c>
      <c r="T202" s="3">
        <f>SUM(tbl_individual[[#This Row],[R1 Pts]],tbl_individual[[#This Row],[R2 Pts]],tbl_individual[[#This Row],[R3 Pts]],tbl_individual[[#This Row],[R4 Pts]],tbl_individual[[#This Row],[R5 Pts]],tbl_individual[[#This Row],[R6 Pts]])</f>
        <v>150</v>
      </c>
      <c r="U20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02" s="3">
        <f>tbl_individual[[#This Row],[Total]]</f>
        <v>150</v>
      </c>
    </row>
    <row r="203" spans="1:22" hidden="1" x14ac:dyDescent="0.4">
      <c r="A203" t="s">
        <v>236</v>
      </c>
      <c r="B203" t="s">
        <v>22</v>
      </c>
      <c r="C203" t="s">
        <v>7</v>
      </c>
      <c r="D203" s="3">
        <v>814</v>
      </c>
      <c r="E203" s="3" t="s">
        <v>421</v>
      </c>
      <c r="G203" s="3" t="s">
        <v>403</v>
      </c>
      <c r="H203" s="3">
        <v>18</v>
      </c>
      <c r="I203" s="3">
        <f>IF(H203="","",IF(H203="DNS",0,IF(H203="DQ",0,IF(H203="DNF",1,IF(AND(ISNUMBER(H203),H203&gt;59),1,_xlfn.XLOOKUP(H203,tbl_points[Place],tbl_points[Points],""))))))</f>
        <v>42</v>
      </c>
      <c r="J203" s="3">
        <v>24</v>
      </c>
      <c r="K203" s="3">
        <f>IF(J203="","",IF(J203="DNS",0,IF(J203="DQ",0,IF(J203="DNF",1,IF(AND(ISNUMBER(J203),J203&gt;59),1,_xlfn.XLOOKUP(J203,tbl_points[Place],tbl_points[Points],""))))))</f>
        <v>36</v>
      </c>
      <c r="L203" s="3">
        <v>18</v>
      </c>
      <c r="M203" s="3">
        <f>IF(L203="","",IF(L203="DNS",0,IF(L203="DQ",0,IF(L203="DNF",1,IF(AND(ISNUMBER(L203),L203&gt;59),1,_xlfn.XLOOKUP(L203,tbl_points[Place],tbl_points[Points],""))))))</f>
        <v>42</v>
      </c>
      <c r="N203" s="3" t="s">
        <v>410</v>
      </c>
      <c r="O203" s="3">
        <f>IF(N203="","",IF(N203="DNS",0,IF(N203="DQ",0,IF(N203="DNF",1,IF(AND(ISNUMBER(N203),N203&gt;59),1,_xlfn.XLOOKUP(N203,tbl_points[Place],tbl_points[Points],""))))))</f>
        <v>0</v>
      </c>
      <c r="P203" s="3">
        <v>32</v>
      </c>
      <c r="Q203" s="3">
        <f>IF(P203="","",IF(P203="DNS",0,IF(P203="DQ",0,IF(P203="DNF",1,IF(AND(ISNUMBER(P203),P203&gt;59),1,_xlfn.XLOOKUP(P203,tbl_points[Place],tbl_points[Points],""))))))</f>
        <v>28</v>
      </c>
      <c r="S203" s="3" t="str">
        <f>IF(R203="","",IF(R203="DNS",0,IF(R203="DQ",0,IF(R203="DNF",1,IF(AND(ISNUMBER(R203),R203&gt;59),1,_xlfn.XLOOKUP(R203,tbl_points[Place],tbl_points[Points],""))))))</f>
        <v/>
      </c>
      <c r="T203" s="3">
        <f>SUM(tbl_individual[[#This Row],[R1 Pts]],tbl_individual[[#This Row],[R2 Pts]],tbl_individual[[#This Row],[R3 Pts]],tbl_individual[[#This Row],[R4 Pts]],tbl_individual[[#This Row],[R5 Pts]],tbl_individual[[#This Row],[R6 Pts]])</f>
        <v>148</v>
      </c>
      <c r="U20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03" s="3">
        <f>tbl_individual[[#This Row],[Total]]</f>
        <v>148</v>
      </c>
    </row>
    <row r="204" spans="1:22" hidden="1" x14ac:dyDescent="0.4">
      <c r="A204" t="s">
        <v>237</v>
      </c>
      <c r="B204" t="s">
        <v>22</v>
      </c>
      <c r="C204" t="s">
        <v>5</v>
      </c>
      <c r="D204" s="3">
        <v>923</v>
      </c>
      <c r="E204" s="3" t="s">
        <v>421</v>
      </c>
      <c r="G204" s="3" t="s">
        <v>407</v>
      </c>
      <c r="H204" s="3">
        <v>9</v>
      </c>
      <c r="I204" s="3">
        <f>IF(H204="","",IF(H204="DNS",0,IF(H204="DQ",0,IF(H204="DNF",1,IF(AND(ISNUMBER(H204),H204&gt;59),1,_xlfn.XLOOKUP(H204,tbl_points[Place],tbl_points[Points],""))))))</f>
        <v>60</v>
      </c>
      <c r="J204" s="3" t="s">
        <v>410</v>
      </c>
      <c r="K204" s="3">
        <f>IF(J204="","",IF(J204="DNS",0,IF(J204="DQ",0,IF(J204="DNF",1,IF(AND(ISNUMBER(J204),J204&gt;59),1,_xlfn.XLOOKUP(J204,tbl_points[Place],tbl_points[Points],""))))))</f>
        <v>0</v>
      </c>
      <c r="L204" s="3" t="s">
        <v>410</v>
      </c>
      <c r="M204" s="3">
        <f>IF(L204="","",IF(L204="DNS",0,IF(L204="DQ",0,IF(L204="DNF",1,IF(AND(ISNUMBER(L204),L204&gt;59),1,_xlfn.XLOOKUP(L204,tbl_points[Place],tbl_points[Points],""))))))</f>
        <v>0</v>
      </c>
      <c r="N204" s="3">
        <v>30</v>
      </c>
      <c r="O204" s="3">
        <f>IF(N204="","",IF(N204="DNS",0,IF(N204="DQ",0,IF(N204="DNF",1,IF(AND(ISNUMBER(N204),N204&gt;59),1,_xlfn.XLOOKUP(N204,tbl_points[Place],tbl_points[Points],""))))))</f>
        <v>30</v>
      </c>
      <c r="P204" s="3" t="s">
        <v>410</v>
      </c>
      <c r="Q204" s="3">
        <f>IF(P204="","",IF(P204="DNS",0,IF(P204="DQ",0,IF(P204="DNF",1,IF(AND(ISNUMBER(P204),P204&gt;59),1,_xlfn.XLOOKUP(P204,tbl_points[Place],tbl_points[Points],""))))))</f>
        <v>0</v>
      </c>
      <c r="S204" s="3" t="str">
        <f>IF(R204="","",IF(R204="DNS",0,IF(R204="DQ",0,IF(R204="DNF",1,IF(AND(ISNUMBER(R204),R204&gt;59),1,_xlfn.XLOOKUP(R204,tbl_points[Place],tbl_points[Points],""))))))</f>
        <v/>
      </c>
      <c r="T204" s="3">
        <f>SUM(tbl_individual[[#This Row],[R1 Pts]],tbl_individual[[#This Row],[R2 Pts]],tbl_individual[[#This Row],[R3 Pts]],tbl_individual[[#This Row],[R4 Pts]],tbl_individual[[#This Row],[R5 Pts]],tbl_individual[[#This Row],[R6 Pts]])</f>
        <v>90</v>
      </c>
      <c r="U20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04" s="3">
        <f>tbl_individual[[#This Row],[Total]]</f>
        <v>90</v>
      </c>
    </row>
    <row r="205" spans="1:22" hidden="1" x14ac:dyDescent="0.4">
      <c r="A205" t="s">
        <v>238</v>
      </c>
      <c r="B205" t="s">
        <v>22</v>
      </c>
      <c r="C205" t="s">
        <v>3</v>
      </c>
      <c r="D205" s="3">
        <v>10179</v>
      </c>
      <c r="E205" s="3" t="s">
        <v>421</v>
      </c>
      <c r="G205" s="3" t="s">
        <v>403</v>
      </c>
      <c r="H205" s="3" t="s">
        <v>409</v>
      </c>
      <c r="I205" s="3">
        <f>IF(H205="","",IF(H205="DNS",0,IF(H205="DQ",0,IF(H205="DNF",1,IF(AND(ISNUMBER(H205),H205&gt;59),1,_xlfn.XLOOKUP(H205,tbl_points[Place],tbl_points[Points],""))))))</f>
        <v>1</v>
      </c>
      <c r="J205" s="3">
        <v>30</v>
      </c>
      <c r="K205" s="3">
        <f>IF(J205="","",IF(J205="DNS",0,IF(J205="DQ",0,IF(J205="DNF",1,IF(AND(ISNUMBER(J205),J205&gt;59),1,_xlfn.XLOOKUP(J205,tbl_points[Place],tbl_points[Points],""))))))</f>
        <v>30</v>
      </c>
      <c r="L205" s="3" t="s">
        <v>410</v>
      </c>
      <c r="M205" s="3">
        <f>IF(L205="","",IF(L205="DNS",0,IF(L205="DQ",0,IF(L205="DNF",1,IF(AND(ISNUMBER(L205),L205&gt;59),1,_xlfn.XLOOKUP(L205,tbl_points[Place],tbl_points[Points],""))))))</f>
        <v>0</v>
      </c>
      <c r="N205" s="3">
        <v>29</v>
      </c>
      <c r="O205" s="3">
        <f>IF(N205="","",IF(N205="DNS",0,IF(N205="DQ",0,IF(N205="DNF",1,IF(AND(ISNUMBER(N205),N205&gt;59),1,_xlfn.XLOOKUP(N205,tbl_points[Place],tbl_points[Points],""))))))</f>
        <v>31</v>
      </c>
      <c r="P205" s="3" t="s">
        <v>410</v>
      </c>
      <c r="Q205" s="3">
        <f>IF(P205="","",IF(P205="DNS",0,IF(P205="DQ",0,IF(P205="DNF",1,IF(AND(ISNUMBER(P205),P205&gt;59),1,_xlfn.XLOOKUP(P205,tbl_points[Place],tbl_points[Points],""))))))</f>
        <v>0</v>
      </c>
      <c r="S205" s="3" t="str">
        <f>IF(R205="","",IF(R205="DNS",0,IF(R205="DQ",0,IF(R205="DNF",1,IF(AND(ISNUMBER(R205),R205&gt;59),1,_xlfn.XLOOKUP(R205,tbl_points[Place],tbl_points[Points],""))))))</f>
        <v/>
      </c>
      <c r="T205" s="3">
        <f>SUM(tbl_individual[[#This Row],[R1 Pts]],tbl_individual[[#This Row],[R2 Pts]],tbl_individual[[#This Row],[R3 Pts]],tbl_individual[[#This Row],[R4 Pts]],tbl_individual[[#This Row],[R5 Pts]],tbl_individual[[#This Row],[R6 Pts]])</f>
        <v>62</v>
      </c>
      <c r="U20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05" s="3">
        <f>tbl_individual[[#This Row],[Total]]</f>
        <v>62</v>
      </c>
    </row>
    <row r="206" spans="1:22" hidden="1" x14ac:dyDescent="0.4">
      <c r="A206" t="s">
        <v>239</v>
      </c>
      <c r="B206" t="s">
        <v>22</v>
      </c>
      <c r="C206" t="s">
        <v>3</v>
      </c>
      <c r="D206" s="3">
        <v>10180</v>
      </c>
      <c r="E206" s="3" t="s">
        <v>421</v>
      </c>
      <c r="G206" s="3" t="s">
        <v>407</v>
      </c>
      <c r="H206" s="3" t="s">
        <v>410</v>
      </c>
      <c r="I206" s="3">
        <f>IF(H206="","",IF(H206="DNS",0,IF(H206="DQ",0,IF(H206="DNF",1,IF(AND(ISNUMBER(H206),H206&gt;59),1,_xlfn.XLOOKUP(H206,tbl_points[Place],tbl_points[Points],""))))))</f>
        <v>0</v>
      </c>
      <c r="J206" s="3">
        <v>3</v>
      </c>
      <c r="K206" s="3">
        <f>IF(J206="","",IF(J206="DNS",0,IF(J206="DQ",0,IF(J206="DNF",1,IF(AND(ISNUMBER(J206),J206&gt;59),1,_xlfn.XLOOKUP(J206,tbl_points[Place],tbl_points[Points],""))))))</f>
        <v>90</v>
      </c>
      <c r="L206" s="3">
        <v>16</v>
      </c>
      <c r="M206" s="3">
        <f>IF(L206="","",IF(L206="DNS",0,IF(L206="DQ",0,IF(L206="DNF",1,IF(AND(ISNUMBER(L206),L206&gt;59),1,_xlfn.XLOOKUP(L206,tbl_points[Place],tbl_points[Points],""))))))</f>
        <v>44</v>
      </c>
      <c r="N206" s="3">
        <v>32</v>
      </c>
      <c r="O206" s="3">
        <f>IF(N206="","",IF(N206="DNS",0,IF(N206="DQ",0,IF(N206="DNF",1,IF(AND(ISNUMBER(N206),N206&gt;59),1,_xlfn.XLOOKUP(N206,tbl_points[Place],tbl_points[Points],""))))))</f>
        <v>28</v>
      </c>
      <c r="P206" s="3" t="s">
        <v>410</v>
      </c>
      <c r="Q206" s="3">
        <f>IF(P206="","",IF(P206="DNS",0,IF(P206="DQ",0,IF(P206="DNF",1,IF(AND(ISNUMBER(P206),P206&gt;59),1,_xlfn.XLOOKUP(P206,tbl_points[Place],tbl_points[Points],""))))))</f>
        <v>0</v>
      </c>
      <c r="S206" s="3" t="str">
        <f>IF(R206="","",IF(R206="DNS",0,IF(R206="DQ",0,IF(R206="DNF",1,IF(AND(ISNUMBER(R206),R206&gt;59),1,_xlfn.XLOOKUP(R206,tbl_points[Place],tbl_points[Points],""))))))</f>
        <v/>
      </c>
      <c r="T206" s="3">
        <f>SUM(tbl_individual[[#This Row],[R1 Pts]],tbl_individual[[#This Row],[R2 Pts]],tbl_individual[[#This Row],[R3 Pts]],tbl_individual[[#This Row],[R4 Pts]],tbl_individual[[#This Row],[R5 Pts]],tbl_individual[[#This Row],[R6 Pts]])</f>
        <v>162</v>
      </c>
      <c r="U20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06" s="3">
        <f>tbl_individual[[#This Row],[Total]]</f>
        <v>162</v>
      </c>
    </row>
    <row r="207" spans="1:22" hidden="1" x14ac:dyDescent="0.4">
      <c r="A207" t="s">
        <v>243</v>
      </c>
      <c r="B207" t="s">
        <v>23</v>
      </c>
      <c r="C207" t="s">
        <v>7</v>
      </c>
      <c r="D207" s="3">
        <v>815</v>
      </c>
      <c r="E207" s="3" t="s">
        <v>421</v>
      </c>
      <c r="G207" s="3" t="s">
        <v>403</v>
      </c>
      <c r="H207" s="3">
        <v>19</v>
      </c>
      <c r="I207" s="3">
        <f>IF(H207="","",IF(H207="DNS",0,IF(H207="DQ",0,IF(H207="DNF",1,IF(AND(ISNUMBER(H207),H207&gt;59),1,_xlfn.XLOOKUP(H207,tbl_points[Place],tbl_points[Points],""))))))</f>
        <v>41</v>
      </c>
      <c r="J207" s="3">
        <v>33</v>
      </c>
      <c r="K207" s="3">
        <f>IF(J207="","",IF(J207="DNS",0,IF(J207="DQ",0,IF(J207="DNF",1,IF(AND(ISNUMBER(J207),J207&gt;59),1,_xlfn.XLOOKUP(J207,tbl_points[Place],tbl_points[Points],""))))))</f>
        <v>27</v>
      </c>
      <c r="L207" s="3">
        <v>24</v>
      </c>
      <c r="M207" s="3">
        <f>IF(L207="","",IF(L207="DNS",0,IF(L207="DQ",0,IF(L207="DNF",1,IF(AND(ISNUMBER(L207),L207&gt;59),1,_xlfn.XLOOKUP(L207,tbl_points[Place],tbl_points[Points],""))))))</f>
        <v>36</v>
      </c>
      <c r="N207" s="3">
        <v>26</v>
      </c>
      <c r="O207" s="3">
        <f>IF(N207="","",IF(N207="DNS",0,IF(N207="DQ",0,IF(N207="DNF",1,IF(AND(ISNUMBER(N207),N207&gt;59),1,_xlfn.XLOOKUP(N207,tbl_points[Place],tbl_points[Points],""))))))</f>
        <v>34</v>
      </c>
      <c r="P207" s="3">
        <v>29</v>
      </c>
      <c r="Q207" s="3">
        <f>IF(P207="","",IF(P207="DNS",0,IF(P207="DQ",0,IF(P207="DNF",1,IF(AND(ISNUMBER(P207),P207&gt;59),1,_xlfn.XLOOKUP(P207,tbl_points[Place],tbl_points[Points],""))))))</f>
        <v>31</v>
      </c>
      <c r="S207" s="3" t="str">
        <f>IF(R207="","",IF(R207="DNS",0,IF(R207="DQ",0,IF(R207="DNF",1,IF(AND(ISNUMBER(R207),R207&gt;59),1,_xlfn.XLOOKUP(R207,tbl_points[Place],tbl_points[Points],""))))))</f>
        <v/>
      </c>
      <c r="T207" s="3">
        <f>SUM(tbl_individual[[#This Row],[R1 Pts]],tbl_individual[[#This Row],[R2 Pts]],tbl_individual[[#This Row],[R3 Pts]],tbl_individual[[#This Row],[R4 Pts]],tbl_individual[[#This Row],[R5 Pts]],tbl_individual[[#This Row],[R6 Pts]])</f>
        <v>169</v>
      </c>
      <c r="U207" s="3">
        <f>MIN(tbl_individual[[#This Row],[R1 Pts]],tbl_individual[[#This Row],[R2 Pts]],tbl_individual[[#This Row],[R3 Pts]],tbl_individual[[#This Row],[R4 Pts]],tbl_individual[[#This Row],[R5 Pts]],tbl_individual[[#This Row],[R6 Pts]])</f>
        <v>27</v>
      </c>
      <c r="V207" s="3">
        <f>tbl_individual[[#This Row],[Total]]</f>
        <v>169</v>
      </c>
    </row>
    <row r="208" spans="1:22" hidden="1" x14ac:dyDescent="0.4">
      <c r="A208" t="s">
        <v>244</v>
      </c>
      <c r="B208" t="s">
        <v>23</v>
      </c>
      <c r="C208" t="s">
        <v>7</v>
      </c>
      <c r="D208" s="3">
        <v>816</v>
      </c>
      <c r="E208" s="3" t="s">
        <v>421</v>
      </c>
      <c r="G208" s="3" t="s">
        <v>403</v>
      </c>
      <c r="H208" s="3">
        <v>5</v>
      </c>
      <c r="I208" s="3">
        <f>IF(H208="","",IF(H208="DNS",0,IF(H208="DQ",0,IF(H208="DNF",1,IF(AND(ISNUMBER(H208),H208&gt;59),1,_xlfn.XLOOKUP(H208,tbl_points[Place],tbl_points[Points],""))))))</f>
        <v>80</v>
      </c>
      <c r="J208" s="3">
        <v>1</v>
      </c>
      <c r="K208" s="3">
        <f>IF(J208="","",IF(J208="DNS",0,IF(J208="DQ",0,IF(J208="DNF",1,IF(AND(ISNUMBER(J208),J208&gt;59),1,_xlfn.XLOOKUP(J208,tbl_points[Place],tbl_points[Points],""))))))</f>
        <v>100</v>
      </c>
      <c r="L208" s="3">
        <v>10</v>
      </c>
      <c r="M208" s="3">
        <f>IF(L208="","",IF(L208="DNS",0,IF(L208="DQ",0,IF(L208="DNF",1,IF(AND(ISNUMBER(L208),L208&gt;59),1,_xlfn.XLOOKUP(L208,tbl_points[Place],tbl_points[Points],""))))))</f>
        <v>55</v>
      </c>
      <c r="N208" s="3">
        <v>2</v>
      </c>
      <c r="O208" s="3">
        <f>IF(N208="","",IF(N208="DNS",0,IF(N208="DQ",0,IF(N208="DNF",1,IF(AND(ISNUMBER(N208),N208&gt;59),1,_xlfn.XLOOKUP(N208,tbl_points[Place],tbl_points[Points],""))))))</f>
        <v>95</v>
      </c>
      <c r="P208" s="3">
        <v>2</v>
      </c>
      <c r="Q208" s="3">
        <f>IF(P208="","",IF(P208="DNS",0,IF(P208="DQ",0,IF(P208="DNF",1,IF(AND(ISNUMBER(P208),P208&gt;59),1,_xlfn.XLOOKUP(P208,tbl_points[Place],tbl_points[Points],""))))))</f>
        <v>95</v>
      </c>
      <c r="S208" s="3" t="str">
        <f>IF(R208="","",IF(R208="DNS",0,IF(R208="DQ",0,IF(R208="DNF",1,IF(AND(ISNUMBER(R208),R208&gt;59),1,_xlfn.XLOOKUP(R208,tbl_points[Place],tbl_points[Points],""))))))</f>
        <v/>
      </c>
      <c r="T208" s="3">
        <f>SUM(tbl_individual[[#This Row],[R1 Pts]],tbl_individual[[#This Row],[R2 Pts]],tbl_individual[[#This Row],[R3 Pts]],tbl_individual[[#This Row],[R4 Pts]],tbl_individual[[#This Row],[R5 Pts]],tbl_individual[[#This Row],[R6 Pts]])</f>
        <v>425</v>
      </c>
      <c r="U208" s="3">
        <f>MIN(tbl_individual[[#This Row],[R1 Pts]],tbl_individual[[#This Row],[R2 Pts]],tbl_individual[[#This Row],[R3 Pts]],tbl_individual[[#This Row],[R4 Pts]],tbl_individual[[#This Row],[R5 Pts]],tbl_individual[[#This Row],[R6 Pts]])</f>
        <v>55</v>
      </c>
      <c r="V208" s="3">
        <f>tbl_individual[[#This Row],[Total]]</f>
        <v>425</v>
      </c>
    </row>
    <row r="209" spans="1:22" hidden="1" x14ac:dyDescent="0.4">
      <c r="A209" t="s">
        <v>245</v>
      </c>
      <c r="B209" t="s">
        <v>23</v>
      </c>
      <c r="C209" t="s">
        <v>7</v>
      </c>
      <c r="D209" s="3">
        <v>817</v>
      </c>
      <c r="E209" s="3" t="s">
        <v>421</v>
      </c>
      <c r="G209" s="3" t="s">
        <v>403</v>
      </c>
      <c r="H209" s="3">
        <v>14</v>
      </c>
      <c r="I209" s="3">
        <f>IF(H209="","",IF(H209="DNS",0,IF(H209="DQ",0,IF(H209="DNF",1,IF(AND(ISNUMBER(H209),H209&gt;59),1,_xlfn.XLOOKUP(H209,tbl_points[Place],tbl_points[Points],""))))))</f>
        <v>47</v>
      </c>
      <c r="J209" s="3">
        <v>12</v>
      </c>
      <c r="K209" s="3">
        <f>IF(J209="","",IF(J209="DNS",0,IF(J209="DQ",0,IF(J209="DNF",1,IF(AND(ISNUMBER(J209),J209&gt;59),1,_xlfn.XLOOKUP(J209,tbl_points[Place],tbl_points[Points],""))))))</f>
        <v>51</v>
      </c>
      <c r="L209" s="3">
        <v>7</v>
      </c>
      <c r="M209" s="3">
        <f>IF(L209="","",IF(L209="DNS",0,IF(L209="DQ",0,IF(L209="DNF",1,IF(AND(ISNUMBER(L209),L209&gt;59),1,_xlfn.XLOOKUP(L209,tbl_points[Place],tbl_points[Points],""))))))</f>
        <v>70</v>
      </c>
      <c r="N209" s="3">
        <v>8</v>
      </c>
      <c r="O209" s="3">
        <f>IF(N209="","",IF(N209="DNS",0,IF(N209="DQ",0,IF(N209="DNF",1,IF(AND(ISNUMBER(N209),N209&gt;59),1,_xlfn.XLOOKUP(N209,tbl_points[Place],tbl_points[Points],""))))))</f>
        <v>65</v>
      </c>
      <c r="P209" s="3">
        <v>12</v>
      </c>
      <c r="Q209" s="3">
        <f>IF(P209="","",IF(P209="DNS",0,IF(P209="DQ",0,IF(P209="DNF",1,IF(AND(ISNUMBER(P209),P209&gt;59),1,_xlfn.XLOOKUP(P209,tbl_points[Place],tbl_points[Points],""))))))</f>
        <v>51</v>
      </c>
      <c r="S209" s="3" t="str">
        <f>IF(R209="","",IF(R209="DNS",0,IF(R209="DQ",0,IF(R209="DNF",1,IF(AND(ISNUMBER(R209),R209&gt;59),1,_xlfn.XLOOKUP(R209,tbl_points[Place],tbl_points[Points],""))))))</f>
        <v/>
      </c>
      <c r="T209" s="3">
        <f>SUM(tbl_individual[[#This Row],[R1 Pts]],tbl_individual[[#This Row],[R2 Pts]],tbl_individual[[#This Row],[R3 Pts]],tbl_individual[[#This Row],[R4 Pts]],tbl_individual[[#This Row],[R5 Pts]],tbl_individual[[#This Row],[R6 Pts]])</f>
        <v>284</v>
      </c>
      <c r="U209" s="3">
        <f>MIN(tbl_individual[[#This Row],[R1 Pts]],tbl_individual[[#This Row],[R2 Pts]],tbl_individual[[#This Row],[R3 Pts]],tbl_individual[[#This Row],[R4 Pts]],tbl_individual[[#This Row],[R5 Pts]],tbl_individual[[#This Row],[R6 Pts]])</f>
        <v>47</v>
      </c>
      <c r="V209" s="3">
        <f>tbl_individual[[#This Row],[Total]]</f>
        <v>284</v>
      </c>
    </row>
    <row r="210" spans="1:22" hidden="1" x14ac:dyDescent="0.4">
      <c r="A210" t="s">
        <v>240</v>
      </c>
      <c r="B210" t="s">
        <v>23</v>
      </c>
      <c r="C210" t="s">
        <v>8</v>
      </c>
      <c r="D210" s="3">
        <v>862</v>
      </c>
      <c r="E210" s="3" t="s">
        <v>421</v>
      </c>
      <c r="G210" s="3" t="s">
        <v>407</v>
      </c>
      <c r="H210" s="3">
        <v>2</v>
      </c>
      <c r="I210" s="3">
        <f>IF(H210="","",IF(H210="DNS",0,IF(H210="DQ",0,IF(H210="DNF",1,IF(AND(ISNUMBER(H210),H210&gt;59),1,_xlfn.XLOOKUP(H210,tbl_points[Place],tbl_points[Points],""))))))</f>
        <v>95</v>
      </c>
      <c r="J210" s="3" t="s">
        <v>410</v>
      </c>
      <c r="K210" s="3">
        <f>IF(J210="","",IF(J210="DNS",0,IF(J210="DQ",0,IF(J210="DNF",1,IF(AND(ISNUMBER(J210),J210&gt;59),1,_xlfn.XLOOKUP(J210,tbl_points[Place],tbl_points[Points],""))))))</f>
        <v>0</v>
      </c>
      <c r="L210" s="3">
        <v>3</v>
      </c>
      <c r="M210" s="3">
        <f>IF(L210="","",IF(L210="DNS",0,IF(L210="DQ",0,IF(L210="DNF",1,IF(AND(ISNUMBER(L210),L210&gt;59),1,_xlfn.XLOOKUP(L210,tbl_points[Place],tbl_points[Points],""))))))</f>
        <v>90</v>
      </c>
      <c r="N210" s="3">
        <v>2</v>
      </c>
      <c r="O210" s="3">
        <f>IF(N210="","",IF(N210="DNS",0,IF(N210="DQ",0,IF(N210="DNF",1,IF(AND(ISNUMBER(N210),N210&gt;59),1,_xlfn.XLOOKUP(N210,tbl_points[Place],tbl_points[Points],""))))))</f>
        <v>95</v>
      </c>
      <c r="P210" s="3">
        <v>4</v>
      </c>
      <c r="Q210" s="3">
        <f>IF(P210="","",IF(P210="DNS",0,IF(P210="DQ",0,IF(P210="DNF",1,IF(AND(ISNUMBER(P210),P210&gt;59),1,_xlfn.XLOOKUP(P210,tbl_points[Place],tbl_points[Points],""))))))</f>
        <v>85</v>
      </c>
      <c r="S210" s="3" t="str">
        <f>IF(R210="","",IF(R210="DNS",0,IF(R210="DQ",0,IF(R210="DNF",1,IF(AND(ISNUMBER(R210),R210&gt;59),1,_xlfn.XLOOKUP(R210,tbl_points[Place],tbl_points[Points],""))))))</f>
        <v/>
      </c>
      <c r="T210" s="3">
        <f>SUM(tbl_individual[[#This Row],[R1 Pts]],tbl_individual[[#This Row],[R2 Pts]],tbl_individual[[#This Row],[R3 Pts]],tbl_individual[[#This Row],[R4 Pts]],tbl_individual[[#This Row],[R5 Pts]],tbl_individual[[#This Row],[R6 Pts]])</f>
        <v>365</v>
      </c>
      <c r="U21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0" s="3">
        <f>tbl_individual[[#This Row],[Total]]</f>
        <v>365</v>
      </c>
    </row>
    <row r="211" spans="1:22" hidden="1" x14ac:dyDescent="0.4">
      <c r="A211" t="s">
        <v>241</v>
      </c>
      <c r="B211" t="s">
        <v>23</v>
      </c>
      <c r="C211" t="s">
        <v>8</v>
      </c>
      <c r="D211" s="3">
        <v>863</v>
      </c>
      <c r="E211" s="3" t="s">
        <v>421</v>
      </c>
      <c r="G211" s="3" t="s">
        <v>407</v>
      </c>
      <c r="H211" s="3">
        <v>4</v>
      </c>
      <c r="I211" s="3">
        <f>IF(H211="","",IF(H211="DNS",0,IF(H211="DQ",0,IF(H211="DNF",1,IF(AND(ISNUMBER(H211),H211&gt;59),1,_xlfn.XLOOKUP(H211,tbl_points[Place],tbl_points[Points],""))))))</f>
        <v>85</v>
      </c>
      <c r="J211" s="3" t="s">
        <v>410</v>
      </c>
      <c r="K211" s="3">
        <f>IF(J211="","",IF(J211="DNS",0,IF(J211="DQ",0,IF(J211="DNF",1,IF(AND(ISNUMBER(J211),J211&gt;59),1,_xlfn.XLOOKUP(J211,tbl_points[Place],tbl_points[Points],""))))))</f>
        <v>0</v>
      </c>
      <c r="L211" s="3">
        <v>6</v>
      </c>
      <c r="M211" s="3">
        <f>IF(L211="","",IF(L211="DNS",0,IF(L211="DQ",0,IF(L211="DNF",1,IF(AND(ISNUMBER(L211),L211&gt;59),1,_xlfn.XLOOKUP(L211,tbl_points[Place],tbl_points[Points],""))))))</f>
        <v>75</v>
      </c>
      <c r="N211" s="3" t="s">
        <v>410</v>
      </c>
      <c r="O211" s="3">
        <f>IF(N211="","",IF(N211="DNS",0,IF(N211="DQ",0,IF(N211="DNF",1,IF(AND(ISNUMBER(N211),N211&gt;59),1,_xlfn.XLOOKUP(N211,tbl_points[Place],tbl_points[Points],""))))))</f>
        <v>0</v>
      </c>
      <c r="P211" s="3">
        <v>8</v>
      </c>
      <c r="Q211" s="3">
        <f>IF(P211="","",IF(P211="DNS",0,IF(P211="DQ",0,IF(P211="DNF",1,IF(AND(ISNUMBER(P211),P211&gt;59),1,_xlfn.XLOOKUP(P211,tbl_points[Place],tbl_points[Points],""))))))</f>
        <v>65</v>
      </c>
      <c r="S211" s="3" t="str">
        <f>IF(R211="","",IF(R211="DNS",0,IF(R211="DQ",0,IF(R211="DNF",1,IF(AND(ISNUMBER(R211),R211&gt;59),1,_xlfn.XLOOKUP(R211,tbl_points[Place],tbl_points[Points],""))))))</f>
        <v/>
      </c>
      <c r="T211" s="3">
        <f>SUM(tbl_individual[[#This Row],[R1 Pts]],tbl_individual[[#This Row],[R2 Pts]],tbl_individual[[#This Row],[R3 Pts]],tbl_individual[[#This Row],[R4 Pts]],tbl_individual[[#This Row],[R5 Pts]],tbl_individual[[#This Row],[R6 Pts]])</f>
        <v>225</v>
      </c>
      <c r="U21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1" s="3">
        <f>tbl_individual[[#This Row],[Total]]</f>
        <v>225</v>
      </c>
    </row>
    <row r="212" spans="1:22" hidden="1" x14ac:dyDescent="0.4">
      <c r="A212" t="s">
        <v>242</v>
      </c>
      <c r="B212" t="s">
        <v>23</v>
      </c>
      <c r="C212" t="s">
        <v>8</v>
      </c>
      <c r="D212" s="3">
        <v>864</v>
      </c>
      <c r="E212" s="3" t="s">
        <v>421</v>
      </c>
      <c r="G212" s="3" t="s">
        <v>407</v>
      </c>
      <c r="H212" s="3" t="s">
        <v>410</v>
      </c>
      <c r="I212" s="3">
        <f>IF(H212="","",IF(H212="DNS",0,IF(H212="DQ",0,IF(H212="DNF",1,IF(AND(ISNUMBER(H212),H212&gt;59),1,_xlfn.XLOOKUP(H212,tbl_points[Place],tbl_points[Points],""))))))</f>
        <v>0</v>
      </c>
      <c r="J212" s="3" t="s">
        <v>410</v>
      </c>
      <c r="K212" s="3">
        <f>IF(J212="","",IF(J212="DNS",0,IF(J212="DQ",0,IF(J212="DNF",1,IF(AND(ISNUMBER(J212),J212&gt;59),1,_xlfn.XLOOKUP(J212,tbl_points[Place],tbl_points[Points],""))))))</f>
        <v>0</v>
      </c>
      <c r="L212" s="3" t="s">
        <v>410</v>
      </c>
      <c r="M212" s="3">
        <f>IF(L212="","",IF(L212="DNS",0,IF(L212="DQ",0,IF(L212="DNF",1,IF(AND(ISNUMBER(L212),L212&gt;59),1,_xlfn.XLOOKUP(L212,tbl_points[Place],tbl_points[Points],""))))))</f>
        <v>0</v>
      </c>
      <c r="N212" s="3" t="s">
        <v>410</v>
      </c>
      <c r="O212" s="3">
        <f>IF(N212="","",IF(N212="DNS",0,IF(N212="DQ",0,IF(N212="DNF",1,IF(AND(ISNUMBER(N212),N212&gt;59),1,_xlfn.XLOOKUP(N212,tbl_points[Place],tbl_points[Points],""))))))</f>
        <v>0</v>
      </c>
      <c r="P212" s="3">
        <v>3</v>
      </c>
      <c r="Q212" s="3">
        <f>IF(P212="","",IF(P212="DNS",0,IF(P212="DQ",0,IF(P212="DNF",1,IF(AND(ISNUMBER(P212),P212&gt;59),1,_xlfn.XLOOKUP(P212,tbl_points[Place],tbl_points[Points],""))))))</f>
        <v>90</v>
      </c>
      <c r="S212" s="3" t="str">
        <f>IF(R212="","",IF(R212="DNS",0,IF(R212="DQ",0,IF(R212="DNF",1,IF(AND(ISNUMBER(R212),R212&gt;59),1,_xlfn.XLOOKUP(R212,tbl_points[Place],tbl_points[Points],""))))))</f>
        <v/>
      </c>
      <c r="T212" s="3">
        <f>SUM(tbl_individual[[#This Row],[R1 Pts]],tbl_individual[[#This Row],[R2 Pts]],tbl_individual[[#This Row],[R3 Pts]],tbl_individual[[#This Row],[R4 Pts]],tbl_individual[[#This Row],[R5 Pts]],tbl_individual[[#This Row],[R6 Pts]])</f>
        <v>90</v>
      </c>
      <c r="U21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2" s="3">
        <f>tbl_individual[[#This Row],[Total]]</f>
        <v>90</v>
      </c>
    </row>
    <row r="213" spans="1:22" hidden="1" x14ac:dyDescent="0.4">
      <c r="A213" t="s">
        <v>249</v>
      </c>
      <c r="B213" t="s">
        <v>23</v>
      </c>
      <c r="C213" t="s">
        <v>5</v>
      </c>
      <c r="D213" s="3">
        <v>924</v>
      </c>
      <c r="E213" s="3" t="s">
        <v>421</v>
      </c>
      <c r="G213" s="3" t="s">
        <v>403</v>
      </c>
      <c r="H213" s="3">
        <v>10</v>
      </c>
      <c r="I213" s="3">
        <f>IF(H213="","",IF(H213="DNS",0,IF(H213="DQ",0,IF(H213="DNF",1,IF(AND(ISNUMBER(H213),H213&gt;59),1,_xlfn.XLOOKUP(H213,tbl_points[Place],tbl_points[Points],""))))))</f>
        <v>55</v>
      </c>
      <c r="J213" s="3">
        <v>23</v>
      </c>
      <c r="K213" s="3">
        <f>IF(J213="","",IF(J213="DNS",0,IF(J213="DQ",0,IF(J213="DNF",1,IF(AND(ISNUMBER(J213),J213&gt;59),1,_xlfn.XLOOKUP(J213,tbl_points[Place],tbl_points[Points],""))))))</f>
        <v>37</v>
      </c>
      <c r="L213" s="3">
        <v>20</v>
      </c>
      <c r="M213" s="3">
        <f>IF(L213="","",IF(L213="DNS",0,IF(L213="DQ",0,IF(L213="DNF",1,IF(AND(ISNUMBER(L213),L213&gt;59),1,_xlfn.XLOOKUP(L213,tbl_points[Place],tbl_points[Points],""))))))</f>
        <v>40</v>
      </c>
      <c r="N213" s="3">
        <v>21</v>
      </c>
      <c r="O213" s="3">
        <f>IF(N213="","",IF(N213="DNS",0,IF(N213="DQ",0,IF(N213="DNF",1,IF(AND(ISNUMBER(N213),N213&gt;59),1,_xlfn.XLOOKUP(N213,tbl_points[Place],tbl_points[Points],""))))))</f>
        <v>39</v>
      </c>
      <c r="P213" s="3">
        <v>13</v>
      </c>
      <c r="Q213" s="3">
        <f>IF(P213="","",IF(P213="DNS",0,IF(P213="DQ",0,IF(P213="DNF",1,IF(AND(ISNUMBER(P213),P213&gt;59),1,_xlfn.XLOOKUP(P213,tbl_points[Place],tbl_points[Points],""))))))</f>
        <v>49</v>
      </c>
      <c r="S213" s="3" t="str">
        <f>IF(R213="","",IF(R213="DNS",0,IF(R213="DQ",0,IF(R213="DNF",1,IF(AND(ISNUMBER(R213),R213&gt;59),1,_xlfn.XLOOKUP(R213,tbl_points[Place],tbl_points[Points],""))))))</f>
        <v/>
      </c>
      <c r="T213" s="3">
        <f>SUM(tbl_individual[[#This Row],[R1 Pts]],tbl_individual[[#This Row],[R2 Pts]],tbl_individual[[#This Row],[R3 Pts]],tbl_individual[[#This Row],[R4 Pts]],tbl_individual[[#This Row],[R5 Pts]],tbl_individual[[#This Row],[R6 Pts]])</f>
        <v>220</v>
      </c>
      <c r="U213" s="3">
        <f>MIN(tbl_individual[[#This Row],[R1 Pts]],tbl_individual[[#This Row],[R2 Pts]],tbl_individual[[#This Row],[R3 Pts]],tbl_individual[[#This Row],[R4 Pts]],tbl_individual[[#This Row],[R5 Pts]],tbl_individual[[#This Row],[R6 Pts]])</f>
        <v>37</v>
      </c>
      <c r="V213" s="3">
        <f>tbl_individual[[#This Row],[Total]]</f>
        <v>220</v>
      </c>
    </row>
    <row r="214" spans="1:22" hidden="1" x14ac:dyDescent="0.4">
      <c r="A214" t="s">
        <v>250</v>
      </c>
      <c r="B214" t="s">
        <v>23</v>
      </c>
      <c r="C214" t="s">
        <v>5</v>
      </c>
      <c r="D214" s="3">
        <v>925</v>
      </c>
      <c r="E214" s="3" t="s">
        <v>421</v>
      </c>
      <c r="G214" s="3" t="s">
        <v>407</v>
      </c>
      <c r="H214" s="3" t="s">
        <v>410</v>
      </c>
      <c r="I214" s="3">
        <f>IF(H214="","",IF(H214="DNS",0,IF(H214="DQ",0,IF(H214="DNF",1,IF(AND(ISNUMBER(H214),H214&gt;59),1,_xlfn.XLOOKUP(H214,tbl_points[Place],tbl_points[Points],""))))))</f>
        <v>0</v>
      </c>
      <c r="J214" s="3" t="s">
        <v>410</v>
      </c>
      <c r="K214" s="3">
        <f>IF(J214="","",IF(J214="DNS",0,IF(J214="DQ",0,IF(J214="DNF",1,IF(AND(ISNUMBER(J214),J214&gt;59),1,_xlfn.XLOOKUP(J214,tbl_points[Place],tbl_points[Points],""))))))</f>
        <v>0</v>
      </c>
      <c r="L214" s="3" t="s">
        <v>410</v>
      </c>
      <c r="M214" s="3">
        <f>IF(L214="","",IF(L214="DNS",0,IF(L214="DQ",0,IF(L214="DNF",1,IF(AND(ISNUMBER(L214),L214&gt;59),1,_xlfn.XLOOKUP(L214,tbl_points[Place],tbl_points[Points],""))))))</f>
        <v>0</v>
      </c>
      <c r="N214" s="3" t="s">
        <v>410</v>
      </c>
      <c r="O214" s="3">
        <f>IF(N214="","",IF(N214="DNS",0,IF(N214="DQ",0,IF(N214="DNF",1,IF(AND(ISNUMBER(N214),N214&gt;59),1,_xlfn.XLOOKUP(N214,tbl_points[Place],tbl_points[Points],""))))))</f>
        <v>0</v>
      </c>
      <c r="P214" s="3" t="s">
        <v>410</v>
      </c>
      <c r="Q214" s="3">
        <f>IF(P214="","",IF(P214="DNS",0,IF(P214="DQ",0,IF(P214="DNF",1,IF(AND(ISNUMBER(P214),P214&gt;59),1,_xlfn.XLOOKUP(P214,tbl_points[Place],tbl_points[Points],""))))))</f>
        <v>0</v>
      </c>
      <c r="S214" s="3" t="str">
        <f>IF(R214="","",IF(R214="DNS",0,IF(R214="DQ",0,IF(R214="DNF",1,IF(AND(ISNUMBER(R214),R214&gt;59),1,_xlfn.XLOOKUP(R214,tbl_points[Place],tbl_points[Points],""))))))</f>
        <v/>
      </c>
      <c r="T214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1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4" s="3">
        <f>tbl_individual[[#This Row],[Total]]</f>
        <v>0</v>
      </c>
    </row>
    <row r="215" spans="1:22" hidden="1" x14ac:dyDescent="0.4">
      <c r="A215" t="s">
        <v>251</v>
      </c>
      <c r="B215" t="s">
        <v>23</v>
      </c>
      <c r="C215" t="s">
        <v>5</v>
      </c>
      <c r="D215" s="3">
        <v>926</v>
      </c>
      <c r="E215" s="3" t="s">
        <v>421</v>
      </c>
      <c r="G215" s="3" t="s">
        <v>407</v>
      </c>
      <c r="H215" s="3" t="s">
        <v>410</v>
      </c>
      <c r="I215" s="3">
        <f>IF(H215="","",IF(H215="DNS",0,IF(H215="DQ",0,IF(H215="DNF",1,IF(AND(ISNUMBER(H215),H215&gt;59),1,_xlfn.XLOOKUP(H215,tbl_points[Place],tbl_points[Points],""))))))</f>
        <v>0</v>
      </c>
      <c r="J215" s="3" t="s">
        <v>410</v>
      </c>
      <c r="K215" s="3">
        <f>IF(J215="","",IF(J215="DNS",0,IF(J215="DQ",0,IF(J215="DNF",1,IF(AND(ISNUMBER(J215),J215&gt;59),1,_xlfn.XLOOKUP(J215,tbl_points[Place],tbl_points[Points],""))))))</f>
        <v>0</v>
      </c>
      <c r="L215" s="3" t="s">
        <v>410</v>
      </c>
      <c r="M215" s="3">
        <f>IF(L215="","",IF(L215="DNS",0,IF(L215="DQ",0,IF(L215="DNF",1,IF(AND(ISNUMBER(L215),L215&gt;59),1,_xlfn.XLOOKUP(L215,tbl_points[Place],tbl_points[Points],""))))))</f>
        <v>0</v>
      </c>
      <c r="N215" s="3" t="s">
        <v>410</v>
      </c>
      <c r="O215" s="3">
        <f>IF(N215="","",IF(N215="DNS",0,IF(N215="DQ",0,IF(N215="DNF",1,IF(AND(ISNUMBER(N215),N215&gt;59),1,_xlfn.XLOOKUP(N215,tbl_points[Place],tbl_points[Points],""))))))</f>
        <v>0</v>
      </c>
      <c r="P215" s="3">
        <v>1</v>
      </c>
      <c r="Q215" s="3">
        <f>IF(P215="","",IF(P215="DNS",0,IF(P215="DQ",0,IF(P215="DNF",1,IF(AND(ISNUMBER(P215),P215&gt;59),1,_xlfn.XLOOKUP(P215,tbl_points[Place],tbl_points[Points],""))))))</f>
        <v>100</v>
      </c>
      <c r="S215" s="3" t="str">
        <f>IF(R215="","",IF(R215="DNS",0,IF(R215="DQ",0,IF(R215="DNF",1,IF(AND(ISNUMBER(R215),R215&gt;59),1,_xlfn.XLOOKUP(R215,tbl_points[Place],tbl_points[Points],""))))))</f>
        <v/>
      </c>
      <c r="T215" s="3">
        <f>SUM(tbl_individual[[#This Row],[R1 Pts]],tbl_individual[[#This Row],[R2 Pts]],tbl_individual[[#This Row],[R3 Pts]],tbl_individual[[#This Row],[R4 Pts]],tbl_individual[[#This Row],[R5 Pts]],tbl_individual[[#This Row],[R6 Pts]])</f>
        <v>100</v>
      </c>
      <c r="U21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5" s="3">
        <f>tbl_individual[[#This Row],[Total]]</f>
        <v>100</v>
      </c>
    </row>
    <row r="216" spans="1:22" hidden="1" x14ac:dyDescent="0.4">
      <c r="A216" t="s">
        <v>252</v>
      </c>
      <c r="B216" t="s">
        <v>23</v>
      </c>
      <c r="C216" t="s">
        <v>5</v>
      </c>
      <c r="D216" s="3">
        <v>927</v>
      </c>
      <c r="E216" s="3" t="s">
        <v>421</v>
      </c>
      <c r="G216" s="3" t="s">
        <v>403</v>
      </c>
      <c r="H216" s="3" t="s">
        <v>410</v>
      </c>
      <c r="I216" s="3">
        <f>IF(H216="","",IF(H216="DNS",0,IF(H216="DQ",0,IF(H216="DNF",1,IF(AND(ISNUMBER(H216),H216&gt;59),1,_xlfn.XLOOKUP(H216,tbl_points[Place],tbl_points[Points],""))))))</f>
        <v>0</v>
      </c>
      <c r="J216" s="3">
        <v>10</v>
      </c>
      <c r="K216" s="3">
        <f>IF(J216="","",IF(J216="DNS",0,IF(J216="DQ",0,IF(J216="DNF",1,IF(AND(ISNUMBER(J216),J216&gt;59),1,_xlfn.XLOOKUP(J216,tbl_points[Place],tbl_points[Points],""))))))</f>
        <v>55</v>
      </c>
      <c r="L216" s="3" t="s">
        <v>410</v>
      </c>
      <c r="M216" s="3">
        <f>IF(L216="","",IF(L216="DNS",0,IF(L216="DQ",0,IF(L216="DNF",1,IF(AND(ISNUMBER(L216),L216&gt;59),1,_xlfn.XLOOKUP(L216,tbl_points[Place],tbl_points[Points],""))))))</f>
        <v>0</v>
      </c>
      <c r="N216" s="3" t="s">
        <v>410</v>
      </c>
      <c r="O216" s="3">
        <f>IF(N216="","",IF(N216="DNS",0,IF(N216="DQ",0,IF(N216="DNF",1,IF(AND(ISNUMBER(N216),N216&gt;59),1,_xlfn.XLOOKUP(N216,tbl_points[Place],tbl_points[Points],""))))))</f>
        <v>0</v>
      </c>
      <c r="P216" s="3">
        <v>39</v>
      </c>
      <c r="Q216" s="3">
        <f>IF(P216="","",IF(P216="DNS",0,IF(P216="DQ",0,IF(P216="DNF",1,IF(AND(ISNUMBER(P216),P216&gt;59),1,_xlfn.XLOOKUP(P216,tbl_points[Place],tbl_points[Points],""))))))</f>
        <v>21</v>
      </c>
      <c r="S216" s="3" t="str">
        <f>IF(R216="","",IF(R216="DNS",0,IF(R216="DQ",0,IF(R216="DNF",1,IF(AND(ISNUMBER(R216),R216&gt;59),1,_xlfn.XLOOKUP(R216,tbl_points[Place],tbl_points[Points],""))))))</f>
        <v/>
      </c>
      <c r="T216" s="3">
        <f>SUM(tbl_individual[[#This Row],[R1 Pts]],tbl_individual[[#This Row],[R2 Pts]],tbl_individual[[#This Row],[R3 Pts]],tbl_individual[[#This Row],[R4 Pts]],tbl_individual[[#This Row],[R5 Pts]],tbl_individual[[#This Row],[R6 Pts]])</f>
        <v>76</v>
      </c>
      <c r="U21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6" s="3">
        <f>tbl_individual[[#This Row],[Total]]</f>
        <v>76</v>
      </c>
    </row>
    <row r="217" spans="1:22" hidden="1" x14ac:dyDescent="0.4">
      <c r="A217" t="s">
        <v>253</v>
      </c>
      <c r="B217" t="s">
        <v>23</v>
      </c>
      <c r="C217" t="s">
        <v>5</v>
      </c>
      <c r="D217" s="3">
        <v>928</v>
      </c>
      <c r="E217" s="3" t="s">
        <v>421</v>
      </c>
      <c r="G217" s="3" t="s">
        <v>403</v>
      </c>
      <c r="H217" s="3" t="s">
        <v>410</v>
      </c>
      <c r="I217" s="3">
        <f>IF(H217="","",IF(H217="DNS",0,IF(H217="DQ",0,IF(H217="DNF",1,IF(AND(ISNUMBER(H217),H217&gt;59),1,_xlfn.XLOOKUP(H217,tbl_points[Place],tbl_points[Points],""))))))</f>
        <v>0</v>
      </c>
      <c r="J217" s="3">
        <v>13</v>
      </c>
      <c r="K217" s="3">
        <f>IF(J217="","",IF(J217="DNS",0,IF(J217="DQ",0,IF(J217="DNF",1,IF(AND(ISNUMBER(J217),J217&gt;59),1,_xlfn.XLOOKUP(J217,tbl_points[Place],tbl_points[Points],""))))))</f>
        <v>49</v>
      </c>
      <c r="L217" s="3" t="s">
        <v>410</v>
      </c>
      <c r="M217" s="3">
        <f>IF(L217="","",IF(L217="DNS",0,IF(L217="DQ",0,IF(L217="DNF",1,IF(AND(ISNUMBER(L217),L217&gt;59),1,_xlfn.XLOOKUP(L217,tbl_points[Place],tbl_points[Points],""))))))</f>
        <v>0</v>
      </c>
      <c r="N217" s="3">
        <v>10</v>
      </c>
      <c r="O217" s="3">
        <f>IF(N217="","",IF(N217="DNS",0,IF(N217="DQ",0,IF(N217="DNF",1,IF(AND(ISNUMBER(N217),N217&gt;59),1,_xlfn.XLOOKUP(N217,tbl_points[Place],tbl_points[Points],""))))))</f>
        <v>55</v>
      </c>
      <c r="P217" s="3">
        <v>14</v>
      </c>
      <c r="Q217" s="3">
        <f>IF(P217="","",IF(P217="DNS",0,IF(P217="DQ",0,IF(P217="DNF",1,IF(AND(ISNUMBER(P217),P217&gt;59),1,_xlfn.XLOOKUP(P217,tbl_points[Place],tbl_points[Points],""))))))</f>
        <v>47</v>
      </c>
      <c r="S217" s="3" t="str">
        <f>IF(R217="","",IF(R217="DNS",0,IF(R217="DQ",0,IF(R217="DNF",1,IF(AND(ISNUMBER(R217),R217&gt;59),1,_xlfn.XLOOKUP(R217,tbl_points[Place],tbl_points[Points],""))))))</f>
        <v/>
      </c>
      <c r="T217" s="3">
        <f>SUM(tbl_individual[[#This Row],[R1 Pts]],tbl_individual[[#This Row],[R2 Pts]],tbl_individual[[#This Row],[R3 Pts]],tbl_individual[[#This Row],[R4 Pts]],tbl_individual[[#This Row],[R5 Pts]],tbl_individual[[#This Row],[R6 Pts]])</f>
        <v>151</v>
      </c>
      <c r="U21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7" s="3">
        <f>tbl_individual[[#This Row],[Total]]</f>
        <v>151</v>
      </c>
    </row>
    <row r="218" spans="1:22" x14ac:dyDescent="0.4">
      <c r="A218" t="s">
        <v>246</v>
      </c>
      <c r="B218" t="s">
        <v>23</v>
      </c>
      <c r="C218" t="s">
        <v>6</v>
      </c>
      <c r="D218" s="3">
        <v>926</v>
      </c>
      <c r="E218" s="3" t="s">
        <v>421</v>
      </c>
      <c r="G218" s="3" t="s">
        <v>407</v>
      </c>
      <c r="H218" s="3" t="s">
        <v>410</v>
      </c>
      <c r="I218" s="3">
        <f>IF(H218="","",IF(H218="DNS",0,IF(H218="DQ",0,IF(H218="DNF",1,IF(AND(ISNUMBER(H218),H218&gt;59),1,_xlfn.XLOOKUP(H218,tbl_points[Place],tbl_points[Points],""))))))</f>
        <v>0</v>
      </c>
      <c r="J218" s="3" t="s">
        <v>410</v>
      </c>
      <c r="K218" s="3">
        <f>IF(J218="","",IF(J218="DNS",0,IF(J218="DQ",0,IF(J218="DNF",1,IF(AND(ISNUMBER(J218),J218&gt;59),1,_xlfn.XLOOKUP(J218,tbl_points[Place],tbl_points[Points],""))))))</f>
        <v>0</v>
      </c>
      <c r="L218" s="3" t="s">
        <v>446</v>
      </c>
      <c r="M218" s="3">
        <f>IF(L218="","",IF(L218="DNS",0,IF(L218="DQ",0,IF(L218="DNF",1,IF(AND(ISNUMBER(L218),L218&gt;59),1,_xlfn.XLOOKUP(L218,tbl_points[Place],tbl_points[Points],""))))))</f>
        <v>1</v>
      </c>
      <c r="N218" s="3">
        <v>3</v>
      </c>
      <c r="O218" s="3">
        <f>IF(N218="","",IF(N218="DNS",0,IF(N218="DQ",0,IF(N218="DNF",1,IF(AND(ISNUMBER(N218),N218&gt;59),1,_xlfn.XLOOKUP(N218,tbl_points[Place],tbl_points[Points],""))))))</f>
        <v>90</v>
      </c>
      <c r="P218" s="3" t="s">
        <v>410</v>
      </c>
      <c r="Q218" s="3">
        <f>IF(P218="","",IF(P218="DNS",0,IF(P218="DQ",0,IF(P218="DNF",1,IF(AND(ISNUMBER(P218),P218&gt;59),1,_xlfn.XLOOKUP(P218,tbl_points[Place],tbl_points[Points],""))))))</f>
        <v>0</v>
      </c>
      <c r="S218" s="3" t="str">
        <f>IF(R218="","",IF(R218="DNS",0,IF(R218="DQ",0,IF(R218="DNF",1,IF(AND(ISNUMBER(R218),R218&gt;59),1,_xlfn.XLOOKUP(R218,tbl_points[Place],tbl_points[Points],""))))))</f>
        <v/>
      </c>
      <c r="T218" s="3">
        <f>SUM(tbl_individual[[#This Row],[R1 Pts]],tbl_individual[[#This Row],[R2 Pts]],tbl_individual[[#This Row],[R3 Pts]],tbl_individual[[#This Row],[R4 Pts]],tbl_individual[[#This Row],[R5 Pts]],tbl_individual[[#This Row],[R6 Pts]])</f>
        <v>91</v>
      </c>
      <c r="U21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8" s="3">
        <f>tbl_individual[[#This Row],[Total]]</f>
        <v>91</v>
      </c>
    </row>
    <row r="219" spans="1:22" x14ac:dyDescent="0.4">
      <c r="A219" t="s">
        <v>247</v>
      </c>
      <c r="B219" t="s">
        <v>23</v>
      </c>
      <c r="C219" t="s">
        <v>6</v>
      </c>
      <c r="D219" s="3">
        <v>927</v>
      </c>
      <c r="E219" s="3" t="s">
        <v>421</v>
      </c>
      <c r="G219" s="3" t="s">
        <v>407</v>
      </c>
      <c r="H219" s="3" t="s">
        <v>410</v>
      </c>
      <c r="I219" s="3">
        <f>IF(H219="","",IF(H219="DNS",0,IF(H219="DQ",0,IF(H219="DNF",1,IF(AND(ISNUMBER(H219),H219&gt;59),1,_xlfn.XLOOKUP(H219,tbl_points[Place],tbl_points[Points],""))))))</f>
        <v>0</v>
      </c>
      <c r="J219" s="3" t="s">
        <v>410</v>
      </c>
      <c r="K219" s="3">
        <f>IF(J219="","",IF(J219="DNS",0,IF(J219="DQ",0,IF(J219="DNF",1,IF(AND(ISNUMBER(J219),J219&gt;59),1,_xlfn.XLOOKUP(J219,tbl_points[Place],tbl_points[Points],""))))))</f>
        <v>0</v>
      </c>
      <c r="L219" s="3" t="s">
        <v>409</v>
      </c>
      <c r="M219" s="3">
        <f>IF(L219="","",IF(L219="DNS",0,IF(L219="DQ",0,IF(L219="DNF",1,IF(AND(ISNUMBER(L219),L219&gt;59),1,_xlfn.XLOOKUP(L219,tbl_points[Place],tbl_points[Points],""))))))</f>
        <v>1</v>
      </c>
      <c r="N219" s="3" t="s">
        <v>410</v>
      </c>
      <c r="O219" s="3">
        <f>IF(N219="","",IF(N219="DNS",0,IF(N219="DQ",0,IF(N219="DNF",1,IF(AND(ISNUMBER(N219),N219&gt;59),1,_xlfn.XLOOKUP(N219,tbl_points[Place],tbl_points[Points],""))))))</f>
        <v>0</v>
      </c>
      <c r="P219" s="3">
        <v>11</v>
      </c>
      <c r="Q219" s="3">
        <f>IF(P219="","",IF(P219="DNS",0,IF(P219="DQ",0,IF(P219="DNF",1,IF(AND(ISNUMBER(P219),P219&gt;59),1,_xlfn.XLOOKUP(P219,tbl_points[Place],tbl_points[Points],""))))))</f>
        <v>53</v>
      </c>
      <c r="S219" s="3" t="str">
        <f>IF(R219="","",IF(R219="DNS",0,IF(R219="DQ",0,IF(R219="DNF",1,IF(AND(ISNUMBER(R219),R219&gt;59),1,_xlfn.XLOOKUP(R219,tbl_points[Place],tbl_points[Points],""))))))</f>
        <v/>
      </c>
      <c r="T219" s="3">
        <f>SUM(tbl_individual[[#This Row],[R1 Pts]],tbl_individual[[#This Row],[R2 Pts]],tbl_individual[[#This Row],[R3 Pts]],tbl_individual[[#This Row],[R4 Pts]],tbl_individual[[#This Row],[R5 Pts]],tbl_individual[[#This Row],[R6 Pts]])</f>
        <v>54</v>
      </c>
      <c r="U21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19" s="3">
        <f>tbl_individual[[#This Row],[Total]]</f>
        <v>54</v>
      </c>
    </row>
    <row r="220" spans="1:22" x14ac:dyDescent="0.4">
      <c r="A220" t="s">
        <v>248</v>
      </c>
      <c r="B220" t="s">
        <v>23</v>
      </c>
      <c r="C220" t="s">
        <v>6</v>
      </c>
      <c r="D220" s="3">
        <v>928</v>
      </c>
      <c r="E220" s="3" t="s">
        <v>421</v>
      </c>
      <c r="G220" s="3" t="s">
        <v>407</v>
      </c>
      <c r="H220" s="3">
        <v>10</v>
      </c>
      <c r="I220" s="3">
        <f>IF(H220="","",IF(H220="DNS",0,IF(H220="DQ",0,IF(H220="DNF",1,IF(AND(ISNUMBER(H220),H220&gt;59),1,_xlfn.XLOOKUP(H220,tbl_points[Place],tbl_points[Points],""))))))</f>
        <v>55</v>
      </c>
      <c r="J220" s="3" t="s">
        <v>410</v>
      </c>
      <c r="K220" s="3">
        <f>IF(J220="","",IF(J220="DNS",0,IF(J220="DQ",0,IF(J220="DNF",1,IF(AND(ISNUMBER(J220),J220&gt;59),1,_xlfn.XLOOKUP(J220,tbl_points[Place],tbl_points[Points],""))))))</f>
        <v>0</v>
      </c>
      <c r="L220" s="3" t="s">
        <v>410</v>
      </c>
      <c r="M220" s="3">
        <f>IF(L220="","",IF(L220="DNS",0,IF(L220="DQ",0,IF(L220="DNF",1,IF(AND(ISNUMBER(L220),L220&gt;59),1,_xlfn.XLOOKUP(L220,tbl_points[Place],tbl_points[Points],""))))))</f>
        <v>0</v>
      </c>
      <c r="N220" s="3">
        <v>11</v>
      </c>
      <c r="O220" s="3">
        <f>IF(N220="","",IF(N220="DNS",0,IF(N220="DQ",0,IF(N220="DNF",1,IF(AND(ISNUMBER(N220),N220&gt;59),1,_xlfn.XLOOKUP(N220,tbl_points[Place],tbl_points[Points],""))))))</f>
        <v>53</v>
      </c>
      <c r="P220" s="3" t="s">
        <v>409</v>
      </c>
      <c r="Q220" s="3">
        <f>IF(P220="","",IF(P220="DNS",0,IF(P220="DQ",0,IF(P220="DNF",1,IF(AND(ISNUMBER(P220),P220&gt;59),1,_xlfn.XLOOKUP(P220,tbl_points[Place],tbl_points[Points],""))))))</f>
        <v>1</v>
      </c>
      <c r="S220" s="3" t="str">
        <f>IF(R220="","",IF(R220="DNS",0,IF(R220="DQ",0,IF(R220="DNF",1,IF(AND(ISNUMBER(R220),R220&gt;59),1,_xlfn.XLOOKUP(R220,tbl_points[Place],tbl_points[Points],""))))))</f>
        <v/>
      </c>
      <c r="T220" s="3">
        <f>SUM(tbl_individual[[#This Row],[R1 Pts]],tbl_individual[[#This Row],[R2 Pts]],tbl_individual[[#This Row],[R3 Pts]],tbl_individual[[#This Row],[R4 Pts]],tbl_individual[[#This Row],[R5 Pts]],tbl_individual[[#This Row],[R6 Pts]])</f>
        <v>109</v>
      </c>
      <c r="U22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20" s="3">
        <f>tbl_individual[[#This Row],[Total]]</f>
        <v>109</v>
      </c>
    </row>
    <row r="221" spans="1:22" hidden="1" x14ac:dyDescent="0.4">
      <c r="A221" t="s">
        <v>258</v>
      </c>
      <c r="B221" t="s">
        <v>23</v>
      </c>
      <c r="C221" t="s">
        <v>3</v>
      </c>
      <c r="D221" s="3">
        <v>10181</v>
      </c>
      <c r="E221" s="3" t="s">
        <v>421</v>
      </c>
      <c r="G221" s="3" t="s">
        <v>403</v>
      </c>
      <c r="H221" s="3" t="s">
        <v>410</v>
      </c>
      <c r="I221" s="3">
        <f>IF(H221="","",IF(H221="DNS",0,IF(H221="DQ",0,IF(H221="DNF",1,IF(AND(ISNUMBER(H221),H221&gt;59),1,_xlfn.XLOOKUP(H221,tbl_points[Place],tbl_points[Points],""))))))</f>
        <v>0</v>
      </c>
      <c r="J221" s="3">
        <v>3</v>
      </c>
      <c r="K221" s="3">
        <f>IF(J221="","",IF(J221="DNS",0,IF(J221="DQ",0,IF(J221="DNF",1,IF(AND(ISNUMBER(J221),J221&gt;59),1,_xlfn.XLOOKUP(J221,tbl_points[Place],tbl_points[Points],""))))))</f>
        <v>90</v>
      </c>
      <c r="L221" s="3" t="s">
        <v>410</v>
      </c>
      <c r="M221" s="3">
        <f>IF(L221="","",IF(L221="DNS",0,IF(L221="DQ",0,IF(L221="DNF",1,IF(AND(ISNUMBER(L221),L221&gt;59),1,_xlfn.XLOOKUP(L221,tbl_points[Place],tbl_points[Points],""))))))</f>
        <v>0</v>
      </c>
      <c r="N221" s="3">
        <v>2</v>
      </c>
      <c r="O221" s="3">
        <f>IF(N221="","",IF(N221="DNS",0,IF(N221="DQ",0,IF(N221="DNF",1,IF(AND(ISNUMBER(N221),N221&gt;59),1,_xlfn.XLOOKUP(N221,tbl_points[Place],tbl_points[Points],""))))))</f>
        <v>95</v>
      </c>
      <c r="P221" s="3" t="s">
        <v>410</v>
      </c>
      <c r="Q221" s="3">
        <f>IF(P221="","",IF(P221="DNS",0,IF(P221="DQ",0,IF(P221="DNF",1,IF(AND(ISNUMBER(P221),P221&gt;59),1,_xlfn.XLOOKUP(P221,tbl_points[Place],tbl_points[Points],""))))))</f>
        <v>0</v>
      </c>
      <c r="S221" s="3" t="str">
        <f>IF(R221="","",IF(R221="DNS",0,IF(R221="DQ",0,IF(R221="DNF",1,IF(AND(ISNUMBER(R221),R221&gt;59),1,_xlfn.XLOOKUP(R221,tbl_points[Place],tbl_points[Points],""))))))</f>
        <v/>
      </c>
      <c r="T221" s="3">
        <f>SUM(tbl_individual[[#This Row],[R1 Pts]],tbl_individual[[#This Row],[R2 Pts]],tbl_individual[[#This Row],[R3 Pts]],tbl_individual[[#This Row],[R4 Pts]],tbl_individual[[#This Row],[R5 Pts]],tbl_individual[[#This Row],[R6 Pts]])</f>
        <v>185</v>
      </c>
      <c r="U22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21" s="3">
        <f>tbl_individual[[#This Row],[Total]]</f>
        <v>185</v>
      </c>
    </row>
    <row r="222" spans="1:22" hidden="1" x14ac:dyDescent="0.4">
      <c r="A222" t="s">
        <v>259</v>
      </c>
      <c r="B222" t="s">
        <v>23</v>
      </c>
      <c r="C222" t="s">
        <v>3</v>
      </c>
      <c r="D222" s="3">
        <v>10182</v>
      </c>
      <c r="E222" s="3" t="s">
        <v>421</v>
      </c>
      <c r="G222" s="3" t="s">
        <v>407</v>
      </c>
      <c r="H222" s="3" t="s">
        <v>410</v>
      </c>
      <c r="I222" s="3">
        <f>IF(H222="","",IF(H222="DNS",0,IF(H222="DQ",0,IF(H222="DNF",1,IF(AND(ISNUMBER(H222),H222&gt;59),1,_xlfn.XLOOKUP(H222,tbl_points[Place],tbl_points[Points],""))))))</f>
        <v>0</v>
      </c>
      <c r="J222" s="3" t="s">
        <v>410</v>
      </c>
      <c r="K222" s="3">
        <f>IF(J222="","",IF(J222="DNS",0,IF(J222="DQ",0,IF(J222="DNF",1,IF(AND(ISNUMBER(J222),J222&gt;59),1,_xlfn.XLOOKUP(J222,tbl_points[Place],tbl_points[Points],""))))))</f>
        <v>0</v>
      </c>
      <c r="L222" s="3" t="s">
        <v>410</v>
      </c>
      <c r="M222" s="3">
        <f>IF(L222="","",IF(L222="DNS",0,IF(L222="DQ",0,IF(L222="DNF",1,IF(AND(ISNUMBER(L222),L222&gt;59),1,_xlfn.XLOOKUP(L222,tbl_points[Place],tbl_points[Points],""))))))</f>
        <v>0</v>
      </c>
      <c r="N222" s="3" t="s">
        <v>410</v>
      </c>
      <c r="O222" s="3">
        <f>IF(N222="","",IF(N222="DNS",0,IF(N222="DQ",0,IF(N222="DNF",1,IF(AND(ISNUMBER(N222),N222&gt;59),1,_xlfn.XLOOKUP(N222,tbl_points[Place],tbl_points[Points],""))))))</f>
        <v>0</v>
      </c>
      <c r="P222" s="3" t="s">
        <v>410</v>
      </c>
      <c r="Q222" s="3">
        <f>IF(P222="","",IF(P222="DNS",0,IF(P222="DQ",0,IF(P222="DNF",1,IF(AND(ISNUMBER(P222),P222&gt;59),1,_xlfn.XLOOKUP(P222,tbl_points[Place],tbl_points[Points],""))))))</f>
        <v>0</v>
      </c>
      <c r="S222" s="3" t="str">
        <f>IF(R222="","",IF(R222="DNS",0,IF(R222="DQ",0,IF(R222="DNF",1,IF(AND(ISNUMBER(R222),R222&gt;59),1,_xlfn.XLOOKUP(R222,tbl_points[Place],tbl_points[Points],""))))))</f>
        <v/>
      </c>
      <c r="T222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2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22" s="3">
        <f>tbl_individual[[#This Row],[Total]]</f>
        <v>0</v>
      </c>
    </row>
    <row r="223" spans="1:22" hidden="1" x14ac:dyDescent="0.4">
      <c r="A223" t="s">
        <v>260</v>
      </c>
      <c r="B223" t="s">
        <v>23</v>
      </c>
      <c r="C223" t="s">
        <v>3</v>
      </c>
      <c r="D223" s="3">
        <v>10183</v>
      </c>
      <c r="E223" s="3" t="s">
        <v>421</v>
      </c>
      <c r="G223" s="3" t="s">
        <v>403</v>
      </c>
      <c r="H223" s="3">
        <v>9</v>
      </c>
      <c r="I223" s="3">
        <f>IF(H223="","",IF(H223="DNS",0,IF(H223="DQ",0,IF(H223="DNF",1,IF(AND(ISNUMBER(H223),H223&gt;59),1,_xlfn.XLOOKUP(H223,tbl_points[Place],tbl_points[Points],""))))))</f>
        <v>60</v>
      </c>
      <c r="J223" s="3">
        <v>5</v>
      </c>
      <c r="K223" s="3">
        <f>IF(J223="","",IF(J223="DNS",0,IF(J223="DQ",0,IF(J223="DNF",1,IF(AND(ISNUMBER(J223),J223&gt;59),1,_xlfn.XLOOKUP(J223,tbl_points[Place],tbl_points[Points],""))))))</f>
        <v>80</v>
      </c>
      <c r="L223" s="3" t="s">
        <v>410</v>
      </c>
      <c r="M223" s="3">
        <f>IF(L223="","",IF(L223="DNS",0,IF(L223="DQ",0,IF(L223="DNF",1,IF(AND(ISNUMBER(L223),L223&gt;59),1,_xlfn.XLOOKUP(L223,tbl_points[Place],tbl_points[Points],""))))))</f>
        <v>0</v>
      </c>
      <c r="N223" s="3">
        <v>6</v>
      </c>
      <c r="O223" s="3">
        <f>IF(N223="","",IF(N223="DNS",0,IF(N223="DQ",0,IF(N223="DNF",1,IF(AND(ISNUMBER(N223),N223&gt;59),1,_xlfn.XLOOKUP(N223,tbl_points[Place],tbl_points[Points],""))))))</f>
        <v>75</v>
      </c>
      <c r="P223" s="3">
        <v>5</v>
      </c>
      <c r="Q223" s="3">
        <f>IF(P223="","",IF(P223="DNS",0,IF(P223="DQ",0,IF(P223="DNF",1,IF(AND(ISNUMBER(P223),P223&gt;59),1,_xlfn.XLOOKUP(P223,tbl_points[Place],tbl_points[Points],""))))))</f>
        <v>80</v>
      </c>
      <c r="S223" s="3" t="str">
        <f>IF(R223="","",IF(R223="DNS",0,IF(R223="DQ",0,IF(R223="DNF",1,IF(AND(ISNUMBER(R223),R223&gt;59),1,_xlfn.XLOOKUP(R223,tbl_points[Place],tbl_points[Points],""))))))</f>
        <v/>
      </c>
      <c r="T223" s="3">
        <f>SUM(tbl_individual[[#This Row],[R1 Pts]],tbl_individual[[#This Row],[R2 Pts]],tbl_individual[[#This Row],[R3 Pts]],tbl_individual[[#This Row],[R4 Pts]],tbl_individual[[#This Row],[R5 Pts]],tbl_individual[[#This Row],[R6 Pts]])</f>
        <v>295</v>
      </c>
      <c r="U22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23" s="3">
        <f>tbl_individual[[#This Row],[Total]]</f>
        <v>295</v>
      </c>
    </row>
    <row r="224" spans="1:22" hidden="1" x14ac:dyDescent="0.4">
      <c r="A224" t="s">
        <v>261</v>
      </c>
      <c r="B224" t="s">
        <v>23</v>
      </c>
      <c r="C224" t="s">
        <v>3</v>
      </c>
      <c r="D224" s="3">
        <v>10184</v>
      </c>
      <c r="E224" s="3" t="s">
        <v>421</v>
      </c>
      <c r="G224" s="3" t="s">
        <v>403</v>
      </c>
      <c r="H224" s="3">
        <v>37</v>
      </c>
      <c r="I224" s="3">
        <f>IF(H224="","",IF(H224="DNS",0,IF(H224="DQ",0,IF(H224="DNF",1,IF(AND(ISNUMBER(H224),H224&gt;59),1,_xlfn.XLOOKUP(H224,tbl_points[Place],tbl_points[Points],""))))))</f>
        <v>23</v>
      </c>
      <c r="J224" s="3">
        <v>14</v>
      </c>
      <c r="K224" s="3">
        <f>IF(J224="","",IF(J224="DNS",0,IF(J224="DQ",0,IF(J224="DNF",1,IF(AND(ISNUMBER(J224),J224&gt;59),1,_xlfn.XLOOKUP(J224,tbl_points[Place],tbl_points[Points],""))))))</f>
        <v>47</v>
      </c>
      <c r="L224" s="3">
        <v>31</v>
      </c>
      <c r="M224" s="3">
        <f>IF(L224="","",IF(L224="DNS",0,IF(L224="DQ",0,IF(L224="DNF",1,IF(AND(ISNUMBER(L224),L224&gt;59),1,_xlfn.XLOOKUP(L224,tbl_points[Place],tbl_points[Points],""))))))</f>
        <v>29</v>
      </c>
      <c r="N224" s="3">
        <v>25</v>
      </c>
      <c r="O224" s="3">
        <f>IF(N224="","",IF(N224="DNS",0,IF(N224="DQ",0,IF(N224="DNF",1,IF(AND(ISNUMBER(N224),N224&gt;59),1,_xlfn.XLOOKUP(N224,tbl_points[Place],tbl_points[Points],""))))))</f>
        <v>35</v>
      </c>
      <c r="P224" s="3">
        <v>16</v>
      </c>
      <c r="Q224" s="3">
        <f>IF(P224="","",IF(P224="DNS",0,IF(P224="DQ",0,IF(P224="DNF",1,IF(AND(ISNUMBER(P224),P224&gt;59),1,_xlfn.XLOOKUP(P224,tbl_points[Place],tbl_points[Points],""))))))</f>
        <v>44</v>
      </c>
      <c r="S224" s="3" t="str">
        <f>IF(R224="","",IF(R224="DNS",0,IF(R224="DQ",0,IF(R224="DNF",1,IF(AND(ISNUMBER(R224),R224&gt;59),1,_xlfn.XLOOKUP(R224,tbl_points[Place],tbl_points[Points],""))))))</f>
        <v/>
      </c>
      <c r="T224" s="3">
        <f>SUM(tbl_individual[[#This Row],[R1 Pts]],tbl_individual[[#This Row],[R2 Pts]],tbl_individual[[#This Row],[R3 Pts]],tbl_individual[[#This Row],[R4 Pts]],tbl_individual[[#This Row],[R5 Pts]],tbl_individual[[#This Row],[R6 Pts]])</f>
        <v>178</v>
      </c>
      <c r="U224" s="3">
        <f>MIN(tbl_individual[[#This Row],[R1 Pts]],tbl_individual[[#This Row],[R2 Pts]],tbl_individual[[#This Row],[R3 Pts]],tbl_individual[[#This Row],[R4 Pts]],tbl_individual[[#This Row],[R5 Pts]],tbl_individual[[#This Row],[R6 Pts]])</f>
        <v>23</v>
      </c>
      <c r="V224" s="3">
        <f>tbl_individual[[#This Row],[Total]]</f>
        <v>178</v>
      </c>
    </row>
    <row r="225" spans="1:22" hidden="1" x14ac:dyDescent="0.4">
      <c r="A225" t="s">
        <v>262</v>
      </c>
      <c r="B225" t="s">
        <v>23</v>
      </c>
      <c r="C225" t="s">
        <v>3</v>
      </c>
      <c r="D225" s="3">
        <v>10185</v>
      </c>
      <c r="E225" s="3" t="s">
        <v>421</v>
      </c>
      <c r="G225" s="3" t="s">
        <v>403</v>
      </c>
      <c r="H225" s="3">
        <v>20</v>
      </c>
      <c r="I225" s="3">
        <f>IF(H225="","",IF(H225="DNS",0,IF(H225="DQ",0,IF(H225="DNF",1,IF(AND(ISNUMBER(H225),H225&gt;59),1,_xlfn.XLOOKUP(H225,tbl_points[Place],tbl_points[Points],""))))))</f>
        <v>40</v>
      </c>
      <c r="J225" s="3">
        <v>11</v>
      </c>
      <c r="K225" s="3">
        <f>IF(J225="","",IF(J225="DNS",0,IF(J225="DQ",0,IF(J225="DNF",1,IF(AND(ISNUMBER(J225),J225&gt;59),1,_xlfn.XLOOKUP(J225,tbl_points[Place],tbl_points[Points],""))))))</f>
        <v>53</v>
      </c>
      <c r="L225" s="3">
        <v>30</v>
      </c>
      <c r="M225" s="3">
        <f>IF(L225="","",IF(L225="DNS",0,IF(L225="DQ",0,IF(L225="DNF",1,IF(AND(ISNUMBER(L225),L225&gt;59),1,_xlfn.XLOOKUP(L225,tbl_points[Place],tbl_points[Points],""))))))</f>
        <v>30</v>
      </c>
      <c r="N225" s="3">
        <v>18</v>
      </c>
      <c r="O225" s="3">
        <f>IF(N225="","",IF(N225="DNS",0,IF(N225="DQ",0,IF(N225="DNF",1,IF(AND(ISNUMBER(N225),N225&gt;59),1,_xlfn.XLOOKUP(N225,tbl_points[Place],tbl_points[Points],""))))))</f>
        <v>42</v>
      </c>
      <c r="P225" s="3">
        <v>6</v>
      </c>
      <c r="Q225" s="3">
        <f>IF(P225="","",IF(P225="DNS",0,IF(P225="DQ",0,IF(P225="DNF",1,IF(AND(ISNUMBER(P225),P225&gt;59),1,_xlfn.XLOOKUP(P225,tbl_points[Place],tbl_points[Points],""))))))</f>
        <v>75</v>
      </c>
      <c r="S225" s="3" t="str">
        <f>IF(R225="","",IF(R225="DNS",0,IF(R225="DQ",0,IF(R225="DNF",1,IF(AND(ISNUMBER(R225),R225&gt;59),1,_xlfn.XLOOKUP(R225,tbl_points[Place],tbl_points[Points],""))))))</f>
        <v/>
      </c>
      <c r="T225" s="3">
        <f>SUM(tbl_individual[[#This Row],[R1 Pts]],tbl_individual[[#This Row],[R2 Pts]],tbl_individual[[#This Row],[R3 Pts]],tbl_individual[[#This Row],[R4 Pts]],tbl_individual[[#This Row],[R5 Pts]],tbl_individual[[#This Row],[R6 Pts]])</f>
        <v>240</v>
      </c>
      <c r="U225" s="3">
        <f>MIN(tbl_individual[[#This Row],[R1 Pts]],tbl_individual[[#This Row],[R2 Pts]],tbl_individual[[#This Row],[R3 Pts]],tbl_individual[[#This Row],[R4 Pts]],tbl_individual[[#This Row],[R5 Pts]],tbl_individual[[#This Row],[R6 Pts]])</f>
        <v>30</v>
      </c>
      <c r="V225" s="3">
        <f>tbl_individual[[#This Row],[Total]]</f>
        <v>240</v>
      </c>
    </row>
    <row r="226" spans="1:22" hidden="1" x14ac:dyDescent="0.4">
      <c r="A226" t="s">
        <v>263</v>
      </c>
      <c r="B226" t="s">
        <v>23</v>
      </c>
      <c r="C226" t="s">
        <v>3</v>
      </c>
      <c r="D226" s="3">
        <v>10186</v>
      </c>
      <c r="E226" s="3" t="s">
        <v>421</v>
      </c>
      <c r="G226" s="3" t="s">
        <v>403</v>
      </c>
      <c r="H226" s="3">
        <v>22</v>
      </c>
      <c r="I226" s="3">
        <f>IF(H226="","",IF(H226="DNS",0,IF(H226="DQ",0,IF(H226="DNF",1,IF(AND(ISNUMBER(H226),H226&gt;59),1,_xlfn.XLOOKUP(H226,tbl_points[Place],tbl_points[Points],""))))))</f>
        <v>38</v>
      </c>
      <c r="J226" s="3">
        <v>7</v>
      </c>
      <c r="K226" s="3">
        <f>IF(J226="","",IF(J226="DNS",0,IF(J226="DQ",0,IF(J226="DNF",1,IF(AND(ISNUMBER(J226),J226&gt;59),1,_xlfn.XLOOKUP(J226,tbl_points[Place],tbl_points[Points],""))))))</f>
        <v>70</v>
      </c>
      <c r="L226" s="3">
        <v>29</v>
      </c>
      <c r="M226" s="3">
        <f>IF(L226="","",IF(L226="DNS",0,IF(L226="DQ",0,IF(L226="DNF",1,IF(AND(ISNUMBER(L226),L226&gt;59),1,_xlfn.XLOOKUP(L226,tbl_points[Place],tbl_points[Points],""))))))</f>
        <v>31</v>
      </c>
      <c r="N226" s="3">
        <v>13</v>
      </c>
      <c r="O226" s="3">
        <f>IF(N226="","",IF(N226="DNS",0,IF(N226="DQ",0,IF(N226="DNF",1,IF(AND(ISNUMBER(N226),N226&gt;59),1,_xlfn.XLOOKUP(N226,tbl_points[Place],tbl_points[Points],""))))))</f>
        <v>49</v>
      </c>
      <c r="P226" s="3" t="s">
        <v>410</v>
      </c>
      <c r="Q226" s="3">
        <f>IF(P226="","",IF(P226="DNS",0,IF(P226="DQ",0,IF(P226="DNF",1,IF(AND(ISNUMBER(P226),P226&gt;59),1,_xlfn.XLOOKUP(P226,tbl_points[Place],tbl_points[Points],""))))))</f>
        <v>0</v>
      </c>
      <c r="S226" s="3" t="str">
        <f>IF(R226="","",IF(R226="DNS",0,IF(R226="DQ",0,IF(R226="DNF",1,IF(AND(ISNUMBER(R226),R226&gt;59),1,_xlfn.XLOOKUP(R226,tbl_points[Place],tbl_points[Points],""))))))</f>
        <v/>
      </c>
      <c r="T226" s="3">
        <f>SUM(tbl_individual[[#This Row],[R1 Pts]],tbl_individual[[#This Row],[R2 Pts]],tbl_individual[[#This Row],[R3 Pts]],tbl_individual[[#This Row],[R4 Pts]],tbl_individual[[#This Row],[R5 Pts]],tbl_individual[[#This Row],[R6 Pts]])</f>
        <v>188</v>
      </c>
      <c r="U22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26" s="3">
        <f>tbl_individual[[#This Row],[Total]]</f>
        <v>188</v>
      </c>
    </row>
    <row r="227" spans="1:22" hidden="1" x14ac:dyDescent="0.4">
      <c r="A227" t="s">
        <v>254</v>
      </c>
      <c r="B227" t="s">
        <v>23</v>
      </c>
      <c r="C227" t="s">
        <v>4</v>
      </c>
      <c r="D227" s="3">
        <v>1036</v>
      </c>
      <c r="E227" s="3" t="s">
        <v>421</v>
      </c>
      <c r="G227" s="3" t="s">
        <v>403</v>
      </c>
      <c r="H227" s="3">
        <v>7</v>
      </c>
      <c r="I227" s="3">
        <f>IF(H227="","",IF(H227="DNS",0,IF(H227="DQ",0,IF(H227="DNF",1,IF(AND(ISNUMBER(H227),H227&gt;59),1,_xlfn.XLOOKUP(H227,tbl_points[Place],tbl_points[Points],""))))))</f>
        <v>70</v>
      </c>
      <c r="J227" s="3">
        <v>2</v>
      </c>
      <c r="K227" s="3">
        <f>IF(J227="","",IF(J227="DNS",0,IF(J227="DQ",0,IF(J227="DNF",1,IF(AND(ISNUMBER(J227),J227&gt;59),1,_xlfn.XLOOKUP(J227,tbl_points[Place],tbl_points[Points],""))))))</f>
        <v>95</v>
      </c>
      <c r="L227" s="3">
        <v>2</v>
      </c>
      <c r="M227" s="3">
        <f>IF(L227="","",IF(L227="DNS",0,IF(L227="DQ",0,IF(L227="DNF",1,IF(AND(ISNUMBER(L227),L227&gt;59),1,_xlfn.XLOOKUP(L227,tbl_points[Place],tbl_points[Points],""))))))</f>
        <v>95</v>
      </c>
      <c r="N227" s="3">
        <v>2</v>
      </c>
      <c r="O227" s="3">
        <f>IF(N227="","",IF(N227="DNS",0,IF(N227="DQ",0,IF(N227="DNF",1,IF(AND(ISNUMBER(N227),N227&gt;59),1,_xlfn.XLOOKUP(N227,tbl_points[Place],tbl_points[Points],""))))))</f>
        <v>95</v>
      </c>
      <c r="P227" s="3">
        <v>2</v>
      </c>
      <c r="Q227" s="3">
        <f>IF(P227="","",IF(P227="DNS",0,IF(P227="DQ",0,IF(P227="DNF",1,IF(AND(ISNUMBER(P227),P227&gt;59),1,_xlfn.XLOOKUP(P227,tbl_points[Place],tbl_points[Points],""))))))</f>
        <v>95</v>
      </c>
      <c r="S227" s="3" t="str">
        <f>IF(R227="","",IF(R227="DNS",0,IF(R227="DQ",0,IF(R227="DNF",1,IF(AND(ISNUMBER(R227),R227&gt;59),1,_xlfn.XLOOKUP(R227,tbl_points[Place],tbl_points[Points],""))))))</f>
        <v/>
      </c>
      <c r="T227" s="3">
        <f>SUM(tbl_individual[[#This Row],[R1 Pts]],tbl_individual[[#This Row],[R2 Pts]],tbl_individual[[#This Row],[R3 Pts]],tbl_individual[[#This Row],[R4 Pts]],tbl_individual[[#This Row],[R5 Pts]],tbl_individual[[#This Row],[R6 Pts]])</f>
        <v>450</v>
      </c>
      <c r="U227" s="3">
        <f>MIN(tbl_individual[[#This Row],[R1 Pts]],tbl_individual[[#This Row],[R2 Pts]],tbl_individual[[#This Row],[R3 Pts]],tbl_individual[[#This Row],[R4 Pts]],tbl_individual[[#This Row],[R5 Pts]],tbl_individual[[#This Row],[R6 Pts]])</f>
        <v>70</v>
      </c>
      <c r="V227" s="3">
        <f>tbl_individual[[#This Row],[Total]]</f>
        <v>450</v>
      </c>
    </row>
    <row r="228" spans="1:22" hidden="1" x14ac:dyDescent="0.4">
      <c r="A228" t="s">
        <v>255</v>
      </c>
      <c r="B228" t="s">
        <v>23</v>
      </c>
      <c r="C228" t="s">
        <v>4</v>
      </c>
      <c r="D228" s="3">
        <v>1037</v>
      </c>
      <c r="E228" s="3" t="s">
        <v>421</v>
      </c>
      <c r="G228" s="3" t="s">
        <v>407</v>
      </c>
      <c r="H228" s="3">
        <v>6</v>
      </c>
      <c r="I228" s="3">
        <f>IF(H228="","",IF(H228="DNS",0,IF(H228="DQ",0,IF(H228="DNF",1,IF(AND(ISNUMBER(H228),H228&gt;59),1,_xlfn.XLOOKUP(H228,tbl_points[Place],tbl_points[Points],""))))))</f>
        <v>75</v>
      </c>
      <c r="J228" s="3" t="s">
        <v>410</v>
      </c>
      <c r="K228" s="3">
        <f>IF(J228="","",IF(J228="DNS",0,IF(J228="DQ",0,IF(J228="DNF",1,IF(AND(ISNUMBER(J228),J228&gt;59),1,_xlfn.XLOOKUP(J228,tbl_points[Place],tbl_points[Points],""))))))</f>
        <v>0</v>
      </c>
      <c r="L228" s="3" t="s">
        <v>410</v>
      </c>
      <c r="M228" s="3">
        <f>IF(L228="","",IF(L228="DNS",0,IF(L228="DQ",0,IF(L228="DNF",1,IF(AND(ISNUMBER(L228),L228&gt;59),1,_xlfn.XLOOKUP(L228,tbl_points[Place],tbl_points[Points],""))))))</f>
        <v>0</v>
      </c>
      <c r="N228" s="3" t="s">
        <v>410</v>
      </c>
      <c r="O228" s="3">
        <f>IF(N228="","",IF(N228="DNS",0,IF(N228="DQ",0,IF(N228="DNF",1,IF(AND(ISNUMBER(N228),N228&gt;59),1,_xlfn.XLOOKUP(N228,tbl_points[Place],tbl_points[Points],""))))))</f>
        <v>0</v>
      </c>
      <c r="P228" s="3" t="s">
        <v>410</v>
      </c>
      <c r="Q228" s="3">
        <f>IF(P228="","",IF(P228="DNS",0,IF(P228="DQ",0,IF(P228="DNF",1,IF(AND(ISNUMBER(P228),P228&gt;59),1,_xlfn.XLOOKUP(P228,tbl_points[Place],tbl_points[Points],""))))))</f>
        <v>0</v>
      </c>
      <c r="S228" s="3" t="str">
        <f>IF(R228="","",IF(R228="DNS",0,IF(R228="DQ",0,IF(R228="DNF",1,IF(AND(ISNUMBER(R228),R228&gt;59),1,_xlfn.XLOOKUP(R228,tbl_points[Place],tbl_points[Points],""))))))</f>
        <v/>
      </c>
      <c r="T228" s="3">
        <f>SUM(tbl_individual[[#This Row],[R1 Pts]],tbl_individual[[#This Row],[R2 Pts]],tbl_individual[[#This Row],[R3 Pts]],tbl_individual[[#This Row],[R4 Pts]],tbl_individual[[#This Row],[R5 Pts]],tbl_individual[[#This Row],[R6 Pts]])</f>
        <v>75</v>
      </c>
      <c r="U22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28" s="3">
        <f>tbl_individual[[#This Row],[Total]]</f>
        <v>75</v>
      </c>
    </row>
    <row r="229" spans="1:22" hidden="1" x14ac:dyDescent="0.4">
      <c r="A229" t="s">
        <v>256</v>
      </c>
      <c r="B229" t="s">
        <v>23</v>
      </c>
      <c r="C229" t="s">
        <v>4</v>
      </c>
      <c r="D229" s="3">
        <v>1038</v>
      </c>
      <c r="E229" s="3" t="s">
        <v>421</v>
      </c>
      <c r="G229" s="3" t="s">
        <v>403</v>
      </c>
      <c r="H229" s="3" t="s">
        <v>410</v>
      </c>
      <c r="I229" s="3">
        <f>IF(H229="","",IF(H229="DNS",0,IF(H229="DQ",0,IF(H229="DNF",1,IF(AND(ISNUMBER(H229),H229&gt;59),1,_xlfn.XLOOKUP(H229,tbl_points[Place],tbl_points[Points],""))))))</f>
        <v>0</v>
      </c>
      <c r="J229" s="3">
        <v>14</v>
      </c>
      <c r="K229" s="3">
        <f>IF(J229="","",IF(J229="DNS",0,IF(J229="DQ",0,IF(J229="DNF",1,IF(AND(ISNUMBER(J229),J229&gt;59),1,_xlfn.XLOOKUP(J229,tbl_points[Place],tbl_points[Points],""))))))</f>
        <v>47</v>
      </c>
      <c r="L229" s="3" t="s">
        <v>410</v>
      </c>
      <c r="M229" s="3">
        <f>IF(L229="","",IF(L229="DNS",0,IF(L229="DQ",0,IF(L229="DNF",1,IF(AND(ISNUMBER(L229),L229&gt;59),1,_xlfn.XLOOKUP(L229,tbl_points[Place],tbl_points[Points],""))))))</f>
        <v>0</v>
      </c>
      <c r="N229" s="3">
        <v>12</v>
      </c>
      <c r="O229" s="3">
        <f>IF(N229="","",IF(N229="DNS",0,IF(N229="DQ",0,IF(N229="DNF",1,IF(AND(ISNUMBER(N229),N229&gt;59),1,_xlfn.XLOOKUP(N229,tbl_points[Place],tbl_points[Points],""))))))</f>
        <v>51</v>
      </c>
      <c r="P229" s="3">
        <v>13</v>
      </c>
      <c r="Q229" s="3">
        <f>IF(P229="","",IF(P229="DNS",0,IF(P229="DQ",0,IF(P229="DNF",1,IF(AND(ISNUMBER(P229),P229&gt;59),1,_xlfn.XLOOKUP(P229,tbl_points[Place],tbl_points[Points],""))))))</f>
        <v>49</v>
      </c>
      <c r="S229" s="3" t="str">
        <f>IF(R229="","",IF(R229="DNS",0,IF(R229="DQ",0,IF(R229="DNF",1,IF(AND(ISNUMBER(R229),R229&gt;59),1,_xlfn.XLOOKUP(R229,tbl_points[Place],tbl_points[Points],""))))))</f>
        <v/>
      </c>
      <c r="T229" s="3">
        <f>SUM(tbl_individual[[#This Row],[R1 Pts]],tbl_individual[[#This Row],[R2 Pts]],tbl_individual[[#This Row],[R3 Pts]],tbl_individual[[#This Row],[R4 Pts]],tbl_individual[[#This Row],[R5 Pts]],tbl_individual[[#This Row],[R6 Pts]])</f>
        <v>147</v>
      </c>
      <c r="U22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29" s="3">
        <f>tbl_individual[[#This Row],[Total]]</f>
        <v>147</v>
      </c>
    </row>
    <row r="230" spans="1:22" hidden="1" x14ac:dyDescent="0.4">
      <c r="A230" t="s">
        <v>257</v>
      </c>
      <c r="B230" t="s">
        <v>23</v>
      </c>
      <c r="C230" t="s">
        <v>4</v>
      </c>
      <c r="D230" s="3">
        <v>1039</v>
      </c>
      <c r="E230" s="3" t="s">
        <v>421</v>
      </c>
      <c r="G230" s="3" t="s">
        <v>429</v>
      </c>
      <c r="H230" s="3">
        <v>4</v>
      </c>
      <c r="I230" s="3">
        <f>IF(H230="","",IF(H230="DNS",0,IF(H230="DQ",0,IF(H230="DNF",1,IF(AND(ISNUMBER(H230),H230&gt;59),1,_xlfn.XLOOKUP(H230,tbl_points[Place],tbl_points[Points],""))))))</f>
        <v>85</v>
      </c>
      <c r="J230" s="3" t="s">
        <v>410</v>
      </c>
      <c r="K230" s="3">
        <f>IF(J230="","",IF(J230="DNS",0,IF(J230="DQ",0,IF(J230="DNF",1,IF(AND(ISNUMBER(J230),J230&gt;59),1,_xlfn.XLOOKUP(J230,tbl_points[Place],tbl_points[Points],""))))))</f>
        <v>0</v>
      </c>
      <c r="L230" s="3">
        <v>5</v>
      </c>
      <c r="M230" s="3">
        <f>IF(L230="","",IF(L230="DNS",0,IF(L230="DQ",0,IF(L230="DNF",1,IF(AND(ISNUMBER(L230),L230&gt;59),1,_xlfn.XLOOKUP(L230,tbl_points[Place],tbl_points[Points],""))))))</f>
        <v>80</v>
      </c>
      <c r="N230" s="3">
        <v>4</v>
      </c>
      <c r="O230" s="3">
        <f>IF(N230="","",IF(N230="DNS",0,IF(N230="DQ",0,IF(N230="DNF",1,IF(AND(ISNUMBER(N230),N230&gt;59),1,_xlfn.XLOOKUP(N230,tbl_points[Place],tbl_points[Points],""))))))</f>
        <v>85</v>
      </c>
      <c r="P230" s="3">
        <v>4</v>
      </c>
      <c r="Q230" s="3">
        <f>IF(P230="","",IF(P230="DNS",0,IF(P230="DQ",0,IF(P230="DNF",1,IF(AND(ISNUMBER(P230),P230&gt;59),1,_xlfn.XLOOKUP(P230,tbl_points[Place],tbl_points[Points],""))))))</f>
        <v>85</v>
      </c>
      <c r="S230" s="3" t="str">
        <f>IF(R230="","",IF(R230="DNS",0,IF(R230="DQ",0,IF(R230="DNF",1,IF(AND(ISNUMBER(R230),R230&gt;59),1,_xlfn.XLOOKUP(R230,tbl_points[Place],tbl_points[Points],""))))))</f>
        <v/>
      </c>
      <c r="T230" s="3">
        <f>SUM(tbl_individual[[#This Row],[R1 Pts]],tbl_individual[[#This Row],[R2 Pts]],tbl_individual[[#This Row],[R3 Pts]],tbl_individual[[#This Row],[R4 Pts]],tbl_individual[[#This Row],[R5 Pts]],tbl_individual[[#This Row],[R6 Pts]])</f>
        <v>335</v>
      </c>
      <c r="U23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0" s="3">
        <f>tbl_individual[[#This Row],[Total]]</f>
        <v>335</v>
      </c>
    </row>
    <row r="231" spans="1:22" hidden="1" x14ac:dyDescent="0.4">
      <c r="A231" t="s">
        <v>268</v>
      </c>
      <c r="B231" t="s">
        <v>23</v>
      </c>
      <c r="C231" t="s">
        <v>1</v>
      </c>
      <c r="D231" s="3">
        <v>12061</v>
      </c>
      <c r="E231" s="3" t="s">
        <v>421</v>
      </c>
      <c r="G231" s="3" t="s">
        <v>403</v>
      </c>
      <c r="H231" s="3" t="s">
        <v>410</v>
      </c>
      <c r="I231" s="3">
        <f>IF(H231="","",IF(H231="DNS",0,IF(H231="DQ",0,IF(H231="DNF",1,IF(AND(ISNUMBER(H231),H231&gt;59),1,_xlfn.XLOOKUP(H231,tbl_points[Place],tbl_points[Points],""))))))</f>
        <v>0</v>
      </c>
      <c r="J231" s="3">
        <v>18</v>
      </c>
      <c r="K231" s="3">
        <f>IF(J231="","",IF(J231="DNS",0,IF(J231="DQ",0,IF(J231="DNF",1,IF(AND(ISNUMBER(J231),J231&gt;59),1,_xlfn.XLOOKUP(J231,tbl_points[Place],tbl_points[Points],""))))))</f>
        <v>42</v>
      </c>
      <c r="L231" s="3">
        <v>8</v>
      </c>
      <c r="M231" s="3">
        <f>IF(L231="","",IF(L231="DNS",0,IF(L231="DQ",0,IF(L231="DNF",1,IF(AND(ISNUMBER(L231),L231&gt;59),1,_xlfn.XLOOKUP(L231,tbl_points[Place],tbl_points[Points],""))))))</f>
        <v>65</v>
      </c>
      <c r="N231" s="3">
        <v>10</v>
      </c>
      <c r="O231" s="3">
        <f>IF(N231="","",IF(N231="DNS",0,IF(N231="DQ",0,IF(N231="DNF",1,IF(AND(ISNUMBER(N231),N231&gt;59),1,_xlfn.XLOOKUP(N231,tbl_points[Place],tbl_points[Points],""))))))</f>
        <v>55</v>
      </c>
      <c r="P231" s="3">
        <v>28</v>
      </c>
      <c r="Q231" s="3">
        <f>IF(P231="","",IF(P231="DNS",0,IF(P231="DQ",0,IF(P231="DNF",1,IF(AND(ISNUMBER(P231),P231&gt;59),1,_xlfn.XLOOKUP(P231,tbl_points[Place],tbl_points[Points],""))))))</f>
        <v>32</v>
      </c>
      <c r="S231" s="3" t="str">
        <f>IF(R231="","",IF(R231="DNS",0,IF(R231="DQ",0,IF(R231="DNF",1,IF(AND(ISNUMBER(R231),R231&gt;59),1,_xlfn.XLOOKUP(R231,tbl_points[Place],tbl_points[Points],""))))))</f>
        <v/>
      </c>
      <c r="T231" s="3">
        <f>SUM(tbl_individual[[#This Row],[R1 Pts]],tbl_individual[[#This Row],[R2 Pts]],tbl_individual[[#This Row],[R3 Pts]],tbl_individual[[#This Row],[R4 Pts]],tbl_individual[[#This Row],[R5 Pts]],tbl_individual[[#This Row],[R6 Pts]])</f>
        <v>194</v>
      </c>
      <c r="U23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1" s="3">
        <f>tbl_individual[[#This Row],[Total]]</f>
        <v>194</v>
      </c>
    </row>
    <row r="232" spans="1:22" hidden="1" x14ac:dyDescent="0.4">
      <c r="A232" t="s">
        <v>269</v>
      </c>
      <c r="B232" t="s">
        <v>23</v>
      </c>
      <c r="C232" t="s">
        <v>1</v>
      </c>
      <c r="D232" s="3">
        <v>12062</v>
      </c>
      <c r="E232" s="3" t="s">
        <v>421</v>
      </c>
      <c r="G232" s="3" t="s">
        <v>403</v>
      </c>
      <c r="H232" s="3" t="s">
        <v>410</v>
      </c>
      <c r="I232" s="3">
        <f>IF(H232="","",IF(H232="DNS",0,IF(H232="DQ",0,IF(H232="DNF",1,IF(AND(ISNUMBER(H232),H232&gt;59),1,_xlfn.XLOOKUP(H232,tbl_points[Place],tbl_points[Points],""))))))</f>
        <v>0</v>
      </c>
      <c r="J232" s="3">
        <v>38</v>
      </c>
      <c r="K232" s="3">
        <f>IF(J232="","",IF(J232="DNS",0,IF(J232="DQ",0,IF(J232="DNF",1,IF(AND(ISNUMBER(J232),J232&gt;59),1,_xlfn.XLOOKUP(J232,tbl_points[Place],tbl_points[Points],""))))))</f>
        <v>22</v>
      </c>
      <c r="L232" s="3">
        <v>49</v>
      </c>
      <c r="M232" s="3">
        <f>IF(L232="","",IF(L232="DNS",0,IF(L232="DQ",0,IF(L232="DNF",1,IF(AND(ISNUMBER(L232),L232&gt;59),1,_xlfn.XLOOKUP(L232,tbl_points[Place],tbl_points[Points],""))))))</f>
        <v>11</v>
      </c>
      <c r="N232" s="3" t="s">
        <v>410</v>
      </c>
      <c r="O232" s="3">
        <f>IF(N232="","",IF(N232="DNS",0,IF(N232="DQ",0,IF(N232="DNF",1,IF(AND(ISNUMBER(N232),N232&gt;59),1,_xlfn.XLOOKUP(N232,tbl_points[Place],tbl_points[Points],""))))))</f>
        <v>0</v>
      </c>
      <c r="P232" s="3" t="s">
        <v>410</v>
      </c>
      <c r="Q232" s="3">
        <f>IF(P232="","",IF(P232="DNS",0,IF(P232="DQ",0,IF(P232="DNF",1,IF(AND(ISNUMBER(P232),P232&gt;59),1,_xlfn.XLOOKUP(P232,tbl_points[Place],tbl_points[Points],""))))))</f>
        <v>0</v>
      </c>
      <c r="S232" s="3" t="str">
        <f>IF(R232="","",IF(R232="DNS",0,IF(R232="DQ",0,IF(R232="DNF",1,IF(AND(ISNUMBER(R232),R232&gt;59),1,_xlfn.XLOOKUP(R232,tbl_points[Place],tbl_points[Points],""))))))</f>
        <v/>
      </c>
      <c r="T232" s="3">
        <f>SUM(tbl_individual[[#This Row],[R1 Pts]],tbl_individual[[#This Row],[R2 Pts]],tbl_individual[[#This Row],[R3 Pts]],tbl_individual[[#This Row],[R4 Pts]],tbl_individual[[#This Row],[R5 Pts]],tbl_individual[[#This Row],[R6 Pts]])</f>
        <v>33</v>
      </c>
      <c r="U23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2" s="3">
        <f>tbl_individual[[#This Row],[Total]]</f>
        <v>33</v>
      </c>
    </row>
    <row r="233" spans="1:22" hidden="1" x14ac:dyDescent="0.4">
      <c r="A233" t="s">
        <v>270</v>
      </c>
      <c r="B233" t="s">
        <v>23</v>
      </c>
      <c r="C233" t="s">
        <v>1</v>
      </c>
      <c r="D233" s="3">
        <v>12063</v>
      </c>
      <c r="E233" s="3" t="s">
        <v>421</v>
      </c>
      <c r="G233" s="3" t="s">
        <v>403</v>
      </c>
      <c r="H233" s="3">
        <v>36</v>
      </c>
      <c r="I233" s="3">
        <f>IF(H233="","",IF(H233="DNS",0,IF(H233="DQ",0,IF(H233="DNF",1,IF(AND(ISNUMBER(H233),H233&gt;59),1,_xlfn.XLOOKUP(H233,tbl_points[Place],tbl_points[Points],""))))))</f>
        <v>24</v>
      </c>
      <c r="J233" s="3">
        <v>42</v>
      </c>
      <c r="K233" s="3">
        <f>IF(J233="","",IF(J233="DNS",0,IF(J233="DQ",0,IF(J233="DNF",1,IF(AND(ISNUMBER(J233),J233&gt;59),1,_xlfn.XLOOKUP(J233,tbl_points[Place],tbl_points[Points],""))))))</f>
        <v>18</v>
      </c>
      <c r="L233" s="3" t="s">
        <v>410</v>
      </c>
      <c r="M233" s="3">
        <f>IF(L233="","",IF(L233="DNS",0,IF(L233="DQ",0,IF(L233="DNF",1,IF(AND(ISNUMBER(L233),L233&gt;59),1,_xlfn.XLOOKUP(L233,tbl_points[Place],tbl_points[Points],""))))))</f>
        <v>0</v>
      </c>
      <c r="N233" s="3">
        <v>36</v>
      </c>
      <c r="O233" s="3">
        <f>IF(N233="","",IF(N233="DNS",0,IF(N233="DQ",0,IF(N233="DNF",1,IF(AND(ISNUMBER(N233),N233&gt;59),1,_xlfn.XLOOKUP(N233,tbl_points[Place],tbl_points[Points],""))))))</f>
        <v>24</v>
      </c>
      <c r="P233" s="3" t="s">
        <v>410</v>
      </c>
      <c r="Q233" s="3">
        <f>IF(P233="","",IF(P233="DNS",0,IF(P233="DQ",0,IF(P233="DNF",1,IF(AND(ISNUMBER(P233),P233&gt;59),1,_xlfn.XLOOKUP(P233,tbl_points[Place],tbl_points[Points],""))))))</f>
        <v>0</v>
      </c>
      <c r="S233" s="3" t="str">
        <f>IF(R233="","",IF(R233="DNS",0,IF(R233="DQ",0,IF(R233="DNF",1,IF(AND(ISNUMBER(R233),R233&gt;59),1,_xlfn.XLOOKUP(R233,tbl_points[Place],tbl_points[Points],""))))))</f>
        <v/>
      </c>
      <c r="T233" s="3">
        <f>SUM(tbl_individual[[#This Row],[R1 Pts]],tbl_individual[[#This Row],[R2 Pts]],tbl_individual[[#This Row],[R3 Pts]],tbl_individual[[#This Row],[R4 Pts]],tbl_individual[[#This Row],[R5 Pts]],tbl_individual[[#This Row],[R6 Pts]])</f>
        <v>66</v>
      </c>
      <c r="U23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3" s="3">
        <f>tbl_individual[[#This Row],[Total]]</f>
        <v>66</v>
      </c>
    </row>
    <row r="234" spans="1:22" hidden="1" x14ac:dyDescent="0.4">
      <c r="A234" t="s">
        <v>271</v>
      </c>
      <c r="B234" t="s">
        <v>23</v>
      </c>
      <c r="C234" t="s">
        <v>1</v>
      </c>
      <c r="D234" s="3">
        <v>12064</v>
      </c>
      <c r="E234" s="3" t="s">
        <v>421</v>
      </c>
      <c r="G234" s="3" t="s">
        <v>407</v>
      </c>
      <c r="H234" s="3">
        <v>24</v>
      </c>
      <c r="I234" s="3">
        <f>IF(H234="","",IF(H234="DNS",0,IF(H234="DQ",0,IF(H234="DNF",1,IF(AND(ISNUMBER(H234),H234&gt;59),1,_xlfn.XLOOKUP(H234,tbl_points[Place],tbl_points[Points],""))))))</f>
        <v>36</v>
      </c>
      <c r="J234" s="3" t="s">
        <v>410</v>
      </c>
      <c r="K234" s="3">
        <f>IF(J234="","",IF(J234="DNS",0,IF(J234="DQ",0,IF(J234="DNF",1,IF(AND(ISNUMBER(J234),J234&gt;59),1,_xlfn.XLOOKUP(J234,tbl_points[Place],tbl_points[Points],""))))))</f>
        <v>0</v>
      </c>
      <c r="L234" s="3" t="s">
        <v>410</v>
      </c>
      <c r="M234" s="3">
        <f>IF(L234="","",IF(L234="DNS",0,IF(L234="DQ",0,IF(L234="DNF",1,IF(AND(ISNUMBER(L234),L234&gt;59),1,_xlfn.XLOOKUP(L234,tbl_points[Place],tbl_points[Points],""))))))</f>
        <v>0</v>
      </c>
      <c r="N234" s="3" t="s">
        <v>409</v>
      </c>
      <c r="O234" s="3">
        <f>IF(N234="","",IF(N234="DNS",0,IF(N234="DQ",0,IF(N234="DNF",1,IF(AND(ISNUMBER(N234),N234&gt;59),1,_xlfn.XLOOKUP(N234,tbl_points[Place],tbl_points[Points],""))))))</f>
        <v>1</v>
      </c>
      <c r="P234" s="3">
        <v>43</v>
      </c>
      <c r="Q234" s="3">
        <f>IF(P234="","",IF(P234="DNS",0,IF(P234="DQ",0,IF(P234="DNF",1,IF(AND(ISNUMBER(P234),P234&gt;59),1,_xlfn.XLOOKUP(P234,tbl_points[Place],tbl_points[Points],""))))))</f>
        <v>17</v>
      </c>
      <c r="S234" s="3" t="str">
        <f>IF(R234="","",IF(R234="DNS",0,IF(R234="DQ",0,IF(R234="DNF",1,IF(AND(ISNUMBER(R234),R234&gt;59),1,_xlfn.XLOOKUP(R234,tbl_points[Place],tbl_points[Points],""))))))</f>
        <v/>
      </c>
      <c r="T234" s="3">
        <f>SUM(tbl_individual[[#This Row],[R1 Pts]],tbl_individual[[#This Row],[R2 Pts]],tbl_individual[[#This Row],[R3 Pts]],tbl_individual[[#This Row],[R4 Pts]],tbl_individual[[#This Row],[R5 Pts]],tbl_individual[[#This Row],[R6 Pts]])</f>
        <v>54</v>
      </c>
      <c r="U23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4" s="3">
        <f>tbl_individual[[#This Row],[Total]]</f>
        <v>54</v>
      </c>
    </row>
    <row r="235" spans="1:22" hidden="1" x14ac:dyDescent="0.4">
      <c r="A235" t="s">
        <v>272</v>
      </c>
      <c r="B235" t="s">
        <v>23</v>
      </c>
      <c r="C235" t="s">
        <v>1</v>
      </c>
      <c r="D235" s="3">
        <v>12065</v>
      </c>
      <c r="E235" s="3" t="s">
        <v>421</v>
      </c>
      <c r="G235" s="3" t="s">
        <v>403</v>
      </c>
      <c r="H235" s="3">
        <v>29</v>
      </c>
      <c r="I235" s="3">
        <f>IF(H235="","",IF(H235="DNS",0,IF(H235="DQ",0,IF(H235="DNF",1,IF(AND(ISNUMBER(H235),H235&gt;59),1,_xlfn.XLOOKUP(H235,tbl_points[Place],tbl_points[Points],""))))))</f>
        <v>31</v>
      </c>
      <c r="J235" s="3">
        <v>29</v>
      </c>
      <c r="K235" s="3">
        <f>IF(J235="","",IF(J235="DNS",0,IF(J235="DQ",0,IF(J235="DNF",1,IF(AND(ISNUMBER(J235),J235&gt;59),1,_xlfn.XLOOKUP(J235,tbl_points[Place],tbl_points[Points],""))))))</f>
        <v>31</v>
      </c>
      <c r="L235" s="3">
        <v>29</v>
      </c>
      <c r="M235" s="3">
        <f>IF(L235="","",IF(L235="DNS",0,IF(L235="DQ",0,IF(L235="DNF",1,IF(AND(ISNUMBER(L235),L235&gt;59),1,_xlfn.XLOOKUP(L235,tbl_points[Place],tbl_points[Points],""))))))</f>
        <v>31</v>
      </c>
      <c r="N235" s="3" t="s">
        <v>410</v>
      </c>
      <c r="O235" s="3">
        <f>IF(N235="","",IF(N235="DNS",0,IF(N235="DQ",0,IF(N235="DNF",1,IF(AND(ISNUMBER(N235),N235&gt;59),1,_xlfn.XLOOKUP(N235,tbl_points[Place],tbl_points[Points],""))))))</f>
        <v>0</v>
      </c>
      <c r="P235" s="3">
        <v>27</v>
      </c>
      <c r="Q235" s="3">
        <f>IF(P235="","",IF(P235="DNS",0,IF(P235="DQ",0,IF(P235="DNF",1,IF(AND(ISNUMBER(P235),P235&gt;59),1,_xlfn.XLOOKUP(P235,tbl_points[Place],tbl_points[Points],""))))))</f>
        <v>33</v>
      </c>
      <c r="S235" s="3" t="str">
        <f>IF(R235="","",IF(R235="DNS",0,IF(R235="DQ",0,IF(R235="DNF",1,IF(AND(ISNUMBER(R235),R235&gt;59),1,_xlfn.XLOOKUP(R235,tbl_points[Place],tbl_points[Points],""))))))</f>
        <v/>
      </c>
      <c r="T235" s="3">
        <f>SUM(tbl_individual[[#This Row],[R1 Pts]],tbl_individual[[#This Row],[R2 Pts]],tbl_individual[[#This Row],[R3 Pts]],tbl_individual[[#This Row],[R4 Pts]],tbl_individual[[#This Row],[R5 Pts]],tbl_individual[[#This Row],[R6 Pts]])</f>
        <v>126</v>
      </c>
      <c r="U23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5" s="3">
        <f>tbl_individual[[#This Row],[Total]]</f>
        <v>126</v>
      </c>
    </row>
    <row r="236" spans="1:22" hidden="1" x14ac:dyDescent="0.4">
      <c r="A236" t="s">
        <v>273</v>
      </c>
      <c r="B236" t="s">
        <v>23</v>
      </c>
      <c r="C236" t="s">
        <v>1</v>
      </c>
      <c r="D236" s="3">
        <v>12066</v>
      </c>
      <c r="E236" s="3" t="s">
        <v>421</v>
      </c>
      <c r="G236" s="3" t="s">
        <v>403</v>
      </c>
      <c r="H236" s="3" t="s">
        <v>409</v>
      </c>
      <c r="I236" s="3">
        <f>IF(H236="","",IF(H236="DNS",0,IF(H236="DQ",0,IF(H236="DNF",1,IF(AND(ISNUMBER(H236),H236&gt;59),1,_xlfn.XLOOKUP(H236,tbl_points[Place],tbl_points[Points],""))))))</f>
        <v>1</v>
      </c>
      <c r="J236" s="3">
        <v>70</v>
      </c>
      <c r="K236" s="3">
        <f>IF(J236="","",IF(J236="DNS",0,IF(J236="DQ",0,IF(J236="DNF",1,IF(AND(ISNUMBER(J236),J236&gt;59),1,_xlfn.XLOOKUP(J236,tbl_points[Place],tbl_points[Points],""))))))</f>
        <v>1</v>
      </c>
      <c r="L236" s="3" t="s">
        <v>410</v>
      </c>
      <c r="M236" s="3">
        <f>IF(L236="","",IF(L236="DNS",0,IF(L236="DQ",0,IF(L236="DNF",1,IF(AND(ISNUMBER(L236),L236&gt;59),1,_xlfn.XLOOKUP(L236,tbl_points[Place],tbl_points[Points],""))))))</f>
        <v>0</v>
      </c>
      <c r="N236" s="3">
        <v>65</v>
      </c>
      <c r="O236" s="3">
        <f>IF(N236="","",IF(N236="DNS",0,IF(N236="DQ",0,IF(N236="DNF",1,IF(AND(ISNUMBER(N236),N236&gt;59),1,_xlfn.XLOOKUP(N236,tbl_points[Place],tbl_points[Points],""))))))</f>
        <v>1</v>
      </c>
      <c r="P236" s="3" t="s">
        <v>409</v>
      </c>
      <c r="Q236" s="3">
        <f>IF(P236="","",IF(P236="DNS",0,IF(P236="DQ",0,IF(P236="DNF",1,IF(AND(ISNUMBER(P236),P236&gt;59),1,_xlfn.XLOOKUP(P236,tbl_points[Place],tbl_points[Points],""))))))</f>
        <v>1</v>
      </c>
      <c r="S236" s="3" t="str">
        <f>IF(R236="","",IF(R236="DNS",0,IF(R236="DQ",0,IF(R236="DNF",1,IF(AND(ISNUMBER(R236),R236&gt;59),1,_xlfn.XLOOKUP(R236,tbl_points[Place],tbl_points[Points],""))))))</f>
        <v/>
      </c>
      <c r="T236" s="3">
        <f>SUM(tbl_individual[[#This Row],[R1 Pts]],tbl_individual[[#This Row],[R2 Pts]],tbl_individual[[#This Row],[R3 Pts]],tbl_individual[[#This Row],[R4 Pts]],tbl_individual[[#This Row],[R5 Pts]],tbl_individual[[#This Row],[R6 Pts]])</f>
        <v>4</v>
      </c>
      <c r="U23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6" s="3">
        <f>tbl_individual[[#This Row],[Total]]</f>
        <v>4</v>
      </c>
    </row>
    <row r="237" spans="1:22" hidden="1" x14ac:dyDescent="0.4">
      <c r="A237" t="s">
        <v>274</v>
      </c>
      <c r="B237" t="s">
        <v>23</v>
      </c>
      <c r="C237" t="s">
        <v>1</v>
      </c>
      <c r="D237" s="3">
        <v>12067</v>
      </c>
      <c r="E237" s="3" t="s">
        <v>421</v>
      </c>
      <c r="G237" s="3" t="s">
        <v>403</v>
      </c>
      <c r="H237" s="3">
        <v>37</v>
      </c>
      <c r="I237" s="3">
        <f>IF(H237="","",IF(H237="DNS",0,IF(H237="DQ",0,IF(H237="DNF",1,IF(AND(ISNUMBER(H237),H237&gt;59),1,_xlfn.XLOOKUP(H237,tbl_points[Place],tbl_points[Points],""))))))</f>
        <v>23</v>
      </c>
      <c r="J237" s="3">
        <v>39</v>
      </c>
      <c r="K237" s="3">
        <f>IF(J237="","",IF(J237="DNS",0,IF(J237="DQ",0,IF(J237="DNF",1,IF(AND(ISNUMBER(J237),J237&gt;59),1,_xlfn.XLOOKUP(J237,tbl_points[Place],tbl_points[Points],""))))))</f>
        <v>21</v>
      </c>
      <c r="L237" s="3" t="s">
        <v>410</v>
      </c>
      <c r="M237" s="3">
        <f>IF(L237="","",IF(L237="DNS",0,IF(L237="DQ",0,IF(L237="DNF",1,IF(AND(ISNUMBER(L237),L237&gt;59),1,_xlfn.XLOOKUP(L237,tbl_points[Place],tbl_points[Points],""))))))</f>
        <v>0</v>
      </c>
      <c r="N237" s="3" t="s">
        <v>410</v>
      </c>
      <c r="O237" s="3">
        <f>IF(N237="","",IF(N237="DNS",0,IF(N237="DQ",0,IF(N237="DNF",1,IF(AND(ISNUMBER(N237),N237&gt;59),1,_xlfn.XLOOKUP(N237,tbl_points[Place],tbl_points[Points],""))))))</f>
        <v>0</v>
      </c>
      <c r="P237" s="3" t="s">
        <v>410</v>
      </c>
      <c r="Q237" s="3">
        <f>IF(P237="","",IF(P237="DNS",0,IF(P237="DQ",0,IF(P237="DNF",1,IF(AND(ISNUMBER(P237),P237&gt;59),1,_xlfn.XLOOKUP(P237,tbl_points[Place],tbl_points[Points],""))))))</f>
        <v>0</v>
      </c>
      <c r="S237" s="3" t="str">
        <f>IF(R237="","",IF(R237="DNS",0,IF(R237="DQ",0,IF(R237="DNF",1,IF(AND(ISNUMBER(R237),R237&gt;59),1,_xlfn.XLOOKUP(R237,tbl_points[Place],tbl_points[Points],""))))))</f>
        <v/>
      </c>
      <c r="T237" s="3">
        <f>SUM(tbl_individual[[#This Row],[R1 Pts]],tbl_individual[[#This Row],[R2 Pts]],tbl_individual[[#This Row],[R3 Pts]],tbl_individual[[#This Row],[R4 Pts]],tbl_individual[[#This Row],[R5 Pts]],tbl_individual[[#This Row],[R6 Pts]])</f>
        <v>44</v>
      </c>
      <c r="U23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7" s="3">
        <f>tbl_individual[[#This Row],[Total]]</f>
        <v>44</v>
      </c>
    </row>
    <row r="238" spans="1:22" hidden="1" x14ac:dyDescent="0.4">
      <c r="A238" t="s">
        <v>275</v>
      </c>
      <c r="B238" t="s">
        <v>23</v>
      </c>
      <c r="C238" t="s">
        <v>1</v>
      </c>
      <c r="D238" s="3">
        <v>12068</v>
      </c>
      <c r="E238" s="3" t="s">
        <v>421</v>
      </c>
      <c r="G238" s="3" t="s">
        <v>407</v>
      </c>
      <c r="H238" s="3">
        <v>13</v>
      </c>
      <c r="I238" s="3">
        <f>IF(H238="","",IF(H238="DNS",0,IF(H238="DQ",0,IF(H238="DNF",1,IF(AND(ISNUMBER(H238),H238&gt;59),1,_xlfn.XLOOKUP(H238,tbl_points[Place],tbl_points[Points],""))))))</f>
        <v>49</v>
      </c>
      <c r="J238" s="3" t="s">
        <v>410</v>
      </c>
      <c r="K238" s="3">
        <f>IF(J238="","",IF(J238="DNS",0,IF(J238="DQ",0,IF(J238="DNF",1,IF(AND(ISNUMBER(J238),J238&gt;59),1,_xlfn.XLOOKUP(J238,tbl_points[Place],tbl_points[Points],""))))))</f>
        <v>0</v>
      </c>
      <c r="L238" s="3">
        <v>20</v>
      </c>
      <c r="M238" s="3">
        <f>IF(L238="","",IF(L238="DNS",0,IF(L238="DQ",0,IF(L238="DNF",1,IF(AND(ISNUMBER(L238),L238&gt;59),1,_xlfn.XLOOKUP(L238,tbl_points[Place],tbl_points[Points],""))))))</f>
        <v>40</v>
      </c>
      <c r="N238" s="3">
        <v>46</v>
      </c>
      <c r="O238" s="3">
        <f>IF(N238="","",IF(N238="DNS",0,IF(N238="DQ",0,IF(N238="DNF",1,IF(AND(ISNUMBER(N238),N238&gt;59),1,_xlfn.XLOOKUP(N238,tbl_points[Place],tbl_points[Points],""))))))</f>
        <v>14</v>
      </c>
      <c r="P238" s="3">
        <v>40</v>
      </c>
      <c r="Q238" s="3">
        <f>IF(P238="","",IF(P238="DNS",0,IF(P238="DQ",0,IF(P238="DNF",1,IF(AND(ISNUMBER(P238),P238&gt;59),1,_xlfn.XLOOKUP(P238,tbl_points[Place],tbl_points[Points],""))))))</f>
        <v>20</v>
      </c>
      <c r="S238" s="3" t="str">
        <f>IF(R238="","",IF(R238="DNS",0,IF(R238="DQ",0,IF(R238="DNF",1,IF(AND(ISNUMBER(R238),R238&gt;59),1,_xlfn.XLOOKUP(R238,tbl_points[Place],tbl_points[Points],""))))))</f>
        <v/>
      </c>
      <c r="T238" s="3">
        <f>SUM(tbl_individual[[#This Row],[R1 Pts]],tbl_individual[[#This Row],[R2 Pts]],tbl_individual[[#This Row],[R3 Pts]],tbl_individual[[#This Row],[R4 Pts]],tbl_individual[[#This Row],[R5 Pts]],tbl_individual[[#This Row],[R6 Pts]])</f>
        <v>123</v>
      </c>
      <c r="U23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38" s="3">
        <f>tbl_individual[[#This Row],[Total]]</f>
        <v>123</v>
      </c>
    </row>
    <row r="239" spans="1:22" hidden="1" x14ac:dyDescent="0.4">
      <c r="A239" t="s">
        <v>276</v>
      </c>
      <c r="B239" t="s">
        <v>23</v>
      </c>
      <c r="C239" t="s">
        <v>1</v>
      </c>
      <c r="D239" s="3">
        <v>12069</v>
      </c>
      <c r="E239" s="3" t="s">
        <v>421</v>
      </c>
      <c r="G239" s="3" t="s">
        <v>403</v>
      </c>
      <c r="H239" s="3">
        <v>2</v>
      </c>
      <c r="I239" s="3">
        <f>IF(H239="","",IF(H239="DNS",0,IF(H239="DQ",0,IF(H239="DNF",1,IF(AND(ISNUMBER(H239),H239&gt;59),1,_xlfn.XLOOKUP(H239,tbl_points[Place],tbl_points[Points],""))))))</f>
        <v>95</v>
      </c>
      <c r="J239" s="3">
        <v>8</v>
      </c>
      <c r="K239" s="3">
        <f>IF(J239="","",IF(J239="DNS",0,IF(J239="DQ",0,IF(J239="DNF",1,IF(AND(ISNUMBER(J239),J239&gt;59),1,_xlfn.XLOOKUP(J239,tbl_points[Place],tbl_points[Points],""))))))</f>
        <v>65</v>
      </c>
      <c r="L239" s="3">
        <v>4</v>
      </c>
      <c r="M239" s="3">
        <f>IF(L239="","",IF(L239="DNS",0,IF(L239="DQ",0,IF(L239="DNF",1,IF(AND(ISNUMBER(L239),L239&gt;59),1,_xlfn.XLOOKUP(L239,tbl_points[Place],tbl_points[Points],""))))))</f>
        <v>85</v>
      </c>
      <c r="N239" s="3" t="s">
        <v>409</v>
      </c>
      <c r="O239" s="3">
        <f>IF(N239="","",IF(N239="DNS",0,IF(N239="DQ",0,IF(N239="DNF",1,IF(AND(ISNUMBER(N239),N239&gt;59),1,_xlfn.XLOOKUP(N239,tbl_points[Place],tbl_points[Points],""))))))</f>
        <v>1</v>
      </c>
      <c r="P239" s="3">
        <v>23</v>
      </c>
      <c r="Q239" s="3">
        <f>IF(P239="","",IF(P239="DNS",0,IF(P239="DQ",0,IF(P239="DNF",1,IF(AND(ISNUMBER(P239),P239&gt;59),1,_xlfn.XLOOKUP(P239,tbl_points[Place],tbl_points[Points],""))))))</f>
        <v>37</v>
      </c>
      <c r="S239" s="3" t="str">
        <f>IF(R239="","",IF(R239="DNS",0,IF(R239="DQ",0,IF(R239="DNF",1,IF(AND(ISNUMBER(R239),R239&gt;59),1,_xlfn.XLOOKUP(R239,tbl_points[Place],tbl_points[Points],""))))))</f>
        <v/>
      </c>
      <c r="T239" s="3">
        <f>SUM(tbl_individual[[#This Row],[R1 Pts]],tbl_individual[[#This Row],[R2 Pts]],tbl_individual[[#This Row],[R3 Pts]],tbl_individual[[#This Row],[R4 Pts]],tbl_individual[[#This Row],[R5 Pts]],tbl_individual[[#This Row],[R6 Pts]])</f>
        <v>283</v>
      </c>
      <c r="U239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239" s="3">
        <f>tbl_individual[[#This Row],[Total]]</f>
        <v>283</v>
      </c>
    </row>
    <row r="240" spans="1:22" hidden="1" x14ac:dyDescent="0.4">
      <c r="A240" t="s">
        <v>277</v>
      </c>
      <c r="B240" t="s">
        <v>23</v>
      </c>
      <c r="C240" t="s">
        <v>1</v>
      </c>
      <c r="D240" s="3">
        <v>12070</v>
      </c>
      <c r="E240" s="3" t="s">
        <v>421</v>
      </c>
      <c r="G240" s="3" t="s">
        <v>403</v>
      </c>
      <c r="H240" s="3">
        <v>11</v>
      </c>
      <c r="I240" s="3">
        <f>IF(H240="","",IF(H240="DNS",0,IF(H240="DQ",0,IF(H240="DNF",1,IF(AND(ISNUMBER(H240),H240&gt;59),1,_xlfn.XLOOKUP(H240,tbl_points[Place],tbl_points[Points],""))))))</f>
        <v>53</v>
      </c>
      <c r="J240" s="3">
        <v>17</v>
      </c>
      <c r="K240" s="3">
        <f>IF(J240="","",IF(J240="DNS",0,IF(J240="DQ",0,IF(J240="DNF",1,IF(AND(ISNUMBER(J240),J240&gt;59),1,_xlfn.XLOOKUP(J240,tbl_points[Place],tbl_points[Points],""))))))</f>
        <v>43</v>
      </c>
      <c r="L240" s="3">
        <v>11</v>
      </c>
      <c r="M240" s="3">
        <f>IF(L240="","",IF(L240="DNS",0,IF(L240="DQ",0,IF(L240="DNF",1,IF(AND(ISNUMBER(L240),L240&gt;59),1,_xlfn.XLOOKUP(L240,tbl_points[Place],tbl_points[Points],""))))))</f>
        <v>53</v>
      </c>
      <c r="N240" s="3">
        <v>11</v>
      </c>
      <c r="O240" s="3">
        <f>IF(N240="","",IF(N240="DNS",0,IF(N240="DQ",0,IF(N240="DNF",1,IF(AND(ISNUMBER(N240),N240&gt;59),1,_xlfn.XLOOKUP(N240,tbl_points[Place],tbl_points[Points],""))))))</f>
        <v>53</v>
      </c>
      <c r="P240" s="3">
        <v>10</v>
      </c>
      <c r="Q240" s="3">
        <f>IF(P240="","",IF(P240="DNS",0,IF(P240="DQ",0,IF(P240="DNF",1,IF(AND(ISNUMBER(P240),P240&gt;59),1,_xlfn.XLOOKUP(P240,tbl_points[Place],tbl_points[Points],""))))))</f>
        <v>55</v>
      </c>
      <c r="S240" s="3" t="str">
        <f>IF(R240="","",IF(R240="DNS",0,IF(R240="DQ",0,IF(R240="DNF",1,IF(AND(ISNUMBER(R240),R240&gt;59),1,_xlfn.XLOOKUP(R240,tbl_points[Place],tbl_points[Points],""))))))</f>
        <v/>
      </c>
      <c r="T240" s="3">
        <f>SUM(tbl_individual[[#This Row],[R1 Pts]],tbl_individual[[#This Row],[R2 Pts]],tbl_individual[[#This Row],[R3 Pts]],tbl_individual[[#This Row],[R4 Pts]],tbl_individual[[#This Row],[R5 Pts]],tbl_individual[[#This Row],[R6 Pts]])</f>
        <v>257</v>
      </c>
      <c r="U240" s="3">
        <f>MIN(tbl_individual[[#This Row],[R1 Pts]],tbl_individual[[#This Row],[R2 Pts]],tbl_individual[[#This Row],[R3 Pts]],tbl_individual[[#This Row],[R4 Pts]],tbl_individual[[#This Row],[R5 Pts]],tbl_individual[[#This Row],[R6 Pts]])</f>
        <v>43</v>
      </c>
      <c r="V240" s="3">
        <f>tbl_individual[[#This Row],[Total]]</f>
        <v>257</v>
      </c>
    </row>
    <row r="241" spans="1:22" hidden="1" x14ac:dyDescent="0.4">
      <c r="A241" t="s">
        <v>278</v>
      </c>
      <c r="B241" t="s">
        <v>23</v>
      </c>
      <c r="C241" t="s">
        <v>1</v>
      </c>
      <c r="D241" s="3">
        <v>12071</v>
      </c>
      <c r="E241" s="3" t="s">
        <v>421</v>
      </c>
      <c r="G241" s="3" t="s">
        <v>403</v>
      </c>
      <c r="H241" s="3" t="s">
        <v>410</v>
      </c>
      <c r="I241" s="3">
        <f>IF(H241="","",IF(H241="DNS",0,IF(H241="DQ",0,IF(H241="DNF",1,IF(AND(ISNUMBER(H241),H241&gt;59),1,_xlfn.XLOOKUP(H241,tbl_points[Place],tbl_points[Points],""))))))</f>
        <v>0</v>
      </c>
      <c r="J241" s="3">
        <v>33</v>
      </c>
      <c r="K241" s="3">
        <f>IF(J241="","",IF(J241="DNS",0,IF(J241="DQ",0,IF(J241="DNF",1,IF(AND(ISNUMBER(J241),J241&gt;59),1,_xlfn.XLOOKUP(J241,tbl_points[Place],tbl_points[Points],""))))))</f>
        <v>27</v>
      </c>
      <c r="L241" s="3" t="s">
        <v>410</v>
      </c>
      <c r="M241" s="3">
        <f>IF(L241="","",IF(L241="DNS",0,IF(L241="DQ",0,IF(L241="DNF",1,IF(AND(ISNUMBER(L241),L241&gt;59),1,_xlfn.XLOOKUP(L241,tbl_points[Place],tbl_points[Points],""))))))</f>
        <v>0</v>
      </c>
      <c r="N241" s="3" t="s">
        <v>410</v>
      </c>
      <c r="O241" s="3">
        <f>IF(N241="","",IF(N241="DNS",0,IF(N241="DQ",0,IF(N241="DNF",1,IF(AND(ISNUMBER(N241),N241&gt;59),1,_xlfn.XLOOKUP(N241,tbl_points[Place],tbl_points[Points],""))))))</f>
        <v>0</v>
      </c>
      <c r="P241" s="3" t="s">
        <v>410</v>
      </c>
      <c r="Q241" s="3">
        <f>IF(P241="","",IF(P241="DNS",0,IF(P241="DQ",0,IF(P241="DNF",1,IF(AND(ISNUMBER(P241),P241&gt;59),1,_xlfn.XLOOKUP(P241,tbl_points[Place],tbl_points[Points],""))))))</f>
        <v>0</v>
      </c>
      <c r="S241" s="3" t="str">
        <f>IF(R241="","",IF(R241="DNS",0,IF(R241="DQ",0,IF(R241="DNF",1,IF(AND(ISNUMBER(R241),R241&gt;59),1,_xlfn.XLOOKUP(R241,tbl_points[Place],tbl_points[Points],""))))))</f>
        <v/>
      </c>
      <c r="T241" s="3">
        <f>SUM(tbl_individual[[#This Row],[R1 Pts]],tbl_individual[[#This Row],[R2 Pts]],tbl_individual[[#This Row],[R3 Pts]],tbl_individual[[#This Row],[R4 Pts]],tbl_individual[[#This Row],[R5 Pts]],tbl_individual[[#This Row],[R6 Pts]])</f>
        <v>27</v>
      </c>
      <c r="U24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41" s="3">
        <f>tbl_individual[[#This Row],[Total]]</f>
        <v>27</v>
      </c>
    </row>
    <row r="242" spans="1:22" hidden="1" x14ac:dyDescent="0.4">
      <c r="A242" t="s">
        <v>264</v>
      </c>
      <c r="B242" t="s">
        <v>23</v>
      </c>
      <c r="C242" t="s">
        <v>2</v>
      </c>
      <c r="D242" s="3">
        <v>1239</v>
      </c>
      <c r="E242" s="3" t="s">
        <v>421</v>
      </c>
      <c r="G242" s="3" t="s">
        <v>407</v>
      </c>
      <c r="H242" s="3" t="s">
        <v>410</v>
      </c>
      <c r="I242" s="3">
        <f>IF(H242="","",IF(H242="DNS",0,IF(H242="DQ",0,IF(H242="DNF",1,IF(AND(ISNUMBER(H242),H242&gt;59),1,_xlfn.XLOOKUP(H242,tbl_points[Place],tbl_points[Points],""))))))</f>
        <v>0</v>
      </c>
      <c r="J242" s="3" t="s">
        <v>410</v>
      </c>
      <c r="K242" s="3">
        <f>IF(J242="","",IF(J242="DNS",0,IF(J242="DQ",0,IF(J242="DNF",1,IF(AND(ISNUMBER(J242),J242&gt;59),1,_xlfn.XLOOKUP(J242,tbl_points[Place],tbl_points[Points],""))))))</f>
        <v>0</v>
      </c>
      <c r="L242" s="3" t="s">
        <v>410</v>
      </c>
      <c r="M242" s="3">
        <f>IF(L242="","",IF(L242="DNS",0,IF(L242="DQ",0,IF(L242="DNF",1,IF(AND(ISNUMBER(L242),L242&gt;59),1,_xlfn.XLOOKUP(L242,tbl_points[Place],tbl_points[Points],""))))))</f>
        <v>0</v>
      </c>
      <c r="N242" s="3" t="s">
        <v>410</v>
      </c>
      <c r="O242" s="3">
        <f>IF(N242="","",IF(N242="DNS",0,IF(N242="DQ",0,IF(N242="DNF",1,IF(AND(ISNUMBER(N242),N242&gt;59),1,_xlfn.XLOOKUP(N242,tbl_points[Place],tbl_points[Points],""))))))</f>
        <v>0</v>
      </c>
      <c r="P242" s="3" t="s">
        <v>410</v>
      </c>
      <c r="Q242" s="3">
        <f>IF(P242="","",IF(P242="DNS",0,IF(P242="DQ",0,IF(P242="DNF",1,IF(AND(ISNUMBER(P242),P242&gt;59),1,_xlfn.XLOOKUP(P242,tbl_points[Place],tbl_points[Points],""))))))</f>
        <v>0</v>
      </c>
      <c r="S242" s="3" t="str">
        <f>IF(R242="","",IF(R242="DNS",0,IF(R242="DQ",0,IF(R242="DNF",1,IF(AND(ISNUMBER(R242),R242&gt;59),1,_xlfn.XLOOKUP(R242,tbl_points[Place],tbl_points[Points],""))))))</f>
        <v/>
      </c>
      <c r="T242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4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42" s="3">
        <f>tbl_individual[[#This Row],[Total]]</f>
        <v>0</v>
      </c>
    </row>
    <row r="243" spans="1:22" hidden="1" x14ac:dyDescent="0.4">
      <c r="A243" t="s">
        <v>265</v>
      </c>
      <c r="B243" t="s">
        <v>23</v>
      </c>
      <c r="C243" t="s">
        <v>2</v>
      </c>
      <c r="D243" s="3">
        <v>1240</v>
      </c>
      <c r="E243" s="3" t="s">
        <v>421</v>
      </c>
      <c r="G243" s="3" t="s">
        <v>407</v>
      </c>
      <c r="H243" s="3">
        <v>10</v>
      </c>
      <c r="I243" s="3">
        <f>IF(H243="","",IF(H243="DNS",0,IF(H243="DQ",0,IF(H243="DNF",1,IF(AND(ISNUMBER(H243),H243&gt;59),1,_xlfn.XLOOKUP(H243,tbl_points[Place],tbl_points[Points],""))))))</f>
        <v>55</v>
      </c>
      <c r="J243" s="3">
        <v>7</v>
      </c>
      <c r="K243" s="3">
        <f>IF(J243="","",IF(J243="DNS",0,IF(J243="DQ",0,IF(J243="DNF",1,IF(AND(ISNUMBER(J243),J243&gt;59),1,_xlfn.XLOOKUP(J243,tbl_points[Place],tbl_points[Points],""))))))</f>
        <v>70</v>
      </c>
      <c r="L243" s="3">
        <v>6</v>
      </c>
      <c r="M243" s="3">
        <f>IF(L243="","",IF(L243="DNS",0,IF(L243="DQ",0,IF(L243="DNF",1,IF(AND(ISNUMBER(L243),L243&gt;59),1,_xlfn.XLOOKUP(L243,tbl_points[Place],tbl_points[Points],""))))))</f>
        <v>75</v>
      </c>
      <c r="N243" s="3">
        <v>8</v>
      </c>
      <c r="O243" s="3">
        <f>IF(N243="","",IF(N243="DNS",0,IF(N243="DQ",0,IF(N243="DNF",1,IF(AND(ISNUMBER(N243),N243&gt;59),1,_xlfn.XLOOKUP(N243,tbl_points[Place],tbl_points[Points],""))))))</f>
        <v>65</v>
      </c>
      <c r="P243" s="3">
        <v>7</v>
      </c>
      <c r="Q243" s="3">
        <f>IF(P243="","",IF(P243="DNS",0,IF(P243="DQ",0,IF(P243="DNF",1,IF(AND(ISNUMBER(P243),P243&gt;59),1,_xlfn.XLOOKUP(P243,tbl_points[Place],tbl_points[Points],""))))))</f>
        <v>70</v>
      </c>
      <c r="S243" s="3" t="str">
        <f>IF(R243="","",IF(R243="DNS",0,IF(R243="DQ",0,IF(R243="DNF",1,IF(AND(ISNUMBER(R243),R243&gt;59),1,_xlfn.XLOOKUP(R243,tbl_points[Place],tbl_points[Points],""))))))</f>
        <v/>
      </c>
      <c r="T243" s="3">
        <f>SUM(tbl_individual[[#This Row],[R1 Pts]],tbl_individual[[#This Row],[R2 Pts]],tbl_individual[[#This Row],[R3 Pts]],tbl_individual[[#This Row],[R4 Pts]],tbl_individual[[#This Row],[R5 Pts]],tbl_individual[[#This Row],[R6 Pts]])</f>
        <v>335</v>
      </c>
      <c r="U243" s="3">
        <f>MIN(tbl_individual[[#This Row],[R1 Pts]],tbl_individual[[#This Row],[R2 Pts]],tbl_individual[[#This Row],[R3 Pts]],tbl_individual[[#This Row],[R4 Pts]],tbl_individual[[#This Row],[R5 Pts]],tbl_individual[[#This Row],[R6 Pts]])</f>
        <v>55</v>
      </c>
      <c r="V243" s="3">
        <f>tbl_individual[[#This Row],[Total]]</f>
        <v>335</v>
      </c>
    </row>
    <row r="244" spans="1:22" hidden="1" x14ac:dyDescent="0.4">
      <c r="A244" t="s">
        <v>266</v>
      </c>
      <c r="B244" t="s">
        <v>23</v>
      </c>
      <c r="C244" t="s">
        <v>2</v>
      </c>
      <c r="D244" s="3">
        <v>1241</v>
      </c>
      <c r="E244" s="3" t="s">
        <v>421</v>
      </c>
      <c r="G244" s="3" t="s">
        <v>407</v>
      </c>
      <c r="H244" s="3">
        <v>8</v>
      </c>
      <c r="I244" s="3">
        <f>IF(H244="","",IF(H244="DNS",0,IF(H244="DQ",0,IF(H244="DNF",1,IF(AND(ISNUMBER(H244),H244&gt;59),1,_xlfn.XLOOKUP(H244,tbl_points[Place],tbl_points[Points],""))))))</f>
        <v>65</v>
      </c>
      <c r="J244" s="3">
        <v>10</v>
      </c>
      <c r="K244" s="3">
        <f>IF(J244="","",IF(J244="DNS",0,IF(J244="DQ",0,IF(J244="DNF",1,IF(AND(ISNUMBER(J244),J244&gt;59),1,_xlfn.XLOOKUP(J244,tbl_points[Place],tbl_points[Points],""))))))</f>
        <v>55</v>
      </c>
      <c r="L244" s="3">
        <v>7</v>
      </c>
      <c r="M244" s="3">
        <f>IF(L244="","",IF(L244="DNS",0,IF(L244="DQ",0,IF(L244="DNF",1,IF(AND(ISNUMBER(L244),L244&gt;59),1,_xlfn.XLOOKUP(L244,tbl_points[Place],tbl_points[Points],""))))))</f>
        <v>70</v>
      </c>
      <c r="N244" s="3">
        <v>7</v>
      </c>
      <c r="O244" s="3">
        <f>IF(N244="","",IF(N244="DNS",0,IF(N244="DQ",0,IF(N244="DNF",1,IF(AND(ISNUMBER(N244),N244&gt;59),1,_xlfn.XLOOKUP(N244,tbl_points[Place],tbl_points[Points],""))))))</f>
        <v>70</v>
      </c>
      <c r="P244" s="3">
        <v>8</v>
      </c>
      <c r="Q244" s="3">
        <f>IF(P244="","",IF(P244="DNS",0,IF(P244="DQ",0,IF(P244="DNF",1,IF(AND(ISNUMBER(P244),P244&gt;59),1,_xlfn.XLOOKUP(P244,tbl_points[Place],tbl_points[Points],""))))))</f>
        <v>65</v>
      </c>
      <c r="S244" s="3" t="str">
        <f>IF(R244="","",IF(R244="DNS",0,IF(R244="DQ",0,IF(R244="DNF",1,IF(AND(ISNUMBER(R244),R244&gt;59),1,_xlfn.XLOOKUP(R244,tbl_points[Place],tbl_points[Points],""))))))</f>
        <v/>
      </c>
      <c r="T244" s="3">
        <f>SUM(tbl_individual[[#This Row],[R1 Pts]],tbl_individual[[#This Row],[R2 Pts]],tbl_individual[[#This Row],[R3 Pts]],tbl_individual[[#This Row],[R4 Pts]],tbl_individual[[#This Row],[R5 Pts]],tbl_individual[[#This Row],[R6 Pts]])</f>
        <v>325</v>
      </c>
      <c r="U244" s="3">
        <f>MIN(tbl_individual[[#This Row],[R1 Pts]],tbl_individual[[#This Row],[R2 Pts]],tbl_individual[[#This Row],[R3 Pts]],tbl_individual[[#This Row],[R4 Pts]],tbl_individual[[#This Row],[R5 Pts]],tbl_individual[[#This Row],[R6 Pts]])</f>
        <v>55</v>
      </c>
      <c r="V244" s="3">
        <f>tbl_individual[[#This Row],[Total]]</f>
        <v>325</v>
      </c>
    </row>
    <row r="245" spans="1:22" hidden="1" x14ac:dyDescent="0.4">
      <c r="A245" t="s">
        <v>267</v>
      </c>
      <c r="B245" t="s">
        <v>23</v>
      </c>
      <c r="C245" t="s">
        <v>2</v>
      </c>
      <c r="D245" s="3">
        <v>1242</v>
      </c>
      <c r="E245" s="3" t="s">
        <v>421</v>
      </c>
      <c r="G245" s="3" t="s">
        <v>407</v>
      </c>
      <c r="H245" s="3">
        <v>9</v>
      </c>
      <c r="I245" s="3">
        <f>IF(H245="","",IF(H245="DNS",0,IF(H245="DQ",0,IF(H245="DNF",1,IF(AND(ISNUMBER(H245),H245&gt;59),1,_xlfn.XLOOKUP(H245,tbl_points[Place],tbl_points[Points],""))))))</f>
        <v>60</v>
      </c>
      <c r="J245" s="3">
        <v>3</v>
      </c>
      <c r="K245" s="3">
        <f>IF(J245="","",IF(J245="DNS",0,IF(J245="DQ",0,IF(J245="DNF",1,IF(AND(ISNUMBER(J245),J245&gt;59),1,_xlfn.XLOOKUP(J245,tbl_points[Place],tbl_points[Points],""))))))</f>
        <v>90</v>
      </c>
      <c r="L245" s="3" t="s">
        <v>410</v>
      </c>
      <c r="M245" s="3">
        <f>IF(L245="","",IF(L245="DNS",0,IF(L245="DQ",0,IF(L245="DNF",1,IF(AND(ISNUMBER(L245),L245&gt;59),1,_xlfn.XLOOKUP(L245,tbl_points[Place],tbl_points[Points],""))))))</f>
        <v>0</v>
      </c>
      <c r="N245" s="3" t="s">
        <v>410</v>
      </c>
      <c r="O245" s="3">
        <f>IF(N245="","",IF(N245="DNS",0,IF(N245="DQ",0,IF(N245="DNF",1,IF(AND(ISNUMBER(N245),N245&gt;59),1,_xlfn.XLOOKUP(N245,tbl_points[Place],tbl_points[Points],""))))))</f>
        <v>0</v>
      </c>
      <c r="P245" s="3">
        <v>6</v>
      </c>
      <c r="Q245" s="3">
        <f>IF(P245="","",IF(P245="DNS",0,IF(P245="DQ",0,IF(P245="DNF",1,IF(AND(ISNUMBER(P245),P245&gt;59),1,_xlfn.XLOOKUP(P245,tbl_points[Place],tbl_points[Points],""))))))</f>
        <v>75</v>
      </c>
      <c r="S245" s="3" t="str">
        <f>IF(R245="","",IF(R245="DNS",0,IF(R245="DQ",0,IF(R245="DNF",1,IF(AND(ISNUMBER(R245),R245&gt;59),1,_xlfn.XLOOKUP(R245,tbl_points[Place],tbl_points[Points],""))))))</f>
        <v/>
      </c>
      <c r="T245" s="3">
        <f>SUM(tbl_individual[[#This Row],[R1 Pts]],tbl_individual[[#This Row],[R2 Pts]],tbl_individual[[#This Row],[R3 Pts]],tbl_individual[[#This Row],[R4 Pts]],tbl_individual[[#This Row],[R5 Pts]],tbl_individual[[#This Row],[R6 Pts]])</f>
        <v>225</v>
      </c>
      <c r="U24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45" s="3">
        <f>tbl_individual[[#This Row],[Total]]</f>
        <v>225</v>
      </c>
    </row>
    <row r="246" spans="1:22" hidden="1" x14ac:dyDescent="0.4">
      <c r="A246" t="s">
        <v>279</v>
      </c>
      <c r="B246" t="s">
        <v>24</v>
      </c>
      <c r="C246" t="s">
        <v>7</v>
      </c>
      <c r="D246" s="3">
        <v>818</v>
      </c>
      <c r="E246" s="3" t="s">
        <v>421</v>
      </c>
      <c r="G246" s="3" t="s">
        <v>407</v>
      </c>
      <c r="H246" s="3">
        <v>30</v>
      </c>
      <c r="I246" s="3">
        <f>IF(H246="","",IF(H246="DNS",0,IF(H246="DQ",0,IF(H246="DNF",1,IF(AND(ISNUMBER(H246),H246&gt;59),1,_xlfn.XLOOKUP(H246,tbl_points[Place],tbl_points[Points],""))))))</f>
        <v>30</v>
      </c>
      <c r="J246" s="3" t="s">
        <v>410</v>
      </c>
      <c r="K246" s="3">
        <f>IF(J246="","",IF(J246="DNS",0,IF(J246="DQ",0,IF(J246="DNF",1,IF(AND(ISNUMBER(J246),J246&gt;59),1,_xlfn.XLOOKUP(J246,tbl_points[Place],tbl_points[Points],""))))))</f>
        <v>0</v>
      </c>
      <c r="L246" s="3">
        <v>30</v>
      </c>
      <c r="M246" s="3">
        <f>IF(L246="","",IF(L246="DNS",0,IF(L246="DQ",0,IF(L246="DNF",1,IF(AND(ISNUMBER(L246),L246&gt;59),1,_xlfn.XLOOKUP(L246,tbl_points[Place],tbl_points[Points],""))))))</f>
        <v>30</v>
      </c>
      <c r="N246" s="3">
        <v>36</v>
      </c>
      <c r="O246" s="3">
        <f>IF(N246="","",IF(N246="DNS",0,IF(N246="DQ",0,IF(N246="DNF",1,IF(AND(ISNUMBER(N246),N246&gt;59),1,_xlfn.XLOOKUP(N246,tbl_points[Place],tbl_points[Points],""))))))</f>
        <v>24</v>
      </c>
      <c r="P246" s="3">
        <v>43</v>
      </c>
      <c r="Q246" s="3">
        <f>IF(P246="","",IF(P246="DNS",0,IF(P246="DQ",0,IF(P246="DNF",1,IF(AND(ISNUMBER(P246),P246&gt;59),1,_xlfn.XLOOKUP(P246,tbl_points[Place],tbl_points[Points],""))))))</f>
        <v>17</v>
      </c>
      <c r="S246" s="3" t="str">
        <f>IF(R246="","",IF(R246="DNS",0,IF(R246="DQ",0,IF(R246="DNF",1,IF(AND(ISNUMBER(R246),R246&gt;59),1,_xlfn.XLOOKUP(R246,tbl_points[Place],tbl_points[Points],""))))))</f>
        <v/>
      </c>
      <c r="T246" s="3">
        <f>SUM(tbl_individual[[#This Row],[R1 Pts]],tbl_individual[[#This Row],[R2 Pts]],tbl_individual[[#This Row],[R3 Pts]],tbl_individual[[#This Row],[R4 Pts]],tbl_individual[[#This Row],[R5 Pts]],tbl_individual[[#This Row],[R6 Pts]])</f>
        <v>101</v>
      </c>
      <c r="U24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46" s="3">
        <f>tbl_individual[[#This Row],[Total]]</f>
        <v>101</v>
      </c>
    </row>
    <row r="247" spans="1:22" hidden="1" x14ac:dyDescent="0.4">
      <c r="A247" t="s">
        <v>280</v>
      </c>
      <c r="B247" t="s">
        <v>24</v>
      </c>
      <c r="C247" t="s">
        <v>7</v>
      </c>
      <c r="D247" s="3">
        <v>819</v>
      </c>
      <c r="E247" s="3" t="s">
        <v>421</v>
      </c>
      <c r="G247" s="3" t="s">
        <v>403</v>
      </c>
      <c r="H247" s="3">
        <v>28</v>
      </c>
      <c r="I247" s="3">
        <f>IF(H247="","",IF(H247="DNS",0,IF(H247="DQ",0,IF(H247="DNF",1,IF(AND(ISNUMBER(H247),H247&gt;59),1,_xlfn.XLOOKUP(H247,tbl_points[Place],tbl_points[Points],""))))))</f>
        <v>32</v>
      </c>
      <c r="J247" s="3">
        <v>15</v>
      </c>
      <c r="K247" s="3">
        <f>IF(J247="","",IF(J247="DNS",0,IF(J247="DQ",0,IF(J247="DNF",1,IF(AND(ISNUMBER(J247),J247&gt;59),1,_xlfn.XLOOKUP(J247,tbl_points[Place],tbl_points[Points],""))))))</f>
        <v>45</v>
      </c>
      <c r="L247" s="3">
        <v>20</v>
      </c>
      <c r="M247" s="3">
        <f>IF(L247="","",IF(L247="DNS",0,IF(L247="DQ",0,IF(L247="DNF",1,IF(AND(ISNUMBER(L247),L247&gt;59),1,_xlfn.XLOOKUP(L247,tbl_points[Place],tbl_points[Points],""))))))</f>
        <v>40</v>
      </c>
      <c r="N247" s="3">
        <v>15</v>
      </c>
      <c r="O247" s="3">
        <f>IF(N247="","",IF(N247="DNS",0,IF(N247="DQ",0,IF(N247="DNF",1,IF(AND(ISNUMBER(N247),N247&gt;59),1,_xlfn.XLOOKUP(N247,tbl_points[Place],tbl_points[Points],""))))))</f>
        <v>45</v>
      </c>
      <c r="P247" s="3">
        <v>21</v>
      </c>
      <c r="Q247" s="3">
        <f>IF(P247="","",IF(P247="DNS",0,IF(P247="DQ",0,IF(P247="DNF",1,IF(AND(ISNUMBER(P247),P247&gt;59),1,_xlfn.XLOOKUP(P247,tbl_points[Place],tbl_points[Points],""))))))</f>
        <v>39</v>
      </c>
      <c r="S247" s="3" t="str">
        <f>IF(R247="","",IF(R247="DNS",0,IF(R247="DQ",0,IF(R247="DNF",1,IF(AND(ISNUMBER(R247),R247&gt;59),1,_xlfn.XLOOKUP(R247,tbl_points[Place],tbl_points[Points],""))))))</f>
        <v/>
      </c>
      <c r="T247" s="3">
        <f>SUM(tbl_individual[[#This Row],[R1 Pts]],tbl_individual[[#This Row],[R2 Pts]],tbl_individual[[#This Row],[R3 Pts]],tbl_individual[[#This Row],[R4 Pts]],tbl_individual[[#This Row],[R5 Pts]],tbl_individual[[#This Row],[R6 Pts]])</f>
        <v>201</v>
      </c>
      <c r="U247" s="3">
        <f>MIN(tbl_individual[[#This Row],[R1 Pts]],tbl_individual[[#This Row],[R2 Pts]],tbl_individual[[#This Row],[R3 Pts]],tbl_individual[[#This Row],[R4 Pts]],tbl_individual[[#This Row],[R5 Pts]],tbl_individual[[#This Row],[R6 Pts]])</f>
        <v>32</v>
      </c>
      <c r="V247" s="3">
        <f>tbl_individual[[#This Row],[Total]]</f>
        <v>201</v>
      </c>
    </row>
    <row r="248" spans="1:22" hidden="1" x14ac:dyDescent="0.4">
      <c r="A248" t="s">
        <v>281</v>
      </c>
      <c r="B248" t="s">
        <v>24</v>
      </c>
      <c r="C248" t="s">
        <v>3</v>
      </c>
      <c r="D248" s="3">
        <v>10187</v>
      </c>
      <c r="E248" s="3" t="s">
        <v>421</v>
      </c>
      <c r="G248" s="3" t="s">
        <v>403</v>
      </c>
      <c r="H248" s="3">
        <v>36</v>
      </c>
      <c r="I248" s="3">
        <f>IF(H248="","",IF(H248="DNS",0,IF(H248="DQ",0,IF(H248="DNF",1,IF(AND(ISNUMBER(H248),H248&gt;59),1,_xlfn.XLOOKUP(H248,tbl_points[Place],tbl_points[Points],""))))))</f>
        <v>24</v>
      </c>
      <c r="J248" s="3">
        <v>44</v>
      </c>
      <c r="K248" s="3">
        <f>IF(J248="","",IF(J248="DNS",0,IF(J248="DQ",0,IF(J248="DNF",1,IF(AND(ISNUMBER(J248),J248&gt;59),1,_xlfn.XLOOKUP(J248,tbl_points[Place],tbl_points[Points],""))))))</f>
        <v>16</v>
      </c>
      <c r="L248" s="3">
        <v>35</v>
      </c>
      <c r="M248" s="3">
        <f>IF(L248="","",IF(L248="DNS",0,IF(L248="DQ",0,IF(L248="DNF",1,IF(AND(ISNUMBER(L248),L248&gt;59),1,_xlfn.XLOOKUP(L248,tbl_points[Place],tbl_points[Points],""))))))</f>
        <v>25</v>
      </c>
      <c r="N248" s="3">
        <v>47</v>
      </c>
      <c r="O248" s="3">
        <f>IF(N248="","",IF(N248="DNS",0,IF(N248="DQ",0,IF(N248="DNF",1,IF(AND(ISNUMBER(N248),N248&gt;59),1,_xlfn.XLOOKUP(N248,tbl_points[Place],tbl_points[Points],""))))))</f>
        <v>13</v>
      </c>
      <c r="P248" s="3">
        <v>34</v>
      </c>
      <c r="Q248" s="3">
        <f>IF(P248="","",IF(P248="DNS",0,IF(P248="DQ",0,IF(P248="DNF",1,IF(AND(ISNUMBER(P248),P248&gt;59),1,_xlfn.XLOOKUP(P248,tbl_points[Place],tbl_points[Points],""))))))</f>
        <v>26</v>
      </c>
      <c r="S248" s="3" t="str">
        <f>IF(R248="","",IF(R248="DNS",0,IF(R248="DQ",0,IF(R248="DNF",1,IF(AND(ISNUMBER(R248),R248&gt;59),1,_xlfn.XLOOKUP(R248,tbl_points[Place],tbl_points[Points],""))))))</f>
        <v/>
      </c>
      <c r="T248" s="3">
        <f>SUM(tbl_individual[[#This Row],[R1 Pts]],tbl_individual[[#This Row],[R2 Pts]],tbl_individual[[#This Row],[R3 Pts]],tbl_individual[[#This Row],[R4 Pts]],tbl_individual[[#This Row],[R5 Pts]],tbl_individual[[#This Row],[R6 Pts]])</f>
        <v>104</v>
      </c>
      <c r="U248" s="3">
        <f>MIN(tbl_individual[[#This Row],[R1 Pts]],tbl_individual[[#This Row],[R2 Pts]],tbl_individual[[#This Row],[R3 Pts]],tbl_individual[[#This Row],[R4 Pts]],tbl_individual[[#This Row],[R5 Pts]],tbl_individual[[#This Row],[R6 Pts]])</f>
        <v>13</v>
      </c>
      <c r="V248" s="3">
        <f>tbl_individual[[#This Row],[Total]]</f>
        <v>104</v>
      </c>
    </row>
    <row r="249" spans="1:22" hidden="1" x14ac:dyDescent="0.4">
      <c r="A249" t="s">
        <v>282</v>
      </c>
      <c r="B249" t="s">
        <v>24</v>
      </c>
      <c r="C249" t="s">
        <v>1</v>
      </c>
      <c r="D249" s="3">
        <v>12072</v>
      </c>
      <c r="E249" s="3" t="s">
        <v>421</v>
      </c>
      <c r="G249" s="3" t="s">
        <v>407</v>
      </c>
      <c r="H249" s="3" t="s">
        <v>410</v>
      </c>
      <c r="I249" s="3">
        <f>IF(H249="","",IF(H249="DNS",0,IF(H249="DQ",0,IF(H249="DNF",1,IF(AND(ISNUMBER(H249),H249&gt;59),1,_xlfn.XLOOKUP(H249,tbl_points[Place],tbl_points[Points],""))))))</f>
        <v>0</v>
      </c>
      <c r="J249" s="3" t="s">
        <v>410</v>
      </c>
      <c r="K249" s="3">
        <f>IF(J249="","",IF(J249="DNS",0,IF(J249="DQ",0,IF(J249="DNF",1,IF(AND(ISNUMBER(J249),J249&gt;59),1,_xlfn.XLOOKUP(J249,tbl_points[Place],tbl_points[Points],""))))))</f>
        <v>0</v>
      </c>
      <c r="L249" s="3" t="s">
        <v>410</v>
      </c>
      <c r="M249" s="3">
        <f>IF(L249="","",IF(L249="DNS",0,IF(L249="DQ",0,IF(L249="DNF",1,IF(AND(ISNUMBER(L249),L249&gt;59),1,_xlfn.XLOOKUP(L249,tbl_points[Place],tbl_points[Points],""))))))</f>
        <v>0</v>
      </c>
      <c r="N249" s="3" t="s">
        <v>410</v>
      </c>
      <c r="O249" s="3">
        <f>IF(N249="","",IF(N249="DNS",0,IF(N249="DQ",0,IF(N249="DNF",1,IF(AND(ISNUMBER(N249),N249&gt;59),1,_xlfn.XLOOKUP(N249,tbl_points[Place],tbl_points[Points],""))))))</f>
        <v>0</v>
      </c>
      <c r="P249" s="3" t="s">
        <v>410</v>
      </c>
      <c r="Q249" s="3">
        <f>IF(P249="","",IF(P249="DNS",0,IF(P249="DQ",0,IF(P249="DNF",1,IF(AND(ISNUMBER(P249),P249&gt;59),1,_xlfn.XLOOKUP(P249,tbl_points[Place],tbl_points[Points],""))))))</f>
        <v>0</v>
      </c>
      <c r="S249" s="3" t="str">
        <f>IF(R249="","",IF(R249="DNS",0,IF(R249="DQ",0,IF(R249="DNF",1,IF(AND(ISNUMBER(R249),R249&gt;59),1,_xlfn.XLOOKUP(R249,tbl_points[Place],tbl_points[Points],""))))))</f>
        <v/>
      </c>
      <c r="T249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4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49" s="3">
        <f>tbl_individual[[#This Row],[Total]]</f>
        <v>0</v>
      </c>
    </row>
    <row r="250" spans="1:22" hidden="1" x14ac:dyDescent="0.4">
      <c r="A250" t="s">
        <v>283</v>
      </c>
      <c r="B250" t="s">
        <v>24</v>
      </c>
      <c r="C250" t="s">
        <v>1</v>
      </c>
      <c r="D250" s="3">
        <v>12073</v>
      </c>
      <c r="E250" s="3" t="s">
        <v>421</v>
      </c>
      <c r="G250" s="3" t="s">
        <v>403</v>
      </c>
      <c r="H250" s="3" t="s">
        <v>410</v>
      </c>
      <c r="I250" s="3">
        <f>IF(H250="","",IF(H250="DNS",0,IF(H250="DQ",0,IF(H250="DNF",1,IF(AND(ISNUMBER(H250),H250&gt;59),1,_xlfn.XLOOKUP(H250,tbl_points[Place],tbl_points[Points],""))))))</f>
        <v>0</v>
      </c>
      <c r="J250" s="3">
        <v>30</v>
      </c>
      <c r="K250" s="3">
        <f>IF(J250="","",IF(J250="DNS",0,IF(J250="DQ",0,IF(J250="DNF",1,IF(AND(ISNUMBER(J250),J250&gt;59),1,_xlfn.XLOOKUP(J250,tbl_points[Place],tbl_points[Points],""))))))</f>
        <v>30</v>
      </c>
      <c r="L250" s="3" t="s">
        <v>410</v>
      </c>
      <c r="M250" s="3">
        <f>IF(L250="","",IF(L250="DNS",0,IF(L250="DQ",0,IF(L250="DNF",1,IF(AND(ISNUMBER(L250),L250&gt;59),1,_xlfn.XLOOKUP(L250,tbl_points[Place],tbl_points[Points],""))))))</f>
        <v>0</v>
      </c>
      <c r="N250" s="3" t="s">
        <v>410</v>
      </c>
      <c r="O250" s="3">
        <f>IF(N250="","",IF(N250="DNS",0,IF(N250="DQ",0,IF(N250="DNF",1,IF(AND(ISNUMBER(N250),N250&gt;59),1,_xlfn.XLOOKUP(N250,tbl_points[Place],tbl_points[Points],""))))))</f>
        <v>0</v>
      </c>
      <c r="P250" s="3">
        <v>49</v>
      </c>
      <c r="Q250" s="3">
        <f>IF(P250="","",IF(P250="DNS",0,IF(P250="DQ",0,IF(P250="DNF",1,IF(AND(ISNUMBER(P250),P250&gt;59),1,_xlfn.XLOOKUP(P250,tbl_points[Place],tbl_points[Points],""))))))</f>
        <v>11</v>
      </c>
      <c r="S250" s="3" t="str">
        <f>IF(R250="","",IF(R250="DNS",0,IF(R250="DQ",0,IF(R250="DNF",1,IF(AND(ISNUMBER(R250),R250&gt;59),1,_xlfn.XLOOKUP(R250,tbl_points[Place],tbl_points[Points],""))))))</f>
        <v/>
      </c>
      <c r="T250" s="3">
        <f>SUM(tbl_individual[[#This Row],[R1 Pts]],tbl_individual[[#This Row],[R2 Pts]],tbl_individual[[#This Row],[R3 Pts]],tbl_individual[[#This Row],[R4 Pts]],tbl_individual[[#This Row],[R5 Pts]],tbl_individual[[#This Row],[R6 Pts]])</f>
        <v>41</v>
      </c>
      <c r="U25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0" s="3">
        <f>tbl_individual[[#This Row],[Total]]</f>
        <v>41</v>
      </c>
    </row>
    <row r="251" spans="1:22" hidden="1" x14ac:dyDescent="0.4">
      <c r="A251" t="s">
        <v>284</v>
      </c>
      <c r="B251" t="s">
        <v>24</v>
      </c>
      <c r="C251" t="s">
        <v>1</v>
      </c>
      <c r="D251" s="3">
        <v>12074</v>
      </c>
      <c r="E251" s="3" t="s">
        <v>421</v>
      </c>
      <c r="G251" s="3" t="s">
        <v>403</v>
      </c>
      <c r="H251" s="3" t="s">
        <v>410</v>
      </c>
      <c r="I251" s="3">
        <f>IF(H251="","",IF(H251="DNS",0,IF(H251="DQ",0,IF(H251="DNF",1,IF(AND(ISNUMBER(H251),H251&gt;59),1,_xlfn.XLOOKUP(H251,tbl_points[Place],tbl_points[Points],""))))))</f>
        <v>0</v>
      </c>
      <c r="J251" s="3" t="s">
        <v>410</v>
      </c>
      <c r="K251" s="3">
        <f>IF(J251="","",IF(J251="DNS",0,IF(J251="DQ",0,IF(J251="DNF",1,IF(AND(ISNUMBER(J251),J251&gt;59),1,_xlfn.XLOOKUP(J251,tbl_points[Place],tbl_points[Points],""))))))</f>
        <v>0</v>
      </c>
      <c r="L251" s="3" t="s">
        <v>410</v>
      </c>
      <c r="M251" s="3">
        <f>IF(L251="","",IF(L251="DNS",0,IF(L251="DQ",0,IF(L251="DNF",1,IF(AND(ISNUMBER(L251),L251&gt;59),1,_xlfn.XLOOKUP(L251,tbl_points[Place],tbl_points[Points],""))))))</f>
        <v>0</v>
      </c>
      <c r="N251" s="3">
        <v>60</v>
      </c>
      <c r="O251" s="3">
        <f>IF(N251="","",IF(N251="DNS",0,IF(N251="DQ",0,IF(N251="DNF",1,IF(AND(ISNUMBER(N251),N251&gt;59),1,_xlfn.XLOOKUP(N251,tbl_points[Place],tbl_points[Points],""))))))</f>
        <v>1</v>
      </c>
      <c r="P251" s="3">
        <v>57</v>
      </c>
      <c r="Q251" s="3">
        <f>IF(P251="","",IF(P251="DNS",0,IF(P251="DQ",0,IF(P251="DNF",1,IF(AND(ISNUMBER(P251),P251&gt;59),1,_xlfn.XLOOKUP(P251,tbl_points[Place],tbl_points[Points],""))))))</f>
        <v>3</v>
      </c>
      <c r="S251" s="3" t="str">
        <f>IF(R251="","",IF(R251="DNS",0,IF(R251="DQ",0,IF(R251="DNF",1,IF(AND(ISNUMBER(R251),R251&gt;59),1,_xlfn.XLOOKUP(R251,tbl_points[Place],tbl_points[Points],""))))))</f>
        <v/>
      </c>
      <c r="T251" s="3">
        <f>SUM(tbl_individual[[#This Row],[R1 Pts]],tbl_individual[[#This Row],[R2 Pts]],tbl_individual[[#This Row],[R3 Pts]],tbl_individual[[#This Row],[R4 Pts]],tbl_individual[[#This Row],[R5 Pts]],tbl_individual[[#This Row],[R6 Pts]])</f>
        <v>4</v>
      </c>
      <c r="U25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1" s="3">
        <f>tbl_individual[[#This Row],[Total]]</f>
        <v>4</v>
      </c>
    </row>
    <row r="252" spans="1:22" hidden="1" x14ac:dyDescent="0.4">
      <c r="A252" t="s">
        <v>285</v>
      </c>
      <c r="B252" t="s">
        <v>25</v>
      </c>
      <c r="C252" t="s">
        <v>8</v>
      </c>
      <c r="D252" s="3">
        <v>865</v>
      </c>
      <c r="E252" s="3" t="s">
        <v>421</v>
      </c>
      <c r="G252" s="3" t="s">
        <v>407</v>
      </c>
      <c r="H252" s="3">
        <v>1</v>
      </c>
      <c r="I252" s="3">
        <f>IF(H252="","",IF(H252="DNS",0,IF(H252="DQ",0,IF(H252="DNF",1,IF(AND(ISNUMBER(H252),H252&gt;59),1,_xlfn.XLOOKUP(H252,tbl_points[Place],tbl_points[Points],""))))))</f>
        <v>100</v>
      </c>
      <c r="J252" s="3" t="s">
        <v>410</v>
      </c>
      <c r="K252" s="3">
        <f>IF(J252="","",IF(J252="DNS",0,IF(J252="DQ",0,IF(J252="DNF",1,IF(AND(ISNUMBER(J252),J252&gt;59),1,_xlfn.XLOOKUP(J252,tbl_points[Place],tbl_points[Points],""))))))</f>
        <v>0</v>
      </c>
      <c r="L252" s="3" t="s">
        <v>410</v>
      </c>
      <c r="M252" s="3">
        <f>IF(L252="","",IF(L252="DNS",0,IF(L252="DQ",0,IF(L252="DNF",1,IF(AND(ISNUMBER(L252),L252&gt;59),1,_xlfn.XLOOKUP(L252,tbl_points[Place],tbl_points[Points],""))))))</f>
        <v>0</v>
      </c>
      <c r="N252" s="3" t="s">
        <v>410</v>
      </c>
      <c r="O252" s="3">
        <f>IF(N252="","",IF(N252="DNS",0,IF(N252="DQ",0,IF(N252="DNF",1,IF(AND(ISNUMBER(N252),N252&gt;59),1,_xlfn.XLOOKUP(N252,tbl_points[Place],tbl_points[Points],""))))))</f>
        <v>0</v>
      </c>
      <c r="P252" s="3" t="s">
        <v>410</v>
      </c>
      <c r="Q252" s="3">
        <f>IF(P252="","",IF(P252="DNS",0,IF(P252="DQ",0,IF(P252="DNF",1,IF(AND(ISNUMBER(P252),P252&gt;59),1,_xlfn.XLOOKUP(P252,tbl_points[Place],tbl_points[Points],""))))))</f>
        <v>0</v>
      </c>
      <c r="S252" s="3" t="str">
        <f>IF(R252="","",IF(R252="DNS",0,IF(R252="DQ",0,IF(R252="DNF",1,IF(AND(ISNUMBER(R252),R252&gt;59),1,_xlfn.XLOOKUP(R252,tbl_points[Place],tbl_points[Points],""))))))</f>
        <v/>
      </c>
      <c r="T252" s="3">
        <f>SUM(tbl_individual[[#This Row],[R1 Pts]],tbl_individual[[#This Row],[R2 Pts]],tbl_individual[[#This Row],[R3 Pts]],tbl_individual[[#This Row],[R4 Pts]],tbl_individual[[#This Row],[R5 Pts]],tbl_individual[[#This Row],[R6 Pts]])</f>
        <v>100</v>
      </c>
      <c r="U25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2" s="3">
        <f>tbl_individual[[#This Row],[Total]]</f>
        <v>100</v>
      </c>
    </row>
    <row r="253" spans="1:22" hidden="1" x14ac:dyDescent="0.4">
      <c r="A253" t="s">
        <v>286</v>
      </c>
      <c r="B253" t="s">
        <v>25</v>
      </c>
      <c r="C253" t="s">
        <v>5</v>
      </c>
      <c r="D253" s="3">
        <v>929</v>
      </c>
      <c r="E253" s="3" t="s">
        <v>421</v>
      </c>
      <c r="G253" s="3" t="s">
        <v>403</v>
      </c>
      <c r="H253" s="3" t="s">
        <v>410</v>
      </c>
      <c r="I253" s="3">
        <f>IF(H253="","",IF(H253="DNS",0,IF(H253="DQ",0,IF(H253="DNF",1,IF(AND(ISNUMBER(H253),H253&gt;59),1,_xlfn.XLOOKUP(H253,tbl_points[Place],tbl_points[Points],""))))))</f>
        <v>0</v>
      </c>
      <c r="J253" s="3">
        <v>31</v>
      </c>
      <c r="K253" s="3">
        <f>IF(J253="","",IF(J253="DNS",0,IF(J253="DQ",0,IF(J253="DNF",1,IF(AND(ISNUMBER(J253),J253&gt;59),1,_xlfn.XLOOKUP(J253,tbl_points[Place],tbl_points[Points],""))))))</f>
        <v>29</v>
      </c>
      <c r="L253" s="3" t="s">
        <v>410</v>
      </c>
      <c r="M253" s="3">
        <f>IF(L253="","",IF(L253="DNS",0,IF(L253="DQ",0,IF(L253="DNF",1,IF(AND(ISNUMBER(L253),L253&gt;59),1,_xlfn.XLOOKUP(L253,tbl_points[Place],tbl_points[Points],""))))))</f>
        <v>0</v>
      </c>
      <c r="N253" s="3">
        <v>28</v>
      </c>
      <c r="O253" s="3">
        <f>IF(N253="","",IF(N253="DNS",0,IF(N253="DQ",0,IF(N253="DNF",1,IF(AND(ISNUMBER(N253),N253&gt;59),1,_xlfn.XLOOKUP(N253,tbl_points[Place],tbl_points[Points],""))))))</f>
        <v>32</v>
      </c>
      <c r="P253" s="3">
        <v>33</v>
      </c>
      <c r="Q253" s="3">
        <f>IF(P253="","",IF(P253="DNS",0,IF(P253="DQ",0,IF(P253="DNF",1,IF(AND(ISNUMBER(P253),P253&gt;59),1,_xlfn.XLOOKUP(P253,tbl_points[Place],tbl_points[Points],""))))))</f>
        <v>27</v>
      </c>
      <c r="S253" s="3" t="str">
        <f>IF(R253="","",IF(R253="DNS",0,IF(R253="DQ",0,IF(R253="DNF",1,IF(AND(ISNUMBER(R253),R253&gt;59),1,_xlfn.XLOOKUP(R253,tbl_points[Place],tbl_points[Points],""))))))</f>
        <v/>
      </c>
      <c r="T253" s="3">
        <f>SUM(tbl_individual[[#This Row],[R1 Pts]],tbl_individual[[#This Row],[R2 Pts]],tbl_individual[[#This Row],[R3 Pts]],tbl_individual[[#This Row],[R4 Pts]],tbl_individual[[#This Row],[R5 Pts]],tbl_individual[[#This Row],[R6 Pts]])</f>
        <v>88</v>
      </c>
      <c r="U25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3" s="3">
        <f>tbl_individual[[#This Row],[Total]]</f>
        <v>88</v>
      </c>
    </row>
    <row r="254" spans="1:22" hidden="1" x14ac:dyDescent="0.4">
      <c r="A254" t="s">
        <v>287</v>
      </c>
      <c r="B254" t="s">
        <v>25</v>
      </c>
      <c r="C254" t="s">
        <v>5</v>
      </c>
      <c r="D254" s="3">
        <v>930</v>
      </c>
      <c r="E254" s="3" t="s">
        <v>421</v>
      </c>
      <c r="G254" s="3" t="s">
        <v>403</v>
      </c>
      <c r="H254" s="3">
        <v>38</v>
      </c>
      <c r="I254" s="3">
        <f>IF(H254="","",IF(H254="DNS",0,IF(H254="DQ",0,IF(H254="DNF",1,IF(AND(ISNUMBER(H254),H254&gt;59),1,_xlfn.XLOOKUP(H254,tbl_points[Place],tbl_points[Points],""))))))</f>
        <v>22</v>
      </c>
      <c r="J254" s="3">
        <v>37</v>
      </c>
      <c r="K254" s="3">
        <f>IF(J254="","",IF(J254="DNS",0,IF(J254="DQ",0,IF(J254="DNF",1,IF(AND(ISNUMBER(J254),J254&gt;59),1,_xlfn.XLOOKUP(J254,tbl_points[Place],tbl_points[Points],""))))))</f>
        <v>23</v>
      </c>
      <c r="L254" s="3" t="s">
        <v>410</v>
      </c>
      <c r="M254" s="3">
        <f>IF(L254="","",IF(L254="DNS",0,IF(L254="DQ",0,IF(L254="DNF",1,IF(AND(ISNUMBER(L254),L254&gt;59),1,_xlfn.XLOOKUP(L254,tbl_points[Place],tbl_points[Points],""))))))</f>
        <v>0</v>
      </c>
      <c r="N254" s="3">
        <v>43</v>
      </c>
      <c r="O254" s="3">
        <f>IF(N254="","",IF(N254="DNS",0,IF(N254="DQ",0,IF(N254="DNF",1,IF(AND(ISNUMBER(N254),N254&gt;59),1,_xlfn.XLOOKUP(N254,tbl_points[Place],tbl_points[Points],""))))))</f>
        <v>17</v>
      </c>
      <c r="P254" s="3">
        <v>40</v>
      </c>
      <c r="Q254" s="3">
        <f>IF(P254="","",IF(P254="DNS",0,IF(P254="DQ",0,IF(P254="DNF",1,IF(AND(ISNUMBER(P254),P254&gt;59),1,_xlfn.XLOOKUP(P254,tbl_points[Place],tbl_points[Points],""))))))</f>
        <v>20</v>
      </c>
      <c r="S254" s="3" t="str">
        <f>IF(R254="","",IF(R254="DNS",0,IF(R254="DQ",0,IF(R254="DNF",1,IF(AND(ISNUMBER(R254),R254&gt;59),1,_xlfn.XLOOKUP(R254,tbl_points[Place],tbl_points[Points],""))))))</f>
        <v/>
      </c>
      <c r="T254" s="3">
        <f>SUM(tbl_individual[[#This Row],[R1 Pts]],tbl_individual[[#This Row],[R2 Pts]],tbl_individual[[#This Row],[R3 Pts]],tbl_individual[[#This Row],[R4 Pts]],tbl_individual[[#This Row],[R5 Pts]],tbl_individual[[#This Row],[R6 Pts]])</f>
        <v>82</v>
      </c>
      <c r="U25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4" s="3">
        <f>tbl_individual[[#This Row],[Total]]</f>
        <v>82</v>
      </c>
    </row>
    <row r="255" spans="1:22" hidden="1" x14ac:dyDescent="0.4">
      <c r="A255" t="s">
        <v>288</v>
      </c>
      <c r="B255" t="s">
        <v>25</v>
      </c>
      <c r="C255" t="s">
        <v>5</v>
      </c>
      <c r="D255" s="3">
        <v>931</v>
      </c>
      <c r="E255" s="3" t="s">
        <v>421</v>
      </c>
      <c r="G255" s="3" t="s">
        <v>403</v>
      </c>
      <c r="H255" s="3" t="s">
        <v>410</v>
      </c>
      <c r="I255" s="3">
        <f>IF(H255="","",IF(H255="DNS",0,IF(H255="DQ",0,IF(H255="DNF",1,IF(AND(ISNUMBER(H255),H255&gt;59),1,_xlfn.XLOOKUP(H255,tbl_points[Place],tbl_points[Points],""))))))</f>
        <v>0</v>
      </c>
      <c r="J255" s="3">
        <v>27</v>
      </c>
      <c r="K255" s="3">
        <f>IF(J255="","",IF(J255="DNS",0,IF(J255="DQ",0,IF(J255="DNF",1,IF(AND(ISNUMBER(J255),J255&gt;59),1,_xlfn.XLOOKUP(J255,tbl_points[Place],tbl_points[Points],""))))))</f>
        <v>33</v>
      </c>
      <c r="L255" s="3" t="s">
        <v>410</v>
      </c>
      <c r="M255" s="3">
        <f>IF(L255="","",IF(L255="DNS",0,IF(L255="DQ",0,IF(L255="DNF",1,IF(AND(ISNUMBER(L255),L255&gt;59),1,_xlfn.XLOOKUP(L255,tbl_points[Place],tbl_points[Points],""))))))</f>
        <v>0</v>
      </c>
      <c r="N255" s="3">
        <v>29</v>
      </c>
      <c r="O255" s="3">
        <f>IF(N255="","",IF(N255="DNS",0,IF(N255="DQ",0,IF(N255="DNF",1,IF(AND(ISNUMBER(N255),N255&gt;59),1,_xlfn.XLOOKUP(N255,tbl_points[Place],tbl_points[Points],""))))))</f>
        <v>31</v>
      </c>
      <c r="P255" s="3">
        <v>23</v>
      </c>
      <c r="Q255" s="3">
        <f>IF(P255="","",IF(P255="DNS",0,IF(P255="DQ",0,IF(P255="DNF",1,IF(AND(ISNUMBER(P255),P255&gt;59),1,_xlfn.XLOOKUP(P255,tbl_points[Place],tbl_points[Points],""))))))</f>
        <v>37</v>
      </c>
      <c r="S255" s="3" t="str">
        <f>IF(R255="","",IF(R255="DNS",0,IF(R255="DQ",0,IF(R255="DNF",1,IF(AND(ISNUMBER(R255),R255&gt;59),1,_xlfn.XLOOKUP(R255,tbl_points[Place],tbl_points[Points],""))))))</f>
        <v/>
      </c>
      <c r="T255" s="3">
        <f>SUM(tbl_individual[[#This Row],[R1 Pts]],tbl_individual[[#This Row],[R2 Pts]],tbl_individual[[#This Row],[R3 Pts]],tbl_individual[[#This Row],[R4 Pts]],tbl_individual[[#This Row],[R5 Pts]],tbl_individual[[#This Row],[R6 Pts]])</f>
        <v>101</v>
      </c>
      <c r="U25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5" s="3">
        <f>tbl_individual[[#This Row],[Total]]</f>
        <v>101</v>
      </c>
    </row>
    <row r="256" spans="1:22" hidden="1" x14ac:dyDescent="0.4">
      <c r="A256" t="s">
        <v>289</v>
      </c>
      <c r="B256" t="s">
        <v>25</v>
      </c>
      <c r="C256" t="s">
        <v>5</v>
      </c>
      <c r="D256" s="3">
        <v>932</v>
      </c>
      <c r="E256" s="3" t="s">
        <v>421</v>
      </c>
      <c r="G256" s="3" t="s">
        <v>403</v>
      </c>
      <c r="H256" s="3">
        <v>36</v>
      </c>
      <c r="I256" s="3">
        <f>IF(H256="","",IF(H256="DNS",0,IF(H256="DQ",0,IF(H256="DNF",1,IF(AND(ISNUMBER(H256),H256&gt;59),1,_xlfn.XLOOKUP(H256,tbl_points[Place],tbl_points[Points],""))))))</f>
        <v>24</v>
      </c>
      <c r="J256" s="3">
        <v>29</v>
      </c>
      <c r="K256" s="3">
        <f>IF(J256="","",IF(J256="DNS",0,IF(J256="DQ",0,IF(J256="DNF",1,IF(AND(ISNUMBER(J256),J256&gt;59),1,_xlfn.XLOOKUP(J256,tbl_points[Place],tbl_points[Points],""))))))</f>
        <v>31</v>
      </c>
      <c r="L256" s="3" t="s">
        <v>410</v>
      </c>
      <c r="M256" s="3">
        <f>IF(L256="","",IF(L256="DNS",0,IF(L256="DQ",0,IF(L256="DNF",1,IF(AND(ISNUMBER(L256),L256&gt;59),1,_xlfn.XLOOKUP(L256,tbl_points[Place],tbl_points[Points],""))))))</f>
        <v>0</v>
      </c>
      <c r="N256" s="3">
        <v>33</v>
      </c>
      <c r="O256" s="3">
        <f>IF(N256="","",IF(N256="DNS",0,IF(N256="DQ",0,IF(N256="DNF",1,IF(AND(ISNUMBER(N256),N256&gt;59),1,_xlfn.XLOOKUP(N256,tbl_points[Place],tbl_points[Points],""))))))</f>
        <v>27</v>
      </c>
      <c r="P256" s="3">
        <v>32</v>
      </c>
      <c r="Q256" s="3">
        <f>IF(P256="","",IF(P256="DNS",0,IF(P256="DQ",0,IF(P256="DNF",1,IF(AND(ISNUMBER(P256),P256&gt;59),1,_xlfn.XLOOKUP(P256,tbl_points[Place],tbl_points[Points],""))))))</f>
        <v>28</v>
      </c>
      <c r="S256" s="3" t="str">
        <f>IF(R256="","",IF(R256="DNS",0,IF(R256="DQ",0,IF(R256="DNF",1,IF(AND(ISNUMBER(R256),R256&gt;59),1,_xlfn.XLOOKUP(R256,tbl_points[Place],tbl_points[Points],""))))))</f>
        <v/>
      </c>
      <c r="T256" s="3">
        <f>SUM(tbl_individual[[#This Row],[R1 Pts]],tbl_individual[[#This Row],[R2 Pts]],tbl_individual[[#This Row],[R3 Pts]],tbl_individual[[#This Row],[R4 Pts]],tbl_individual[[#This Row],[R5 Pts]],tbl_individual[[#This Row],[R6 Pts]])</f>
        <v>110</v>
      </c>
      <c r="U25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6" s="3">
        <f>tbl_individual[[#This Row],[Total]]</f>
        <v>110</v>
      </c>
    </row>
    <row r="257" spans="1:22" hidden="1" x14ac:dyDescent="0.4">
      <c r="A257" t="s">
        <v>290</v>
      </c>
      <c r="B257" t="s">
        <v>25</v>
      </c>
      <c r="C257" t="s">
        <v>5</v>
      </c>
      <c r="D257" s="3">
        <v>933</v>
      </c>
      <c r="E257" s="3" t="s">
        <v>421</v>
      </c>
      <c r="G257" s="3" t="s">
        <v>403</v>
      </c>
      <c r="H257" s="3">
        <v>7</v>
      </c>
      <c r="I257" s="3">
        <f>IF(H257="","",IF(H257="DNS",0,IF(H257="DQ",0,IF(H257="DNF",1,IF(AND(ISNUMBER(H257),H257&gt;59),1,_xlfn.XLOOKUP(H257,tbl_points[Place],tbl_points[Points],""))))))</f>
        <v>70</v>
      </c>
      <c r="J257" s="3">
        <v>7</v>
      </c>
      <c r="K257" s="3">
        <f>IF(J257="","",IF(J257="DNS",0,IF(J257="DQ",0,IF(J257="DNF",1,IF(AND(ISNUMBER(J257),J257&gt;59),1,_xlfn.XLOOKUP(J257,tbl_points[Place],tbl_points[Points],""))))))</f>
        <v>70</v>
      </c>
      <c r="L257" s="3" t="s">
        <v>410</v>
      </c>
      <c r="M257" s="3">
        <f>IF(L257="","",IF(L257="DNS",0,IF(L257="DQ",0,IF(L257="DNF",1,IF(AND(ISNUMBER(L257),L257&gt;59),1,_xlfn.XLOOKUP(L257,tbl_points[Place],tbl_points[Points],""))))))</f>
        <v>0</v>
      </c>
      <c r="N257" s="3">
        <v>18</v>
      </c>
      <c r="O257" s="3">
        <f>IF(N257="","",IF(N257="DNS",0,IF(N257="DQ",0,IF(N257="DNF",1,IF(AND(ISNUMBER(N257),N257&gt;59),1,_xlfn.XLOOKUP(N257,tbl_points[Place],tbl_points[Points],""))))))</f>
        <v>42</v>
      </c>
      <c r="P257" s="3" t="s">
        <v>410</v>
      </c>
      <c r="Q257" s="3">
        <f>IF(P257="","",IF(P257="DNS",0,IF(P257="DQ",0,IF(P257="DNF",1,IF(AND(ISNUMBER(P257),P257&gt;59),1,_xlfn.XLOOKUP(P257,tbl_points[Place],tbl_points[Points],""))))))</f>
        <v>0</v>
      </c>
      <c r="S257" s="3" t="str">
        <f>IF(R257="","",IF(R257="DNS",0,IF(R257="DQ",0,IF(R257="DNF",1,IF(AND(ISNUMBER(R257),R257&gt;59),1,_xlfn.XLOOKUP(R257,tbl_points[Place],tbl_points[Points],""))))))</f>
        <v/>
      </c>
      <c r="T257" s="3">
        <f>SUM(tbl_individual[[#This Row],[R1 Pts]],tbl_individual[[#This Row],[R2 Pts]],tbl_individual[[#This Row],[R3 Pts]],tbl_individual[[#This Row],[R4 Pts]],tbl_individual[[#This Row],[R5 Pts]],tbl_individual[[#This Row],[R6 Pts]])</f>
        <v>182</v>
      </c>
      <c r="U25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7" s="3">
        <f>tbl_individual[[#This Row],[Total]]</f>
        <v>182</v>
      </c>
    </row>
    <row r="258" spans="1:22" hidden="1" x14ac:dyDescent="0.4">
      <c r="A258" t="s">
        <v>291</v>
      </c>
      <c r="B258" t="s">
        <v>25</v>
      </c>
      <c r="C258" t="s">
        <v>5</v>
      </c>
      <c r="D258" s="3">
        <v>934</v>
      </c>
      <c r="E258" s="3" t="s">
        <v>421</v>
      </c>
      <c r="G258" s="3" t="s">
        <v>403</v>
      </c>
      <c r="H258" s="3">
        <v>8</v>
      </c>
      <c r="I258" s="3">
        <f>IF(H258="","",IF(H258="DNS",0,IF(H258="DQ",0,IF(H258="DNF",1,IF(AND(ISNUMBER(H258),H258&gt;59),1,_xlfn.XLOOKUP(H258,tbl_points[Place],tbl_points[Points],""))))))</f>
        <v>65</v>
      </c>
      <c r="J258" s="3">
        <v>4</v>
      </c>
      <c r="K258" s="3">
        <f>IF(J258="","",IF(J258="DNS",0,IF(J258="DQ",0,IF(J258="DNF",1,IF(AND(ISNUMBER(J258),J258&gt;59),1,_xlfn.XLOOKUP(J258,tbl_points[Place],tbl_points[Points],""))))))</f>
        <v>85</v>
      </c>
      <c r="L258" s="3">
        <v>5</v>
      </c>
      <c r="M258" s="3">
        <f>IF(L258="","",IF(L258="DNS",0,IF(L258="DQ",0,IF(L258="DNF",1,IF(AND(ISNUMBER(L258),L258&gt;59),1,_xlfn.XLOOKUP(L258,tbl_points[Place],tbl_points[Points],""))))))</f>
        <v>80</v>
      </c>
      <c r="N258" s="3">
        <v>6</v>
      </c>
      <c r="O258" s="3">
        <f>IF(N258="","",IF(N258="DNS",0,IF(N258="DQ",0,IF(N258="DNF",1,IF(AND(ISNUMBER(N258),N258&gt;59),1,_xlfn.XLOOKUP(N258,tbl_points[Place],tbl_points[Points],""))))))</f>
        <v>75</v>
      </c>
      <c r="P258" s="3">
        <v>19</v>
      </c>
      <c r="Q258" s="3">
        <f>IF(P258="","",IF(P258="DNS",0,IF(P258="DQ",0,IF(P258="DNF",1,IF(AND(ISNUMBER(P258),P258&gt;59),1,_xlfn.XLOOKUP(P258,tbl_points[Place],tbl_points[Points],""))))))</f>
        <v>41</v>
      </c>
      <c r="S258" s="3" t="str">
        <f>IF(R258="","",IF(R258="DNS",0,IF(R258="DQ",0,IF(R258="DNF",1,IF(AND(ISNUMBER(R258),R258&gt;59),1,_xlfn.XLOOKUP(R258,tbl_points[Place],tbl_points[Points],""))))))</f>
        <v/>
      </c>
      <c r="T258" s="3">
        <f>SUM(tbl_individual[[#This Row],[R1 Pts]],tbl_individual[[#This Row],[R2 Pts]],tbl_individual[[#This Row],[R3 Pts]],tbl_individual[[#This Row],[R4 Pts]],tbl_individual[[#This Row],[R5 Pts]],tbl_individual[[#This Row],[R6 Pts]])</f>
        <v>346</v>
      </c>
      <c r="U258" s="3">
        <f>MIN(tbl_individual[[#This Row],[R1 Pts]],tbl_individual[[#This Row],[R2 Pts]],tbl_individual[[#This Row],[R3 Pts]],tbl_individual[[#This Row],[R4 Pts]],tbl_individual[[#This Row],[R5 Pts]],tbl_individual[[#This Row],[R6 Pts]])</f>
        <v>41</v>
      </c>
      <c r="V258" s="3">
        <f>tbl_individual[[#This Row],[Total]]</f>
        <v>346</v>
      </c>
    </row>
    <row r="259" spans="1:22" hidden="1" x14ac:dyDescent="0.4">
      <c r="A259" t="s">
        <v>292</v>
      </c>
      <c r="B259" t="s">
        <v>25</v>
      </c>
      <c r="C259" t="s">
        <v>5</v>
      </c>
      <c r="D259" s="3">
        <v>935</v>
      </c>
      <c r="E259" s="3" t="s">
        <v>421</v>
      </c>
      <c r="G259" s="3" t="s">
        <v>403</v>
      </c>
      <c r="H259" s="3">
        <v>22</v>
      </c>
      <c r="I259" s="3">
        <f>IF(H259="","",IF(H259="DNS",0,IF(H259="DQ",0,IF(H259="DNF",1,IF(AND(ISNUMBER(H259),H259&gt;59),1,_xlfn.XLOOKUP(H259,tbl_points[Place],tbl_points[Points],""))))))</f>
        <v>38</v>
      </c>
      <c r="J259" s="3">
        <v>20</v>
      </c>
      <c r="K259" s="3">
        <f>IF(J259="","",IF(J259="DNS",0,IF(J259="DQ",0,IF(J259="DNF",1,IF(AND(ISNUMBER(J259),J259&gt;59),1,_xlfn.XLOOKUP(J259,tbl_points[Place],tbl_points[Points],""))))))</f>
        <v>40</v>
      </c>
      <c r="L259" s="3" t="s">
        <v>410</v>
      </c>
      <c r="M259" s="3">
        <f>IF(L259="","",IF(L259="DNS",0,IF(L259="DQ",0,IF(L259="DNF",1,IF(AND(ISNUMBER(L259),L259&gt;59),1,_xlfn.XLOOKUP(L259,tbl_points[Place],tbl_points[Points],""))))))</f>
        <v>0</v>
      </c>
      <c r="N259" s="3">
        <v>20</v>
      </c>
      <c r="O259" s="3">
        <f>IF(N259="","",IF(N259="DNS",0,IF(N259="DQ",0,IF(N259="DNF",1,IF(AND(ISNUMBER(N259),N259&gt;59),1,_xlfn.XLOOKUP(N259,tbl_points[Place],tbl_points[Points],""))))))</f>
        <v>40</v>
      </c>
      <c r="P259" s="3" t="s">
        <v>410</v>
      </c>
      <c r="Q259" s="3">
        <f>IF(P259="","",IF(P259="DNS",0,IF(P259="DQ",0,IF(P259="DNF",1,IF(AND(ISNUMBER(P259),P259&gt;59),1,_xlfn.XLOOKUP(P259,tbl_points[Place],tbl_points[Points],""))))))</f>
        <v>0</v>
      </c>
      <c r="S259" s="3" t="str">
        <f>IF(R259="","",IF(R259="DNS",0,IF(R259="DQ",0,IF(R259="DNF",1,IF(AND(ISNUMBER(R259),R259&gt;59),1,_xlfn.XLOOKUP(R259,tbl_points[Place],tbl_points[Points],""))))))</f>
        <v/>
      </c>
      <c r="T259" s="3">
        <f>SUM(tbl_individual[[#This Row],[R1 Pts]],tbl_individual[[#This Row],[R2 Pts]],tbl_individual[[#This Row],[R3 Pts]],tbl_individual[[#This Row],[R4 Pts]],tbl_individual[[#This Row],[R5 Pts]],tbl_individual[[#This Row],[R6 Pts]])</f>
        <v>118</v>
      </c>
      <c r="U25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59" s="3">
        <f>tbl_individual[[#This Row],[Total]]</f>
        <v>118</v>
      </c>
    </row>
    <row r="260" spans="1:22" hidden="1" x14ac:dyDescent="0.4">
      <c r="A260" t="s">
        <v>293</v>
      </c>
      <c r="B260" t="s">
        <v>25</v>
      </c>
      <c r="C260" t="s">
        <v>5</v>
      </c>
      <c r="D260" s="3">
        <v>936</v>
      </c>
      <c r="E260" s="3" t="s">
        <v>421</v>
      </c>
      <c r="G260" s="3" t="s">
        <v>403</v>
      </c>
      <c r="H260" s="3" t="s">
        <v>410</v>
      </c>
      <c r="I260" s="3">
        <f>IF(H260="","",IF(H260="DNS",0,IF(H260="DQ",0,IF(H260="DNF",1,IF(AND(ISNUMBER(H260),H260&gt;59),1,_xlfn.XLOOKUP(H260,tbl_points[Place],tbl_points[Points],""))))))</f>
        <v>0</v>
      </c>
      <c r="J260" s="3" t="s">
        <v>410</v>
      </c>
      <c r="K260" s="3">
        <f>IF(J260="","",IF(J260="DNS",0,IF(J260="DQ",0,IF(J260="DNF",1,IF(AND(ISNUMBER(J260),J260&gt;59),1,_xlfn.XLOOKUP(J260,tbl_points[Place],tbl_points[Points],""))))))</f>
        <v>0</v>
      </c>
      <c r="L260" s="3" t="s">
        <v>410</v>
      </c>
      <c r="M260" s="3">
        <f>IF(L260="","",IF(L260="DNS",0,IF(L260="DQ",0,IF(L260="DNF",1,IF(AND(ISNUMBER(L260),L260&gt;59),1,_xlfn.XLOOKUP(L260,tbl_points[Place],tbl_points[Points],""))))))</f>
        <v>0</v>
      </c>
      <c r="N260" s="3" t="s">
        <v>447</v>
      </c>
      <c r="O260" s="3">
        <f>IF(N260="","",IF(N260="DNS",0,IF(N260="DQ",0,IF(N260="DNF",1,IF(AND(ISNUMBER(N260),N260&gt;59),1,_xlfn.XLOOKUP(N260,tbl_points[Place],tbl_points[Points],""))))))</f>
        <v>0</v>
      </c>
      <c r="P260" s="3" t="s">
        <v>410</v>
      </c>
      <c r="Q260" s="3">
        <f>IF(P260="","",IF(P260="DNS",0,IF(P260="DQ",0,IF(P260="DNF",1,IF(AND(ISNUMBER(P260),P260&gt;59),1,_xlfn.XLOOKUP(P260,tbl_points[Place],tbl_points[Points],""))))))</f>
        <v>0</v>
      </c>
      <c r="S260" s="3" t="str">
        <f>IF(R260="","",IF(R260="DNS",0,IF(R260="DQ",0,IF(R260="DNF",1,IF(AND(ISNUMBER(R260),R260&gt;59),1,_xlfn.XLOOKUP(R260,tbl_points[Place],tbl_points[Points],""))))))</f>
        <v/>
      </c>
      <c r="T260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6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60" s="3">
        <f>tbl_individual[[#This Row],[Total]]</f>
        <v>0</v>
      </c>
    </row>
    <row r="261" spans="1:22" hidden="1" x14ac:dyDescent="0.4">
      <c r="A261" t="s">
        <v>294</v>
      </c>
      <c r="B261" t="s">
        <v>25</v>
      </c>
      <c r="C261" t="s">
        <v>5</v>
      </c>
      <c r="D261" s="3">
        <v>937</v>
      </c>
      <c r="E261" s="3" t="s">
        <v>421</v>
      </c>
      <c r="G261" s="3" t="s">
        <v>403</v>
      </c>
      <c r="H261" s="3">
        <v>30</v>
      </c>
      <c r="I261" s="3">
        <f>IF(H261="","",IF(H261="DNS",0,IF(H261="DQ",0,IF(H261="DNF",1,IF(AND(ISNUMBER(H261),H261&gt;59),1,_xlfn.XLOOKUP(H261,tbl_points[Place],tbl_points[Points],""))))))</f>
        <v>30</v>
      </c>
      <c r="J261" s="3">
        <v>24</v>
      </c>
      <c r="K261" s="3">
        <f>IF(J261="","",IF(J261="DNS",0,IF(J261="DQ",0,IF(J261="DNF",1,IF(AND(ISNUMBER(J261),J261&gt;59),1,_xlfn.XLOOKUP(J261,tbl_points[Place],tbl_points[Points],""))))))</f>
        <v>36</v>
      </c>
      <c r="L261" s="3" t="s">
        <v>410</v>
      </c>
      <c r="M261" s="3">
        <f>IF(L261="","",IF(L261="DNS",0,IF(L261="DQ",0,IF(L261="DNF",1,IF(AND(ISNUMBER(L261),L261&gt;59),1,_xlfn.XLOOKUP(L261,tbl_points[Place],tbl_points[Points],""))))))</f>
        <v>0</v>
      </c>
      <c r="N261" s="3">
        <v>27</v>
      </c>
      <c r="O261" s="3">
        <f>IF(N261="","",IF(N261="DNS",0,IF(N261="DQ",0,IF(N261="DNF",1,IF(AND(ISNUMBER(N261),N261&gt;59),1,_xlfn.XLOOKUP(N261,tbl_points[Place],tbl_points[Points],""))))))</f>
        <v>33</v>
      </c>
      <c r="P261" s="3">
        <v>24</v>
      </c>
      <c r="Q261" s="3">
        <f>IF(P261="","",IF(P261="DNS",0,IF(P261="DQ",0,IF(P261="DNF",1,IF(AND(ISNUMBER(P261),P261&gt;59),1,_xlfn.XLOOKUP(P261,tbl_points[Place],tbl_points[Points],""))))))</f>
        <v>36</v>
      </c>
      <c r="S261" s="3" t="str">
        <f>IF(R261="","",IF(R261="DNS",0,IF(R261="DQ",0,IF(R261="DNF",1,IF(AND(ISNUMBER(R261),R261&gt;59),1,_xlfn.XLOOKUP(R261,tbl_points[Place],tbl_points[Points],""))))))</f>
        <v/>
      </c>
      <c r="T261" s="3">
        <f>SUM(tbl_individual[[#This Row],[R1 Pts]],tbl_individual[[#This Row],[R2 Pts]],tbl_individual[[#This Row],[R3 Pts]],tbl_individual[[#This Row],[R4 Pts]],tbl_individual[[#This Row],[R5 Pts]],tbl_individual[[#This Row],[R6 Pts]])</f>
        <v>135</v>
      </c>
      <c r="U26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61" s="3">
        <f>tbl_individual[[#This Row],[Total]]</f>
        <v>135</v>
      </c>
    </row>
    <row r="262" spans="1:22" hidden="1" x14ac:dyDescent="0.4">
      <c r="A262" t="s">
        <v>295</v>
      </c>
      <c r="B262" t="s">
        <v>25</v>
      </c>
      <c r="C262" t="s">
        <v>5</v>
      </c>
      <c r="D262" s="3">
        <v>938</v>
      </c>
      <c r="E262" s="3" t="s">
        <v>421</v>
      </c>
      <c r="G262" s="3" t="s">
        <v>403</v>
      </c>
      <c r="H262" s="3">
        <v>5</v>
      </c>
      <c r="I262" s="3">
        <f>IF(H262="","",IF(H262="DNS",0,IF(H262="DQ",0,IF(H262="DNF",1,IF(AND(ISNUMBER(H262),H262&gt;59),1,_xlfn.XLOOKUP(H262,tbl_points[Place],tbl_points[Points],""))))))</f>
        <v>80</v>
      </c>
      <c r="J262" s="3">
        <v>12</v>
      </c>
      <c r="K262" s="3">
        <f>IF(J262="","",IF(J262="DNS",0,IF(J262="DQ",0,IF(J262="DNF",1,IF(AND(ISNUMBER(J262),J262&gt;59),1,_xlfn.XLOOKUP(J262,tbl_points[Place],tbl_points[Points],""))))))</f>
        <v>51</v>
      </c>
      <c r="L262" s="3">
        <v>6</v>
      </c>
      <c r="M262" s="3">
        <f>IF(L262="","",IF(L262="DNS",0,IF(L262="DQ",0,IF(L262="DNF",1,IF(AND(ISNUMBER(L262),L262&gt;59),1,_xlfn.XLOOKUP(L262,tbl_points[Place],tbl_points[Points],""))))))</f>
        <v>75</v>
      </c>
      <c r="N262" s="3">
        <v>16</v>
      </c>
      <c r="O262" s="3">
        <f>IF(N262="","",IF(N262="DNS",0,IF(N262="DQ",0,IF(N262="DNF",1,IF(AND(ISNUMBER(N262),N262&gt;59),1,_xlfn.XLOOKUP(N262,tbl_points[Place],tbl_points[Points],""))))))</f>
        <v>44</v>
      </c>
      <c r="P262" s="3">
        <v>17</v>
      </c>
      <c r="Q262" s="3">
        <f>IF(P262="","",IF(P262="DNS",0,IF(P262="DQ",0,IF(P262="DNF",1,IF(AND(ISNUMBER(P262),P262&gt;59),1,_xlfn.XLOOKUP(P262,tbl_points[Place],tbl_points[Points],""))))))</f>
        <v>43</v>
      </c>
      <c r="S262" s="3" t="str">
        <f>IF(R262="","",IF(R262="DNS",0,IF(R262="DQ",0,IF(R262="DNF",1,IF(AND(ISNUMBER(R262),R262&gt;59),1,_xlfn.XLOOKUP(R262,tbl_points[Place],tbl_points[Points],""))))))</f>
        <v/>
      </c>
      <c r="T262" s="3">
        <f>SUM(tbl_individual[[#This Row],[R1 Pts]],tbl_individual[[#This Row],[R2 Pts]],tbl_individual[[#This Row],[R3 Pts]],tbl_individual[[#This Row],[R4 Pts]],tbl_individual[[#This Row],[R5 Pts]],tbl_individual[[#This Row],[R6 Pts]])</f>
        <v>293</v>
      </c>
      <c r="U262" s="3">
        <f>MIN(tbl_individual[[#This Row],[R1 Pts]],tbl_individual[[#This Row],[R2 Pts]],tbl_individual[[#This Row],[R3 Pts]],tbl_individual[[#This Row],[R4 Pts]],tbl_individual[[#This Row],[R5 Pts]],tbl_individual[[#This Row],[R6 Pts]])</f>
        <v>43</v>
      </c>
      <c r="V262" s="3">
        <f>tbl_individual[[#This Row],[Total]]</f>
        <v>293</v>
      </c>
    </row>
    <row r="263" spans="1:22" hidden="1" x14ac:dyDescent="0.4">
      <c r="A263" t="s">
        <v>443</v>
      </c>
      <c r="B263" t="s">
        <v>25</v>
      </c>
      <c r="C263" t="s">
        <v>5</v>
      </c>
      <c r="D263" s="3">
        <v>941</v>
      </c>
      <c r="E263" s="3" t="s">
        <v>421</v>
      </c>
      <c r="F263" s="17" t="s">
        <v>442</v>
      </c>
      <c r="H263" s="3" t="s">
        <v>410</v>
      </c>
      <c r="I263" s="3">
        <f>IF(H263="","",IF(H263="DNS",0,IF(H263="DQ",0,IF(H263="DNF",1,IF(AND(ISNUMBER(H263),H263&gt;59),1,_xlfn.XLOOKUP(H263,tbl_points[Place],tbl_points[Points],""))))))</f>
        <v>0</v>
      </c>
      <c r="J263" s="3">
        <v>40</v>
      </c>
      <c r="K263" s="3">
        <f>IF(J263="","",IF(J263="DNS",0,IF(J263="DQ",0,IF(J263="DNF",1,IF(AND(ISNUMBER(J263),J263&gt;59),1,_xlfn.XLOOKUP(J263,tbl_points[Place],tbl_points[Points],""))))))</f>
        <v>20</v>
      </c>
      <c r="L263" s="3" t="s">
        <v>410</v>
      </c>
      <c r="M263" s="3">
        <f>IF(L263="","",IF(L263="DNS",0,IF(L263="DQ",0,IF(L263="DNF",1,IF(AND(ISNUMBER(L263),L263&gt;59),1,_xlfn.XLOOKUP(L263,tbl_points[Place],tbl_points[Points],""))))))</f>
        <v>0</v>
      </c>
      <c r="N263" s="3">
        <v>47</v>
      </c>
      <c r="O263" s="3">
        <f>IF(N263="","",IF(N263="DNS",0,IF(N263="DQ",0,IF(N263="DNF",1,IF(AND(ISNUMBER(N263),N263&gt;59),1,_xlfn.XLOOKUP(N263,tbl_points[Place],tbl_points[Points],""))))))</f>
        <v>13</v>
      </c>
      <c r="P263" s="3" t="s">
        <v>410</v>
      </c>
      <c r="Q263" s="3">
        <f>IF(P263="","",IF(P263="DNS",0,IF(P263="DQ",0,IF(P263="DNF",1,IF(AND(ISNUMBER(P263),P263&gt;59),1,_xlfn.XLOOKUP(P263,tbl_points[Place],tbl_points[Points],""))))))</f>
        <v>0</v>
      </c>
      <c r="S263" s="3" t="str">
        <f>IF(R263="","",IF(R263="DNS",0,IF(R263="DQ",0,IF(R263="DNF",1,IF(AND(ISNUMBER(R263),R263&gt;59),1,_xlfn.XLOOKUP(R263,tbl_points[Place],tbl_points[Points],""))))))</f>
        <v/>
      </c>
      <c r="T263" s="3">
        <f>SUM(tbl_individual[[#This Row],[R1 Pts]],tbl_individual[[#This Row],[R2 Pts]],tbl_individual[[#This Row],[R3 Pts]],tbl_individual[[#This Row],[R4 Pts]],tbl_individual[[#This Row],[R5 Pts]],tbl_individual[[#This Row],[R6 Pts]])</f>
        <v>33</v>
      </c>
      <c r="U26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63" s="3">
        <f>tbl_individual[[#This Row],[Total]]</f>
        <v>33</v>
      </c>
    </row>
    <row r="264" spans="1:22" hidden="1" x14ac:dyDescent="0.4">
      <c r="A264" t="s">
        <v>411</v>
      </c>
      <c r="B264" t="s">
        <v>25</v>
      </c>
      <c r="C264" t="s">
        <v>5</v>
      </c>
      <c r="D264" s="3">
        <v>958</v>
      </c>
      <c r="E264" s="3" t="s">
        <v>421</v>
      </c>
      <c r="G264" s="3" t="s">
        <v>403</v>
      </c>
      <c r="H264" s="3" t="s">
        <v>409</v>
      </c>
      <c r="I264" s="3">
        <f>IF(H264="","",IF(H264="DNS",0,IF(H264="DQ",0,IF(H264="DNF",1,IF(AND(ISNUMBER(H264),H264&gt;59),1,_xlfn.XLOOKUP(H264,tbl_points[Place],tbl_points[Points],""))))))</f>
        <v>1</v>
      </c>
      <c r="J264" s="3">
        <v>34</v>
      </c>
      <c r="K264" s="3">
        <f>IF(J264="","",IF(J264="DNS",0,IF(J264="DQ",0,IF(J264="DNF",1,IF(AND(ISNUMBER(J264),J264&gt;59),1,_xlfn.XLOOKUP(J264,tbl_points[Place],tbl_points[Points],""))))))</f>
        <v>26</v>
      </c>
      <c r="L264" s="3" t="s">
        <v>410</v>
      </c>
      <c r="M264" s="3">
        <f>IF(L264="","",IF(L264="DNS",0,IF(L264="DQ",0,IF(L264="DNF",1,IF(AND(ISNUMBER(L264),L264&gt;59),1,_xlfn.XLOOKUP(L264,tbl_points[Place],tbl_points[Points],""))))))</f>
        <v>0</v>
      </c>
      <c r="N264" s="3" t="s">
        <v>410</v>
      </c>
      <c r="O264" s="3">
        <f>IF(N264="","",IF(N264="DNS",0,IF(N264="DQ",0,IF(N264="DNF",1,IF(AND(ISNUMBER(N264),N264&gt;59),1,_xlfn.XLOOKUP(N264,tbl_points[Place],tbl_points[Points],""))))))</f>
        <v>0</v>
      </c>
      <c r="P264" s="3">
        <v>37</v>
      </c>
      <c r="Q264" s="3">
        <f>IF(P264="","",IF(P264="DNS",0,IF(P264="DQ",0,IF(P264="DNF",1,IF(AND(ISNUMBER(P264),P264&gt;59),1,_xlfn.XLOOKUP(P264,tbl_points[Place],tbl_points[Points],""))))))</f>
        <v>23</v>
      </c>
      <c r="S264" s="3" t="str">
        <f>IF(R264="","",IF(R264="DNS",0,IF(R264="DQ",0,IF(R264="DNF",1,IF(AND(ISNUMBER(R264),R264&gt;59),1,_xlfn.XLOOKUP(R264,tbl_points[Place],tbl_points[Points],""))))))</f>
        <v/>
      </c>
      <c r="T264" s="3">
        <f>SUM(tbl_individual[[#This Row],[R1 Pts]],tbl_individual[[#This Row],[R2 Pts]],tbl_individual[[#This Row],[R3 Pts]],tbl_individual[[#This Row],[R4 Pts]],tbl_individual[[#This Row],[R5 Pts]],tbl_individual[[#This Row],[R6 Pts]])</f>
        <v>50</v>
      </c>
      <c r="U26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64" s="3">
        <f>tbl_individual[[#This Row],[Total]]</f>
        <v>50</v>
      </c>
    </row>
    <row r="265" spans="1:22" hidden="1" x14ac:dyDescent="0.4">
      <c r="A265" t="s">
        <v>1296</v>
      </c>
      <c r="B265" t="s">
        <v>25</v>
      </c>
      <c r="C265" t="s">
        <v>5</v>
      </c>
      <c r="D265" s="3">
        <v>963</v>
      </c>
      <c r="E265" s="3" t="s">
        <v>421</v>
      </c>
      <c r="F265" s="17" t="s">
        <v>1297</v>
      </c>
      <c r="H265" s="3" t="s">
        <v>410</v>
      </c>
      <c r="I265" s="3">
        <f>IF(H265="","",IF(H265="DNS",0,IF(H265="DQ",0,IF(H265="DNF",1,IF(AND(ISNUMBER(H265),H265&gt;59),1,_xlfn.XLOOKUP(H265,tbl_points[Place],tbl_points[Points],""))))))</f>
        <v>0</v>
      </c>
      <c r="J265" s="3" t="s">
        <v>410</v>
      </c>
      <c r="K265" s="3">
        <f>IF(J265="","",IF(J265="DNS",0,IF(J265="DQ",0,IF(J265="DNF",1,IF(AND(ISNUMBER(J265),J265&gt;59),1,_xlfn.XLOOKUP(J265,tbl_points[Place],tbl_points[Points],""))))))</f>
        <v>0</v>
      </c>
      <c r="L265" s="3" t="s">
        <v>410</v>
      </c>
      <c r="M265" s="3">
        <f>IF(L265="","",IF(L265="DNS",0,IF(L265="DQ",0,IF(L265="DNF",1,IF(AND(ISNUMBER(L265),L265&gt;59),1,_xlfn.XLOOKUP(L265,tbl_points[Place],tbl_points[Points],""))))))</f>
        <v>0</v>
      </c>
      <c r="N265" s="3" t="s">
        <v>410</v>
      </c>
      <c r="O265" s="3">
        <f>IF(N265="","",IF(N265="DNS",0,IF(N265="DQ",0,IF(N265="DNF",1,IF(AND(ISNUMBER(N265),N265&gt;59),1,_xlfn.XLOOKUP(N265,tbl_points[Place],tbl_points[Points],""))))))</f>
        <v>0</v>
      </c>
      <c r="P265" s="3">
        <v>25</v>
      </c>
      <c r="Q265" s="3">
        <f>IF(P265="","",IF(P265="DNS",0,IF(P265="DQ",0,IF(P265="DNF",1,IF(AND(ISNUMBER(P265),P265&gt;59),1,_xlfn.XLOOKUP(P265,tbl_points[Place],tbl_points[Points],""))))))</f>
        <v>35</v>
      </c>
      <c r="S265" s="3" t="str">
        <f>IF(R265="","",IF(R265="DNS",0,IF(R265="DQ",0,IF(R265="DNF",1,IF(AND(ISNUMBER(R265),R265&gt;59),1,_xlfn.XLOOKUP(R265,tbl_points[Place],tbl_points[Points],""))))))</f>
        <v/>
      </c>
      <c r="T265" s="3">
        <f>SUM(tbl_individual[[#This Row],[R1 Pts]],tbl_individual[[#This Row],[R2 Pts]],tbl_individual[[#This Row],[R3 Pts]],tbl_individual[[#This Row],[R4 Pts]],tbl_individual[[#This Row],[R5 Pts]],tbl_individual[[#This Row],[R6 Pts]])</f>
        <v>35</v>
      </c>
      <c r="U26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65" s="3">
        <f>tbl_individual[[#This Row],[Total]]</f>
        <v>35</v>
      </c>
    </row>
    <row r="266" spans="1:22" x14ac:dyDescent="0.4">
      <c r="A266" t="s">
        <v>296</v>
      </c>
      <c r="B266" t="s">
        <v>25</v>
      </c>
      <c r="C266" t="s">
        <v>6</v>
      </c>
      <c r="D266" s="3">
        <v>930</v>
      </c>
      <c r="E266" s="3" t="s">
        <v>421</v>
      </c>
      <c r="G266" s="3" t="s">
        <v>403</v>
      </c>
      <c r="H266" s="3">
        <v>3</v>
      </c>
      <c r="I266" s="3">
        <f>IF(H266="","",IF(H266="DNS",0,IF(H266="DQ",0,IF(H266="DNF",1,IF(AND(ISNUMBER(H266),H266&gt;59),1,_xlfn.XLOOKUP(H266,tbl_points[Place],tbl_points[Points],""))))))</f>
        <v>90</v>
      </c>
      <c r="J266" s="3">
        <v>9</v>
      </c>
      <c r="K266" s="3">
        <f>IF(J266="","",IF(J266="DNS",0,IF(J266="DQ",0,IF(J266="DNF",1,IF(AND(ISNUMBER(J266),J266&gt;59),1,_xlfn.XLOOKUP(J266,tbl_points[Place],tbl_points[Points],""))))))</f>
        <v>60</v>
      </c>
      <c r="L266" s="3">
        <v>6</v>
      </c>
      <c r="M266" s="3">
        <f>IF(L266="","",IF(L266="DNS",0,IF(L266="DQ",0,IF(L266="DNF",1,IF(AND(ISNUMBER(L266),L266&gt;59),1,_xlfn.XLOOKUP(L266,tbl_points[Place],tbl_points[Points],""))))))</f>
        <v>75</v>
      </c>
      <c r="N266" s="3">
        <v>4</v>
      </c>
      <c r="O266" s="3">
        <f>IF(N266="","",IF(N266="DNS",0,IF(N266="DQ",0,IF(N266="DNF",1,IF(AND(ISNUMBER(N266),N266&gt;59),1,_xlfn.XLOOKUP(N266,tbl_points[Place],tbl_points[Points],""))))))</f>
        <v>85</v>
      </c>
      <c r="P266" s="3">
        <v>7</v>
      </c>
      <c r="Q266" s="3">
        <f>IF(P266="","",IF(P266="DNS",0,IF(P266="DQ",0,IF(P266="DNF",1,IF(AND(ISNUMBER(P266),P266&gt;59),1,_xlfn.XLOOKUP(P266,tbl_points[Place],tbl_points[Points],""))))))</f>
        <v>70</v>
      </c>
      <c r="S266" s="3" t="str">
        <f>IF(R266="","",IF(R266="DNS",0,IF(R266="DQ",0,IF(R266="DNF",1,IF(AND(ISNUMBER(R266),R266&gt;59),1,_xlfn.XLOOKUP(R266,tbl_points[Place],tbl_points[Points],""))))))</f>
        <v/>
      </c>
      <c r="T266" s="3">
        <f>SUM(tbl_individual[[#This Row],[R1 Pts]],tbl_individual[[#This Row],[R2 Pts]],tbl_individual[[#This Row],[R3 Pts]],tbl_individual[[#This Row],[R4 Pts]],tbl_individual[[#This Row],[R5 Pts]],tbl_individual[[#This Row],[R6 Pts]])</f>
        <v>380</v>
      </c>
      <c r="U266" s="3">
        <f>MIN(tbl_individual[[#This Row],[R1 Pts]],tbl_individual[[#This Row],[R2 Pts]],tbl_individual[[#This Row],[R3 Pts]],tbl_individual[[#This Row],[R4 Pts]],tbl_individual[[#This Row],[R5 Pts]],tbl_individual[[#This Row],[R6 Pts]])</f>
        <v>60</v>
      </c>
      <c r="V266" s="3">
        <f>tbl_individual[[#This Row],[Total]]</f>
        <v>380</v>
      </c>
    </row>
    <row r="267" spans="1:22" hidden="1" x14ac:dyDescent="0.4">
      <c r="A267" t="s">
        <v>298</v>
      </c>
      <c r="B267" t="s">
        <v>25</v>
      </c>
      <c r="C267" t="s">
        <v>3</v>
      </c>
      <c r="D267" s="3">
        <v>10188</v>
      </c>
      <c r="E267" s="3" t="s">
        <v>421</v>
      </c>
      <c r="G267" s="3" t="s">
        <v>403</v>
      </c>
      <c r="H267" s="3">
        <v>24</v>
      </c>
      <c r="I267" s="3">
        <f>IF(H267="","",IF(H267="DNS",0,IF(H267="DQ",0,IF(H267="DNF",1,IF(AND(ISNUMBER(H267),H267&gt;59),1,_xlfn.XLOOKUP(H267,tbl_points[Place],tbl_points[Points],""))))))</f>
        <v>36</v>
      </c>
      <c r="J267" s="3">
        <v>29</v>
      </c>
      <c r="K267" s="3">
        <f>IF(J267="","",IF(J267="DNS",0,IF(J267="DQ",0,IF(J267="DNF",1,IF(AND(ISNUMBER(J267),J267&gt;59),1,_xlfn.XLOOKUP(J267,tbl_points[Place],tbl_points[Points],""))))))</f>
        <v>31</v>
      </c>
      <c r="L267" s="3" t="s">
        <v>410</v>
      </c>
      <c r="M267" s="3">
        <f>IF(L267="","",IF(L267="DNS",0,IF(L267="DQ",0,IF(L267="DNF",1,IF(AND(ISNUMBER(L267),L267&gt;59),1,_xlfn.XLOOKUP(L267,tbl_points[Place],tbl_points[Points],""))))))</f>
        <v>0</v>
      </c>
      <c r="N267" s="3" t="s">
        <v>410</v>
      </c>
      <c r="O267" s="3">
        <f>IF(N267="","",IF(N267="DNS",0,IF(N267="DQ",0,IF(N267="DNF",1,IF(AND(ISNUMBER(N267),N267&gt;59),1,_xlfn.XLOOKUP(N267,tbl_points[Place],tbl_points[Points],""))))))</f>
        <v>0</v>
      </c>
      <c r="P267" s="3">
        <v>22</v>
      </c>
      <c r="Q267" s="3">
        <f>IF(P267="","",IF(P267="DNS",0,IF(P267="DQ",0,IF(P267="DNF",1,IF(AND(ISNUMBER(P267),P267&gt;59),1,_xlfn.XLOOKUP(P267,tbl_points[Place],tbl_points[Points],""))))))</f>
        <v>38</v>
      </c>
      <c r="S267" s="3" t="str">
        <f>IF(R267="","",IF(R267="DNS",0,IF(R267="DQ",0,IF(R267="DNF",1,IF(AND(ISNUMBER(R267),R267&gt;59),1,_xlfn.XLOOKUP(R267,tbl_points[Place],tbl_points[Points],""))))))</f>
        <v/>
      </c>
      <c r="T267" s="3">
        <f>SUM(tbl_individual[[#This Row],[R1 Pts]],tbl_individual[[#This Row],[R2 Pts]],tbl_individual[[#This Row],[R3 Pts]],tbl_individual[[#This Row],[R4 Pts]],tbl_individual[[#This Row],[R5 Pts]],tbl_individual[[#This Row],[R6 Pts]])</f>
        <v>105</v>
      </c>
      <c r="U26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67" s="3">
        <f>tbl_individual[[#This Row],[Total]]</f>
        <v>105</v>
      </c>
    </row>
    <row r="268" spans="1:22" hidden="1" x14ac:dyDescent="0.4">
      <c r="A268" t="s">
        <v>299</v>
      </c>
      <c r="B268" t="s">
        <v>25</v>
      </c>
      <c r="C268" t="s">
        <v>3</v>
      </c>
      <c r="D268" s="3">
        <v>10189</v>
      </c>
      <c r="E268" s="3" t="s">
        <v>421</v>
      </c>
      <c r="G268" s="3" t="s">
        <v>403</v>
      </c>
      <c r="H268" s="3">
        <v>14</v>
      </c>
      <c r="I268" s="3">
        <f>IF(H268="","",IF(H268="DNS",0,IF(H268="DQ",0,IF(H268="DNF",1,IF(AND(ISNUMBER(H268),H268&gt;59),1,_xlfn.XLOOKUP(H268,tbl_points[Place],tbl_points[Points],""))))))</f>
        <v>47</v>
      </c>
      <c r="J268" s="3">
        <v>27</v>
      </c>
      <c r="K268" s="3">
        <f>IF(J268="","",IF(J268="DNS",0,IF(J268="DQ",0,IF(J268="DNF",1,IF(AND(ISNUMBER(J268),J268&gt;59),1,_xlfn.XLOOKUP(J268,tbl_points[Place],tbl_points[Points],""))))))</f>
        <v>33</v>
      </c>
      <c r="L268" s="3">
        <v>25</v>
      </c>
      <c r="M268" s="3">
        <f>IF(L268="","",IF(L268="DNS",0,IF(L268="DQ",0,IF(L268="DNF",1,IF(AND(ISNUMBER(L268),L268&gt;59),1,_xlfn.XLOOKUP(L268,tbl_points[Place],tbl_points[Points],""))))))</f>
        <v>35</v>
      </c>
      <c r="N268" s="3" t="s">
        <v>410</v>
      </c>
      <c r="O268" s="3">
        <f>IF(N268="","",IF(N268="DNS",0,IF(N268="DQ",0,IF(N268="DNF",1,IF(AND(ISNUMBER(N268),N268&gt;59),1,_xlfn.XLOOKUP(N268,tbl_points[Place],tbl_points[Points],""))))))</f>
        <v>0</v>
      </c>
      <c r="P268" s="3">
        <v>20</v>
      </c>
      <c r="Q268" s="3">
        <f>IF(P268="","",IF(P268="DNS",0,IF(P268="DQ",0,IF(P268="DNF",1,IF(AND(ISNUMBER(P268),P268&gt;59),1,_xlfn.XLOOKUP(P268,tbl_points[Place],tbl_points[Points],""))))))</f>
        <v>40</v>
      </c>
      <c r="S268" s="3" t="str">
        <f>IF(R268="","",IF(R268="DNS",0,IF(R268="DQ",0,IF(R268="DNF",1,IF(AND(ISNUMBER(R268),R268&gt;59),1,_xlfn.XLOOKUP(R268,tbl_points[Place],tbl_points[Points],""))))))</f>
        <v/>
      </c>
      <c r="T268" s="3">
        <f>SUM(tbl_individual[[#This Row],[R1 Pts]],tbl_individual[[#This Row],[R2 Pts]],tbl_individual[[#This Row],[R3 Pts]],tbl_individual[[#This Row],[R4 Pts]],tbl_individual[[#This Row],[R5 Pts]],tbl_individual[[#This Row],[R6 Pts]])</f>
        <v>155</v>
      </c>
      <c r="U26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68" s="3">
        <f>tbl_individual[[#This Row],[Total]]</f>
        <v>155</v>
      </c>
    </row>
    <row r="269" spans="1:22" hidden="1" x14ac:dyDescent="0.4">
      <c r="A269" t="s">
        <v>413</v>
      </c>
      <c r="B269" t="s">
        <v>25</v>
      </c>
      <c r="C269" t="s">
        <v>3</v>
      </c>
      <c r="D269" s="3">
        <v>10204</v>
      </c>
      <c r="E269" s="3" t="s">
        <v>421</v>
      </c>
      <c r="G269" s="3" t="s">
        <v>403</v>
      </c>
      <c r="H269" s="3">
        <v>15</v>
      </c>
      <c r="I269" s="3">
        <f>IF(H269="","",IF(H269="DNS",0,IF(H269="DQ",0,IF(H269="DNF",1,IF(AND(ISNUMBER(H269),H269&gt;59),1,_xlfn.XLOOKUP(H269,tbl_points[Place],tbl_points[Points],""))))))</f>
        <v>45</v>
      </c>
      <c r="J269" s="3">
        <v>9</v>
      </c>
      <c r="K269" s="3">
        <f>IF(J269="","",IF(J269="DNS",0,IF(J269="DQ",0,IF(J269="DNF",1,IF(AND(ISNUMBER(J269),J269&gt;59),1,_xlfn.XLOOKUP(J269,tbl_points[Place],tbl_points[Points],""))))))</f>
        <v>60</v>
      </c>
      <c r="L269" s="3">
        <v>17</v>
      </c>
      <c r="M269" s="3">
        <f>IF(L269="","",IF(L269="DNS",0,IF(L269="DQ",0,IF(L269="DNF",1,IF(AND(ISNUMBER(L269),L269&gt;59),1,_xlfn.XLOOKUP(L269,tbl_points[Place],tbl_points[Points],""))))))</f>
        <v>43</v>
      </c>
      <c r="N269" s="3">
        <v>3</v>
      </c>
      <c r="O269" s="3">
        <f>IF(N269="","",IF(N269="DNS",0,IF(N269="DQ",0,IF(N269="DNF",1,IF(AND(ISNUMBER(N269),N269&gt;59),1,_xlfn.XLOOKUP(N269,tbl_points[Place],tbl_points[Points],""))))))</f>
        <v>90</v>
      </c>
      <c r="P269" s="3">
        <v>8</v>
      </c>
      <c r="Q269" s="3">
        <f>IF(P269="","",IF(P269="DNS",0,IF(P269="DQ",0,IF(P269="DNF",1,IF(AND(ISNUMBER(P269),P269&gt;59),1,_xlfn.XLOOKUP(P269,tbl_points[Place],tbl_points[Points],""))))))</f>
        <v>65</v>
      </c>
      <c r="S269" s="3" t="str">
        <f>IF(R269="","",IF(R269="DNS",0,IF(R269="DQ",0,IF(R269="DNF",1,IF(AND(ISNUMBER(R269),R269&gt;59),1,_xlfn.XLOOKUP(R269,tbl_points[Place],tbl_points[Points],""))))))</f>
        <v/>
      </c>
      <c r="T269" s="3">
        <f>SUM(tbl_individual[[#This Row],[R1 Pts]],tbl_individual[[#This Row],[R2 Pts]],tbl_individual[[#This Row],[R3 Pts]],tbl_individual[[#This Row],[R4 Pts]],tbl_individual[[#This Row],[R5 Pts]],tbl_individual[[#This Row],[R6 Pts]])</f>
        <v>303</v>
      </c>
      <c r="U269" s="3">
        <f>MIN(tbl_individual[[#This Row],[R1 Pts]],tbl_individual[[#This Row],[R2 Pts]],tbl_individual[[#This Row],[R3 Pts]],tbl_individual[[#This Row],[R4 Pts]],tbl_individual[[#This Row],[R5 Pts]],tbl_individual[[#This Row],[R6 Pts]])</f>
        <v>43</v>
      </c>
      <c r="V269" s="3">
        <f>tbl_individual[[#This Row],[Total]]</f>
        <v>303</v>
      </c>
    </row>
    <row r="270" spans="1:22" hidden="1" x14ac:dyDescent="0.4">
      <c r="A270" t="s">
        <v>297</v>
      </c>
      <c r="B270" t="s">
        <v>25</v>
      </c>
      <c r="C270" t="s">
        <v>4</v>
      </c>
      <c r="D270" s="3">
        <v>1031</v>
      </c>
      <c r="E270" s="3" t="s">
        <v>421</v>
      </c>
      <c r="G270" s="3" t="s">
        <v>403</v>
      </c>
      <c r="H270" s="3">
        <v>1</v>
      </c>
      <c r="I270" s="3">
        <f>IF(H270="","",IF(H270="DNS",0,IF(H270="DQ",0,IF(H270="DNF",1,IF(AND(ISNUMBER(H270),H270&gt;59),1,_xlfn.XLOOKUP(H270,tbl_points[Place],tbl_points[Points],""))))))</f>
        <v>100</v>
      </c>
      <c r="J270" s="3">
        <v>3</v>
      </c>
      <c r="K270" s="3">
        <f>IF(J270="","",IF(J270="DNS",0,IF(J270="DQ",0,IF(J270="DNF",1,IF(AND(ISNUMBER(J270),J270&gt;59),1,_xlfn.XLOOKUP(J270,tbl_points[Place],tbl_points[Points],""))))))</f>
        <v>90</v>
      </c>
      <c r="L270" s="3">
        <v>1</v>
      </c>
      <c r="M270" s="3">
        <f>IF(L270="","",IF(L270="DNS",0,IF(L270="DQ",0,IF(L270="DNF",1,IF(AND(ISNUMBER(L270),L270&gt;59),1,_xlfn.XLOOKUP(L270,tbl_points[Place],tbl_points[Points],""))))))</f>
        <v>100</v>
      </c>
      <c r="N270" s="3">
        <v>5</v>
      </c>
      <c r="O270" s="3">
        <f>IF(N270="","",IF(N270="DNS",0,IF(N270="DQ",0,IF(N270="DNF",1,IF(AND(ISNUMBER(N270),N270&gt;59),1,_xlfn.XLOOKUP(N270,tbl_points[Place],tbl_points[Points],""))))))</f>
        <v>80</v>
      </c>
      <c r="P270" s="3">
        <v>3</v>
      </c>
      <c r="Q270" s="3">
        <f>IF(P270="","",IF(P270="DNS",0,IF(P270="DQ",0,IF(P270="DNF",1,IF(AND(ISNUMBER(P270),P270&gt;59),1,_xlfn.XLOOKUP(P270,tbl_points[Place],tbl_points[Points],""))))))</f>
        <v>90</v>
      </c>
      <c r="S270" s="3" t="str">
        <f>IF(R270="","",IF(R270="DNS",0,IF(R270="DQ",0,IF(R270="DNF",1,IF(AND(ISNUMBER(R270),R270&gt;59),1,_xlfn.XLOOKUP(R270,tbl_points[Place],tbl_points[Points],""))))))</f>
        <v/>
      </c>
      <c r="T270" s="3">
        <f>SUM(tbl_individual[[#This Row],[R1 Pts]],tbl_individual[[#This Row],[R2 Pts]],tbl_individual[[#This Row],[R3 Pts]],tbl_individual[[#This Row],[R4 Pts]],tbl_individual[[#This Row],[R5 Pts]],tbl_individual[[#This Row],[R6 Pts]])</f>
        <v>460</v>
      </c>
      <c r="U270" s="3">
        <f>MIN(tbl_individual[[#This Row],[R1 Pts]],tbl_individual[[#This Row],[R2 Pts]],tbl_individual[[#This Row],[R3 Pts]],tbl_individual[[#This Row],[R4 Pts]],tbl_individual[[#This Row],[R5 Pts]],tbl_individual[[#This Row],[R6 Pts]])</f>
        <v>80</v>
      </c>
      <c r="V270" s="3">
        <f>tbl_individual[[#This Row],[Total]]</f>
        <v>460</v>
      </c>
    </row>
    <row r="271" spans="1:22" hidden="1" x14ac:dyDescent="0.4">
      <c r="A271" t="s">
        <v>300</v>
      </c>
      <c r="B271" t="s">
        <v>25</v>
      </c>
      <c r="C271" t="s">
        <v>1</v>
      </c>
      <c r="D271" s="3">
        <v>12075</v>
      </c>
      <c r="E271" s="3" t="s">
        <v>421</v>
      </c>
      <c r="G271" s="3" t="s">
        <v>403</v>
      </c>
      <c r="H271" s="3">
        <v>7</v>
      </c>
      <c r="I271" s="3">
        <f>IF(H271="","",IF(H271="DNS",0,IF(H271="DQ",0,IF(H271="DNF",1,IF(AND(ISNUMBER(H271),H271&gt;59),1,_xlfn.XLOOKUP(H271,tbl_points[Place],tbl_points[Points],""))))))</f>
        <v>70</v>
      </c>
      <c r="J271" s="3" t="s">
        <v>410</v>
      </c>
      <c r="K271" s="3">
        <f>IF(J271="","",IF(J271="DNS",0,IF(J271="DQ",0,IF(J271="DNF",1,IF(AND(ISNUMBER(J271),J271&gt;59),1,_xlfn.XLOOKUP(J271,tbl_points[Place],tbl_points[Points],""))))))</f>
        <v>0</v>
      </c>
      <c r="L271" s="3">
        <v>2</v>
      </c>
      <c r="M271" s="3">
        <f>IF(L271="","",IF(L271="DNS",0,IF(L271="DQ",0,IF(L271="DNF",1,IF(AND(ISNUMBER(L271),L271&gt;59),1,_xlfn.XLOOKUP(L271,tbl_points[Place],tbl_points[Points],""))))))</f>
        <v>95</v>
      </c>
      <c r="N271" s="3">
        <v>5</v>
      </c>
      <c r="O271" s="3">
        <f>IF(N271="","",IF(N271="DNS",0,IF(N271="DQ",0,IF(N271="DNF",1,IF(AND(ISNUMBER(N271),N271&gt;59),1,_xlfn.XLOOKUP(N271,tbl_points[Place],tbl_points[Points],""))))))</f>
        <v>80</v>
      </c>
      <c r="P271" s="3">
        <v>30</v>
      </c>
      <c r="Q271" s="3">
        <f>IF(P271="","",IF(P271="DNS",0,IF(P271="DQ",0,IF(P271="DNF",1,IF(AND(ISNUMBER(P271),P271&gt;59),1,_xlfn.XLOOKUP(P271,tbl_points[Place],tbl_points[Points],""))))))</f>
        <v>30</v>
      </c>
      <c r="S271" s="3" t="str">
        <f>IF(R271="","",IF(R271="DNS",0,IF(R271="DQ",0,IF(R271="DNF",1,IF(AND(ISNUMBER(R271),R271&gt;59),1,_xlfn.XLOOKUP(R271,tbl_points[Place],tbl_points[Points],""))))))</f>
        <v/>
      </c>
      <c r="T271" s="3">
        <f>SUM(tbl_individual[[#This Row],[R1 Pts]],tbl_individual[[#This Row],[R2 Pts]],tbl_individual[[#This Row],[R3 Pts]],tbl_individual[[#This Row],[R4 Pts]],tbl_individual[[#This Row],[R5 Pts]],tbl_individual[[#This Row],[R6 Pts]])</f>
        <v>275</v>
      </c>
      <c r="U27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71" s="3">
        <f>tbl_individual[[#This Row],[Total]]</f>
        <v>275</v>
      </c>
    </row>
    <row r="272" spans="1:22" hidden="1" x14ac:dyDescent="0.4">
      <c r="A272" t="s">
        <v>439</v>
      </c>
      <c r="B272" t="s">
        <v>25</v>
      </c>
      <c r="C272" t="s">
        <v>1</v>
      </c>
      <c r="D272" s="3">
        <v>12105</v>
      </c>
      <c r="E272" s="3" t="s">
        <v>421</v>
      </c>
      <c r="F272" s="17" t="s">
        <v>438</v>
      </c>
      <c r="H272" s="3" t="s">
        <v>410</v>
      </c>
      <c r="I272" s="3">
        <f>IF(H272="","",IF(H272="DNS",0,IF(H272="DQ",0,IF(H272="DNF",1,IF(AND(ISNUMBER(H272),H272&gt;59),1,_xlfn.XLOOKUP(H272,tbl_points[Place],tbl_points[Points],""))))))</f>
        <v>0</v>
      </c>
      <c r="J272" s="3">
        <v>9</v>
      </c>
      <c r="K272" s="3">
        <f>IF(J272="","",IF(J272="DNS",0,IF(J272="DQ",0,IF(J272="DNF",1,IF(AND(ISNUMBER(J272),J272&gt;59),1,_xlfn.XLOOKUP(J272,tbl_points[Place],tbl_points[Points],""))))))</f>
        <v>60</v>
      </c>
      <c r="L272" s="3" t="s">
        <v>410</v>
      </c>
      <c r="M272" s="3">
        <f>IF(L272="","",IF(L272="DNS",0,IF(L272="DQ",0,IF(L272="DNF",1,IF(AND(ISNUMBER(L272),L272&gt;59),1,_xlfn.XLOOKUP(L272,tbl_points[Place],tbl_points[Points],""))))))</f>
        <v>0</v>
      </c>
      <c r="N272" s="3" t="s">
        <v>410</v>
      </c>
      <c r="O272" s="3">
        <f>IF(N272="","",IF(N272="DNS",0,IF(N272="DQ",0,IF(N272="DNF",1,IF(AND(ISNUMBER(N272),N272&gt;59),1,_xlfn.XLOOKUP(N272,tbl_points[Place],tbl_points[Points],""))))))</f>
        <v>0</v>
      </c>
      <c r="P272" s="3" t="s">
        <v>410</v>
      </c>
      <c r="Q272" s="3">
        <f>IF(P272="","",IF(P272="DNS",0,IF(P272="DQ",0,IF(P272="DNF",1,IF(AND(ISNUMBER(P272),P272&gt;59),1,_xlfn.XLOOKUP(P272,tbl_points[Place],tbl_points[Points],""))))))</f>
        <v>0</v>
      </c>
      <c r="S272" s="3" t="str">
        <f>IF(R272="","",IF(R272="DNS",0,IF(R272="DQ",0,IF(R272="DNF",1,IF(AND(ISNUMBER(R272),R272&gt;59),1,_xlfn.XLOOKUP(R272,tbl_points[Place],tbl_points[Points],""))))))</f>
        <v/>
      </c>
      <c r="T272" s="3">
        <f>SUM(tbl_individual[[#This Row],[R1 Pts]],tbl_individual[[#This Row],[R2 Pts]],tbl_individual[[#This Row],[R3 Pts]],tbl_individual[[#This Row],[R4 Pts]],tbl_individual[[#This Row],[R5 Pts]],tbl_individual[[#This Row],[R6 Pts]])</f>
        <v>60</v>
      </c>
      <c r="U27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72" s="3">
        <f>tbl_individual[[#This Row],[Total]]</f>
        <v>60</v>
      </c>
    </row>
    <row r="273" spans="1:22" hidden="1" x14ac:dyDescent="0.4">
      <c r="A273" t="s">
        <v>301</v>
      </c>
      <c r="B273" t="s">
        <v>26</v>
      </c>
      <c r="C273" t="s">
        <v>7</v>
      </c>
      <c r="D273" s="3">
        <v>820</v>
      </c>
      <c r="E273" s="3" t="s">
        <v>421</v>
      </c>
      <c r="G273" s="3" t="s">
        <v>403</v>
      </c>
      <c r="H273" s="3">
        <v>20</v>
      </c>
      <c r="I273" s="3">
        <f>IF(H273="","",IF(H273="DNS",0,IF(H273="DQ",0,IF(H273="DNF",1,IF(AND(ISNUMBER(H273),H273&gt;59),1,_xlfn.XLOOKUP(H273,tbl_points[Place],tbl_points[Points],""))))))</f>
        <v>40</v>
      </c>
      <c r="J273" s="3">
        <v>44</v>
      </c>
      <c r="K273" s="3">
        <f>IF(J273="","",IF(J273="DNS",0,IF(J273="DQ",0,IF(J273="DNF",1,IF(AND(ISNUMBER(J273),J273&gt;59),1,_xlfn.XLOOKUP(J273,tbl_points[Place],tbl_points[Points],""))))))</f>
        <v>16</v>
      </c>
      <c r="L273" s="3" t="s">
        <v>410</v>
      </c>
      <c r="M273" s="3">
        <f>IF(L273="","",IF(L273="DNS",0,IF(L273="DQ",0,IF(L273="DNF",1,IF(AND(ISNUMBER(L273),L273&gt;59),1,_xlfn.XLOOKUP(L273,tbl_points[Place],tbl_points[Points],""))))))</f>
        <v>0</v>
      </c>
      <c r="N273" s="3">
        <v>33</v>
      </c>
      <c r="O273" s="3">
        <f>IF(N273="","",IF(N273="DNS",0,IF(N273="DQ",0,IF(N273="DNF",1,IF(AND(ISNUMBER(N273),N273&gt;59),1,_xlfn.XLOOKUP(N273,tbl_points[Place],tbl_points[Points],""))))))</f>
        <v>27</v>
      </c>
      <c r="P273" s="3">
        <v>46</v>
      </c>
      <c r="Q273" s="3">
        <f>IF(P273="","",IF(P273="DNS",0,IF(P273="DQ",0,IF(P273="DNF",1,IF(AND(ISNUMBER(P273),P273&gt;59),1,_xlfn.XLOOKUP(P273,tbl_points[Place],tbl_points[Points],""))))))</f>
        <v>14</v>
      </c>
      <c r="S273" s="3" t="str">
        <f>IF(R273="","",IF(R273="DNS",0,IF(R273="DQ",0,IF(R273="DNF",1,IF(AND(ISNUMBER(R273),R273&gt;59),1,_xlfn.XLOOKUP(R273,tbl_points[Place],tbl_points[Points],""))))))</f>
        <v/>
      </c>
      <c r="T273" s="3">
        <f>SUM(tbl_individual[[#This Row],[R1 Pts]],tbl_individual[[#This Row],[R2 Pts]],tbl_individual[[#This Row],[R3 Pts]],tbl_individual[[#This Row],[R4 Pts]],tbl_individual[[#This Row],[R5 Pts]],tbl_individual[[#This Row],[R6 Pts]])</f>
        <v>97</v>
      </c>
      <c r="U27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73" s="3">
        <f>tbl_individual[[#This Row],[Total]]</f>
        <v>97</v>
      </c>
    </row>
    <row r="274" spans="1:22" hidden="1" x14ac:dyDescent="0.4">
      <c r="A274" t="s">
        <v>302</v>
      </c>
      <c r="B274" t="s">
        <v>26</v>
      </c>
      <c r="C274" t="s">
        <v>7</v>
      </c>
      <c r="D274" s="3">
        <v>821</v>
      </c>
      <c r="E274" s="3" t="s">
        <v>421</v>
      </c>
      <c r="G274" s="3" t="s">
        <v>403</v>
      </c>
      <c r="H274" s="3">
        <v>24</v>
      </c>
      <c r="I274" s="3">
        <f>IF(H274="","",IF(H274="DNS",0,IF(H274="DQ",0,IF(H274="DNF",1,IF(AND(ISNUMBER(H274),H274&gt;59),1,_xlfn.XLOOKUP(H274,tbl_points[Place],tbl_points[Points],""))))))</f>
        <v>36</v>
      </c>
      <c r="J274" s="3">
        <v>28</v>
      </c>
      <c r="K274" s="3">
        <f>IF(J274="","",IF(J274="DNS",0,IF(J274="DQ",0,IF(J274="DNF",1,IF(AND(ISNUMBER(J274),J274&gt;59),1,_xlfn.XLOOKUP(J274,tbl_points[Place],tbl_points[Points],""))))))</f>
        <v>32</v>
      </c>
      <c r="L274" s="3">
        <v>23</v>
      </c>
      <c r="M274" s="3">
        <f>IF(L274="","",IF(L274="DNS",0,IF(L274="DQ",0,IF(L274="DNF",1,IF(AND(ISNUMBER(L274),L274&gt;59),1,_xlfn.XLOOKUP(L274,tbl_points[Place],tbl_points[Points],""))))))</f>
        <v>37</v>
      </c>
      <c r="N274" s="3">
        <v>9</v>
      </c>
      <c r="O274" s="3">
        <f>IF(N274="","",IF(N274="DNS",0,IF(N274="DQ",0,IF(N274="DNF",1,IF(AND(ISNUMBER(N274),N274&gt;59),1,_xlfn.XLOOKUP(N274,tbl_points[Place],tbl_points[Points],""))))))</f>
        <v>60</v>
      </c>
      <c r="P274" s="3">
        <v>19</v>
      </c>
      <c r="Q274" s="3">
        <f>IF(P274="","",IF(P274="DNS",0,IF(P274="DQ",0,IF(P274="DNF",1,IF(AND(ISNUMBER(P274),P274&gt;59),1,_xlfn.XLOOKUP(P274,tbl_points[Place],tbl_points[Points],""))))))</f>
        <v>41</v>
      </c>
      <c r="S274" s="3" t="str">
        <f>IF(R274="","",IF(R274="DNS",0,IF(R274="DQ",0,IF(R274="DNF",1,IF(AND(ISNUMBER(R274),R274&gt;59),1,_xlfn.XLOOKUP(R274,tbl_points[Place],tbl_points[Points],""))))))</f>
        <v/>
      </c>
      <c r="T274" s="3">
        <f>SUM(tbl_individual[[#This Row],[R1 Pts]],tbl_individual[[#This Row],[R2 Pts]],tbl_individual[[#This Row],[R3 Pts]],tbl_individual[[#This Row],[R4 Pts]],tbl_individual[[#This Row],[R5 Pts]],tbl_individual[[#This Row],[R6 Pts]])</f>
        <v>206</v>
      </c>
      <c r="U274" s="3">
        <f>MIN(tbl_individual[[#This Row],[R1 Pts]],tbl_individual[[#This Row],[R2 Pts]],tbl_individual[[#This Row],[R3 Pts]],tbl_individual[[#This Row],[R4 Pts]],tbl_individual[[#This Row],[R5 Pts]],tbl_individual[[#This Row],[R6 Pts]])</f>
        <v>32</v>
      </c>
      <c r="V274" s="3">
        <f>tbl_individual[[#This Row],[Total]]</f>
        <v>206</v>
      </c>
    </row>
    <row r="275" spans="1:22" hidden="1" x14ac:dyDescent="0.4">
      <c r="A275" t="s">
        <v>303</v>
      </c>
      <c r="B275" t="s">
        <v>26</v>
      </c>
      <c r="C275" t="s">
        <v>7</v>
      </c>
      <c r="D275" s="3">
        <v>822</v>
      </c>
      <c r="E275" s="3" t="s">
        <v>421</v>
      </c>
      <c r="G275" s="3" t="s">
        <v>403</v>
      </c>
      <c r="H275" s="3">
        <v>27</v>
      </c>
      <c r="I275" s="3">
        <f>IF(H275="","",IF(H275="DNS",0,IF(H275="DQ",0,IF(H275="DNF",1,IF(AND(ISNUMBER(H275),H275&gt;59),1,_xlfn.XLOOKUP(H275,tbl_points[Place],tbl_points[Points],""))))))</f>
        <v>33</v>
      </c>
      <c r="J275" s="3">
        <v>42</v>
      </c>
      <c r="K275" s="3">
        <f>IF(J275="","",IF(J275="DNS",0,IF(J275="DQ",0,IF(J275="DNF",1,IF(AND(ISNUMBER(J275),J275&gt;59),1,_xlfn.XLOOKUP(J275,tbl_points[Place],tbl_points[Points],""))))))</f>
        <v>18</v>
      </c>
      <c r="L275" s="3">
        <v>26</v>
      </c>
      <c r="M275" s="3">
        <f>IF(L275="","",IF(L275="DNS",0,IF(L275="DQ",0,IF(L275="DNF",1,IF(AND(ISNUMBER(L275),L275&gt;59),1,_xlfn.XLOOKUP(L275,tbl_points[Place],tbl_points[Points],""))))))</f>
        <v>34</v>
      </c>
      <c r="N275" s="3">
        <v>30</v>
      </c>
      <c r="O275" s="3">
        <f>IF(N275="","",IF(N275="DNS",0,IF(N275="DQ",0,IF(N275="DNF",1,IF(AND(ISNUMBER(N275),N275&gt;59),1,_xlfn.XLOOKUP(N275,tbl_points[Place],tbl_points[Points],""))))))</f>
        <v>30</v>
      </c>
      <c r="P275" s="3">
        <v>39</v>
      </c>
      <c r="Q275" s="3">
        <f>IF(P275="","",IF(P275="DNS",0,IF(P275="DQ",0,IF(P275="DNF",1,IF(AND(ISNUMBER(P275),P275&gt;59),1,_xlfn.XLOOKUP(P275,tbl_points[Place],tbl_points[Points],""))))))</f>
        <v>21</v>
      </c>
      <c r="S275" s="3" t="str">
        <f>IF(R275="","",IF(R275="DNS",0,IF(R275="DQ",0,IF(R275="DNF",1,IF(AND(ISNUMBER(R275),R275&gt;59),1,_xlfn.XLOOKUP(R275,tbl_points[Place],tbl_points[Points],""))))))</f>
        <v/>
      </c>
      <c r="T275" s="3">
        <f>SUM(tbl_individual[[#This Row],[R1 Pts]],tbl_individual[[#This Row],[R2 Pts]],tbl_individual[[#This Row],[R3 Pts]],tbl_individual[[#This Row],[R4 Pts]],tbl_individual[[#This Row],[R5 Pts]],tbl_individual[[#This Row],[R6 Pts]])</f>
        <v>136</v>
      </c>
      <c r="U275" s="3">
        <f>MIN(tbl_individual[[#This Row],[R1 Pts]],tbl_individual[[#This Row],[R2 Pts]],tbl_individual[[#This Row],[R3 Pts]],tbl_individual[[#This Row],[R4 Pts]],tbl_individual[[#This Row],[R5 Pts]],tbl_individual[[#This Row],[R6 Pts]])</f>
        <v>18</v>
      </c>
      <c r="V275" s="3">
        <f>tbl_individual[[#This Row],[Total]]</f>
        <v>136</v>
      </c>
    </row>
    <row r="276" spans="1:22" hidden="1" x14ac:dyDescent="0.4">
      <c r="A276" t="s">
        <v>304</v>
      </c>
      <c r="B276" t="s">
        <v>26</v>
      </c>
      <c r="C276" t="s">
        <v>7</v>
      </c>
      <c r="D276" s="3">
        <v>823</v>
      </c>
      <c r="E276" s="3" t="s">
        <v>421</v>
      </c>
      <c r="G276" s="3" t="s">
        <v>403</v>
      </c>
      <c r="H276" s="3">
        <v>12</v>
      </c>
      <c r="I276" s="3">
        <f>IF(H276="","",IF(H276="DNS",0,IF(H276="DQ",0,IF(H276="DNF",1,IF(AND(ISNUMBER(H276),H276&gt;59),1,_xlfn.XLOOKUP(H276,tbl_points[Place],tbl_points[Points],""))))))</f>
        <v>51</v>
      </c>
      <c r="J276" s="3">
        <v>37</v>
      </c>
      <c r="K276" s="3">
        <f>IF(J276="","",IF(J276="DNS",0,IF(J276="DQ",0,IF(J276="DNF",1,IF(AND(ISNUMBER(J276),J276&gt;59),1,_xlfn.XLOOKUP(J276,tbl_points[Place],tbl_points[Points],""))))))</f>
        <v>23</v>
      </c>
      <c r="L276" s="3">
        <v>12</v>
      </c>
      <c r="M276" s="3">
        <f>IF(L276="","",IF(L276="DNS",0,IF(L276="DQ",0,IF(L276="DNF",1,IF(AND(ISNUMBER(L276),L276&gt;59),1,_xlfn.XLOOKUP(L276,tbl_points[Place],tbl_points[Points],""))))))</f>
        <v>51</v>
      </c>
      <c r="N276" s="3">
        <v>27</v>
      </c>
      <c r="O276" s="3">
        <f>IF(N276="","",IF(N276="DNS",0,IF(N276="DQ",0,IF(N276="DNF",1,IF(AND(ISNUMBER(N276),N276&gt;59),1,_xlfn.XLOOKUP(N276,tbl_points[Place],tbl_points[Points],""))))))</f>
        <v>33</v>
      </c>
      <c r="P276" s="3">
        <v>34</v>
      </c>
      <c r="Q276" s="3">
        <f>IF(P276="","",IF(P276="DNS",0,IF(P276="DQ",0,IF(P276="DNF",1,IF(AND(ISNUMBER(P276),P276&gt;59),1,_xlfn.XLOOKUP(P276,tbl_points[Place],tbl_points[Points],""))))))</f>
        <v>26</v>
      </c>
      <c r="S276" s="3" t="str">
        <f>IF(R276="","",IF(R276="DNS",0,IF(R276="DQ",0,IF(R276="DNF",1,IF(AND(ISNUMBER(R276),R276&gt;59),1,_xlfn.XLOOKUP(R276,tbl_points[Place],tbl_points[Points],""))))))</f>
        <v/>
      </c>
      <c r="T276" s="3">
        <f>SUM(tbl_individual[[#This Row],[R1 Pts]],tbl_individual[[#This Row],[R2 Pts]],tbl_individual[[#This Row],[R3 Pts]],tbl_individual[[#This Row],[R4 Pts]],tbl_individual[[#This Row],[R5 Pts]],tbl_individual[[#This Row],[R6 Pts]])</f>
        <v>184</v>
      </c>
      <c r="U276" s="3">
        <f>MIN(tbl_individual[[#This Row],[R1 Pts]],tbl_individual[[#This Row],[R2 Pts]],tbl_individual[[#This Row],[R3 Pts]],tbl_individual[[#This Row],[R4 Pts]],tbl_individual[[#This Row],[R5 Pts]],tbl_individual[[#This Row],[R6 Pts]])</f>
        <v>23</v>
      </c>
      <c r="V276" s="3">
        <f>tbl_individual[[#This Row],[Total]]</f>
        <v>184</v>
      </c>
    </row>
    <row r="277" spans="1:22" hidden="1" x14ac:dyDescent="0.4">
      <c r="A277" t="s">
        <v>305</v>
      </c>
      <c r="B277" t="s">
        <v>26</v>
      </c>
      <c r="C277" t="s">
        <v>5</v>
      </c>
      <c r="D277" s="3">
        <v>939</v>
      </c>
      <c r="E277" s="3" t="s">
        <v>421</v>
      </c>
      <c r="G277" s="3" t="s">
        <v>403</v>
      </c>
      <c r="H277" s="3" t="s">
        <v>410</v>
      </c>
      <c r="I277" s="3">
        <f>IF(H277="","",IF(H277="DNS",0,IF(H277="DQ",0,IF(H277="DNF",1,IF(AND(ISNUMBER(H277),H277&gt;59),1,_xlfn.XLOOKUP(H277,tbl_points[Place],tbl_points[Points],""))))))</f>
        <v>0</v>
      </c>
      <c r="J277" s="3">
        <v>32</v>
      </c>
      <c r="K277" s="3">
        <f>IF(J277="","",IF(J277="DNS",0,IF(J277="DQ",0,IF(J277="DNF",1,IF(AND(ISNUMBER(J277),J277&gt;59),1,_xlfn.XLOOKUP(J277,tbl_points[Place],tbl_points[Points],""))))))</f>
        <v>28</v>
      </c>
      <c r="L277" s="3">
        <v>26</v>
      </c>
      <c r="M277" s="3">
        <f>IF(L277="","",IF(L277="DNS",0,IF(L277="DQ",0,IF(L277="DNF",1,IF(AND(ISNUMBER(L277),L277&gt;59),1,_xlfn.XLOOKUP(L277,tbl_points[Place],tbl_points[Points],""))))))</f>
        <v>34</v>
      </c>
      <c r="N277" s="3">
        <v>32</v>
      </c>
      <c r="O277" s="3">
        <f>IF(N277="","",IF(N277="DNS",0,IF(N277="DQ",0,IF(N277="DNF",1,IF(AND(ISNUMBER(N277),N277&gt;59),1,_xlfn.XLOOKUP(N277,tbl_points[Place],tbl_points[Points],""))))))</f>
        <v>28</v>
      </c>
      <c r="P277" s="3" t="s">
        <v>410</v>
      </c>
      <c r="Q277" s="3">
        <f>IF(P277="","",IF(P277="DNS",0,IF(P277="DQ",0,IF(P277="DNF",1,IF(AND(ISNUMBER(P277),P277&gt;59),1,_xlfn.XLOOKUP(P277,tbl_points[Place],tbl_points[Points],""))))))</f>
        <v>0</v>
      </c>
      <c r="S277" s="3" t="str">
        <f>IF(R277="","",IF(R277="DNS",0,IF(R277="DQ",0,IF(R277="DNF",1,IF(AND(ISNUMBER(R277),R277&gt;59),1,_xlfn.XLOOKUP(R277,tbl_points[Place],tbl_points[Points],""))))))</f>
        <v/>
      </c>
      <c r="T277" s="3">
        <f>SUM(tbl_individual[[#This Row],[R1 Pts]],tbl_individual[[#This Row],[R2 Pts]],tbl_individual[[#This Row],[R3 Pts]],tbl_individual[[#This Row],[R4 Pts]],tbl_individual[[#This Row],[R5 Pts]],tbl_individual[[#This Row],[R6 Pts]])</f>
        <v>90</v>
      </c>
      <c r="U27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77" s="3">
        <f>tbl_individual[[#This Row],[Total]]</f>
        <v>90</v>
      </c>
    </row>
    <row r="278" spans="1:22" hidden="1" x14ac:dyDescent="0.4">
      <c r="A278" t="s">
        <v>306</v>
      </c>
      <c r="B278" t="s">
        <v>26</v>
      </c>
      <c r="C278" t="s">
        <v>5</v>
      </c>
      <c r="D278" s="3">
        <v>940</v>
      </c>
      <c r="E278" s="3" t="s">
        <v>421</v>
      </c>
      <c r="G278" s="3" t="s">
        <v>403</v>
      </c>
      <c r="H278" s="3">
        <v>37</v>
      </c>
      <c r="I278" s="3">
        <f>IF(H278="","",IF(H278="DNS",0,IF(H278="DQ",0,IF(H278="DNF",1,IF(AND(ISNUMBER(H278),H278&gt;59),1,_xlfn.XLOOKUP(H278,tbl_points[Place],tbl_points[Points],""))))))</f>
        <v>23</v>
      </c>
      <c r="J278" s="3">
        <v>26</v>
      </c>
      <c r="K278" s="3">
        <f>IF(J278="","",IF(J278="DNS",0,IF(J278="DQ",0,IF(J278="DNF",1,IF(AND(ISNUMBER(J278),J278&gt;59),1,_xlfn.XLOOKUP(J278,tbl_points[Place],tbl_points[Points],""))))))</f>
        <v>34</v>
      </c>
      <c r="L278" s="3" t="s">
        <v>410</v>
      </c>
      <c r="M278" s="3">
        <f>IF(L278="","",IF(L278="DNS",0,IF(L278="DQ",0,IF(L278="DNF",1,IF(AND(ISNUMBER(L278),L278&gt;59),1,_xlfn.XLOOKUP(L278,tbl_points[Place],tbl_points[Points],""))))))</f>
        <v>0</v>
      </c>
      <c r="N278" s="3">
        <v>26</v>
      </c>
      <c r="O278" s="3">
        <f>IF(N278="","",IF(N278="DNS",0,IF(N278="DQ",0,IF(N278="DNF",1,IF(AND(ISNUMBER(N278),N278&gt;59),1,_xlfn.XLOOKUP(N278,tbl_points[Place],tbl_points[Points],""))))))</f>
        <v>34</v>
      </c>
      <c r="P278" s="3">
        <v>27</v>
      </c>
      <c r="Q278" s="3">
        <f>IF(P278="","",IF(P278="DNS",0,IF(P278="DQ",0,IF(P278="DNF",1,IF(AND(ISNUMBER(P278),P278&gt;59),1,_xlfn.XLOOKUP(P278,tbl_points[Place],tbl_points[Points],""))))))</f>
        <v>33</v>
      </c>
      <c r="S278" s="3" t="str">
        <f>IF(R278="","",IF(R278="DNS",0,IF(R278="DQ",0,IF(R278="DNF",1,IF(AND(ISNUMBER(R278),R278&gt;59),1,_xlfn.XLOOKUP(R278,tbl_points[Place],tbl_points[Points],""))))))</f>
        <v/>
      </c>
      <c r="T278" s="3">
        <f>SUM(tbl_individual[[#This Row],[R1 Pts]],tbl_individual[[#This Row],[R2 Pts]],tbl_individual[[#This Row],[R3 Pts]],tbl_individual[[#This Row],[R4 Pts]],tbl_individual[[#This Row],[R5 Pts]],tbl_individual[[#This Row],[R6 Pts]])</f>
        <v>124</v>
      </c>
      <c r="U27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78" s="3">
        <f>tbl_individual[[#This Row],[Total]]</f>
        <v>124</v>
      </c>
    </row>
    <row r="279" spans="1:22" hidden="1" x14ac:dyDescent="0.4">
      <c r="A279" t="s">
        <v>307</v>
      </c>
      <c r="B279" t="s">
        <v>26</v>
      </c>
      <c r="C279" t="s">
        <v>3</v>
      </c>
      <c r="D279" s="3">
        <v>10190</v>
      </c>
      <c r="E279" s="3" t="s">
        <v>421</v>
      </c>
      <c r="G279" s="3" t="s">
        <v>403</v>
      </c>
      <c r="H279" s="3" t="s">
        <v>410</v>
      </c>
      <c r="I279" s="3">
        <f>IF(H279="","",IF(H279="DNS",0,IF(H279="DQ",0,IF(H279="DNF",1,IF(AND(ISNUMBER(H279),H279&gt;59),1,_xlfn.XLOOKUP(H279,tbl_points[Place],tbl_points[Points],""))))))</f>
        <v>0</v>
      </c>
      <c r="J279" s="3" t="s">
        <v>410</v>
      </c>
      <c r="K279" s="3">
        <f>IF(J279="","",IF(J279="DNS",0,IF(J279="DQ",0,IF(J279="DNF",1,IF(AND(ISNUMBER(J279),J279&gt;59),1,_xlfn.XLOOKUP(J279,tbl_points[Place],tbl_points[Points],""))))))</f>
        <v>0</v>
      </c>
      <c r="L279" s="3">
        <v>36</v>
      </c>
      <c r="M279" s="3">
        <f>IF(L279="","",IF(L279="DNS",0,IF(L279="DQ",0,IF(L279="DNF",1,IF(AND(ISNUMBER(L279),L279&gt;59),1,_xlfn.XLOOKUP(L279,tbl_points[Place],tbl_points[Points],""))))))</f>
        <v>24</v>
      </c>
      <c r="N279" s="3">
        <v>42</v>
      </c>
      <c r="O279" s="3">
        <f>IF(N279="","",IF(N279="DNS",0,IF(N279="DQ",0,IF(N279="DNF",1,IF(AND(ISNUMBER(N279),N279&gt;59),1,_xlfn.XLOOKUP(N279,tbl_points[Place],tbl_points[Points],""))))))</f>
        <v>18</v>
      </c>
      <c r="P279" s="3" t="s">
        <v>409</v>
      </c>
      <c r="Q279" s="3">
        <f>IF(P279="","",IF(P279="DNS",0,IF(P279="DQ",0,IF(P279="DNF",1,IF(AND(ISNUMBER(P279),P279&gt;59),1,_xlfn.XLOOKUP(P279,tbl_points[Place],tbl_points[Points],""))))))</f>
        <v>1</v>
      </c>
      <c r="S279" s="3" t="str">
        <f>IF(R279="","",IF(R279="DNS",0,IF(R279="DQ",0,IF(R279="DNF",1,IF(AND(ISNUMBER(R279),R279&gt;59),1,_xlfn.XLOOKUP(R279,tbl_points[Place],tbl_points[Points],""))))))</f>
        <v/>
      </c>
      <c r="T279" s="3">
        <f>SUM(tbl_individual[[#This Row],[R1 Pts]],tbl_individual[[#This Row],[R2 Pts]],tbl_individual[[#This Row],[R3 Pts]],tbl_individual[[#This Row],[R4 Pts]],tbl_individual[[#This Row],[R5 Pts]],tbl_individual[[#This Row],[R6 Pts]])</f>
        <v>43</v>
      </c>
      <c r="U27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79" s="3">
        <f>tbl_individual[[#This Row],[Total]]</f>
        <v>43</v>
      </c>
    </row>
    <row r="280" spans="1:22" hidden="1" x14ac:dyDescent="0.4">
      <c r="A280" t="s">
        <v>308</v>
      </c>
      <c r="B280" t="s">
        <v>26</v>
      </c>
      <c r="C280" t="s">
        <v>1</v>
      </c>
      <c r="D280" s="3">
        <v>12076</v>
      </c>
      <c r="E280" s="3" t="s">
        <v>421</v>
      </c>
      <c r="G280" s="3" t="s">
        <v>403</v>
      </c>
      <c r="H280" s="3" t="s">
        <v>410</v>
      </c>
      <c r="I280" s="3">
        <f>IF(H280="","",IF(H280="DNS",0,IF(H280="DQ",0,IF(H280="DNF",1,IF(AND(ISNUMBER(H280),H280&gt;59),1,_xlfn.XLOOKUP(H280,tbl_points[Place],tbl_points[Points],""))))))</f>
        <v>0</v>
      </c>
      <c r="J280" s="3">
        <v>58</v>
      </c>
      <c r="K280" s="3">
        <f>IF(J280="","",IF(J280="DNS",0,IF(J280="DQ",0,IF(J280="DNF",1,IF(AND(ISNUMBER(J280),J280&gt;59),1,_xlfn.XLOOKUP(J280,tbl_points[Place],tbl_points[Points],""))))))</f>
        <v>2</v>
      </c>
      <c r="L280" s="3">
        <v>51</v>
      </c>
      <c r="M280" s="3">
        <f>IF(L280="","",IF(L280="DNS",0,IF(L280="DQ",0,IF(L280="DNF",1,IF(AND(ISNUMBER(L280),L280&gt;59),1,_xlfn.XLOOKUP(L280,tbl_points[Place],tbl_points[Points],""))))))</f>
        <v>9</v>
      </c>
      <c r="N280" s="3">
        <v>59</v>
      </c>
      <c r="O280" s="3">
        <f>IF(N280="","",IF(N280="DNS",0,IF(N280="DQ",0,IF(N280="DNF",1,IF(AND(ISNUMBER(N280),N280&gt;59),1,_xlfn.XLOOKUP(N280,tbl_points[Place],tbl_points[Points],""))))))</f>
        <v>1</v>
      </c>
      <c r="P280" s="3">
        <v>55</v>
      </c>
      <c r="Q280" s="3">
        <f>IF(P280="","",IF(P280="DNS",0,IF(P280="DQ",0,IF(P280="DNF",1,IF(AND(ISNUMBER(P280),P280&gt;59),1,_xlfn.XLOOKUP(P280,tbl_points[Place],tbl_points[Points],""))))))</f>
        <v>5</v>
      </c>
      <c r="S280" s="3" t="str">
        <f>IF(R280="","",IF(R280="DNS",0,IF(R280="DQ",0,IF(R280="DNF",1,IF(AND(ISNUMBER(R280),R280&gt;59),1,_xlfn.XLOOKUP(R280,tbl_points[Place],tbl_points[Points],""))))))</f>
        <v/>
      </c>
      <c r="T280" s="3">
        <f>SUM(tbl_individual[[#This Row],[R1 Pts]],tbl_individual[[#This Row],[R2 Pts]],tbl_individual[[#This Row],[R3 Pts]],tbl_individual[[#This Row],[R4 Pts]],tbl_individual[[#This Row],[R5 Pts]],tbl_individual[[#This Row],[R6 Pts]])</f>
        <v>17</v>
      </c>
      <c r="U28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0" s="3">
        <f>tbl_individual[[#This Row],[Total]]</f>
        <v>17</v>
      </c>
    </row>
    <row r="281" spans="1:22" hidden="1" x14ac:dyDescent="0.4">
      <c r="A281" t="s">
        <v>309</v>
      </c>
      <c r="B281" t="s">
        <v>26</v>
      </c>
      <c r="C281" t="s">
        <v>1</v>
      </c>
      <c r="D281" s="3">
        <v>12077</v>
      </c>
      <c r="E281" s="3" t="s">
        <v>421</v>
      </c>
      <c r="G281" s="3" t="s">
        <v>403</v>
      </c>
      <c r="H281" s="3">
        <v>12</v>
      </c>
      <c r="I281" s="3">
        <f>IF(H281="","",IF(H281="DNS",0,IF(H281="DQ",0,IF(H281="DNF",1,IF(AND(ISNUMBER(H281),H281&gt;59),1,_xlfn.XLOOKUP(H281,tbl_points[Place],tbl_points[Points],""))))))</f>
        <v>51</v>
      </c>
      <c r="J281" s="3">
        <v>54</v>
      </c>
      <c r="K281" s="3">
        <f>IF(J281="","",IF(J281="DNS",0,IF(J281="DQ",0,IF(J281="DNF",1,IF(AND(ISNUMBER(J281),J281&gt;59),1,_xlfn.XLOOKUP(J281,tbl_points[Place],tbl_points[Points],""))))))</f>
        <v>6</v>
      </c>
      <c r="L281" s="3">
        <v>14</v>
      </c>
      <c r="M281" s="3">
        <f>IF(L281="","",IF(L281="DNS",0,IF(L281="DQ",0,IF(L281="DNF",1,IF(AND(ISNUMBER(L281),L281&gt;59),1,_xlfn.XLOOKUP(L281,tbl_points[Place],tbl_points[Points],""))))))</f>
        <v>47</v>
      </c>
      <c r="N281" s="3">
        <v>52</v>
      </c>
      <c r="O281" s="3">
        <f>IF(N281="","",IF(N281="DNS",0,IF(N281="DQ",0,IF(N281="DNF",1,IF(AND(ISNUMBER(N281),N281&gt;59),1,_xlfn.XLOOKUP(N281,tbl_points[Place],tbl_points[Points],""))))))</f>
        <v>8</v>
      </c>
      <c r="P281" s="3">
        <v>46</v>
      </c>
      <c r="Q281" s="3">
        <f>IF(P281="","",IF(P281="DNS",0,IF(P281="DQ",0,IF(P281="DNF",1,IF(AND(ISNUMBER(P281),P281&gt;59),1,_xlfn.XLOOKUP(P281,tbl_points[Place],tbl_points[Points],""))))))</f>
        <v>14</v>
      </c>
      <c r="S281" s="3" t="str">
        <f>IF(R281="","",IF(R281="DNS",0,IF(R281="DQ",0,IF(R281="DNF",1,IF(AND(ISNUMBER(R281),R281&gt;59),1,_xlfn.XLOOKUP(R281,tbl_points[Place],tbl_points[Points],""))))))</f>
        <v/>
      </c>
      <c r="T281" s="3">
        <f>SUM(tbl_individual[[#This Row],[R1 Pts]],tbl_individual[[#This Row],[R2 Pts]],tbl_individual[[#This Row],[R3 Pts]],tbl_individual[[#This Row],[R4 Pts]],tbl_individual[[#This Row],[R5 Pts]],tbl_individual[[#This Row],[R6 Pts]])</f>
        <v>126</v>
      </c>
      <c r="U281" s="3">
        <f>MIN(tbl_individual[[#This Row],[R1 Pts]],tbl_individual[[#This Row],[R2 Pts]],tbl_individual[[#This Row],[R3 Pts]],tbl_individual[[#This Row],[R4 Pts]],tbl_individual[[#This Row],[R5 Pts]],tbl_individual[[#This Row],[R6 Pts]])</f>
        <v>6</v>
      </c>
      <c r="V281" s="3">
        <f>tbl_individual[[#This Row],[Total]]</f>
        <v>126</v>
      </c>
    </row>
    <row r="282" spans="1:22" hidden="1" x14ac:dyDescent="0.4">
      <c r="A282" t="s">
        <v>310</v>
      </c>
      <c r="B282" t="s">
        <v>26</v>
      </c>
      <c r="C282" t="s">
        <v>1</v>
      </c>
      <c r="D282" s="3">
        <v>12078</v>
      </c>
      <c r="E282" s="3" t="s">
        <v>421</v>
      </c>
      <c r="G282" s="3" t="s">
        <v>403</v>
      </c>
      <c r="H282" s="3" t="s">
        <v>410</v>
      </c>
      <c r="I282" s="3">
        <f>IF(H282="","",IF(H282="DNS",0,IF(H282="DQ",0,IF(H282="DNF",1,IF(AND(ISNUMBER(H282),H282&gt;59),1,_xlfn.XLOOKUP(H282,tbl_points[Place],tbl_points[Points],""))))))</f>
        <v>0</v>
      </c>
      <c r="J282" s="3" t="s">
        <v>410</v>
      </c>
      <c r="K282" s="3">
        <f>IF(J282="","",IF(J282="DNS",0,IF(J282="DQ",0,IF(J282="DNF",1,IF(AND(ISNUMBER(J282),J282&gt;59),1,_xlfn.XLOOKUP(J282,tbl_points[Place],tbl_points[Points],""))))))</f>
        <v>0</v>
      </c>
      <c r="L282" s="3" t="s">
        <v>410</v>
      </c>
      <c r="M282" s="3">
        <f>IF(L282="","",IF(L282="DNS",0,IF(L282="DQ",0,IF(L282="DNF",1,IF(AND(ISNUMBER(L282),L282&gt;59),1,_xlfn.XLOOKUP(L282,tbl_points[Place],tbl_points[Points],""))))))</f>
        <v>0</v>
      </c>
      <c r="N282" s="3" t="s">
        <v>409</v>
      </c>
      <c r="O282" s="3">
        <f>IF(N282="","",IF(N282="DNS",0,IF(N282="DQ",0,IF(N282="DNF",1,IF(AND(ISNUMBER(N282),N282&gt;59),1,_xlfn.XLOOKUP(N282,tbl_points[Place],tbl_points[Points],""))))))</f>
        <v>1</v>
      </c>
      <c r="P282" s="3" t="s">
        <v>409</v>
      </c>
      <c r="Q282" s="3">
        <f>IF(P282="","",IF(P282="DNS",0,IF(P282="DQ",0,IF(P282="DNF",1,IF(AND(ISNUMBER(P282),P282&gt;59),1,_xlfn.XLOOKUP(P282,tbl_points[Place],tbl_points[Points],""))))))</f>
        <v>1</v>
      </c>
      <c r="S282" s="3" t="str">
        <f>IF(R282="","",IF(R282="DNS",0,IF(R282="DQ",0,IF(R282="DNF",1,IF(AND(ISNUMBER(R282),R282&gt;59),1,_xlfn.XLOOKUP(R282,tbl_points[Place],tbl_points[Points],""))))))</f>
        <v/>
      </c>
      <c r="T282" s="3">
        <f>SUM(tbl_individual[[#This Row],[R1 Pts]],tbl_individual[[#This Row],[R2 Pts]],tbl_individual[[#This Row],[R3 Pts]],tbl_individual[[#This Row],[R4 Pts]],tbl_individual[[#This Row],[R5 Pts]],tbl_individual[[#This Row],[R6 Pts]])</f>
        <v>2</v>
      </c>
      <c r="U28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2" s="3">
        <f>tbl_individual[[#This Row],[Total]]</f>
        <v>2</v>
      </c>
    </row>
    <row r="283" spans="1:22" hidden="1" x14ac:dyDescent="0.4">
      <c r="A283" t="s">
        <v>311</v>
      </c>
      <c r="B283" t="s">
        <v>26</v>
      </c>
      <c r="C283" t="s">
        <v>1</v>
      </c>
      <c r="D283" s="3">
        <v>12079</v>
      </c>
      <c r="E283" s="3" t="s">
        <v>421</v>
      </c>
      <c r="G283" s="3" t="s">
        <v>403</v>
      </c>
      <c r="H283" s="3" t="s">
        <v>410</v>
      </c>
      <c r="I283" s="3">
        <f>IF(H283="","",IF(H283="DNS",0,IF(H283="DQ",0,IF(H283="DNF",1,IF(AND(ISNUMBER(H283),H283&gt;59),1,_xlfn.XLOOKUP(H283,tbl_points[Place],tbl_points[Points],""))))))</f>
        <v>0</v>
      </c>
      <c r="J283" s="3">
        <v>50</v>
      </c>
      <c r="K283" s="3">
        <f>IF(J283="","",IF(J283="DNS",0,IF(J283="DQ",0,IF(J283="DNF",1,IF(AND(ISNUMBER(J283),J283&gt;59),1,_xlfn.XLOOKUP(J283,tbl_points[Place],tbl_points[Points],""))))))</f>
        <v>10</v>
      </c>
      <c r="L283" s="3" t="s">
        <v>410</v>
      </c>
      <c r="M283" s="3">
        <f>IF(L283="","",IF(L283="DNS",0,IF(L283="DQ",0,IF(L283="DNF",1,IF(AND(ISNUMBER(L283),L283&gt;59),1,_xlfn.XLOOKUP(L283,tbl_points[Place],tbl_points[Points],""))))))</f>
        <v>0</v>
      </c>
      <c r="N283" s="3">
        <v>51</v>
      </c>
      <c r="O283" s="3">
        <f>IF(N283="","",IF(N283="DNS",0,IF(N283="DQ",0,IF(N283="DNF",1,IF(AND(ISNUMBER(N283),N283&gt;59),1,_xlfn.XLOOKUP(N283,tbl_points[Place],tbl_points[Points],""))))))</f>
        <v>9</v>
      </c>
      <c r="P283" s="3">
        <v>56</v>
      </c>
      <c r="Q283" s="3">
        <f>IF(P283="","",IF(P283="DNS",0,IF(P283="DQ",0,IF(P283="DNF",1,IF(AND(ISNUMBER(P283),P283&gt;59),1,_xlfn.XLOOKUP(P283,tbl_points[Place],tbl_points[Points],""))))))</f>
        <v>4</v>
      </c>
      <c r="S283" s="3" t="str">
        <f>IF(R283="","",IF(R283="DNS",0,IF(R283="DQ",0,IF(R283="DNF",1,IF(AND(ISNUMBER(R283),R283&gt;59),1,_xlfn.XLOOKUP(R283,tbl_points[Place],tbl_points[Points],""))))))</f>
        <v/>
      </c>
      <c r="T283" s="3">
        <f>SUM(tbl_individual[[#This Row],[R1 Pts]],tbl_individual[[#This Row],[R2 Pts]],tbl_individual[[#This Row],[R3 Pts]],tbl_individual[[#This Row],[R4 Pts]],tbl_individual[[#This Row],[R5 Pts]],tbl_individual[[#This Row],[R6 Pts]])</f>
        <v>23</v>
      </c>
      <c r="U28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3" s="3">
        <f>tbl_individual[[#This Row],[Total]]</f>
        <v>23</v>
      </c>
    </row>
    <row r="284" spans="1:22" hidden="1" x14ac:dyDescent="0.4">
      <c r="A284" t="s">
        <v>312</v>
      </c>
      <c r="B284" t="s">
        <v>27</v>
      </c>
      <c r="C284" t="s">
        <v>7</v>
      </c>
      <c r="D284" s="3">
        <v>824</v>
      </c>
      <c r="E284" s="3" t="s">
        <v>421</v>
      </c>
      <c r="G284" s="3" t="s">
        <v>403</v>
      </c>
      <c r="H284" s="3">
        <v>10</v>
      </c>
      <c r="I284" s="3">
        <f>IF(H284="","",IF(H284="DNS",0,IF(H284="DQ",0,IF(H284="DNF",1,IF(AND(ISNUMBER(H284),H284&gt;59),1,_xlfn.XLOOKUP(H284,tbl_points[Place],tbl_points[Points],""))))))</f>
        <v>55</v>
      </c>
      <c r="J284" s="3">
        <v>23</v>
      </c>
      <c r="K284" s="3">
        <f>IF(J284="","",IF(J284="DNS",0,IF(J284="DQ",0,IF(J284="DNF",1,IF(AND(ISNUMBER(J284),J284&gt;59),1,_xlfn.XLOOKUP(J284,tbl_points[Place],tbl_points[Points],""))))))</f>
        <v>37</v>
      </c>
      <c r="L284" s="3">
        <v>13</v>
      </c>
      <c r="M284" s="3">
        <f>IF(L284="","",IF(L284="DNS",0,IF(L284="DQ",0,IF(L284="DNF",1,IF(AND(ISNUMBER(L284),L284&gt;59),1,_xlfn.XLOOKUP(L284,tbl_points[Place],tbl_points[Points],""))))))</f>
        <v>49</v>
      </c>
      <c r="N284" s="3">
        <v>14</v>
      </c>
      <c r="O284" s="3">
        <f>IF(N284="","",IF(N284="DNS",0,IF(N284="DQ",0,IF(N284="DNF",1,IF(AND(ISNUMBER(N284),N284&gt;59),1,_xlfn.XLOOKUP(N284,tbl_points[Place],tbl_points[Points],""))))))</f>
        <v>47</v>
      </c>
      <c r="P284" s="3" t="s">
        <v>410</v>
      </c>
      <c r="Q284" s="3">
        <f>IF(P284="","",IF(P284="DNS",0,IF(P284="DQ",0,IF(P284="DNF",1,IF(AND(ISNUMBER(P284),P284&gt;59),1,_xlfn.XLOOKUP(P284,tbl_points[Place],tbl_points[Points],""))))))</f>
        <v>0</v>
      </c>
      <c r="S284" s="3" t="str">
        <f>IF(R284="","",IF(R284="DNS",0,IF(R284="DQ",0,IF(R284="DNF",1,IF(AND(ISNUMBER(R284),R284&gt;59),1,_xlfn.XLOOKUP(R284,tbl_points[Place],tbl_points[Points],""))))))</f>
        <v/>
      </c>
      <c r="T284" s="3">
        <f>SUM(tbl_individual[[#This Row],[R1 Pts]],tbl_individual[[#This Row],[R2 Pts]],tbl_individual[[#This Row],[R3 Pts]],tbl_individual[[#This Row],[R4 Pts]],tbl_individual[[#This Row],[R5 Pts]],tbl_individual[[#This Row],[R6 Pts]])</f>
        <v>188</v>
      </c>
      <c r="U28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4" s="3">
        <f>tbl_individual[[#This Row],[Total]]</f>
        <v>188</v>
      </c>
    </row>
    <row r="285" spans="1:22" hidden="1" x14ac:dyDescent="0.4">
      <c r="A285" t="s">
        <v>313</v>
      </c>
      <c r="B285" t="s">
        <v>27</v>
      </c>
      <c r="C285" t="s">
        <v>7</v>
      </c>
      <c r="D285" s="3">
        <v>825</v>
      </c>
      <c r="E285" s="3" t="s">
        <v>421</v>
      </c>
      <c r="G285" s="3" t="s">
        <v>403</v>
      </c>
      <c r="H285" s="3">
        <v>13</v>
      </c>
      <c r="I285" s="3">
        <f>IF(H285="","",IF(H285="DNS",0,IF(H285="DQ",0,IF(H285="DNF",1,IF(AND(ISNUMBER(H285),H285&gt;59),1,_xlfn.XLOOKUP(H285,tbl_points[Place],tbl_points[Points],""))))))</f>
        <v>49</v>
      </c>
      <c r="J285" s="3">
        <v>17</v>
      </c>
      <c r="K285" s="3">
        <f>IF(J285="","",IF(J285="DNS",0,IF(J285="DQ",0,IF(J285="DNF",1,IF(AND(ISNUMBER(J285),J285&gt;59),1,_xlfn.XLOOKUP(J285,tbl_points[Place],tbl_points[Points],""))))))</f>
        <v>43</v>
      </c>
      <c r="L285" s="3">
        <v>31</v>
      </c>
      <c r="M285" s="3">
        <f>IF(L285="","",IF(L285="DNS",0,IF(L285="DQ",0,IF(L285="DNF",1,IF(AND(ISNUMBER(L285),L285&gt;59),1,_xlfn.XLOOKUP(L285,tbl_points[Place],tbl_points[Points],""))))))</f>
        <v>29</v>
      </c>
      <c r="N285" s="3">
        <v>35</v>
      </c>
      <c r="O285" s="3">
        <f>IF(N285="","",IF(N285="DNS",0,IF(N285="DQ",0,IF(N285="DNF",1,IF(AND(ISNUMBER(N285),N285&gt;59),1,_xlfn.XLOOKUP(N285,tbl_points[Place],tbl_points[Points],""))))))</f>
        <v>25</v>
      </c>
      <c r="P285" s="3" t="s">
        <v>410</v>
      </c>
      <c r="Q285" s="3">
        <f>IF(P285="","",IF(P285="DNS",0,IF(P285="DQ",0,IF(P285="DNF",1,IF(AND(ISNUMBER(P285),P285&gt;59),1,_xlfn.XLOOKUP(P285,tbl_points[Place],tbl_points[Points],""))))))</f>
        <v>0</v>
      </c>
      <c r="S285" s="3" t="str">
        <f>IF(R285="","",IF(R285="DNS",0,IF(R285="DQ",0,IF(R285="DNF",1,IF(AND(ISNUMBER(R285),R285&gt;59),1,_xlfn.XLOOKUP(R285,tbl_points[Place],tbl_points[Points],""))))))</f>
        <v/>
      </c>
      <c r="T285" s="3">
        <f>SUM(tbl_individual[[#This Row],[R1 Pts]],tbl_individual[[#This Row],[R2 Pts]],tbl_individual[[#This Row],[R3 Pts]],tbl_individual[[#This Row],[R4 Pts]],tbl_individual[[#This Row],[R5 Pts]],tbl_individual[[#This Row],[R6 Pts]])</f>
        <v>146</v>
      </c>
      <c r="U28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5" s="3">
        <f>tbl_individual[[#This Row],[Total]]</f>
        <v>146</v>
      </c>
    </row>
    <row r="286" spans="1:22" hidden="1" x14ac:dyDescent="0.4">
      <c r="A286" t="s">
        <v>314</v>
      </c>
      <c r="B286" t="s">
        <v>27</v>
      </c>
      <c r="C286" t="s">
        <v>8</v>
      </c>
      <c r="D286" s="3">
        <v>866</v>
      </c>
      <c r="E286" s="3" t="s">
        <v>421</v>
      </c>
      <c r="G286" s="3" t="s">
        <v>407</v>
      </c>
      <c r="H286" s="3">
        <v>3</v>
      </c>
      <c r="I286" s="3">
        <f>IF(H286="","",IF(H286="DNS",0,IF(H286="DQ",0,IF(H286="DNF",1,IF(AND(ISNUMBER(H286),H286&gt;59),1,_xlfn.XLOOKUP(H286,tbl_points[Place],tbl_points[Points],""))))))</f>
        <v>90</v>
      </c>
      <c r="J286" s="3" t="s">
        <v>410</v>
      </c>
      <c r="K286" s="3">
        <f>IF(J286="","",IF(J286="DNS",0,IF(J286="DQ",0,IF(J286="DNF",1,IF(AND(ISNUMBER(J286),J286&gt;59),1,_xlfn.XLOOKUP(J286,tbl_points[Place],tbl_points[Points],""))))))</f>
        <v>0</v>
      </c>
      <c r="L286" s="3">
        <v>4</v>
      </c>
      <c r="M286" s="3">
        <f>IF(L286="","",IF(L286="DNS",0,IF(L286="DQ",0,IF(L286="DNF",1,IF(AND(ISNUMBER(L286),L286&gt;59),1,_xlfn.XLOOKUP(L286,tbl_points[Place],tbl_points[Points],""))))))</f>
        <v>85</v>
      </c>
      <c r="N286" s="3">
        <v>4</v>
      </c>
      <c r="O286" s="3">
        <f>IF(N286="","",IF(N286="DNS",0,IF(N286="DQ",0,IF(N286="DNF",1,IF(AND(ISNUMBER(N286),N286&gt;59),1,_xlfn.XLOOKUP(N286,tbl_points[Place],tbl_points[Points],""))))))</f>
        <v>85</v>
      </c>
      <c r="P286" s="3">
        <v>7</v>
      </c>
      <c r="Q286" s="3">
        <f>IF(P286="","",IF(P286="DNS",0,IF(P286="DQ",0,IF(P286="DNF",1,IF(AND(ISNUMBER(P286),P286&gt;59),1,_xlfn.XLOOKUP(P286,tbl_points[Place],tbl_points[Points],""))))))</f>
        <v>70</v>
      </c>
      <c r="S286" s="3" t="str">
        <f>IF(R286="","",IF(R286="DNS",0,IF(R286="DQ",0,IF(R286="DNF",1,IF(AND(ISNUMBER(R286),R286&gt;59),1,_xlfn.XLOOKUP(R286,tbl_points[Place],tbl_points[Points],""))))))</f>
        <v/>
      </c>
      <c r="T286" s="3">
        <f>SUM(tbl_individual[[#This Row],[R1 Pts]],tbl_individual[[#This Row],[R2 Pts]],tbl_individual[[#This Row],[R3 Pts]],tbl_individual[[#This Row],[R4 Pts]],tbl_individual[[#This Row],[R5 Pts]],tbl_individual[[#This Row],[R6 Pts]])</f>
        <v>330</v>
      </c>
      <c r="U28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6" s="3">
        <f>tbl_individual[[#This Row],[Total]]</f>
        <v>330</v>
      </c>
    </row>
    <row r="287" spans="1:22" hidden="1" x14ac:dyDescent="0.4">
      <c r="A287" t="s">
        <v>315</v>
      </c>
      <c r="B287" t="s">
        <v>27</v>
      </c>
      <c r="C287" t="s">
        <v>8</v>
      </c>
      <c r="D287" s="3">
        <v>867</v>
      </c>
      <c r="E287" s="3" t="s">
        <v>421</v>
      </c>
      <c r="G287" s="3" t="s">
        <v>403</v>
      </c>
      <c r="H287" s="3" t="s">
        <v>410</v>
      </c>
      <c r="I287" s="3">
        <f>IF(H287="","",IF(H287="DNS",0,IF(H287="DQ",0,IF(H287="DNF",1,IF(AND(ISNUMBER(H287),H287&gt;59),1,_xlfn.XLOOKUP(H287,tbl_points[Place],tbl_points[Points],""))))))</f>
        <v>0</v>
      </c>
      <c r="J287" s="3">
        <v>1</v>
      </c>
      <c r="K287" s="3">
        <f>IF(J287="","",IF(J287="DNS",0,IF(J287="DQ",0,IF(J287="DNF",1,IF(AND(ISNUMBER(J287),J287&gt;59),1,_xlfn.XLOOKUP(J287,tbl_points[Place],tbl_points[Points],""))))))</f>
        <v>100</v>
      </c>
      <c r="L287" s="3">
        <v>1</v>
      </c>
      <c r="M287" s="3">
        <f>IF(L287="","",IF(L287="DNS",0,IF(L287="DQ",0,IF(L287="DNF",1,IF(AND(ISNUMBER(L287),L287&gt;59),1,_xlfn.XLOOKUP(L287,tbl_points[Place],tbl_points[Points],""))))))</f>
        <v>100</v>
      </c>
      <c r="N287" s="3">
        <v>1</v>
      </c>
      <c r="O287" s="3">
        <f>IF(N287="","",IF(N287="DNS",0,IF(N287="DQ",0,IF(N287="DNF",1,IF(AND(ISNUMBER(N287),N287&gt;59),1,_xlfn.XLOOKUP(N287,tbl_points[Place],tbl_points[Points],""))))))</f>
        <v>100</v>
      </c>
      <c r="P287" s="3">
        <v>1</v>
      </c>
      <c r="Q287" s="3">
        <f>IF(P287="","",IF(P287="DNS",0,IF(P287="DQ",0,IF(P287="DNF",1,IF(AND(ISNUMBER(P287),P287&gt;59),1,_xlfn.XLOOKUP(P287,tbl_points[Place],tbl_points[Points],""))))))</f>
        <v>100</v>
      </c>
      <c r="S287" s="3" t="str">
        <f>IF(R287="","",IF(R287="DNS",0,IF(R287="DQ",0,IF(R287="DNF",1,IF(AND(ISNUMBER(R287),R287&gt;59),1,_xlfn.XLOOKUP(R287,tbl_points[Place],tbl_points[Points],""))))))</f>
        <v/>
      </c>
      <c r="T287" s="3">
        <f>SUM(tbl_individual[[#This Row],[R1 Pts]],tbl_individual[[#This Row],[R2 Pts]],tbl_individual[[#This Row],[R3 Pts]],tbl_individual[[#This Row],[R4 Pts]],tbl_individual[[#This Row],[R5 Pts]],tbl_individual[[#This Row],[R6 Pts]])</f>
        <v>400</v>
      </c>
      <c r="U28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7" s="3">
        <f>tbl_individual[[#This Row],[Total]]</f>
        <v>400</v>
      </c>
    </row>
    <row r="288" spans="1:22" hidden="1" x14ac:dyDescent="0.4">
      <c r="A288" t="s">
        <v>316</v>
      </c>
      <c r="B288" t="s">
        <v>27</v>
      </c>
      <c r="C288" t="s">
        <v>5</v>
      </c>
      <c r="D288" s="3">
        <v>941</v>
      </c>
      <c r="E288" s="3" t="s">
        <v>422</v>
      </c>
      <c r="G288" s="3" t="s">
        <v>407</v>
      </c>
      <c r="H288" s="3" t="s">
        <v>410</v>
      </c>
      <c r="I288" s="3">
        <f>IF(H288="","",IF(H288="DNS",0,IF(H288="DQ",0,IF(H288="DNF",1,IF(AND(ISNUMBER(H288),H288&gt;59),1,_xlfn.XLOOKUP(H288,tbl_points[Place],tbl_points[Points],""))))))</f>
        <v>0</v>
      </c>
      <c r="J288" s="3" t="s">
        <v>410</v>
      </c>
      <c r="K288" s="3">
        <f>IF(J288="","",IF(J288="DNS",0,IF(J288="DQ",0,IF(J288="DNF",1,IF(AND(ISNUMBER(J288),J288&gt;59),1,_xlfn.XLOOKUP(J288,tbl_points[Place],tbl_points[Points],""))))))</f>
        <v>0</v>
      </c>
      <c r="L288" s="3" t="s">
        <v>410</v>
      </c>
      <c r="M288" s="3">
        <f>IF(L288="","",IF(L288="DNS",0,IF(L288="DQ",0,IF(L288="DNF",1,IF(AND(ISNUMBER(L288),L288&gt;59),1,_xlfn.XLOOKUP(L288,tbl_points[Place],tbl_points[Points],""))))))</f>
        <v>0</v>
      </c>
      <c r="O288" s="3" t="str">
        <f>IF(N288="","",IF(N288="DNS",0,IF(N288="DQ",0,IF(N288="DNF",1,IF(AND(ISNUMBER(N288),N288&gt;59),1,_xlfn.XLOOKUP(N288,tbl_points[Place],tbl_points[Points],""))))))</f>
        <v/>
      </c>
      <c r="Q288" s="3" t="str">
        <f>IF(P288="","",IF(P288="DNS",0,IF(P288="DQ",0,IF(P288="DNF",1,IF(AND(ISNUMBER(P288),P288&gt;59),1,_xlfn.XLOOKUP(P288,tbl_points[Place],tbl_points[Points],""))))))</f>
        <v/>
      </c>
      <c r="S288" s="3" t="str">
        <f>IF(R288="","",IF(R288="DNS",0,IF(R288="DQ",0,IF(R288="DNF",1,IF(AND(ISNUMBER(R288),R288&gt;59),1,_xlfn.XLOOKUP(R288,tbl_points[Place],tbl_points[Points],""))))))</f>
        <v/>
      </c>
      <c r="T288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8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8" s="3">
        <f>tbl_individual[[#This Row],[Total]]</f>
        <v>0</v>
      </c>
    </row>
    <row r="289" spans="1:22" hidden="1" x14ac:dyDescent="0.4">
      <c r="A289" t="s">
        <v>317</v>
      </c>
      <c r="B289" t="s">
        <v>27</v>
      </c>
      <c r="C289" t="s">
        <v>5</v>
      </c>
      <c r="D289" s="3">
        <v>942</v>
      </c>
      <c r="E289" s="3" t="s">
        <v>421</v>
      </c>
      <c r="G289" s="3" t="s">
        <v>403</v>
      </c>
      <c r="H289" s="3">
        <v>21</v>
      </c>
      <c r="I289" s="3">
        <f>IF(H289="","",IF(H289="DNS",0,IF(H289="DQ",0,IF(H289="DNF",1,IF(AND(ISNUMBER(H289),H289&gt;59),1,_xlfn.XLOOKUP(H289,tbl_points[Place],tbl_points[Points],""))))))</f>
        <v>39</v>
      </c>
      <c r="J289" s="3">
        <v>38</v>
      </c>
      <c r="K289" s="3">
        <f>IF(J289="","",IF(J289="DNS",0,IF(J289="DQ",0,IF(J289="DNF",1,IF(AND(ISNUMBER(J289),J289&gt;59),1,_xlfn.XLOOKUP(J289,tbl_points[Place],tbl_points[Points],""))))))</f>
        <v>22</v>
      </c>
      <c r="L289" s="3" t="s">
        <v>410</v>
      </c>
      <c r="M289" s="3">
        <f>IF(L289="","",IF(L289="DNS",0,IF(L289="DQ",0,IF(L289="DNF",1,IF(AND(ISNUMBER(L289),L289&gt;59),1,_xlfn.XLOOKUP(L289,tbl_points[Place],tbl_points[Points],""))))))</f>
        <v>0</v>
      </c>
      <c r="N289" s="3">
        <v>35</v>
      </c>
      <c r="O289" s="3">
        <f>IF(N289="","",IF(N289="DNS",0,IF(N289="DQ",0,IF(N289="DNF",1,IF(AND(ISNUMBER(N289),N289&gt;59),1,_xlfn.XLOOKUP(N289,tbl_points[Place],tbl_points[Points],""))))))</f>
        <v>25</v>
      </c>
      <c r="P289" s="3" t="s">
        <v>410</v>
      </c>
      <c r="Q289" s="3">
        <f>IF(P289="","",IF(P289="DNS",0,IF(P289="DQ",0,IF(P289="DNF",1,IF(AND(ISNUMBER(P289),P289&gt;59),1,_xlfn.XLOOKUP(P289,tbl_points[Place],tbl_points[Points],""))))))</f>
        <v>0</v>
      </c>
      <c r="S289" s="3" t="str">
        <f>IF(R289="","",IF(R289="DNS",0,IF(R289="DQ",0,IF(R289="DNF",1,IF(AND(ISNUMBER(R289),R289&gt;59),1,_xlfn.XLOOKUP(R289,tbl_points[Place],tbl_points[Points],""))))))</f>
        <v/>
      </c>
      <c r="T289" s="3">
        <f>SUM(tbl_individual[[#This Row],[R1 Pts]],tbl_individual[[#This Row],[R2 Pts]],tbl_individual[[#This Row],[R3 Pts]],tbl_individual[[#This Row],[R4 Pts]],tbl_individual[[#This Row],[R5 Pts]],tbl_individual[[#This Row],[R6 Pts]])</f>
        <v>86</v>
      </c>
      <c r="U28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89" s="3">
        <f>tbl_individual[[#This Row],[Total]]</f>
        <v>86</v>
      </c>
    </row>
    <row r="290" spans="1:22" hidden="1" x14ac:dyDescent="0.4">
      <c r="A290" s="11" t="s">
        <v>318</v>
      </c>
      <c r="B290" s="11" t="s">
        <v>27</v>
      </c>
      <c r="C290" s="11" t="s">
        <v>5</v>
      </c>
      <c r="D290" s="15">
        <v>943</v>
      </c>
      <c r="E290" s="3" t="s">
        <v>422</v>
      </c>
      <c r="I290" s="3" t="str">
        <f>IF(H290="","",IF(H290="DNS",0,IF(H290="DQ",0,IF(H290="DNF",1,IF(AND(ISNUMBER(H290),H290&gt;59),1,_xlfn.XLOOKUP(H290,tbl_points[Place],tbl_points[Points],""))))))</f>
        <v/>
      </c>
      <c r="K290" s="3" t="str">
        <f>IF(J290="","",IF(J290="DNS",0,IF(J290="DQ",0,IF(J290="DNF",1,IF(AND(ISNUMBER(J290),J290&gt;59),1,_xlfn.XLOOKUP(J290,tbl_points[Place],tbl_points[Points],""))))))</f>
        <v/>
      </c>
      <c r="M290" s="3" t="str">
        <f>IF(L290="","",IF(L290="DNS",0,IF(L290="DQ",0,IF(L290="DNF",1,IF(AND(ISNUMBER(L290),L290&gt;59),1,_xlfn.XLOOKUP(L290,tbl_points[Place],tbl_points[Points],""))))))</f>
        <v/>
      </c>
      <c r="O290" s="3" t="str">
        <f>IF(N290="","",IF(N290="DNS",0,IF(N290="DQ",0,IF(N290="DNF",1,IF(AND(ISNUMBER(N290),N290&gt;59),1,_xlfn.XLOOKUP(N290,tbl_points[Place],tbl_points[Points],""))))))</f>
        <v/>
      </c>
      <c r="Q290" s="3" t="str">
        <f>IF(P290="","",IF(P290="DNS",0,IF(P290="DQ",0,IF(P290="DNF",1,IF(AND(ISNUMBER(P290),P290&gt;59),1,_xlfn.XLOOKUP(P290,tbl_points[Place],tbl_points[Points],""))))))</f>
        <v/>
      </c>
      <c r="S290" s="3" t="str">
        <f>IF(R290="","",IF(R290="DNS",0,IF(R290="DQ",0,IF(R290="DNF",1,IF(AND(ISNUMBER(R290),R290&gt;59),1,_xlfn.XLOOKUP(R290,tbl_points[Place],tbl_points[Points],""))))))</f>
        <v/>
      </c>
      <c r="T290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9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90" s="3">
        <f>tbl_individual[[#This Row],[Total]]</f>
        <v>0</v>
      </c>
    </row>
    <row r="291" spans="1:22" hidden="1" x14ac:dyDescent="0.4">
      <c r="A291" t="s">
        <v>319</v>
      </c>
      <c r="B291" t="s">
        <v>27</v>
      </c>
      <c r="C291" t="s">
        <v>5</v>
      </c>
      <c r="D291" s="3">
        <v>944</v>
      </c>
      <c r="E291" s="3" t="s">
        <v>421</v>
      </c>
      <c r="G291" s="3" t="s">
        <v>407</v>
      </c>
      <c r="H291" s="3" t="s">
        <v>410</v>
      </c>
      <c r="I291" s="3">
        <f>IF(H291="","",IF(H291="DNS",0,IF(H291="DQ",0,IF(H291="DNF",1,IF(AND(ISNUMBER(H291),H291&gt;59),1,_xlfn.XLOOKUP(H291,tbl_points[Place],tbl_points[Points],""))))))</f>
        <v>0</v>
      </c>
      <c r="J291" s="3" t="s">
        <v>410</v>
      </c>
      <c r="K291" s="3">
        <f>IF(J291="","",IF(J291="DNS",0,IF(J291="DQ",0,IF(J291="DNF",1,IF(AND(ISNUMBER(J291),J291&gt;59),1,_xlfn.XLOOKUP(J291,tbl_points[Place],tbl_points[Points],""))))))</f>
        <v>0</v>
      </c>
      <c r="L291" s="3" t="s">
        <v>410</v>
      </c>
      <c r="M291" s="3">
        <f>IF(L291="","",IF(L291="DNS",0,IF(L291="DQ",0,IF(L291="DNF",1,IF(AND(ISNUMBER(L291),L291&gt;59),1,_xlfn.XLOOKUP(L291,tbl_points[Place],tbl_points[Points],""))))))</f>
        <v>0</v>
      </c>
      <c r="N291" s="3">
        <v>15</v>
      </c>
      <c r="O291" s="3">
        <f>IF(N291="","",IF(N291="DNS",0,IF(N291="DQ",0,IF(N291="DNF",1,IF(AND(ISNUMBER(N291),N291&gt;59),1,_xlfn.XLOOKUP(N291,tbl_points[Place],tbl_points[Points],""))))))</f>
        <v>45</v>
      </c>
      <c r="P291" s="3">
        <v>18</v>
      </c>
      <c r="Q291" s="3">
        <f>IF(P291="","",IF(P291="DNS",0,IF(P291="DQ",0,IF(P291="DNF",1,IF(AND(ISNUMBER(P291),P291&gt;59),1,_xlfn.XLOOKUP(P291,tbl_points[Place],tbl_points[Points],""))))))</f>
        <v>42</v>
      </c>
      <c r="S291" s="3" t="str">
        <f>IF(R291="","",IF(R291="DNS",0,IF(R291="DQ",0,IF(R291="DNF",1,IF(AND(ISNUMBER(R291),R291&gt;59),1,_xlfn.XLOOKUP(R291,tbl_points[Place],tbl_points[Points],""))))))</f>
        <v/>
      </c>
      <c r="T291" s="3">
        <f>SUM(tbl_individual[[#This Row],[R1 Pts]],tbl_individual[[#This Row],[R2 Pts]],tbl_individual[[#This Row],[R3 Pts]],tbl_individual[[#This Row],[R4 Pts]],tbl_individual[[#This Row],[R5 Pts]],tbl_individual[[#This Row],[R6 Pts]])</f>
        <v>87</v>
      </c>
      <c r="U29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91" s="3">
        <f>tbl_individual[[#This Row],[Total]]</f>
        <v>87</v>
      </c>
    </row>
    <row r="292" spans="1:22" hidden="1" x14ac:dyDescent="0.4">
      <c r="A292" s="11" t="s">
        <v>320</v>
      </c>
      <c r="B292" s="11" t="s">
        <v>27</v>
      </c>
      <c r="C292" s="11" t="s">
        <v>3</v>
      </c>
      <c r="D292" s="15">
        <v>10191</v>
      </c>
      <c r="E292" s="3" t="s">
        <v>422</v>
      </c>
      <c r="I292" s="3" t="str">
        <f>IF(H292="","",IF(H292="DNS",0,IF(H292="DQ",0,IF(H292="DNF",1,IF(AND(ISNUMBER(H292),H292&gt;59),1,_xlfn.XLOOKUP(H292,tbl_points[Place],tbl_points[Points],""))))))</f>
        <v/>
      </c>
      <c r="K292" s="3" t="str">
        <f>IF(J292="","",IF(J292="DNS",0,IF(J292="DQ",0,IF(J292="DNF",1,IF(AND(ISNUMBER(J292),J292&gt;59),1,_xlfn.XLOOKUP(J292,tbl_points[Place],tbl_points[Points],""))))))</f>
        <v/>
      </c>
      <c r="M292" s="3" t="str">
        <f>IF(L292="","",IF(L292="DNS",0,IF(L292="DQ",0,IF(L292="DNF",1,IF(AND(ISNUMBER(L292),L292&gt;59),1,_xlfn.XLOOKUP(L292,tbl_points[Place],tbl_points[Points],""))))))</f>
        <v/>
      </c>
      <c r="O292" s="3" t="str">
        <f>IF(N292="","",IF(N292="DNS",0,IF(N292="DQ",0,IF(N292="DNF",1,IF(AND(ISNUMBER(N292),N292&gt;59),1,_xlfn.XLOOKUP(N292,tbl_points[Place],tbl_points[Points],""))))))</f>
        <v/>
      </c>
      <c r="Q292" s="3" t="str">
        <f>IF(P292="","",IF(P292="DNS",0,IF(P292="DQ",0,IF(P292="DNF",1,IF(AND(ISNUMBER(P292),P292&gt;59),1,_xlfn.XLOOKUP(P292,tbl_points[Place],tbl_points[Points],""))))))</f>
        <v/>
      </c>
      <c r="S292" s="3" t="str">
        <f>IF(R292="","",IF(R292="DNS",0,IF(R292="DQ",0,IF(R292="DNF",1,IF(AND(ISNUMBER(R292),R292&gt;59),1,_xlfn.XLOOKUP(R292,tbl_points[Place],tbl_points[Points],""))))))</f>
        <v/>
      </c>
      <c r="T292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29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92" s="3">
        <f>tbl_individual[[#This Row],[Total]]</f>
        <v>0</v>
      </c>
    </row>
    <row r="293" spans="1:22" hidden="1" x14ac:dyDescent="0.4">
      <c r="A293" t="s">
        <v>321</v>
      </c>
      <c r="B293" t="s">
        <v>27</v>
      </c>
      <c r="C293" t="s">
        <v>4</v>
      </c>
      <c r="D293" s="3">
        <v>1040</v>
      </c>
      <c r="E293" s="3" t="s">
        <v>421</v>
      </c>
      <c r="G293" s="3" t="s">
        <v>403</v>
      </c>
      <c r="H293" s="3" t="s">
        <v>410</v>
      </c>
      <c r="I293" s="3">
        <f>IF(H293="","",IF(H293="DNS",0,IF(H293="DQ",0,IF(H293="DNF",1,IF(AND(ISNUMBER(H293),H293&gt;59),1,_xlfn.XLOOKUP(H293,tbl_points[Place],tbl_points[Points],""))))))</f>
        <v>0</v>
      </c>
      <c r="J293" s="3">
        <v>12</v>
      </c>
      <c r="K293" s="3">
        <f>IF(J293="","",IF(J293="DNS",0,IF(J293="DQ",0,IF(J293="DNF",1,IF(AND(ISNUMBER(J293),J293&gt;59),1,_xlfn.XLOOKUP(J293,tbl_points[Place],tbl_points[Points],""))))))</f>
        <v>51</v>
      </c>
      <c r="L293" s="3" t="s">
        <v>410</v>
      </c>
      <c r="M293" s="3">
        <f>IF(L293="","",IF(L293="DNS",0,IF(L293="DQ",0,IF(L293="DNF",1,IF(AND(ISNUMBER(L293),L293&gt;59),1,_xlfn.XLOOKUP(L293,tbl_points[Place],tbl_points[Points],""))))))</f>
        <v>0</v>
      </c>
      <c r="N293" s="3" t="s">
        <v>410</v>
      </c>
      <c r="O293" s="3">
        <f>IF(N293="","",IF(N293="DNS",0,IF(N293="DQ",0,IF(N293="DNF",1,IF(AND(ISNUMBER(N293),N293&gt;59),1,_xlfn.XLOOKUP(N293,tbl_points[Place],tbl_points[Points],""))))))</f>
        <v>0</v>
      </c>
      <c r="P293" s="3">
        <v>12</v>
      </c>
      <c r="Q293" s="3">
        <f>IF(P293="","",IF(P293="DNS",0,IF(P293="DQ",0,IF(P293="DNF",1,IF(AND(ISNUMBER(P293),P293&gt;59),1,_xlfn.XLOOKUP(P293,tbl_points[Place],tbl_points[Points],""))))))</f>
        <v>51</v>
      </c>
      <c r="S293" s="3" t="str">
        <f>IF(R293="","",IF(R293="DNS",0,IF(R293="DQ",0,IF(R293="DNF",1,IF(AND(ISNUMBER(R293),R293&gt;59),1,_xlfn.XLOOKUP(R293,tbl_points[Place],tbl_points[Points],""))))))</f>
        <v/>
      </c>
      <c r="T293" s="3">
        <f>SUM(tbl_individual[[#This Row],[R1 Pts]],tbl_individual[[#This Row],[R2 Pts]],tbl_individual[[#This Row],[R3 Pts]],tbl_individual[[#This Row],[R4 Pts]],tbl_individual[[#This Row],[R5 Pts]],tbl_individual[[#This Row],[R6 Pts]])</f>
        <v>102</v>
      </c>
      <c r="U29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93" s="3">
        <f>tbl_individual[[#This Row],[Total]]</f>
        <v>102</v>
      </c>
    </row>
    <row r="294" spans="1:22" hidden="1" x14ac:dyDescent="0.4">
      <c r="A294" t="s">
        <v>322</v>
      </c>
      <c r="B294" t="s">
        <v>27</v>
      </c>
      <c r="C294" t="s">
        <v>1</v>
      </c>
      <c r="D294" s="3">
        <v>12080</v>
      </c>
      <c r="E294" s="3" t="s">
        <v>421</v>
      </c>
      <c r="G294" s="3" t="s">
        <v>403</v>
      </c>
      <c r="H294" s="3">
        <v>32</v>
      </c>
      <c r="I294" s="3">
        <f>IF(H294="","",IF(H294="DNS",0,IF(H294="DQ",0,IF(H294="DNF",1,IF(AND(ISNUMBER(H294),H294&gt;59),1,_xlfn.XLOOKUP(H294,tbl_points[Place],tbl_points[Points],""))))))</f>
        <v>28</v>
      </c>
      <c r="J294" s="3">
        <v>36</v>
      </c>
      <c r="K294" s="3">
        <f>IF(J294="","",IF(J294="DNS",0,IF(J294="DQ",0,IF(J294="DNF",1,IF(AND(ISNUMBER(J294),J294&gt;59),1,_xlfn.XLOOKUP(J294,tbl_points[Place],tbl_points[Points],""))))))</f>
        <v>24</v>
      </c>
      <c r="L294" s="3">
        <v>40</v>
      </c>
      <c r="M294" s="3">
        <f>IF(L294="","",IF(L294="DNS",0,IF(L294="DQ",0,IF(L294="DNF",1,IF(AND(ISNUMBER(L294),L294&gt;59),1,_xlfn.XLOOKUP(L294,tbl_points[Place],tbl_points[Points],""))))))</f>
        <v>20</v>
      </c>
      <c r="N294" s="3">
        <v>30</v>
      </c>
      <c r="O294" s="3">
        <f>IF(N294="","",IF(N294="DNS",0,IF(N294="DQ",0,IF(N294="DNF",1,IF(AND(ISNUMBER(N294),N294&gt;59),1,_xlfn.XLOOKUP(N294,tbl_points[Place],tbl_points[Points],""))))))</f>
        <v>30</v>
      </c>
      <c r="P294" s="3" t="s">
        <v>410</v>
      </c>
      <c r="Q294" s="3">
        <f>IF(P294="","",IF(P294="DNS",0,IF(P294="DQ",0,IF(P294="DNF",1,IF(AND(ISNUMBER(P294),P294&gt;59),1,_xlfn.XLOOKUP(P294,tbl_points[Place],tbl_points[Points],""))))))</f>
        <v>0</v>
      </c>
      <c r="S294" s="3" t="str">
        <f>IF(R294="","",IF(R294="DNS",0,IF(R294="DQ",0,IF(R294="DNF",1,IF(AND(ISNUMBER(R294),R294&gt;59),1,_xlfn.XLOOKUP(R294,tbl_points[Place],tbl_points[Points],""))))))</f>
        <v/>
      </c>
      <c r="T294" s="3">
        <f>SUM(tbl_individual[[#This Row],[R1 Pts]],tbl_individual[[#This Row],[R2 Pts]],tbl_individual[[#This Row],[R3 Pts]],tbl_individual[[#This Row],[R4 Pts]],tbl_individual[[#This Row],[R5 Pts]],tbl_individual[[#This Row],[R6 Pts]])</f>
        <v>102</v>
      </c>
      <c r="U29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94" s="3">
        <f>tbl_individual[[#This Row],[Total]]</f>
        <v>102</v>
      </c>
    </row>
    <row r="295" spans="1:22" hidden="1" x14ac:dyDescent="0.4">
      <c r="A295" t="s">
        <v>323</v>
      </c>
      <c r="B295" t="s">
        <v>27</v>
      </c>
      <c r="C295" t="s">
        <v>1</v>
      </c>
      <c r="D295" s="3">
        <v>12081</v>
      </c>
      <c r="E295" s="3" t="s">
        <v>421</v>
      </c>
      <c r="G295" s="3" t="s">
        <v>403</v>
      </c>
      <c r="H295" s="3">
        <v>40</v>
      </c>
      <c r="I295" s="3">
        <f>IF(H295="","",IF(H295="DNS",0,IF(H295="DQ",0,IF(H295="DNF",1,IF(AND(ISNUMBER(H295),H295&gt;59),1,_xlfn.XLOOKUP(H295,tbl_points[Place],tbl_points[Points],""))))))</f>
        <v>20</v>
      </c>
      <c r="J295" s="3">
        <v>60</v>
      </c>
      <c r="K295" s="3">
        <f>IF(J295="","",IF(J295="DNS",0,IF(J295="DQ",0,IF(J295="DNF",1,IF(AND(ISNUMBER(J295),J295&gt;59),1,_xlfn.XLOOKUP(J295,tbl_points[Place],tbl_points[Points],""))))))</f>
        <v>1</v>
      </c>
      <c r="L295" s="3">
        <v>41</v>
      </c>
      <c r="M295" s="3">
        <f>IF(L295="","",IF(L295="DNS",0,IF(L295="DQ",0,IF(L295="DNF",1,IF(AND(ISNUMBER(L295),L295&gt;59),1,_xlfn.XLOOKUP(L295,tbl_points[Place],tbl_points[Points],""))))))</f>
        <v>19</v>
      </c>
      <c r="N295" s="3">
        <v>56</v>
      </c>
      <c r="O295" s="3">
        <f>IF(N295="","",IF(N295="DNS",0,IF(N295="DQ",0,IF(N295="DNF",1,IF(AND(ISNUMBER(N295),N295&gt;59),1,_xlfn.XLOOKUP(N295,tbl_points[Place],tbl_points[Points],""))))))</f>
        <v>4</v>
      </c>
      <c r="P295" s="3">
        <v>54</v>
      </c>
      <c r="Q295" s="3">
        <f>IF(P295="","",IF(P295="DNS",0,IF(P295="DQ",0,IF(P295="DNF",1,IF(AND(ISNUMBER(P295),P295&gt;59),1,_xlfn.XLOOKUP(P295,tbl_points[Place],tbl_points[Points],""))))))</f>
        <v>6</v>
      </c>
      <c r="S295" s="3" t="str">
        <f>IF(R295="","",IF(R295="DNS",0,IF(R295="DQ",0,IF(R295="DNF",1,IF(AND(ISNUMBER(R295),R295&gt;59),1,_xlfn.XLOOKUP(R295,tbl_points[Place],tbl_points[Points],""))))))</f>
        <v/>
      </c>
      <c r="T295" s="3">
        <f>SUM(tbl_individual[[#This Row],[R1 Pts]],tbl_individual[[#This Row],[R2 Pts]],tbl_individual[[#This Row],[R3 Pts]],tbl_individual[[#This Row],[R4 Pts]],tbl_individual[[#This Row],[R5 Pts]],tbl_individual[[#This Row],[R6 Pts]])</f>
        <v>50</v>
      </c>
      <c r="U295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295" s="3">
        <f>tbl_individual[[#This Row],[Total]]</f>
        <v>50</v>
      </c>
    </row>
    <row r="296" spans="1:22" hidden="1" x14ac:dyDescent="0.4">
      <c r="A296" t="s">
        <v>324</v>
      </c>
      <c r="B296" t="s">
        <v>27</v>
      </c>
      <c r="C296" t="s">
        <v>1</v>
      </c>
      <c r="D296" s="3">
        <v>12082</v>
      </c>
      <c r="E296" s="3" t="s">
        <v>421</v>
      </c>
      <c r="G296" s="3" t="s">
        <v>403</v>
      </c>
      <c r="H296" s="3">
        <v>38</v>
      </c>
      <c r="I296" s="3">
        <f>IF(H296="","",IF(H296="DNS",0,IF(H296="DQ",0,IF(H296="DNF",1,IF(AND(ISNUMBER(H296),H296&gt;59),1,_xlfn.XLOOKUP(H296,tbl_points[Place],tbl_points[Points],""))))))</f>
        <v>22</v>
      </c>
      <c r="J296" s="3">
        <v>34</v>
      </c>
      <c r="K296" s="3">
        <f>IF(J296="","",IF(J296="DNS",0,IF(J296="DQ",0,IF(J296="DNF",1,IF(AND(ISNUMBER(J296),J296&gt;59),1,_xlfn.XLOOKUP(J296,tbl_points[Place],tbl_points[Points],""))))))</f>
        <v>26</v>
      </c>
      <c r="L296" s="3">
        <v>39</v>
      </c>
      <c r="M296" s="3">
        <f>IF(L296="","",IF(L296="DNS",0,IF(L296="DQ",0,IF(L296="DNF",1,IF(AND(ISNUMBER(L296),L296&gt;59),1,_xlfn.XLOOKUP(L296,tbl_points[Place],tbl_points[Points],""))))))</f>
        <v>21</v>
      </c>
      <c r="N296" s="3">
        <v>40</v>
      </c>
      <c r="O296" s="3">
        <f>IF(N296="","",IF(N296="DNS",0,IF(N296="DQ",0,IF(N296="DNF",1,IF(AND(ISNUMBER(N296),N296&gt;59),1,_xlfn.XLOOKUP(N296,tbl_points[Place],tbl_points[Points],""))))))</f>
        <v>20</v>
      </c>
      <c r="P296" s="3">
        <v>34</v>
      </c>
      <c r="Q296" s="3">
        <f>IF(P296="","",IF(P296="DNS",0,IF(P296="DQ",0,IF(P296="DNF",1,IF(AND(ISNUMBER(P296),P296&gt;59),1,_xlfn.XLOOKUP(P296,tbl_points[Place],tbl_points[Points],""))))))</f>
        <v>26</v>
      </c>
      <c r="S296" s="3" t="str">
        <f>IF(R296="","",IF(R296="DNS",0,IF(R296="DQ",0,IF(R296="DNF",1,IF(AND(ISNUMBER(R296),R296&gt;59),1,_xlfn.XLOOKUP(R296,tbl_points[Place],tbl_points[Points],""))))))</f>
        <v/>
      </c>
      <c r="T296" s="3">
        <f>SUM(tbl_individual[[#This Row],[R1 Pts]],tbl_individual[[#This Row],[R2 Pts]],tbl_individual[[#This Row],[R3 Pts]],tbl_individual[[#This Row],[R4 Pts]],tbl_individual[[#This Row],[R5 Pts]],tbl_individual[[#This Row],[R6 Pts]])</f>
        <v>115</v>
      </c>
      <c r="U296" s="3">
        <f>MIN(tbl_individual[[#This Row],[R1 Pts]],tbl_individual[[#This Row],[R2 Pts]],tbl_individual[[#This Row],[R3 Pts]],tbl_individual[[#This Row],[R4 Pts]],tbl_individual[[#This Row],[R5 Pts]],tbl_individual[[#This Row],[R6 Pts]])</f>
        <v>20</v>
      </c>
      <c r="V296" s="3">
        <f>tbl_individual[[#This Row],[Total]]</f>
        <v>115</v>
      </c>
    </row>
    <row r="297" spans="1:22" hidden="1" x14ac:dyDescent="0.4">
      <c r="A297" t="s">
        <v>325</v>
      </c>
      <c r="B297" t="s">
        <v>27</v>
      </c>
      <c r="C297" t="s">
        <v>1</v>
      </c>
      <c r="D297" s="3">
        <v>12083</v>
      </c>
      <c r="E297" s="3" t="s">
        <v>421</v>
      </c>
      <c r="G297" s="3" t="s">
        <v>403</v>
      </c>
      <c r="H297" s="3" t="s">
        <v>410</v>
      </c>
      <c r="I297" s="3">
        <f>IF(H297="","",IF(H297="DNS",0,IF(H297="DQ",0,IF(H297="DNF",1,IF(AND(ISNUMBER(H297),H297&gt;59),1,_xlfn.XLOOKUP(H297,tbl_points[Place],tbl_points[Points],""))))))</f>
        <v>0</v>
      </c>
      <c r="J297" s="3">
        <v>62</v>
      </c>
      <c r="K297" s="3">
        <f>IF(J297="","",IF(J297="DNS",0,IF(J297="DQ",0,IF(J297="DNF",1,IF(AND(ISNUMBER(J297),J297&gt;59),1,_xlfn.XLOOKUP(J297,tbl_points[Place],tbl_points[Points],""))))))</f>
        <v>1</v>
      </c>
      <c r="L297" s="3">
        <v>45</v>
      </c>
      <c r="M297" s="3">
        <f>IF(L297="","",IF(L297="DNS",0,IF(L297="DQ",0,IF(L297="DNF",1,IF(AND(ISNUMBER(L297),L297&gt;59),1,_xlfn.XLOOKUP(L297,tbl_points[Place],tbl_points[Points],""))))))</f>
        <v>15</v>
      </c>
      <c r="N297" s="3">
        <v>44</v>
      </c>
      <c r="O297" s="3">
        <f>IF(N297="","",IF(N297="DNS",0,IF(N297="DQ",0,IF(N297="DNF",1,IF(AND(ISNUMBER(N297),N297&gt;59),1,_xlfn.XLOOKUP(N297,tbl_points[Place],tbl_points[Points],""))))))</f>
        <v>16</v>
      </c>
      <c r="P297" s="3">
        <v>42</v>
      </c>
      <c r="Q297" s="3">
        <f>IF(P297="","",IF(P297="DNS",0,IF(P297="DQ",0,IF(P297="DNF",1,IF(AND(ISNUMBER(P297),P297&gt;59),1,_xlfn.XLOOKUP(P297,tbl_points[Place],tbl_points[Points],""))))))</f>
        <v>18</v>
      </c>
      <c r="S297" s="3" t="str">
        <f>IF(R297="","",IF(R297="DNS",0,IF(R297="DQ",0,IF(R297="DNF",1,IF(AND(ISNUMBER(R297),R297&gt;59),1,_xlfn.XLOOKUP(R297,tbl_points[Place],tbl_points[Points],""))))))</f>
        <v/>
      </c>
      <c r="T297" s="3">
        <f>SUM(tbl_individual[[#This Row],[R1 Pts]],tbl_individual[[#This Row],[R2 Pts]],tbl_individual[[#This Row],[R3 Pts]],tbl_individual[[#This Row],[R4 Pts]],tbl_individual[[#This Row],[R5 Pts]],tbl_individual[[#This Row],[R6 Pts]])</f>
        <v>50</v>
      </c>
      <c r="U29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97" s="3">
        <f>tbl_individual[[#This Row],[Total]]</f>
        <v>50</v>
      </c>
    </row>
    <row r="298" spans="1:22" hidden="1" x14ac:dyDescent="0.4">
      <c r="A298" t="s">
        <v>326</v>
      </c>
      <c r="B298" t="s">
        <v>27</v>
      </c>
      <c r="C298" t="s">
        <v>1</v>
      </c>
      <c r="D298" s="3">
        <v>12084</v>
      </c>
      <c r="E298" s="3" t="s">
        <v>421</v>
      </c>
      <c r="G298" s="3" t="s">
        <v>403</v>
      </c>
      <c r="H298" s="3">
        <v>26</v>
      </c>
      <c r="I298" s="3">
        <f>IF(H298="","",IF(H298="DNS",0,IF(H298="DQ",0,IF(H298="DNF",1,IF(AND(ISNUMBER(H298),H298&gt;59),1,_xlfn.XLOOKUP(H298,tbl_points[Place],tbl_points[Points],""))))))</f>
        <v>34</v>
      </c>
      <c r="J298" s="3">
        <v>24</v>
      </c>
      <c r="K298" s="3">
        <f>IF(J298="","",IF(J298="DNS",0,IF(J298="DQ",0,IF(J298="DNF",1,IF(AND(ISNUMBER(J298),J298&gt;59),1,_xlfn.XLOOKUP(J298,tbl_points[Place],tbl_points[Points],""))))))</f>
        <v>36</v>
      </c>
      <c r="L298" s="3">
        <v>30</v>
      </c>
      <c r="M298" s="3">
        <f>IF(L298="","",IF(L298="DNS",0,IF(L298="DQ",0,IF(L298="DNF",1,IF(AND(ISNUMBER(L298),L298&gt;59),1,_xlfn.XLOOKUP(L298,tbl_points[Place],tbl_points[Points],""))))))</f>
        <v>30</v>
      </c>
      <c r="N298" s="3">
        <v>20</v>
      </c>
      <c r="O298" s="3">
        <f>IF(N298="","",IF(N298="DNS",0,IF(N298="DQ",0,IF(N298="DNF",1,IF(AND(ISNUMBER(N298),N298&gt;59),1,_xlfn.XLOOKUP(N298,tbl_points[Place],tbl_points[Points],""))))))</f>
        <v>40</v>
      </c>
      <c r="P298" s="3">
        <v>12</v>
      </c>
      <c r="Q298" s="3">
        <f>IF(P298="","",IF(P298="DNS",0,IF(P298="DQ",0,IF(P298="DNF",1,IF(AND(ISNUMBER(P298),P298&gt;59),1,_xlfn.XLOOKUP(P298,tbl_points[Place],tbl_points[Points],""))))))</f>
        <v>51</v>
      </c>
      <c r="S298" s="3" t="str">
        <f>IF(R298="","",IF(R298="DNS",0,IF(R298="DQ",0,IF(R298="DNF",1,IF(AND(ISNUMBER(R298),R298&gt;59),1,_xlfn.XLOOKUP(R298,tbl_points[Place],tbl_points[Points],""))))))</f>
        <v/>
      </c>
      <c r="T298" s="3">
        <f>SUM(tbl_individual[[#This Row],[R1 Pts]],tbl_individual[[#This Row],[R2 Pts]],tbl_individual[[#This Row],[R3 Pts]],tbl_individual[[#This Row],[R4 Pts]],tbl_individual[[#This Row],[R5 Pts]],tbl_individual[[#This Row],[R6 Pts]])</f>
        <v>191</v>
      </c>
      <c r="U298" s="3">
        <f>MIN(tbl_individual[[#This Row],[R1 Pts]],tbl_individual[[#This Row],[R2 Pts]],tbl_individual[[#This Row],[R3 Pts]],tbl_individual[[#This Row],[R4 Pts]],tbl_individual[[#This Row],[R5 Pts]],tbl_individual[[#This Row],[R6 Pts]])</f>
        <v>30</v>
      </c>
      <c r="V298" s="3">
        <f>tbl_individual[[#This Row],[Total]]</f>
        <v>191</v>
      </c>
    </row>
    <row r="299" spans="1:22" hidden="1" x14ac:dyDescent="0.4">
      <c r="A299" t="s">
        <v>327</v>
      </c>
      <c r="B299" t="s">
        <v>27</v>
      </c>
      <c r="C299" t="s">
        <v>1</v>
      </c>
      <c r="D299" s="3">
        <v>12085</v>
      </c>
      <c r="E299" s="3" t="s">
        <v>421</v>
      </c>
      <c r="G299" s="3" t="s">
        <v>403</v>
      </c>
      <c r="H299" s="3" t="s">
        <v>410</v>
      </c>
      <c r="I299" s="3">
        <f>IF(H299="","",IF(H299="DNS",0,IF(H299="DQ",0,IF(H299="DNF",1,IF(AND(ISNUMBER(H299),H299&gt;59),1,_xlfn.XLOOKUP(H299,tbl_points[Place],tbl_points[Points],""))))))</f>
        <v>0</v>
      </c>
      <c r="J299" s="3">
        <v>19</v>
      </c>
      <c r="K299" s="3">
        <f>IF(J299="","",IF(J299="DNS",0,IF(J299="DQ",0,IF(J299="DNF",1,IF(AND(ISNUMBER(J299),J299&gt;59),1,_xlfn.XLOOKUP(J299,tbl_points[Place],tbl_points[Points],""))))))</f>
        <v>41</v>
      </c>
      <c r="L299" s="3">
        <v>34</v>
      </c>
      <c r="M299" s="3">
        <f>IF(L299="","",IF(L299="DNS",0,IF(L299="DQ",0,IF(L299="DNF",1,IF(AND(ISNUMBER(L299),L299&gt;59),1,_xlfn.XLOOKUP(L299,tbl_points[Place],tbl_points[Points],""))))))</f>
        <v>26</v>
      </c>
      <c r="N299" s="3">
        <v>17</v>
      </c>
      <c r="O299" s="3">
        <f>IF(N299="","",IF(N299="DNS",0,IF(N299="DQ",0,IF(N299="DNF",1,IF(AND(ISNUMBER(N299),N299&gt;59),1,_xlfn.XLOOKUP(N299,tbl_points[Place],tbl_points[Points],""))))))</f>
        <v>43</v>
      </c>
      <c r="P299" s="3">
        <v>20</v>
      </c>
      <c r="Q299" s="3">
        <f>IF(P299="","",IF(P299="DNS",0,IF(P299="DQ",0,IF(P299="DNF",1,IF(AND(ISNUMBER(P299),P299&gt;59),1,_xlfn.XLOOKUP(P299,tbl_points[Place],tbl_points[Points],""))))))</f>
        <v>40</v>
      </c>
      <c r="S299" s="3" t="str">
        <f>IF(R299="","",IF(R299="DNS",0,IF(R299="DQ",0,IF(R299="DNF",1,IF(AND(ISNUMBER(R299),R299&gt;59),1,_xlfn.XLOOKUP(R299,tbl_points[Place],tbl_points[Points],""))))))</f>
        <v/>
      </c>
      <c r="T299" s="3">
        <f>SUM(tbl_individual[[#This Row],[R1 Pts]],tbl_individual[[#This Row],[R2 Pts]],tbl_individual[[#This Row],[R3 Pts]],tbl_individual[[#This Row],[R4 Pts]],tbl_individual[[#This Row],[R5 Pts]],tbl_individual[[#This Row],[R6 Pts]])</f>
        <v>150</v>
      </c>
      <c r="U29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299" s="3">
        <f>tbl_individual[[#This Row],[Total]]</f>
        <v>150</v>
      </c>
    </row>
    <row r="300" spans="1:22" hidden="1" x14ac:dyDescent="0.4">
      <c r="A300" t="s">
        <v>328</v>
      </c>
      <c r="B300" t="s">
        <v>27</v>
      </c>
      <c r="C300" t="s">
        <v>1</v>
      </c>
      <c r="D300" s="3">
        <v>12086</v>
      </c>
      <c r="E300" s="3" t="s">
        <v>421</v>
      </c>
      <c r="G300" s="3" t="s">
        <v>403</v>
      </c>
      <c r="H300" s="3" t="s">
        <v>410</v>
      </c>
      <c r="I300" s="3">
        <f>IF(H300="","",IF(H300="DNS",0,IF(H300="DQ",0,IF(H300="DNF",1,IF(AND(ISNUMBER(H300),H300&gt;59),1,_xlfn.XLOOKUP(H300,tbl_points[Place],tbl_points[Points],""))))))</f>
        <v>0</v>
      </c>
      <c r="J300" s="3">
        <v>48</v>
      </c>
      <c r="K300" s="3">
        <f>IF(J300="","",IF(J300="DNS",0,IF(J300="DQ",0,IF(J300="DNF",1,IF(AND(ISNUMBER(J300),J300&gt;59),1,_xlfn.XLOOKUP(J300,tbl_points[Place],tbl_points[Points],""))))))</f>
        <v>12</v>
      </c>
      <c r="L300" s="3">
        <v>33</v>
      </c>
      <c r="M300" s="3">
        <f>IF(L300="","",IF(L300="DNS",0,IF(L300="DQ",0,IF(L300="DNF",1,IF(AND(ISNUMBER(L300),L300&gt;59),1,_xlfn.XLOOKUP(L300,tbl_points[Place],tbl_points[Points],""))))))</f>
        <v>27</v>
      </c>
      <c r="N300" s="3">
        <v>29</v>
      </c>
      <c r="O300" s="3">
        <f>IF(N300="","",IF(N300="DNS",0,IF(N300="DQ",0,IF(N300="DNF",1,IF(AND(ISNUMBER(N300),N300&gt;59),1,_xlfn.XLOOKUP(N300,tbl_points[Place],tbl_points[Points],""))))))</f>
        <v>31</v>
      </c>
      <c r="P300" s="3">
        <v>24</v>
      </c>
      <c r="Q300" s="3">
        <f>IF(P300="","",IF(P300="DNS",0,IF(P300="DQ",0,IF(P300="DNF",1,IF(AND(ISNUMBER(P300),P300&gt;59),1,_xlfn.XLOOKUP(P300,tbl_points[Place],tbl_points[Points],""))))))</f>
        <v>36</v>
      </c>
      <c r="S300" s="3" t="str">
        <f>IF(R300="","",IF(R300="DNS",0,IF(R300="DQ",0,IF(R300="DNF",1,IF(AND(ISNUMBER(R300),R300&gt;59),1,_xlfn.XLOOKUP(R300,tbl_points[Place],tbl_points[Points],""))))))</f>
        <v/>
      </c>
      <c r="T300" s="3">
        <f>SUM(tbl_individual[[#This Row],[R1 Pts]],tbl_individual[[#This Row],[R2 Pts]],tbl_individual[[#This Row],[R3 Pts]],tbl_individual[[#This Row],[R4 Pts]],tbl_individual[[#This Row],[R5 Pts]],tbl_individual[[#This Row],[R6 Pts]])</f>
        <v>106</v>
      </c>
      <c r="U30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00" s="3">
        <f>tbl_individual[[#This Row],[Total]]</f>
        <v>106</v>
      </c>
    </row>
    <row r="301" spans="1:22" hidden="1" x14ac:dyDescent="0.4">
      <c r="A301" t="s">
        <v>329</v>
      </c>
      <c r="B301" t="s">
        <v>27</v>
      </c>
      <c r="C301" t="s">
        <v>2</v>
      </c>
      <c r="D301" s="3">
        <v>1243</v>
      </c>
      <c r="E301" s="3" t="s">
        <v>421</v>
      </c>
      <c r="G301" s="3" t="s">
        <v>403</v>
      </c>
      <c r="H301" s="3" t="s">
        <v>409</v>
      </c>
      <c r="I301" s="3">
        <f>IF(H301="","",IF(H301="DNS",0,IF(H301="DQ",0,IF(H301="DNF",1,IF(AND(ISNUMBER(H301),H301&gt;59),1,_xlfn.XLOOKUP(H301,tbl_points[Place],tbl_points[Points],""))))))</f>
        <v>1</v>
      </c>
      <c r="J301" s="3" t="s">
        <v>410</v>
      </c>
      <c r="K301" s="3">
        <f>IF(J301="","",IF(J301="DNS",0,IF(J301="DQ",0,IF(J301="DNF",1,IF(AND(ISNUMBER(J301),J301&gt;59),1,_xlfn.XLOOKUP(J301,tbl_points[Place],tbl_points[Points],""))))))</f>
        <v>0</v>
      </c>
      <c r="L301" s="3" t="s">
        <v>410</v>
      </c>
      <c r="M301" s="3">
        <f>IF(L301="","",IF(L301="DNS",0,IF(L301="DQ",0,IF(L301="DNF",1,IF(AND(ISNUMBER(L301),L301&gt;59),1,_xlfn.XLOOKUP(L301,tbl_points[Place],tbl_points[Points],""))))))</f>
        <v>0</v>
      </c>
      <c r="N301" s="3" t="s">
        <v>410</v>
      </c>
      <c r="O301" s="3">
        <f>IF(N301="","",IF(N301="DNS",0,IF(N301="DQ",0,IF(N301="DNF",1,IF(AND(ISNUMBER(N301),N301&gt;59),1,_xlfn.XLOOKUP(N301,tbl_points[Place],tbl_points[Points],""))))))</f>
        <v>0</v>
      </c>
      <c r="P301" s="3" t="s">
        <v>410</v>
      </c>
      <c r="Q301" s="3">
        <f>IF(P301="","",IF(P301="DNS",0,IF(P301="DQ",0,IF(P301="DNF",1,IF(AND(ISNUMBER(P301),P301&gt;59),1,_xlfn.XLOOKUP(P301,tbl_points[Place],tbl_points[Points],""))))))</f>
        <v>0</v>
      </c>
      <c r="S301" s="3" t="str">
        <f>IF(R301="","",IF(R301="DNS",0,IF(R301="DQ",0,IF(R301="DNF",1,IF(AND(ISNUMBER(R301),R301&gt;59),1,_xlfn.XLOOKUP(R301,tbl_points[Place],tbl_points[Points],""))))))</f>
        <v/>
      </c>
      <c r="T301" s="3">
        <f>SUM(tbl_individual[[#This Row],[R1 Pts]],tbl_individual[[#This Row],[R2 Pts]],tbl_individual[[#This Row],[R3 Pts]],tbl_individual[[#This Row],[R4 Pts]],tbl_individual[[#This Row],[R5 Pts]],tbl_individual[[#This Row],[R6 Pts]])</f>
        <v>1</v>
      </c>
      <c r="U30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01" s="3">
        <f>tbl_individual[[#This Row],[Total]]</f>
        <v>1</v>
      </c>
    </row>
    <row r="302" spans="1:22" hidden="1" x14ac:dyDescent="0.4">
      <c r="A302" t="s">
        <v>330</v>
      </c>
      <c r="B302" t="s">
        <v>28</v>
      </c>
      <c r="C302" t="s">
        <v>7</v>
      </c>
      <c r="D302" s="3">
        <v>826</v>
      </c>
      <c r="E302" s="3" t="s">
        <v>421</v>
      </c>
      <c r="G302" s="3" t="s">
        <v>403</v>
      </c>
      <c r="H302" s="3">
        <v>16</v>
      </c>
      <c r="I302" s="3">
        <f>IF(H302="","",IF(H302="DNS",0,IF(H302="DQ",0,IF(H302="DNF",1,IF(AND(ISNUMBER(H302),H302&gt;59),1,_xlfn.XLOOKUP(H302,tbl_points[Place],tbl_points[Points],""))))))</f>
        <v>44</v>
      </c>
      <c r="J302" s="3">
        <v>6</v>
      </c>
      <c r="K302" s="3">
        <f>IF(J302="","",IF(J302="DNS",0,IF(J302="DQ",0,IF(J302="DNF",1,IF(AND(ISNUMBER(J302),J302&gt;59),1,_xlfn.XLOOKUP(J302,tbl_points[Place],tbl_points[Points],""))))))</f>
        <v>75</v>
      </c>
      <c r="L302" s="3">
        <v>14</v>
      </c>
      <c r="M302" s="3">
        <f>IF(L302="","",IF(L302="DNS",0,IF(L302="DQ",0,IF(L302="DNF",1,IF(AND(ISNUMBER(L302),L302&gt;59),1,_xlfn.XLOOKUP(L302,tbl_points[Place],tbl_points[Points],""))))))</f>
        <v>47</v>
      </c>
      <c r="N302" s="3">
        <v>4</v>
      </c>
      <c r="O302" s="3">
        <f>IF(N302="","",IF(N302="DNS",0,IF(N302="DQ",0,IF(N302="DNF",1,IF(AND(ISNUMBER(N302),N302&gt;59),1,_xlfn.XLOOKUP(N302,tbl_points[Place],tbl_points[Points],""))))))</f>
        <v>85</v>
      </c>
      <c r="P302" s="3">
        <v>25</v>
      </c>
      <c r="Q302" s="3">
        <f>IF(P302="","",IF(P302="DNS",0,IF(P302="DQ",0,IF(P302="DNF",1,IF(AND(ISNUMBER(P302),P302&gt;59),1,_xlfn.XLOOKUP(P302,tbl_points[Place],tbl_points[Points],""))))))</f>
        <v>35</v>
      </c>
      <c r="S302" s="3" t="str">
        <f>IF(R302="","",IF(R302="DNS",0,IF(R302="DQ",0,IF(R302="DNF",1,IF(AND(ISNUMBER(R302),R302&gt;59),1,_xlfn.XLOOKUP(R302,tbl_points[Place],tbl_points[Points],""))))))</f>
        <v/>
      </c>
      <c r="T302" s="3">
        <f>SUM(tbl_individual[[#This Row],[R1 Pts]],tbl_individual[[#This Row],[R2 Pts]],tbl_individual[[#This Row],[R3 Pts]],tbl_individual[[#This Row],[R4 Pts]],tbl_individual[[#This Row],[R5 Pts]],tbl_individual[[#This Row],[R6 Pts]])</f>
        <v>286</v>
      </c>
      <c r="U302" s="3">
        <f>MIN(tbl_individual[[#This Row],[R1 Pts]],tbl_individual[[#This Row],[R2 Pts]],tbl_individual[[#This Row],[R3 Pts]],tbl_individual[[#This Row],[R4 Pts]],tbl_individual[[#This Row],[R5 Pts]],tbl_individual[[#This Row],[R6 Pts]])</f>
        <v>35</v>
      </c>
      <c r="V302" s="3">
        <f>tbl_individual[[#This Row],[Total]]</f>
        <v>286</v>
      </c>
    </row>
    <row r="303" spans="1:22" hidden="1" x14ac:dyDescent="0.4">
      <c r="A303" t="s">
        <v>331</v>
      </c>
      <c r="B303" t="s">
        <v>28</v>
      </c>
      <c r="C303" t="s">
        <v>7</v>
      </c>
      <c r="D303" s="3">
        <v>827</v>
      </c>
      <c r="E303" s="3" t="s">
        <v>421</v>
      </c>
      <c r="G303" s="3" t="s">
        <v>407</v>
      </c>
      <c r="H303" s="3">
        <v>35</v>
      </c>
      <c r="I303" s="3">
        <f>IF(H303="","",IF(H303="DNS",0,IF(H303="DQ",0,IF(H303="DNF",1,IF(AND(ISNUMBER(H303),H303&gt;59),1,_xlfn.XLOOKUP(H303,tbl_points[Place],tbl_points[Points],""))))))</f>
        <v>25</v>
      </c>
      <c r="J303" s="3" t="s">
        <v>410</v>
      </c>
      <c r="K303" s="3">
        <f>IF(J303="","",IF(J303="DNS",0,IF(J303="DQ",0,IF(J303="DNF",1,IF(AND(ISNUMBER(J303),J303&gt;59),1,_xlfn.XLOOKUP(J303,tbl_points[Place],tbl_points[Points],""))))))</f>
        <v>0</v>
      </c>
      <c r="L303" s="3">
        <v>34</v>
      </c>
      <c r="M303" s="3">
        <f>IF(L303="","",IF(L303="DNS",0,IF(L303="DQ",0,IF(L303="DNF",1,IF(AND(ISNUMBER(L303),L303&gt;59),1,_xlfn.XLOOKUP(L303,tbl_points[Place],tbl_points[Points],""))))))</f>
        <v>26</v>
      </c>
      <c r="N303" s="3" t="s">
        <v>410</v>
      </c>
      <c r="O303" s="3">
        <f>IF(N303="","",IF(N303="DNS",0,IF(N303="DQ",0,IF(N303="DNF",1,IF(AND(ISNUMBER(N303),N303&gt;59),1,_xlfn.XLOOKUP(N303,tbl_points[Place],tbl_points[Points],""))))))</f>
        <v>0</v>
      </c>
      <c r="P303" s="3" t="s">
        <v>410</v>
      </c>
      <c r="Q303" s="3">
        <f>IF(P303="","",IF(P303="DNS",0,IF(P303="DQ",0,IF(P303="DNF",1,IF(AND(ISNUMBER(P303),P303&gt;59),1,_xlfn.XLOOKUP(P303,tbl_points[Place],tbl_points[Points],""))))))</f>
        <v>0</v>
      </c>
      <c r="S303" s="3" t="str">
        <f>IF(R303="","",IF(R303="DNS",0,IF(R303="DQ",0,IF(R303="DNF",1,IF(AND(ISNUMBER(R303),R303&gt;59),1,_xlfn.XLOOKUP(R303,tbl_points[Place],tbl_points[Points],""))))))</f>
        <v/>
      </c>
      <c r="T303" s="3">
        <f>SUM(tbl_individual[[#This Row],[R1 Pts]],tbl_individual[[#This Row],[R2 Pts]],tbl_individual[[#This Row],[R3 Pts]],tbl_individual[[#This Row],[R4 Pts]],tbl_individual[[#This Row],[R5 Pts]],tbl_individual[[#This Row],[R6 Pts]])</f>
        <v>51</v>
      </c>
      <c r="U30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03" s="3">
        <f>tbl_individual[[#This Row],[Total]]</f>
        <v>51</v>
      </c>
    </row>
    <row r="304" spans="1:22" hidden="1" x14ac:dyDescent="0.4">
      <c r="A304" t="s">
        <v>332</v>
      </c>
      <c r="B304" t="s">
        <v>28</v>
      </c>
      <c r="C304" t="s">
        <v>7</v>
      </c>
      <c r="D304" s="3">
        <v>828</v>
      </c>
      <c r="E304" s="3" t="s">
        <v>421</v>
      </c>
      <c r="G304" s="3" t="s">
        <v>407</v>
      </c>
      <c r="H304" s="3">
        <v>36</v>
      </c>
      <c r="I304" s="3">
        <f>IF(H304="","",IF(H304="DNS",0,IF(H304="DQ",0,IF(H304="DNF",1,IF(AND(ISNUMBER(H304),H304&gt;59),1,_xlfn.XLOOKUP(H304,tbl_points[Place],tbl_points[Points],""))))))</f>
        <v>24</v>
      </c>
      <c r="J304" s="3" t="s">
        <v>410</v>
      </c>
      <c r="K304" s="3">
        <f>IF(J304="","",IF(J304="DNS",0,IF(J304="DQ",0,IF(J304="DNF",1,IF(AND(ISNUMBER(J304),J304&gt;59),1,_xlfn.XLOOKUP(J304,tbl_points[Place],tbl_points[Points],""))))))</f>
        <v>0</v>
      </c>
      <c r="L304" s="3">
        <v>36</v>
      </c>
      <c r="M304" s="3">
        <f>IF(L304="","",IF(L304="DNS",0,IF(L304="DQ",0,IF(L304="DNF",1,IF(AND(ISNUMBER(L304),L304&gt;59),1,_xlfn.XLOOKUP(L304,tbl_points[Place],tbl_points[Points],""))))))</f>
        <v>24</v>
      </c>
      <c r="N304" s="3" t="s">
        <v>410</v>
      </c>
      <c r="O304" s="3">
        <f>IF(N304="","",IF(N304="DNS",0,IF(N304="DQ",0,IF(N304="DNF",1,IF(AND(ISNUMBER(N304),N304&gt;59),1,_xlfn.XLOOKUP(N304,tbl_points[Place],tbl_points[Points],""))))))</f>
        <v>0</v>
      </c>
      <c r="P304" s="3" t="s">
        <v>410</v>
      </c>
      <c r="Q304" s="3">
        <f>IF(P304="","",IF(P304="DNS",0,IF(P304="DQ",0,IF(P304="DNF",1,IF(AND(ISNUMBER(P304),P304&gt;59),1,_xlfn.XLOOKUP(P304,tbl_points[Place],tbl_points[Points],""))))))</f>
        <v>0</v>
      </c>
      <c r="S304" s="3" t="str">
        <f>IF(R304="","",IF(R304="DNS",0,IF(R304="DQ",0,IF(R304="DNF",1,IF(AND(ISNUMBER(R304),R304&gt;59),1,_xlfn.XLOOKUP(R304,tbl_points[Place],tbl_points[Points],""))))))</f>
        <v/>
      </c>
      <c r="T304" s="3">
        <f>SUM(tbl_individual[[#This Row],[R1 Pts]],tbl_individual[[#This Row],[R2 Pts]],tbl_individual[[#This Row],[R3 Pts]],tbl_individual[[#This Row],[R4 Pts]],tbl_individual[[#This Row],[R5 Pts]],tbl_individual[[#This Row],[R6 Pts]])</f>
        <v>48</v>
      </c>
      <c r="U30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04" s="3">
        <f>tbl_individual[[#This Row],[Total]]</f>
        <v>48</v>
      </c>
    </row>
    <row r="305" spans="1:22" hidden="1" x14ac:dyDescent="0.4">
      <c r="A305" t="s">
        <v>333</v>
      </c>
      <c r="B305" t="s">
        <v>28</v>
      </c>
      <c r="C305" t="s">
        <v>7</v>
      </c>
      <c r="D305" s="3">
        <v>829</v>
      </c>
      <c r="E305" s="3" t="s">
        <v>421</v>
      </c>
      <c r="G305" s="3" t="s">
        <v>403</v>
      </c>
      <c r="H305" s="3">
        <v>21</v>
      </c>
      <c r="I305" s="3">
        <f>IF(H305="","",IF(H305="DNS",0,IF(H305="DQ",0,IF(H305="DNF",1,IF(AND(ISNUMBER(H305),H305&gt;59),1,_xlfn.XLOOKUP(H305,tbl_points[Place],tbl_points[Points],""))))))</f>
        <v>39</v>
      </c>
      <c r="J305" s="3">
        <v>21</v>
      </c>
      <c r="K305" s="3">
        <f>IF(J305="","",IF(J305="DNS",0,IF(J305="DQ",0,IF(J305="DNF",1,IF(AND(ISNUMBER(J305),J305&gt;59),1,_xlfn.XLOOKUP(J305,tbl_points[Place],tbl_points[Points],""))))))</f>
        <v>39</v>
      </c>
      <c r="L305" s="3">
        <v>15</v>
      </c>
      <c r="M305" s="3">
        <f>IF(L305="","",IF(L305="DNS",0,IF(L305="DQ",0,IF(L305="DNF",1,IF(AND(ISNUMBER(L305),L305&gt;59),1,_xlfn.XLOOKUP(L305,tbl_points[Place],tbl_points[Points],""))))))</f>
        <v>45</v>
      </c>
      <c r="N305" s="3">
        <v>18</v>
      </c>
      <c r="O305" s="3">
        <f>IF(N305="","",IF(N305="DNS",0,IF(N305="DQ",0,IF(N305="DNF",1,IF(AND(ISNUMBER(N305),N305&gt;59),1,_xlfn.XLOOKUP(N305,tbl_points[Place],tbl_points[Points],""))))))</f>
        <v>42</v>
      </c>
      <c r="P305" s="3">
        <v>27</v>
      </c>
      <c r="Q305" s="3">
        <f>IF(P305="","",IF(P305="DNS",0,IF(P305="DQ",0,IF(P305="DNF",1,IF(AND(ISNUMBER(P305),P305&gt;59),1,_xlfn.XLOOKUP(P305,tbl_points[Place],tbl_points[Points],""))))))</f>
        <v>33</v>
      </c>
      <c r="S305" s="3" t="str">
        <f>IF(R305="","",IF(R305="DNS",0,IF(R305="DQ",0,IF(R305="DNF",1,IF(AND(ISNUMBER(R305),R305&gt;59),1,_xlfn.XLOOKUP(R305,tbl_points[Place],tbl_points[Points],""))))))</f>
        <v/>
      </c>
      <c r="T305" s="3">
        <f>SUM(tbl_individual[[#This Row],[R1 Pts]],tbl_individual[[#This Row],[R2 Pts]],tbl_individual[[#This Row],[R3 Pts]],tbl_individual[[#This Row],[R4 Pts]],tbl_individual[[#This Row],[R5 Pts]],tbl_individual[[#This Row],[R6 Pts]])</f>
        <v>198</v>
      </c>
      <c r="U305" s="3">
        <f>MIN(tbl_individual[[#This Row],[R1 Pts]],tbl_individual[[#This Row],[R2 Pts]],tbl_individual[[#This Row],[R3 Pts]],tbl_individual[[#This Row],[R4 Pts]],tbl_individual[[#This Row],[R5 Pts]],tbl_individual[[#This Row],[R6 Pts]])</f>
        <v>33</v>
      </c>
      <c r="V305" s="3">
        <f>tbl_individual[[#This Row],[Total]]</f>
        <v>198</v>
      </c>
    </row>
    <row r="306" spans="1:22" hidden="1" x14ac:dyDescent="0.4">
      <c r="A306" t="s">
        <v>335</v>
      </c>
      <c r="B306" t="s">
        <v>28</v>
      </c>
      <c r="C306" t="s">
        <v>5</v>
      </c>
      <c r="D306" s="3">
        <v>945</v>
      </c>
      <c r="E306" s="3" t="s">
        <v>421</v>
      </c>
      <c r="G306" s="3" t="s">
        <v>403</v>
      </c>
      <c r="H306" s="3" t="s">
        <v>410</v>
      </c>
      <c r="I306" s="3">
        <f>IF(H306="","",IF(H306="DNS",0,IF(H306="DQ",0,IF(H306="DNF",1,IF(AND(ISNUMBER(H306),H306&gt;59),1,_xlfn.XLOOKUP(H306,tbl_points[Place],tbl_points[Points],""))))))</f>
        <v>0</v>
      </c>
      <c r="J306" s="3">
        <v>28</v>
      </c>
      <c r="K306" s="3">
        <f>IF(J306="","",IF(J306="DNS",0,IF(J306="DQ",0,IF(J306="DNF",1,IF(AND(ISNUMBER(J306),J306&gt;59),1,_xlfn.XLOOKUP(J306,tbl_points[Place],tbl_points[Points],""))))))</f>
        <v>32</v>
      </c>
      <c r="L306" s="3">
        <v>24</v>
      </c>
      <c r="M306" s="3">
        <f>IF(L306="","",IF(L306="DNS",0,IF(L306="DQ",0,IF(L306="DNF",1,IF(AND(ISNUMBER(L306),L306&gt;59),1,_xlfn.XLOOKUP(L306,tbl_points[Place],tbl_points[Points],""))))))</f>
        <v>36</v>
      </c>
      <c r="N306" s="3">
        <v>37</v>
      </c>
      <c r="O306" s="3">
        <f>IF(N306="","",IF(N306="DNS",0,IF(N306="DQ",0,IF(N306="DNF",1,IF(AND(ISNUMBER(N306),N306&gt;59),1,_xlfn.XLOOKUP(N306,tbl_points[Place],tbl_points[Points],""))))))</f>
        <v>23</v>
      </c>
      <c r="P306" s="3">
        <v>29</v>
      </c>
      <c r="Q306" s="3">
        <f>IF(P306="","",IF(P306="DNS",0,IF(P306="DQ",0,IF(P306="DNF",1,IF(AND(ISNUMBER(P306),P306&gt;59),1,_xlfn.XLOOKUP(P306,tbl_points[Place],tbl_points[Points],""))))))</f>
        <v>31</v>
      </c>
      <c r="S306" s="3" t="str">
        <f>IF(R306="","",IF(R306="DNS",0,IF(R306="DQ",0,IF(R306="DNF",1,IF(AND(ISNUMBER(R306),R306&gt;59),1,_xlfn.XLOOKUP(R306,tbl_points[Place],tbl_points[Points],""))))))</f>
        <v/>
      </c>
      <c r="T306" s="3">
        <f>SUM(tbl_individual[[#This Row],[R1 Pts]],tbl_individual[[#This Row],[R2 Pts]],tbl_individual[[#This Row],[R3 Pts]],tbl_individual[[#This Row],[R4 Pts]],tbl_individual[[#This Row],[R5 Pts]],tbl_individual[[#This Row],[R6 Pts]])</f>
        <v>122</v>
      </c>
      <c r="U30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06" s="3">
        <f>tbl_individual[[#This Row],[Total]]</f>
        <v>122</v>
      </c>
    </row>
    <row r="307" spans="1:22" hidden="1" x14ac:dyDescent="0.4">
      <c r="A307" t="s">
        <v>336</v>
      </c>
      <c r="B307" t="s">
        <v>28</v>
      </c>
      <c r="C307" t="s">
        <v>5</v>
      </c>
      <c r="D307" s="3">
        <v>946</v>
      </c>
      <c r="E307" s="3" t="s">
        <v>421</v>
      </c>
      <c r="G307" s="3" t="s">
        <v>403</v>
      </c>
      <c r="H307" s="3">
        <v>15</v>
      </c>
      <c r="I307" s="3">
        <f>IF(H307="","",IF(H307="DNS",0,IF(H307="DQ",0,IF(H307="DNF",1,IF(AND(ISNUMBER(H307),H307&gt;59),1,_xlfn.XLOOKUP(H307,tbl_points[Place],tbl_points[Points],""))))))</f>
        <v>45</v>
      </c>
      <c r="J307" s="3" t="s">
        <v>409</v>
      </c>
      <c r="K307" s="3">
        <f>IF(J307="","",IF(J307="DNS",0,IF(J307="DQ",0,IF(J307="DNF",1,IF(AND(ISNUMBER(J307),J307&gt;59),1,_xlfn.XLOOKUP(J307,tbl_points[Place],tbl_points[Points],""))))))</f>
        <v>1</v>
      </c>
      <c r="L307" s="3">
        <v>14</v>
      </c>
      <c r="M307" s="3">
        <f>IF(L307="","",IF(L307="DNS",0,IF(L307="DQ",0,IF(L307="DNF",1,IF(AND(ISNUMBER(L307),L307&gt;59),1,_xlfn.XLOOKUP(L307,tbl_points[Place],tbl_points[Points],""))))))</f>
        <v>47</v>
      </c>
      <c r="N307" s="3">
        <v>36</v>
      </c>
      <c r="O307" s="3">
        <f>IF(N307="","",IF(N307="DNS",0,IF(N307="DQ",0,IF(N307="DNF",1,IF(AND(ISNUMBER(N307),N307&gt;59),1,_xlfn.XLOOKUP(N307,tbl_points[Place],tbl_points[Points],""))))))</f>
        <v>24</v>
      </c>
      <c r="P307" s="3">
        <v>30</v>
      </c>
      <c r="Q307" s="3">
        <f>IF(P307="","",IF(P307="DNS",0,IF(P307="DQ",0,IF(P307="DNF",1,IF(AND(ISNUMBER(P307),P307&gt;59),1,_xlfn.XLOOKUP(P307,tbl_points[Place],tbl_points[Points],""))))))</f>
        <v>30</v>
      </c>
      <c r="S307" s="3" t="str">
        <f>IF(R307="","",IF(R307="DNS",0,IF(R307="DQ",0,IF(R307="DNF",1,IF(AND(ISNUMBER(R307),R307&gt;59),1,_xlfn.XLOOKUP(R307,tbl_points[Place],tbl_points[Points],""))))))</f>
        <v/>
      </c>
      <c r="T307" s="3">
        <f>SUM(tbl_individual[[#This Row],[R1 Pts]],tbl_individual[[#This Row],[R2 Pts]],tbl_individual[[#This Row],[R3 Pts]],tbl_individual[[#This Row],[R4 Pts]],tbl_individual[[#This Row],[R5 Pts]],tbl_individual[[#This Row],[R6 Pts]])</f>
        <v>147</v>
      </c>
      <c r="U307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307" s="3">
        <f>tbl_individual[[#This Row],[Total]]</f>
        <v>147</v>
      </c>
    </row>
    <row r="308" spans="1:22" hidden="1" x14ac:dyDescent="0.4">
      <c r="A308" t="s">
        <v>337</v>
      </c>
      <c r="B308" t="s">
        <v>28</v>
      </c>
      <c r="C308" t="s">
        <v>5</v>
      </c>
      <c r="D308" s="3">
        <v>947</v>
      </c>
      <c r="E308" s="3" t="s">
        <v>421</v>
      </c>
      <c r="G308" s="3" t="s">
        <v>403</v>
      </c>
      <c r="H308" s="3">
        <v>23</v>
      </c>
      <c r="I308" s="3">
        <f>IF(H308="","",IF(H308="DNS",0,IF(H308="DQ",0,IF(H308="DNF",1,IF(AND(ISNUMBER(H308),H308&gt;59),1,_xlfn.XLOOKUP(H308,tbl_points[Place],tbl_points[Points],""))))))</f>
        <v>37</v>
      </c>
      <c r="J308" s="3">
        <v>15</v>
      </c>
      <c r="K308" s="3">
        <f>IF(J308="","",IF(J308="DNS",0,IF(J308="DQ",0,IF(J308="DNF",1,IF(AND(ISNUMBER(J308),J308&gt;59),1,_xlfn.XLOOKUP(J308,tbl_points[Place],tbl_points[Points],""))))))</f>
        <v>45</v>
      </c>
      <c r="L308" s="3">
        <v>15</v>
      </c>
      <c r="M308" s="3">
        <f>IF(L308="","",IF(L308="DNS",0,IF(L308="DQ",0,IF(L308="DNF",1,IF(AND(ISNUMBER(L308),L308&gt;59),1,_xlfn.XLOOKUP(L308,tbl_points[Place],tbl_points[Points],""))))))</f>
        <v>45</v>
      </c>
      <c r="N308" s="3">
        <v>13</v>
      </c>
      <c r="O308" s="3">
        <f>IF(N308="","",IF(N308="DNS",0,IF(N308="DQ",0,IF(N308="DNF",1,IF(AND(ISNUMBER(N308),N308&gt;59),1,_xlfn.XLOOKUP(N308,tbl_points[Place],tbl_points[Points],""))))))</f>
        <v>49</v>
      </c>
      <c r="P308" s="3">
        <v>22</v>
      </c>
      <c r="Q308" s="3">
        <f>IF(P308="","",IF(P308="DNS",0,IF(P308="DQ",0,IF(P308="DNF",1,IF(AND(ISNUMBER(P308),P308&gt;59),1,_xlfn.XLOOKUP(P308,tbl_points[Place],tbl_points[Points],""))))))</f>
        <v>38</v>
      </c>
      <c r="S308" s="3" t="str">
        <f>IF(R308="","",IF(R308="DNS",0,IF(R308="DQ",0,IF(R308="DNF",1,IF(AND(ISNUMBER(R308),R308&gt;59),1,_xlfn.XLOOKUP(R308,tbl_points[Place],tbl_points[Points],""))))))</f>
        <v/>
      </c>
      <c r="T308" s="3">
        <f>SUM(tbl_individual[[#This Row],[R1 Pts]],tbl_individual[[#This Row],[R2 Pts]],tbl_individual[[#This Row],[R3 Pts]],tbl_individual[[#This Row],[R4 Pts]],tbl_individual[[#This Row],[R5 Pts]],tbl_individual[[#This Row],[R6 Pts]])</f>
        <v>214</v>
      </c>
      <c r="U308" s="3">
        <f>MIN(tbl_individual[[#This Row],[R1 Pts]],tbl_individual[[#This Row],[R2 Pts]],tbl_individual[[#This Row],[R3 Pts]],tbl_individual[[#This Row],[R4 Pts]],tbl_individual[[#This Row],[R5 Pts]],tbl_individual[[#This Row],[R6 Pts]])</f>
        <v>37</v>
      </c>
      <c r="V308" s="3">
        <f>tbl_individual[[#This Row],[Total]]</f>
        <v>214</v>
      </c>
    </row>
    <row r="309" spans="1:22" hidden="1" x14ac:dyDescent="0.4">
      <c r="A309" t="s">
        <v>338</v>
      </c>
      <c r="B309" t="s">
        <v>28</v>
      </c>
      <c r="C309" t="s">
        <v>5</v>
      </c>
      <c r="D309" s="3">
        <v>948</v>
      </c>
      <c r="E309" s="3" t="s">
        <v>421</v>
      </c>
      <c r="G309" s="3" t="s">
        <v>403</v>
      </c>
      <c r="H309" s="3">
        <v>24</v>
      </c>
      <c r="I309" s="3">
        <f>IF(H309="","",IF(H309="DNS",0,IF(H309="DQ",0,IF(H309="DNF",1,IF(AND(ISNUMBER(H309),H309&gt;59),1,_xlfn.XLOOKUP(H309,tbl_points[Place],tbl_points[Points],""))))))</f>
        <v>36</v>
      </c>
      <c r="J309" s="3">
        <v>19</v>
      </c>
      <c r="K309" s="3">
        <f>IF(J309="","",IF(J309="DNS",0,IF(J309="DQ",0,IF(J309="DNF",1,IF(AND(ISNUMBER(J309),J309&gt;59),1,_xlfn.XLOOKUP(J309,tbl_points[Place],tbl_points[Points],""))))))</f>
        <v>41</v>
      </c>
      <c r="L309" s="3">
        <v>19</v>
      </c>
      <c r="M309" s="3">
        <f>IF(L309="","",IF(L309="DNS",0,IF(L309="DQ",0,IF(L309="DNF",1,IF(AND(ISNUMBER(L309),L309&gt;59),1,_xlfn.XLOOKUP(L309,tbl_points[Place],tbl_points[Points],""))))))</f>
        <v>41</v>
      </c>
      <c r="N309" s="3">
        <v>11</v>
      </c>
      <c r="O309" s="3">
        <f>IF(N309="","",IF(N309="DNS",0,IF(N309="DQ",0,IF(N309="DNF",1,IF(AND(ISNUMBER(N309),N309&gt;59),1,_xlfn.XLOOKUP(N309,tbl_points[Place],tbl_points[Points],""))))))</f>
        <v>53</v>
      </c>
      <c r="P309" s="3" t="s">
        <v>409</v>
      </c>
      <c r="Q309" s="3">
        <f>IF(P309="","",IF(P309="DNS",0,IF(P309="DQ",0,IF(P309="DNF",1,IF(AND(ISNUMBER(P309),P309&gt;59),1,_xlfn.XLOOKUP(P309,tbl_points[Place],tbl_points[Points],""))))))</f>
        <v>1</v>
      </c>
      <c r="S309" s="3" t="str">
        <f>IF(R309="","",IF(R309="DNS",0,IF(R309="DQ",0,IF(R309="DNF",1,IF(AND(ISNUMBER(R309),R309&gt;59),1,_xlfn.XLOOKUP(R309,tbl_points[Place],tbl_points[Points],""))))))</f>
        <v/>
      </c>
      <c r="T309" s="3">
        <f>SUM(tbl_individual[[#This Row],[R1 Pts]],tbl_individual[[#This Row],[R2 Pts]],tbl_individual[[#This Row],[R3 Pts]],tbl_individual[[#This Row],[R4 Pts]],tbl_individual[[#This Row],[R5 Pts]],tbl_individual[[#This Row],[R6 Pts]])</f>
        <v>172</v>
      </c>
      <c r="U309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309" s="3">
        <f>tbl_individual[[#This Row],[Total]]</f>
        <v>172</v>
      </c>
    </row>
    <row r="310" spans="1:22" hidden="1" x14ac:dyDescent="0.4">
      <c r="A310" t="s">
        <v>339</v>
      </c>
      <c r="B310" t="s">
        <v>28</v>
      </c>
      <c r="C310" t="s">
        <v>5</v>
      </c>
      <c r="D310" s="3">
        <v>949</v>
      </c>
      <c r="E310" s="3" t="s">
        <v>421</v>
      </c>
      <c r="G310" s="3" t="s">
        <v>403</v>
      </c>
      <c r="H310" s="3">
        <v>34</v>
      </c>
      <c r="I310" s="3">
        <f>IF(H310="","",IF(H310="DNS",0,IF(H310="DQ",0,IF(H310="DNF",1,IF(AND(ISNUMBER(H310),H310&gt;59),1,_xlfn.XLOOKUP(H310,tbl_points[Place],tbl_points[Points],""))))))</f>
        <v>26</v>
      </c>
      <c r="J310" s="3">
        <v>30</v>
      </c>
      <c r="K310" s="3">
        <f>IF(J310="","",IF(J310="DNS",0,IF(J310="DQ",0,IF(J310="DNF",1,IF(AND(ISNUMBER(J310),J310&gt;59),1,_xlfn.XLOOKUP(J310,tbl_points[Place],tbl_points[Points],""))))))</f>
        <v>30</v>
      </c>
      <c r="L310" s="3" t="s">
        <v>410</v>
      </c>
      <c r="M310" s="3">
        <f>IF(L310="","",IF(L310="DNS",0,IF(L310="DQ",0,IF(L310="DNF",1,IF(AND(ISNUMBER(L310),L310&gt;59),1,_xlfn.XLOOKUP(L310,tbl_points[Place],tbl_points[Points],""))))))</f>
        <v>0</v>
      </c>
      <c r="N310" s="3">
        <v>24</v>
      </c>
      <c r="O310" s="3">
        <f>IF(N310="","",IF(N310="DNS",0,IF(N310="DQ",0,IF(N310="DNF",1,IF(AND(ISNUMBER(N310),N310&gt;59),1,_xlfn.XLOOKUP(N310,tbl_points[Place],tbl_points[Points],""))))))</f>
        <v>36</v>
      </c>
      <c r="P310" s="3">
        <v>26</v>
      </c>
      <c r="Q310" s="3">
        <f>IF(P310="","",IF(P310="DNS",0,IF(P310="DQ",0,IF(P310="DNF",1,IF(AND(ISNUMBER(P310),P310&gt;59),1,_xlfn.XLOOKUP(P310,tbl_points[Place],tbl_points[Points],""))))))</f>
        <v>34</v>
      </c>
      <c r="S310" s="3" t="str">
        <f>IF(R310="","",IF(R310="DNS",0,IF(R310="DQ",0,IF(R310="DNF",1,IF(AND(ISNUMBER(R310),R310&gt;59),1,_xlfn.XLOOKUP(R310,tbl_points[Place],tbl_points[Points],""))))))</f>
        <v/>
      </c>
      <c r="T310" s="3">
        <f>SUM(tbl_individual[[#This Row],[R1 Pts]],tbl_individual[[#This Row],[R2 Pts]],tbl_individual[[#This Row],[R3 Pts]],tbl_individual[[#This Row],[R4 Pts]],tbl_individual[[#This Row],[R5 Pts]],tbl_individual[[#This Row],[R6 Pts]])</f>
        <v>126</v>
      </c>
      <c r="U31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10" s="3">
        <f>tbl_individual[[#This Row],[Total]]</f>
        <v>126</v>
      </c>
    </row>
    <row r="311" spans="1:22" hidden="1" x14ac:dyDescent="0.4">
      <c r="A311" t="s">
        <v>340</v>
      </c>
      <c r="B311" t="s">
        <v>28</v>
      </c>
      <c r="C311" t="s">
        <v>3</v>
      </c>
      <c r="D311" s="3">
        <v>10192</v>
      </c>
      <c r="E311" s="3" t="s">
        <v>421</v>
      </c>
      <c r="G311" s="3" t="s">
        <v>403</v>
      </c>
      <c r="H311" s="3" t="s">
        <v>410</v>
      </c>
      <c r="I311" s="3">
        <f>IF(H311="","",IF(H311="DNS",0,IF(H311="DQ",0,IF(H311="DNF",1,IF(AND(ISNUMBER(H311),H311&gt;59),1,_xlfn.XLOOKUP(H311,tbl_points[Place],tbl_points[Points],""))))))</f>
        <v>0</v>
      </c>
      <c r="J311" s="3" t="s">
        <v>410</v>
      </c>
      <c r="K311" s="3">
        <f>IF(J311="","",IF(J311="DNS",0,IF(J311="DQ",0,IF(J311="DNF",1,IF(AND(ISNUMBER(J311),J311&gt;59),1,_xlfn.XLOOKUP(J311,tbl_points[Place],tbl_points[Points],""))))))</f>
        <v>0</v>
      </c>
      <c r="L311" s="3" t="s">
        <v>410</v>
      </c>
      <c r="M311" s="3">
        <f>IF(L311="","",IF(L311="DNS",0,IF(L311="DQ",0,IF(L311="DNF",1,IF(AND(ISNUMBER(L311),L311&gt;59),1,_xlfn.XLOOKUP(L311,tbl_points[Place],tbl_points[Points],""))))))</f>
        <v>0</v>
      </c>
      <c r="N311" s="3">
        <v>36</v>
      </c>
      <c r="O311" s="3">
        <f>IF(N311="","",IF(N311="DNS",0,IF(N311="DQ",0,IF(N311="DNF",1,IF(AND(ISNUMBER(N311),N311&gt;59),1,_xlfn.XLOOKUP(N311,tbl_points[Place],tbl_points[Points],""))))))</f>
        <v>24</v>
      </c>
      <c r="P311" s="3">
        <v>30</v>
      </c>
      <c r="Q311" s="3">
        <f>IF(P311="","",IF(P311="DNS",0,IF(P311="DQ",0,IF(P311="DNF",1,IF(AND(ISNUMBER(P311),P311&gt;59),1,_xlfn.XLOOKUP(P311,tbl_points[Place],tbl_points[Points],""))))))</f>
        <v>30</v>
      </c>
      <c r="S311" s="3" t="str">
        <f>IF(R311="","",IF(R311="DNS",0,IF(R311="DQ",0,IF(R311="DNF",1,IF(AND(ISNUMBER(R311),R311&gt;59),1,_xlfn.XLOOKUP(R311,tbl_points[Place],tbl_points[Points],""))))))</f>
        <v/>
      </c>
      <c r="T311" s="3">
        <f>SUM(tbl_individual[[#This Row],[R1 Pts]],tbl_individual[[#This Row],[R2 Pts]],tbl_individual[[#This Row],[R3 Pts]],tbl_individual[[#This Row],[R4 Pts]],tbl_individual[[#This Row],[R5 Pts]],tbl_individual[[#This Row],[R6 Pts]])</f>
        <v>54</v>
      </c>
      <c r="U31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11" s="3">
        <f>tbl_individual[[#This Row],[Total]]</f>
        <v>54</v>
      </c>
    </row>
    <row r="312" spans="1:22" s="11" customFormat="1" hidden="1" x14ac:dyDescent="0.4">
      <c r="A312" t="s">
        <v>334</v>
      </c>
      <c r="B312" t="s">
        <v>28</v>
      </c>
      <c r="C312" t="s">
        <v>3</v>
      </c>
      <c r="D312" s="3"/>
      <c r="E312" s="3" t="s">
        <v>433</v>
      </c>
      <c r="F312" s="17" t="s">
        <v>434</v>
      </c>
      <c r="G312" s="3"/>
      <c r="H312" s="3"/>
      <c r="I312" s="3"/>
      <c r="J312" s="3"/>
      <c r="K312" s="3" t="str">
        <f>IF(J312="","",IF(J312="DNS",0,IF(J312="DQ",0,IF(J312="DNF",1,IF(AND(ISNUMBER(J312),J312&gt;59),1,_xlfn.XLOOKUP(J312,tbl_points[Place],tbl_points[Points],""))))))</f>
        <v/>
      </c>
      <c r="L312" s="3"/>
      <c r="M312" s="3" t="str">
        <f>IF(L312="","",IF(L312="DNS",0,IF(L312="DQ",0,IF(L312="DNF",1,IF(AND(ISNUMBER(L312),L312&gt;59),1,_xlfn.XLOOKUP(L312,tbl_points[Place],tbl_points[Points],""))))))</f>
        <v/>
      </c>
      <c r="N312" s="3"/>
      <c r="O312" s="3" t="str">
        <f>IF(N312="","",IF(N312="DNS",0,IF(N312="DQ",0,IF(N312="DNF",1,IF(AND(ISNUMBER(N312),N312&gt;59),1,_xlfn.XLOOKUP(N312,tbl_points[Place],tbl_points[Points],""))))))</f>
        <v/>
      </c>
      <c r="P312" s="3"/>
      <c r="Q312" s="3" t="str">
        <f>IF(P312="","",IF(P312="DNS",0,IF(P312="DQ",0,IF(P312="DNF",1,IF(AND(ISNUMBER(P312),P312&gt;59),1,_xlfn.XLOOKUP(P312,tbl_points[Place],tbl_points[Points],""))))))</f>
        <v/>
      </c>
      <c r="R312" s="3"/>
      <c r="S312" s="3" t="str">
        <f>IF(R312="","",IF(R312="DNS",0,IF(R312="DQ",0,IF(R312="DNF",1,IF(AND(ISNUMBER(R312),R312&gt;59),1,_xlfn.XLOOKUP(R312,tbl_points[Place],tbl_points[Points],""))))))</f>
        <v/>
      </c>
      <c r="T312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31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12" s="3">
        <f>tbl_individual[[#This Row],[Total]]</f>
        <v>0</v>
      </c>
    </row>
    <row r="313" spans="1:22" hidden="1" x14ac:dyDescent="0.4">
      <c r="A313" t="s">
        <v>342</v>
      </c>
      <c r="B313" t="s">
        <v>28</v>
      </c>
      <c r="C313" t="s">
        <v>1</v>
      </c>
      <c r="D313" s="3">
        <v>12087</v>
      </c>
      <c r="E313" s="3" t="s">
        <v>421</v>
      </c>
      <c r="G313" s="3" t="s">
        <v>407</v>
      </c>
      <c r="H313" s="3">
        <v>34</v>
      </c>
      <c r="I313" s="3">
        <f>IF(H313="","",IF(H313="DNS",0,IF(H313="DQ",0,IF(H313="DNF",1,IF(AND(ISNUMBER(H313),H313&gt;59),1,_xlfn.XLOOKUP(H313,tbl_points[Place],tbl_points[Points],""))))))</f>
        <v>26</v>
      </c>
      <c r="J313" s="3" t="s">
        <v>410</v>
      </c>
      <c r="K313" s="3">
        <f>IF(J313="","",IF(J313="DNS",0,IF(J313="DQ",0,IF(J313="DNF",1,IF(AND(ISNUMBER(J313),J313&gt;59),1,_xlfn.XLOOKUP(J313,tbl_points[Place],tbl_points[Points],""))))))</f>
        <v>0</v>
      </c>
      <c r="L313" s="3">
        <v>38</v>
      </c>
      <c r="M313" s="3">
        <f>IF(L313="","",IF(L313="DNS",0,IF(L313="DQ",0,IF(L313="DNF",1,IF(AND(ISNUMBER(L313),L313&gt;59),1,_xlfn.XLOOKUP(L313,tbl_points[Place],tbl_points[Points],""))))))</f>
        <v>22</v>
      </c>
      <c r="N313" s="3">
        <v>45</v>
      </c>
      <c r="O313" s="3">
        <f>IF(N313="","",IF(N313="DNS",0,IF(N313="DQ",0,IF(N313="DNF",1,IF(AND(ISNUMBER(N313),N313&gt;59),1,_xlfn.XLOOKUP(N313,tbl_points[Place],tbl_points[Points],""))))))</f>
        <v>15</v>
      </c>
      <c r="P313" s="3">
        <v>39</v>
      </c>
      <c r="Q313" s="3">
        <f>IF(P313="","",IF(P313="DNS",0,IF(P313="DQ",0,IF(P313="DNF",1,IF(AND(ISNUMBER(P313),P313&gt;59),1,_xlfn.XLOOKUP(P313,tbl_points[Place],tbl_points[Points],""))))))</f>
        <v>21</v>
      </c>
      <c r="S313" s="3" t="str">
        <f>IF(R313="","",IF(R313="DNS",0,IF(R313="DQ",0,IF(R313="DNF",1,IF(AND(ISNUMBER(R313),R313&gt;59),1,_xlfn.XLOOKUP(R313,tbl_points[Place],tbl_points[Points],""))))))</f>
        <v/>
      </c>
      <c r="T313" s="3">
        <f>SUM(tbl_individual[[#This Row],[R1 Pts]],tbl_individual[[#This Row],[R2 Pts]],tbl_individual[[#This Row],[R3 Pts]],tbl_individual[[#This Row],[R4 Pts]],tbl_individual[[#This Row],[R5 Pts]],tbl_individual[[#This Row],[R6 Pts]])</f>
        <v>84</v>
      </c>
      <c r="U31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13" s="3">
        <f>tbl_individual[[#This Row],[Total]]</f>
        <v>84</v>
      </c>
    </row>
    <row r="314" spans="1:22" hidden="1" x14ac:dyDescent="0.4">
      <c r="A314" t="s">
        <v>343</v>
      </c>
      <c r="B314" t="s">
        <v>28</v>
      </c>
      <c r="C314" t="s">
        <v>1</v>
      </c>
      <c r="D314" s="3">
        <v>12089</v>
      </c>
      <c r="E314" s="3" t="s">
        <v>421</v>
      </c>
      <c r="G314" s="3" t="s">
        <v>403</v>
      </c>
      <c r="H314" s="3" t="s">
        <v>410</v>
      </c>
      <c r="I314" s="3">
        <f>IF(H314="","",IF(H314="DNS",0,IF(H314="DQ",0,IF(H314="DNF",1,IF(AND(ISNUMBER(H314),H314&gt;59),1,_xlfn.XLOOKUP(H314,tbl_points[Place],tbl_points[Points],""))))))</f>
        <v>0</v>
      </c>
      <c r="J314" s="3">
        <v>20</v>
      </c>
      <c r="K314" s="3">
        <f>IF(J314="","",IF(J314="DNS",0,IF(J314="DQ",0,IF(J314="DNF",1,IF(AND(ISNUMBER(J314),J314&gt;59),1,_xlfn.XLOOKUP(J314,tbl_points[Place],tbl_points[Points],""))))))</f>
        <v>40</v>
      </c>
      <c r="L314" s="3">
        <v>46</v>
      </c>
      <c r="M314" s="3">
        <f>IF(L314="","",IF(L314="DNS",0,IF(L314="DQ",0,IF(L314="DNF",1,IF(AND(ISNUMBER(L314),L314&gt;59),1,_xlfn.XLOOKUP(L314,tbl_points[Place],tbl_points[Points],""))))))</f>
        <v>14</v>
      </c>
      <c r="N314" s="3">
        <v>13</v>
      </c>
      <c r="O314" s="3">
        <f>IF(N314="","",IF(N314="DNS",0,IF(N314="DQ",0,IF(N314="DNF",1,IF(AND(ISNUMBER(N314),N314&gt;59),1,_xlfn.XLOOKUP(N314,tbl_points[Place],tbl_points[Points],""))))))</f>
        <v>49</v>
      </c>
      <c r="P314" s="3">
        <v>20</v>
      </c>
      <c r="Q314" s="3">
        <f>IF(P314="","",IF(P314="DNS",0,IF(P314="DQ",0,IF(P314="DNF",1,IF(AND(ISNUMBER(P314),P314&gt;59),1,_xlfn.XLOOKUP(P314,tbl_points[Place],tbl_points[Points],""))))))</f>
        <v>40</v>
      </c>
      <c r="S314" s="3" t="str">
        <f>IF(R314="","",IF(R314="DNS",0,IF(R314="DQ",0,IF(R314="DNF",1,IF(AND(ISNUMBER(R314),R314&gt;59),1,_xlfn.XLOOKUP(R314,tbl_points[Place],tbl_points[Points],""))))))</f>
        <v/>
      </c>
      <c r="T314" s="3">
        <f>SUM(tbl_individual[[#This Row],[R1 Pts]],tbl_individual[[#This Row],[R2 Pts]],tbl_individual[[#This Row],[R3 Pts]],tbl_individual[[#This Row],[R4 Pts]],tbl_individual[[#This Row],[R5 Pts]],tbl_individual[[#This Row],[R6 Pts]])</f>
        <v>143</v>
      </c>
      <c r="U31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14" s="3">
        <f>tbl_individual[[#This Row],[Total]]</f>
        <v>143</v>
      </c>
    </row>
    <row r="315" spans="1:22" hidden="1" x14ac:dyDescent="0.4">
      <c r="A315" t="s">
        <v>344</v>
      </c>
      <c r="B315" t="s">
        <v>28</v>
      </c>
      <c r="C315" t="s">
        <v>1</v>
      </c>
      <c r="D315" s="3">
        <v>12090</v>
      </c>
      <c r="E315" s="3" t="s">
        <v>421</v>
      </c>
      <c r="G315" s="3" t="s">
        <v>403</v>
      </c>
      <c r="H315" s="3">
        <v>10</v>
      </c>
      <c r="I315" s="3">
        <f>IF(H315="","",IF(H315="DNS",0,IF(H315="DQ",0,IF(H315="DNF",1,IF(AND(ISNUMBER(H315),H315&gt;59),1,_xlfn.XLOOKUP(H315,tbl_points[Place],tbl_points[Points],""))))))</f>
        <v>55</v>
      </c>
      <c r="J315" s="3">
        <v>10</v>
      </c>
      <c r="K315" s="3">
        <f>IF(J315="","",IF(J315="DNS",0,IF(J315="DQ",0,IF(J315="DNF",1,IF(AND(ISNUMBER(J315),J315&gt;59),1,_xlfn.XLOOKUP(J315,tbl_points[Place],tbl_points[Points],""))))))</f>
        <v>55</v>
      </c>
      <c r="L315" s="3">
        <v>15</v>
      </c>
      <c r="M315" s="3">
        <f>IF(L315="","",IF(L315="DNS",0,IF(L315="DQ",0,IF(L315="DNF",1,IF(AND(ISNUMBER(L315),L315&gt;59),1,_xlfn.XLOOKUP(L315,tbl_points[Place],tbl_points[Points],""))))))</f>
        <v>45</v>
      </c>
      <c r="N315" s="3">
        <v>7</v>
      </c>
      <c r="O315" s="3">
        <f>IF(N315="","",IF(N315="DNS",0,IF(N315="DQ",0,IF(N315="DNF",1,IF(AND(ISNUMBER(N315),N315&gt;59),1,_xlfn.XLOOKUP(N315,tbl_points[Place],tbl_points[Points],""))))))</f>
        <v>70</v>
      </c>
      <c r="P315" s="3" t="s">
        <v>410</v>
      </c>
      <c r="Q315" s="3">
        <f>IF(P315="","",IF(P315="DNS",0,IF(P315="DQ",0,IF(P315="DNF",1,IF(AND(ISNUMBER(P315),P315&gt;59),1,_xlfn.XLOOKUP(P315,tbl_points[Place],tbl_points[Points],""))))))</f>
        <v>0</v>
      </c>
      <c r="S315" s="3" t="str">
        <f>IF(R315="","",IF(R315="DNS",0,IF(R315="DQ",0,IF(R315="DNF",1,IF(AND(ISNUMBER(R315),R315&gt;59),1,_xlfn.XLOOKUP(R315,tbl_points[Place],tbl_points[Points],""))))))</f>
        <v/>
      </c>
      <c r="T315" s="3">
        <f>SUM(tbl_individual[[#This Row],[R1 Pts]],tbl_individual[[#This Row],[R2 Pts]],tbl_individual[[#This Row],[R3 Pts]],tbl_individual[[#This Row],[R4 Pts]],tbl_individual[[#This Row],[R5 Pts]],tbl_individual[[#This Row],[R6 Pts]])</f>
        <v>225</v>
      </c>
      <c r="U31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15" s="3">
        <f>tbl_individual[[#This Row],[Total]]</f>
        <v>225</v>
      </c>
    </row>
    <row r="316" spans="1:22" hidden="1" x14ac:dyDescent="0.4">
      <c r="A316" t="s">
        <v>345</v>
      </c>
      <c r="B316" t="s">
        <v>28</v>
      </c>
      <c r="C316" t="s">
        <v>1</v>
      </c>
      <c r="D316" s="3">
        <v>12091</v>
      </c>
      <c r="E316" s="3" t="s">
        <v>421</v>
      </c>
      <c r="G316" s="3" t="s">
        <v>403</v>
      </c>
      <c r="H316" s="3" t="s">
        <v>410</v>
      </c>
      <c r="I316" s="3">
        <f>IF(H316="","",IF(H316="DNS",0,IF(H316="DQ",0,IF(H316="DNF",1,IF(AND(ISNUMBER(H316),H316&gt;59),1,_xlfn.XLOOKUP(H316,tbl_points[Place],tbl_points[Points],""))))))</f>
        <v>0</v>
      </c>
      <c r="J316" s="3">
        <v>43</v>
      </c>
      <c r="K316" s="3">
        <f>IF(J316="","",IF(J316="DNS",0,IF(J316="DQ",0,IF(J316="DNF",1,IF(AND(ISNUMBER(J316),J316&gt;59),1,_xlfn.XLOOKUP(J316,tbl_points[Place],tbl_points[Points],""))))))</f>
        <v>17</v>
      </c>
      <c r="L316" s="3" t="s">
        <v>410</v>
      </c>
      <c r="M316" s="3">
        <f>IF(L316="","",IF(L316="DNS",0,IF(L316="DQ",0,IF(L316="DNF",1,IF(AND(ISNUMBER(L316),L316&gt;59),1,_xlfn.XLOOKUP(L316,tbl_points[Place],tbl_points[Points],""))))))</f>
        <v>0</v>
      </c>
      <c r="N316" s="3">
        <v>24</v>
      </c>
      <c r="O316" s="3">
        <f>IF(N316="","",IF(N316="DNS",0,IF(N316="DQ",0,IF(N316="DNF",1,IF(AND(ISNUMBER(N316),N316&gt;59),1,_xlfn.XLOOKUP(N316,tbl_points[Place],tbl_points[Points],""))))))</f>
        <v>36</v>
      </c>
      <c r="P316" s="3">
        <v>38</v>
      </c>
      <c r="Q316" s="3">
        <f>IF(P316="","",IF(P316="DNS",0,IF(P316="DQ",0,IF(P316="DNF",1,IF(AND(ISNUMBER(P316),P316&gt;59),1,_xlfn.XLOOKUP(P316,tbl_points[Place],tbl_points[Points],""))))))</f>
        <v>22</v>
      </c>
      <c r="S316" s="3" t="str">
        <f>IF(R316="","",IF(R316="DNS",0,IF(R316="DQ",0,IF(R316="DNF",1,IF(AND(ISNUMBER(R316),R316&gt;59),1,_xlfn.XLOOKUP(R316,tbl_points[Place],tbl_points[Points],""))))))</f>
        <v/>
      </c>
      <c r="T316" s="3">
        <f>SUM(tbl_individual[[#This Row],[R1 Pts]],tbl_individual[[#This Row],[R2 Pts]],tbl_individual[[#This Row],[R3 Pts]],tbl_individual[[#This Row],[R4 Pts]],tbl_individual[[#This Row],[R5 Pts]],tbl_individual[[#This Row],[R6 Pts]])</f>
        <v>75</v>
      </c>
      <c r="U31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16" s="3">
        <f>tbl_individual[[#This Row],[Total]]</f>
        <v>75</v>
      </c>
    </row>
    <row r="317" spans="1:22" hidden="1" x14ac:dyDescent="0.4">
      <c r="A317" t="s">
        <v>346</v>
      </c>
      <c r="B317" t="s">
        <v>28</v>
      </c>
      <c r="C317" t="s">
        <v>1</v>
      </c>
      <c r="D317" s="3">
        <v>12092</v>
      </c>
      <c r="E317" s="3" t="s">
        <v>421</v>
      </c>
      <c r="G317" s="3" t="s">
        <v>403</v>
      </c>
      <c r="H317" s="3">
        <v>33</v>
      </c>
      <c r="I317" s="3">
        <f>IF(H317="","",IF(H317="DNS",0,IF(H317="DQ",0,IF(H317="DNF",1,IF(AND(ISNUMBER(H317),H317&gt;59),1,_xlfn.XLOOKUP(H317,tbl_points[Place],tbl_points[Points],""))))))</f>
        <v>27</v>
      </c>
      <c r="J317" s="3">
        <v>27</v>
      </c>
      <c r="K317" s="3">
        <f>IF(J317="","",IF(J317="DNS",0,IF(J317="DQ",0,IF(J317="DNF",1,IF(AND(ISNUMBER(J317),J317&gt;59),1,_xlfn.XLOOKUP(J317,tbl_points[Place],tbl_points[Points],""))))))</f>
        <v>33</v>
      </c>
      <c r="L317" s="3">
        <v>26</v>
      </c>
      <c r="M317" s="3">
        <f>IF(L317="","",IF(L317="DNS",0,IF(L317="DQ",0,IF(L317="DNF",1,IF(AND(ISNUMBER(L317),L317&gt;59),1,_xlfn.XLOOKUP(L317,tbl_points[Place],tbl_points[Points],""))))))</f>
        <v>34</v>
      </c>
      <c r="N317" s="3">
        <v>28</v>
      </c>
      <c r="O317" s="3">
        <f>IF(N317="","",IF(N317="DNS",0,IF(N317="DQ",0,IF(N317="DNF",1,IF(AND(ISNUMBER(N317),N317&gt;59),1,_xlfn.XLOOKUP(N317,tbl_points[Place],tbl_points[Points],""))))))</f>
        <v>32</v>
      </c>
      <c r="P317" s="3">
        <v>29</v>
      </c>
      <c r="Q317" s="3">
        <f>IF(P317="","",IF(P317="DNS",0,IF(P317="DQ",0,IF(P317="DNF",1,IF(AND(ISNUMBER(P317),P317&gt;59),1,_xlfn.XLOOKUP(P317,tbl_points[Place],tbl_points[Points],""))))))</f>
        <v>31</v>
      </c>
      <c r="S317" s="3" t="str">
        <f>IF(R317="","",IF(R317="DNS",0,IF(R317="DQ",0,IF(R317="DNF",1,IF(AND(ISNUMBER(R317),R317&gt;59),1,_xlfn.XLOOKUP(R317,tbl_points[Place],tbl_points[Points],""))))))</f>
        <v/>
      </c>
      <c r="T317" s="3">
        <f>SUM(tbl_individual[[#This Row],[R1 Pts]],tbl_individual[[#This Row],[R2 Pts]],tbl_individual[[#This Row],[R3 Pts]],tbl_individual[[#This Row],[R4 Pts]],tbl_individual[[#This Row],[R5 Pts]],tbl_individual[[#This Row],[R6 Pts]])</f>
        <v>157</v>
      </c>
      <c r="U317" s="3">
        <f>MIN(tbl_individual[[#This Row],[R1 Pts]],tbl_individual[[#This Row],[R2 Pts]],tbl_individual[[#This Row],[R3 Pts]],tbl_individual[[#This Row],[R4 Pts]],tbl_individual[[#This Row],[R5 Pts]],tbl_individual[[#This Row],[R6 Pts]])</f>
        <v>27</v>
      </c>
      <c r="V317" s="3">
        <f>tbl_individual[[#This Row],[Total]]</f>
        <v>157</v>
      </c>
    </row>
    <row r="318" spans="1:22" hidden="1" x14ac:dyDescent="0.4">
      <c r="A318" t="s">
        <v>347</v>
      </c>
      <c r="B318" t="s">
        <v>28</v>
      </c>
      <c r="C318" t="s">
        <v>1</v>
      </c>
      <c r="D318" s="3">
        <v>12093</v>
      </c>
      <c r="E318" s="3" t="s">
        <v>421</v>
      </c>
      <c r="G318" s="3" t="s">
        <v>407</v>
      </c>
      <c r="H318" s="3" t="s">
        <v>410</v>
      </c>
      <c r="I318" s="3">
        <f>IF(H318="","",IF(H318="DNS",0,IF(H318="DQ",0,IF(H318="DNF",1,IF(AND(ISNUMBER(H318),H318&gt;59),1,_xlfn.XLOOKUP(H318,tbl_points[Place],tbl_points[Points],""))))))</f>
        <v>0</v>
      </c>
      <c r="J318" s="3">
        <v>64</v>
      </c>
      <c r="K318" s="3">
        <f>IF(J318="","",IF(J318="DNS",0,IF(J318="DQ",0,IF(J318="DNF",1,IF(AND(ISNUMBER(J318),J318&gt;59),1,_xlfn.XLOOKUP(J318,tbl_points[Place],tbl_points[Points],""))))))</f>
        <v>1</v>
      </c>
      <c r="L318" s="3" t="s">
        <v>410</v>
      </c>
      <c r="M318" s="3">
        <f>IF(L318="","",IF(L318="DNS",0,IF(L318="DQ",0,IF(L318="DNF",1,IF(AND(ISNUMBER(L318),L318&gt;59),1,_xlfn.XLOOKUP(L318,tbl_points[Place],tbl_points[Points],""))))))</f>
        <v>0</v>
      </c>
      <c r="N318" s="3">
        <v>27</v>
      </c>
      <c r="O318" s="3">
        <f>IF(N318="","",IF(N318="DNS",0,IF(N318="DQ",0,IF(N318="DNF",1,IF(AND(ISNUMBER(N318),N318&gt;59),1,_xlfn.XLOOKUP(N318,tbl_points[Place],tbl_points[Points],""))))))</f>
        <v>33</v>
      </c>
      <c r="P318" s="3">
        <v>48</v>
      </c>
      <c r="Q318" s="3">
        <f>IF(P318="","",IF(P318="DNS",0,IF(P318="DQ",0,IF(P318="DNF",1,IF(AND(ISNUMBER(P318),P318&gt;59),1,_xlfn.XLOOKUP(P318,tbl_points[Place],tbl_points[Points],""))))))</f>
        <v>12</v>
      </c>
      <c r="S318" s="3" t="str">
        <f>IF(R318="","",IF(R318="DNS",0,IF(R318="DQ",0,IF(R318="DNF",1,IF(AND(ISNUMBER(R318),R318&gt;59),1,_xlfn.XLOOKUP(R318,tbl_points[Place],tbl_points[Points],""))))))</f>
        <v/>
      </c>
      <c r="T318" s="3">
        <f>SUM(tbl_individual[[#This Row],[R1 Pts]],tbl_individual[[#This Row],[R2 Pts]],tbl_individual[[#This Row],[R3 Pts]],tbl_individual[[#This Row],[R4 Pts]],tbl_individual[[#This Row],[R5 Pts]],tbl_individual[[#This Row],[R6 Pts]])</f>
        <v>46</v>
      </c>
      <c r="U31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18" s="3">
        <f>tbl_individual[[#This Row],[Total]]</f>
        <v>46</v>
      </c>
    </row>
    <row r="319" spans="1:22" hidden="1" x14ac:dyDescent="0.4">
      <c r="A319" t="s">
        <v>348</v>
      </c>
      <c r="B319" t="s">
        <v>28</v>
      </c>
      <c r="C319" t="s">
        <v>1</v>
      </c>
      <c r="D319" s="3">
        <v>12094</v>
      </c>
      <c r="E319" s="3" t="s">
        <v>421</v>
      </c>
      <c r="G319" s="3" t="s">
        <v>403</v>
      </c>
      <c r="H319" s="3">
        <v>21</v>
      </c>
      <c r="I319" s="3">
        <f>IF(H319="","",IF(H319="DNS",0,IF(H319="DQ",0,IF(H319="DNF",1,IF(AND(ISNUMBER(H319),H319&gt;59),1,_xlfn.XLOOKUP(H319,tbl_points[Place],tbl_points[Points],""))))))</f>
        <v>39</v>
      </c>
      <c r="J319" s="3">
        <v>35</v>
      </c>
      <c r="K319" s="3">
        <f>IF(J319="","",IF(J319="DNS",0,IF(J319="DQ",0,IF(J319="DNF",1,IF(AND(ISNUMBER(J319),J319&gt;59),1,_xlfn.XLOOKUP(J319,tbl_points[Place],tbl_points[Points],""))))))</f>
        <v>25</v>
      </c>
      <c r="L319" s="3">
        <v>24</v>
      </c>
      <c r="M319" s="3">
        <f>IF(L319="","",IF(L319="DNS",0,IF(L319="DQ",0,IF(L319="DNF",1,IF(AND(ISNUMBER(L319),L319&gt;59),1,_xlfn.XLOOKUP(L319,tbl_points[Place],tbl_points[Points],""))))))</f>
        <v>36</v>
      </c>
      <c r="N319" s="3">
        <v>43</v>
      </c>
      <c r="O319" s="3">
        <f>IF(N319="","",IF(N319="DNS",0,IF(N319="DQ",0,IF(N319="DNF",1,IF(AND(ISNUMBER(N319),N319&gt;59),1,_xlfn.XLOOKUP(N319,tbl_points[Place],tbl_points[Points],""))))))</f>
        <v>17</v>
      </c>
      <c r="P319" s="3">
        <v>44</v>
      </c>
      <c r="Q319" s="3">
        <f>IF(P319="","",IF(P319="DNS",0,IF(P319="DQ",0,IF(P319="DNF",1,IF(AND(ISNUMBER(P319),P319&gt;59),1,_xlfn.XLOOKUP(P319,tbl_points[Place],tbl_points[Points],""))))))</f>
        <v>16</v>
      </c>
      <c r="S319" s="3" t="str">
        <f>IF(R319="","",IF(R319="DNS",0,IF(R319="DQ",0,IF(R319="DNF",1,IF(AND(ISNUMBER(R319),R319&gt;59),1,_xlfn.XLOOKUP(R319,tbl_points[Place],tbl_points[Points],""))))))</f>
        <v/>
      </c>
      <c r="T319" s="3">
        <f>SUM(tbl_individual[[#This Row],[R1 Pts]],tbl_individual[[#This Row],[R2 Pts]],tbl_individual[[#This Row],[R3 Pts]],tbl_individual[[#This Row],[R4 Pts]],tbl_individual[[#This Row],[R5 Pts]],tbl_individual[[#This Row],[R6 Pts]])</f>
        <v>133</v>
      </c>
      <c r="U319" s="3">
        <f>MIN(tbl_individual[[#This Row],[R1 Pts]],tbl_individual[[#This Row],[R2 Pts]],tbl_individual[[#This Row],[R3 Pts]],tbl_individual[[#This Row],[R4 Pts]],tbl_individual[[#This Row],[R5 Pts]],tbl_individual[[#This Row],[R6 Pts]])</f>
        <v>16</v>
      </c>
      <c r="V319" s="3">
        <f>tbl_individual[[#This Row],[Total]]</f>
        <v>133</v>
      </c>
    </row>
    <row r="320" spans="1:22" hidden="1" x14ac:dyDescent="0.4">
      <c r="A320" t="s">
        <v>341</v>
      </c>
      <c r="B320" t="s">
        <v>28</v>
      </c>
      <c r="C320" t="s">
        <v>2</v>
      </c>
      <c r="D320" s="3">
        <v>1244</v>
      </c>
      <c r="E320" s="3" t="s">
        <v>421</v>
      </c>
      <c r="G320" s="3" t="s">
        <v>407</v>
      </c>
      <c r="H320" s="3" t="s">
        <v>410</v>
      </c>
      <c r="I320" s="3">
        <f>IF(H320="","",IF(H320="DNS",0,IF(H320="DQ",0,IF(H320="DNF",1,IF(AND(ISNUMBER(H320),H320&gt;59),1,_xlfn.XLOOKUP(H320,tbl_points[Place],tbl_points[Points],""))))))</f>
        <v>0</v>
      </c>
      <c r="J320" s="3">
        <v>6</v>
      </c>
      <c r="K320" s="3">
        <f>IF(J320="","",IF(J320="DNS",0,IF(J320="DQ",0,IF(J320="DNF",1,IF(AND(ISNUMBER(J320),J320&gt;59),1,_xlfn.XLOOKUP(J320,tbl_points[Place],tbl_points[Points],""))))))</f>
        <v>75</v>
      </c>
      <c r="L320" s="3" t="s">
        <v>410</v>
      </c>
      <c r="M320" s="3">
        <f>IF(L320="","",IF(L320="DNS",0,IF(L320="DQ",0,IF(L320="DNF",1,IF(AND(ISNUMBER(L320),L320&gt;59),1,_xlfn.XLOOKUP(L320,tbl_points[Place],tbl_points[Points],""))))))</f>
        <v>0</v>
      </c>
      <c r="N320" s="3" t="s">
        <v>410</v>
      </c>
      <c r="O320" s="3">
        <f>IF(N320="","",IF(N320="DNS",0,IF(N320="DQ",0,IF(N320="DNF",1,IF(AND(ISNUMBER(N320),N320&gt;59),1,_xlfn.XLOOKUP(N320,tbl_points[Place],tbl_points[Points],""))))))</f>
        <v>0</v>
      </c>
      <c r="P320" s="3">
        <v>9</v>
      </c>
      <c r="Q320" s="3">
        <f>IF(P320="","",IF(P320="DNS",0,IF(P320="DQ",0,IF(P320="DNF",1,IF(AND(ISNUMBER(P320),P320&gt;59),1,_xlfn.XLOOKUP(P320,tbl_points[Place],tbl_points[Points],""))))))</f>
        <v>60</v>
      </c>
      <c r="S320" s="3" t="str">
        <f>IF(R320="","",IF(R320="DNS",0,IF(R320="DQ",0,IF(R320="DNF",1,IF(AND(ISNUMBER(R320),R320&gt;59),1,_xlfn.XLOOKUP(R320,tbl_points[Place],tbl_points[Points],""))))))</f>
        <v/>
      </c>
      <c r="T320" s="3">
        <f>SUM(tbl_individual[[#This Row],[R1 Pts]],tbl_individual[[#This Row],[R2 Pts]],tbl_individual[[#This Row],[R3 Pts]],tbl_individual[[#This Row],[R4 Pts]],tbl_individual[[#This Row],[R5 Pts]],tbl_individual[[#This Row],[R6 Pts]])</f>
        <v>135</v>
      </c>
      <c r="U32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20" s="3">
        <f>tbl_individual[[#This Row],[Total]]</f>
        <v>135</v>
      </c>
    </row>
    <row r="321" spans="1:22" hidden="1" x14ac:dyDescent="0.4">
      <c r="A321" t="s">
        <v>349</v>
      </c>
      <c r="B321" t="s">
        <v>29</v>
      </c>
      <c r="C321" t="s">
        <v>7</v>
      </c>
      <c r="D321" s="3">
        <v>831</v>
      </c>
      <c r="E321" s="3" t="s">
        <v>421</v>
      </c>
      <c r="G321" s="3" t="s">
        <v>403</v>
      </c>
      <c r="H321" s="3">
        <v>6</v>
      </c>
      <c r="I321" s="3">
        <f>IF(H321="","",IF(H321="DNS",0,IF(H321="DQ",0,IF(H321="DNF",1,IF(AND(ISNUMBER(H321),H321&gt;59),1,_xlfn.XLOOKUP(H321,tbl_points[Place],tbl_points[Points],""))))))</f>
        <v>75</v>
      </c>
      <c r="J321" s="3">
        <v>13</v>
      </c>
      <c r="K321" s="3">
        <f>IF(J321="","",IF(J321="DNS",0,IF(J321="DQ",0,IF(J321="DNF",1,IF(AND(ISNUMBER(J321),J321&gt;59),1,_xlfn.XLOOKUP(J321,tbl_points[Place],tbl_points[Points],""))))))</f>
        <v>49</v>
      </c>
      <c r="L321" s="3">
        <v>5</v>
      </c>
      <c r="M321" s="3">
        <f>IF(L321="","",IF(L321="DNS",0,IF(L321="DQ",0,IF(L321="DNF",1,IF(AND(ISNUMBER(L321),L321&gt;59),1,_xlfn.XLOOKUP(L321,tbl_points[Place],tbl_points[Points],""))))))</f>
        <v>80</v>
      </c>
      <c r="N321" s="3">
        <v>6</v>
      </c>
      <c r="O321" s="3">
        <f>IF(N321="","",IF(N321="DNS",0,IF(N321="DQ",0,IF(N321="DNF",1,IF(AND(ISNUMBER(N321),N321&gt;59),1,_xlfn.XLOOKUP(N321,tbl_points[Place],tbl_points[Points],""))))))</f>
        <v>75</v>
      </c>
      <c r="P321" s="3">
        <v>4</v>
      </c>
      <c r="Q321" s="3">
        <f>IF(P321="","",IF(P321="DNS",0,IF(P321="DQ",0,IF(P321="DNF",1,IF(AND(ISNUMBER(P321),P321&gt;59),1,_xlfn.XLOOKUP(P321,tbl_points[Place],tbl_points[Points],""))))))</f>
        <v>85</v>
      </c>
      <c r="S321" s="3" t="str">
        <f>IF(R321="","",IF(R321="DNS",0,IF(R321="DQ",0,IF(R321="DNF",1,IF(AND(ISNUMBER(R321),R321&gt;59),1,_xlfn.XLOOKUP(R321,tbl_points[Place],tbl_points[Points],""))))))</f>
        <v/>
      </c>
      <c r="T321" s="3">
        <f>SUM(tbl_individual[[#This Row],[R1 Pts]],tbl_individual[[#This Row],[R2 Pts]],tbl_individual[[#This Row],[R3 Pts]],tbl_individual[[#This Row],[R4 Pts]],tbl_individual[[#This Row],[R5 Pts]],tbl_individual[[#This Row],[R6 Pts]])</f>
        <v>364</v>
      </c>
      <c r="U321" s="3">
        <f>MIN(tbl_individual[[#This Row],[R1 Pts]],tbl_individual[[#This Row],[R2 Pts]],tbl_individual[[#This Row],[R3 Pts]],tbl_individual[[#This Row],[R4 Pts]],tbl_individual[[#This Row],[R5 Pts]],tbl_individual[[#This Row],[R6 Pts]])</f>
        <v>49</v>
      </c>
      <c r="V321" s="3">
        <f>tbl_individual[[#This Row],[Total]]</f>
        <v>364</v>
      </c>
    </row>
    <row r="322" spans="1:22" hidden="1" x14ac:dyDescent="0.4">
      <c r="A322" t="s">
        <v>350</v>
      </c>
      <c r="B322" t="s">
        <v>29</v>
      </c>
      <c r="C322" t="s">
        <v>7</v>
      </c>
      <c r="D322" s="3">
        <v>832</v>
      </c>
      <c r="E322" s="3" t="s">
        <v>421</v>
      </c>
      <c r="G322" s="3" t="s">
        <v>403</v>
      </c>
      <c r="H322" s="3">
        <v>7</v>
      </c>
      <c r="I322" s="3">
        <f>IF(H322="","",IF(H322="DNS",0,IF(H322="DQ",0,IF(H322="DNF",1,IF(AND(ISNUMBER(H322),H322&gt;59),1,_xlfn.XLOOKUP(H322,tbl_points[Place],tbl_points[Points],""))))))</f>
        <v>70</v>
      </c>
      <c r="J322" s="3">
        <v>7</v>
      </c>
      <c r="K322" s="3">
        <f>IF(J322="","",IF(J322="DNS",0,IF(J322="DQ",0,IF(J322="DNF",1,IF(AND(ISNUMBER(J322),J322&gt;59),1,_xlfn.XLOOKUP(J322,tbl_points[Place],tbl_points[Points],""))))))</f>
        <v>70</v>
      </c>
      <c r="L322" s="3">
        <v>6</v>
      </c>
      <c r="M322" s="3">
        <f>IF(L322="","",IF(L322="DNS",0,IF(L322="DQ",0,IF(L322="DNF",1,IF(AND(ISNUMBER(L322),L322&gt;59),1,_xlfn.XLOOKUP(L322,tbl_points[Place],tbl_points[Points],""))))))</f>
        <v>75</v>
      </c>
      <c r="N322" s="3">
        <v>11</v>
      </c>
      <c r="O322" s="3">
        <f>IF(N322="","",IF(N322="DNS",0,IF(N322="DQ",0,IF(N322="DNF",1,IF(AND(ISNUMBER(N322),N322&gt;59),1,_xlfn.XLOOKUP(N322,tbl_points[Place],tbl_points[Points],""))))))</f>
        <v>53</v>
      </c>
      <c r="P322" s="3">
        <v>13</v>
      </c>
      <c r="Q322" s="3">
        <f>IF(P322="","",IF(P322="DNS",0,IF(P322="DQ",0,IF(P322="DNF",1,IF(AND(ISNUMBER(P322),P322&gt;59),1,_xlfn.XLOOKUP(P322,tbl_points[Place],tbl_points[Points],""))))))</f>
        <v>49</v>
      </c>
      <c r="S322" s="3" t="str">
        <f>IF(R322="","",IF(R322="DNS",0,IF(R322="DQ",0,IF(R322="DNF",1,IF(AND(ISNUMBER(R322),R322&gt;59),1,_xlfn.XLOOKUP(R322,tbl_points[Place],tbl_points[Points],""))))))</f>
        <v/>
      </c>
      <c r="T322" s="3">
        <f>SUM(tbl_individual[[#This Row],[R1 Pts]],tbl_individual[[#This Row],[R2 Pts]],tbl_individual[[#This Row],[R3 Pts]],tbl_individual[[#This Row],[R4 Pts]],tbl_individual[[#This Row],[R5 Pts]],tbl_individual[[#This Row],[R6 Pts]])</f>
        <v>317</v>
      </c>
      <c r="U322" s="3">
        <f>MIN(tbl_individual[[#This Row],[R1 Pts]],tbl_individual[[#This Row],[R2 Pts]],tbl_individual[[#This Row],[R3 Pts]],tbl_individual[[#This Row],[R4 Pts]],tbl_individual[[#This Row],[R5 Pts]],tbl_individual[[#This Row],[R6 Pts]])</f>
        <v>49</v>
      </c>
      <c r="V322" s="3">
        <f>tbl_individual[[#This Row],[Total]]</f>
        <v>317</v>
      </c>
    </row>
    <row r="323" spans="1:22" hidden="1" x14ac:dyDescent="0.4">
      <c r="A323" t="s">
        <v>351</v>
      </c>
      <c r="B323" t="s">
        <v>29</v>
      </c>
      <c r="C323" t="s">
        <v>5</v>
      </c>
      <c r="D323" s="3">
        <v>950</v>
      </c>
      <c r="E323" s="3" t="s">
        <v>421</v>
      </c>
      <c r="G323" s="3" t="s">
        <v>403</v>
      </c>
      <c r="H323" s="3">
        <v>18</v>
      </c>
      <c r="I323" s="3">
        <f>IF(H323="","",IF(H323="DNS",0,IF(H323="DQ",0,IF(H323="DNF",1,IF(AND(ISNUMBER(H323),H323&gt;59),1,_xlfn.XLOOKUP(H323,tbl_points[Place],tbl_points[Points],""))))))</f>
        <v>42</v>
      </c>
      <c r="J323" s="3">
        <v>43</v>
      </c>
      <c r="K323" s="3">
        <f>IF(J323="","",IF(J323="DNS",0,IF(J323="DQ",0,IF(J323="DNF",1,IF(AND(ISNUMBER(J323),J323&gt;59),1,_xlfn.XLOOKUP(J323,tbl_points[Place],tbl_points[Points],""))))))</f>
        <v>17</v>
      </c>
      <c r="L323" s="3" t="s">
        <v>410</v>
      </c>
      <c r="M323" s="3">
        <f>IF(L323="","",IF(L323="DNS",0,IF(L323="DQ",0,IF(L323="DNF",1,IF(AND(ISNUMBER(L323),L323&gt;59),1,_xlfn.XLOOKUP(L323,tbl_points[Place],tbl_points[Points],""))))))</f>
        <v>0</v>
      </c>
      <c r="N323" s="3">
        <v>42</v>
      </c>
      <c r="O323" s="3">
        <f>IF(N323="","",IF(N323="DNS",0,IF(N323="DQ",0,IF(N323="DNF",1,IF(AND(ISNUMBER(N323),N323&gt;59),1,_xlfn.XLOOKUP(N323,tbl_points[Place],tbl_points[Points],""))))))</f>
        <v>18</v>
      </c>
      <c r="P323" s="3">
        <v>45</v>
      </c>
      <c r="Q323" s="3">
        <f>IF(P323="","",IF(P323="DNS",0,IF(P323="DQ",0,IF(P323="DNF",1,IF(AND(ISNUMBER(P323),P323&gt;59),1,_xlfn.XLOOKUP(P323,tbl_points[Place],tbl_points[Points],""))))))</f>
        <v>15</v>
      </c>
      <c r="S323" s="3" t="str">
        <f>IF(R323="","",IF(R323="DNS",0,IF(R323="DQ",0,IF(R323="DNF",1,IF(AND(ISNUMBER(R323),R323&gt;59),1,_xlfn.XLOOKUP(R323,tbl_points[Place],tbl_points[Points],""))))))</f>
        <v/>
      </c>
      <c r="T323" s="3">
        <f>SUM(tbl_individual[[#This Row],[R1 Pts]],tbl_individual[[#This Row],[R2 Pts]],tbl_individual[[#This Row],[R3 Pts]],tbl_individual[[#This Row],[R4 Pts]],tbl_individual[[#This Row],[R5 Pts]],tbl_individual[[#This Row],[R6 Pts]])</f>
        <v>92</v>
      </c>
      <c r="U32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23" s="3">
        <f>tbl_individual[[#This Row],[Total]]</f>
        <v>92</v>
      </c>
    </row>
    <row r="324" spans="1:22" hidden="1" x14ac:dyDescent="0.4">
      <c r="A324" t="s">
        <v>352</v>
      </c>
      <c r="B324" t="s">
        <v>29</v>
      </c>
      <c r="C324" t="s">
        <v>5</v>
      </c>
      <c r="D324" s="3">
        <v>951</v>
      </c>
      <c r="E324" s="3" t="s">
        <v>421</v>
      </c>
      <c r="G324" s="3" t="s">
        <v>403</v>
      </c>
      <c r="H324" s="3">
        <v>19</v>
      </c>
      <c r="I324" s="3">
        <f>IF(H324="","",IF(H324="DNS",0,IF(H324="DQ",0,IF(H324="DNF",1,IF(AND(ISNUMBER(H324),H324&gt;59),1,_xlfn.XLOOKUP(H324,tbl_points[Place],tbl_points[Points],""))))))</f>
        <v>41</v>
      </c>
      <c r="J324" s="3">
        <v>45</v>
      </c>
      <c r="K324" s="3">
        <f>IF(J324="","",IF(J324="DNS",0,IF(J324="DQ",0,IF(J324="DNF",1,IF(AND(ISNUMBER(J324),J324&gt;59),1,_xlfn.XLOOKUP(J324,tbl_points[Place],tbl_points[Points],""))))))</f>
        <v>15</v>
      </c>
      <c r="L324" s="3">
        <v>10</v>
      </c>
      <c r="M324" s="3">
        <f>IF(L324="","",IF(L324="DNS",0,IF(L324="DQ",0,IF(L324="DNF",1,IF(AND(ISNUMBER(L324),L324&gt;59),1,_xlfn.XLOOKUP(L324,tbl_points[Place],tbl_points[Points],""))))))</f>
        <v>55</v>
      </c>
      <c r="N324" s="3">
        <v>44</v>
      </c>
      <c r="O324" s="3">
        <f>IF(N324="","",IF(N324="DNS",0,IF(N324="DQ",0,IF(N324="DNF",1,IF(AND(ISNUMBER(N324),N324&gt;59),1,_xlfn.XLOOKUP(N324,tbl_points[Place],tbl_points[Points],""))))))</f>
        <v>16</v>
      </c>
      <c r="P324" s="3">
        <v>36</v>
      </c>
      <c r="Q324" s="3">
        <f>IF(P324="","",IF(P324="DNS",0,IF(P324="DQ",0,IF(P324="DNF",1,IF(AND(ISNUMBER(P324),P324&gt;59),1,_xlfn.XLOOKUP(P324,tbl_points[Place],tbl_points[Points],""))))))</f>
        <v>24</v>
      </c>
      <c r="S324" s="3" t="str">
        <f>IF(R324="","",IF(R324="DNS",0,IF(R324="DQ",0,IF(R324="DNF",1,IF(AND(ISNUMBER(R324),R324&gt;59),1,_xlfn.XLOOKUP(R324,tbl_points[Place],tbl_points[Points],""))))))</f>
        <v/>
      </c>
      <c r="T324" s="3">
        <f>SUM(tbl_individual[[#This Row],[R1 Pts]],tbl_individual[[#This Row],[R2 Pts]],tbl_individual[[#This Row],[R3 Pts]],tbl_individual[[#This Row],[R4 Pts]],tbl_individual[[#This Row],[R5 Pts]],tbl_individual[[#This Row],[R6 Pts]])</f>
        <v>151</v>
      </c>
      <c r="U324" s="3">
        <f>MIN(tbl_individual[[#This Row],[R1 Pts]],tbl_individual[[#This Row],[R2 Pts]],tbl_individual[[#This Row],[R3 Pts]],tbl_individual[[#This Row],[R4 Pts]],tbl_individual[[#This Row],[R5 Pts]],tbl_individual[[#This Row],[R6 Pts]])</f>
        <v>15</v>
      </c>
      <c r="V324" s="3">
        <f>tbl_individual[[#This Row],[Total]]</f>
        <v>151</v>
      </c>
    </row>
    <row r="325" spans="1:22" hidden="1" x14ac:dyDescent="0.4">
      <c r="A325" t="s">
        <v>444</v>
      </c>
      <c r="B325" t="s">
        <v>29</v>
      </c>
      <c r="C325" t="s">
        <v>5</v>
      </c>
      <c r="D325" s="3">
        <v>962</v>
      </c>
      <c r="E325" s="3" t="s">
        <v>421</v>
      </c>
      <c r="F325" s="17" t="s">
        <v>438</v>
      </c>
      <c r="G325" s="3" t="s">
        <v>403</v>
      </c>
      <c r="H325" s="3" t="s">
        <v>410</v>
      </c>
      <c r="I325" s="3">
        <f>IF(H325="","",IF(H325="DNS",0,IF(H325="DQ",0,IF(H325="DNF",1,IF(AND(ISNUMBER(H325),H325&gt;59),1,_xlfn.XLOOKUP(H325,tbl_points[Place],tbl_points[Points],""))))))</f>
        <v>0</v>
      </c>
      <c r="J325" s="3">
        <v>42</v>
      </c>
      <c r="K325" s="3">
        <f>IF(J325="","",IF(J325="DNS",0,IF(J325="DQ",0,IF(J325="DNF",1,IF(AND(ISNUMBER(J325),J325&gt;59),1,_xlfn.XLOOKUP(J325,tbl_points[Place],tbl_points[Points],""))))))</f>
        <v>18</v>
      </c>
      <c r="L325" s="3">
        <v>29</v>
      </c>
      <c r="M325" s="3">
        <f>IF(L325="","",IF(L325="DNS",0,IF(L325="DQ",0,IF(L325="DNF",1,IF(AND(ISNUMBER(L325),L325&gt;59),1,_xlfn.XLOOKUP(L325,tbl_points[Place],tbl_points[Points],""))))))</f>
        <v>31</v>
      </c>
      <c r="N325" s="3">
        <v>45</v>
      </c>
      <c r="O325" s="3">
        <f>IF(N325="","",IF(N325="DNS",0,IF(N325="DQ",0,IF(N325="DNF",1,IF(AND(ISNUMBER(N325),N325&gt;59),1,_xlfn.XLOOKUP(N325,tbl_points[Place],tbl_points[Points],""))))))</f>
        <v>15</v>
      </c>
      <c r="P325" s="3">
        <v>41</v>
      </c>
      <c r="Q325" s="3">
        <f>IF(P325="","",IF(P325="DNS",0,IF(P325="DQ",0,IF(P325="DNF",1,IF(AND(ISNUMBER(P325),P325&gt;59),1,_xlfn.XLOOKUP(P325,tbl_points[Place],tbl_points[Points],""))))))</f>
        <v>19</v>
      </c>
      <c r="S325" s="3" t="str">
        <f>IF(R325="","",IF(R325="DNS",0,IF(R325="DQ",0,IF(R325="DNF",1,IF(AND(ISNUMBER(R325),R325&gt;59),1,_xlfn.XLOOKUP(R325,tbl_points[Place],tbl_points[Points],""))))))</f>
        <v/>
      </c>
      <c r="T325" s="3">
        <f>SUM(tbl_individual[[#This Row],[R1 Pts]],tbl_individual[[#This Row],[R2 Pts]],tbl_individual[[#This Row],[R3 Pts]],tbl_individual[[#This Row],[R4 Pts]],tbl_individual[[#This Row],[R5 Pts]],tbl_individual[[#This Row],[R6 Pts]])</f>
        <v>83</v>
      </c>
      <c r="U32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25" s="3">
        <f>tbl_individual[[#This Row],[Total]]</f>
        <v>83</v>
      </c>
    </row>
    <row r="326" spans="1:22" hidden="1" x14ac:dyDescent="0.4">
      <c r="A326" t="s">
        <v>427</v>
      </c>
      <c r="B326" t="s">
        <v>29</v>
      </c>
      <c r="C326" t="s">
        <v>3</v>
      </c>
      <c r="D326" s="3">
        <v>10208</v>
      </c>
      <c r="E326" s="3" t="s">
        <v>421</v>
      </c>
      <c r="F326" s="17" t="s">
        <v>438</v>
      </c>
      <c r="G326" s="3" t="s">
        <v>403</v>
      </c>
      <c r="H326" s="3" t="s">
        <v>410</v>
      </c>
      <c r="I326" s="3">
        <f>IF(H326="","",IF(H326="DNS",0,IF(H326="DQ",0,IF(H326="DNF",1,IF(AND(ISNUMBER(H326),H326&gt;59),1,_xlfn.XLOOKUP(H326,tbl_points[Place],tbl_points[Points],""))))))</f>
        <v>0</v>
      </c>
      <c r="J326" s="3" t="s">
        <v>410</v>
      </c>
      <c r="K326" s="3">
        <f>IF(J326="","",IF(J326="DNS",0,IF(J326="DQ",0,IF(J326="DNF",1,IF(AND(ISNUMBER(J326),J326&gt;59),1,_xlfn.XLOOKUP(J326,tbl_points[Place],tbl_points[Points],""))))))</f>
        <v>0</v>
      </c>
      <c r="L326" s="3">
        <v>26</v>
      </c>
      <c r="M326" s="3">
        <f>IF(L326="","",IF(L326="DNS",0,IF(L326="DQ",0,IF(L326="DNF",1,IF(AND(ISNUMBER(L326),L326&gt;59),1,_xlfn.XLOOKUP(L326,tbl_points[Place],tbl_points[Points],""))))))</f>
        <v>34</v>
      </c>
      <c r="N326" s="3">
        <v>44</v>
      </c>
      <c r="O326" s="3">
        <f>IF(N326="","",IF(N326="DNS",0,IF(N326="DQ",0,IF(N326="DNF",1,IF(AND(ISNUMBER(N326),N326&gt;59),1,_xlfn.XLOOKUP(N326,tbl_points[Place],tbl_points[Points],""))))))</f>
        <v>16</v>
      </c>
      <c r="P326" s="3">
        <v>23</v>
      </c>
      <c r="Q326" s="3">
        <f>IF(P326="","",IF(P326="DNS",0,IF(P326="DQ",0,IF(P326="DNF",1,IF(AND(ISNUMBER(P326),P326&gt;59),1,_xlfn.XLOOKUP(P326,tbl_points[Place],tbl_points[Points],""))))))</f>
        <v>37</v>
      </c>
      <c r="S326" s="3" t="str">
        <f>IF(R326="","",IF(R326="DNS",0,IF(R326="DQ",0,IF(R326="DNF",1,IF(AND(ISNUMBER(R326),R326&gt;59),1,_xlfn.XLOOKUP(R326,tbl_points[Place],tbl_points[Points],""))))))</f>
        <v/>
      </c>
      <c r="T326" s="3">
        <f>SUM(tbl_individual[[#This Row],[R1 Pts]],tbl_individual[[#This Row],[R2 Pts]],tbl_individual[[#This Row],[R3 Pts]],tbl_individual[[#This Row],[R4 Pts]],tbl_individual[[#This Row],[R5 Pts]],tbl_individual[[#This Row],[R6 Pts]])</f>
        <v>87</v>
      </c>
      <c r="U32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26" s="3">
        <f>tbl_individual[[#This Row],[Total]]</f>
        <v>87</v>
      </c>
    </row>
    <row r="327" spans="1:22" hidden="1" x14ac:dyDescent="0.4">
      <c r="A327" t="s">
        <v>353</v>
      </c>
      <c r="B327" t="s">
        <v>29</v>
      </c>
      <c r="C327" t="s">
        <v>1</v>
      </c>
      <c r="D327" s="3">
        <v>12095</v>
      </c>
      <c r="E327" s="3" t="s">
        <v>421</v>
      </c>
      <c r="G327" s="3" t="s">
        <v>403</v>
      </c>
      <c r="H327" s="3" t="s">
        <v>410</v>
      </c>
      <c r="I327" s="3">
        <f>IF(H327="","",IF(H327="DNS",0,IF(H327="DQ",0,IF(H327="DNF",1,IF(AND(ISNUMBER(H327),H327&gt;59),1,_xlfn.XLOOKUP(H327,tbl_points[Place],tbl_points[Points],""))))))</f>
        <v>0</v>
      </c>
      <c r="J327" s="3">
        <v>52</v>
      </c>
      <c r="K327" s="3">
        <f>IF(J327="","",IF(J327="DNS",0,IF(J327="DQ",0,IF(J327="DNF",1,IF(AND(ISNUMBER(J327),J327&gt;59),1,_xlfn.XLOOKUP(J327,tbl_points[Place],tbl_points[Points],""))))))</f>
        <v>8</v>
      </c>
      <c r="L327" s="3">
        <v>23</v>
      </c>
      <c r="M327" s="3">
        <f>IF(L327="","",IF(L327="DNS",0,IF(L327="DQ",0,IF(L327="DNF",1,IF(AND(ISNUMBER(L327),L327&gt;59),1,_xlfn.XLOOKUP(L327,tbl_points[Place],tbl_points[Points],""))))))</f>
        <v>37</v>
      </c>
      <c r="N327" s="3">
        <v>33</v>
      </c>
      <c r="O327" s="3">
        <f>IF(N327="","",IF(N327="DNS",0,IF(N327="DQ",0,IF(N327="DNF",1,IF(AND(ISNUMBER(N327),N327&gt;59),1,_xlfn.XLOOKUP(N327,tbl_points[Place],tbl_points[Points],""))))))</f>
        <v>27</v>
      </c>
      <c r="P327" s="3" t="s">
        <v>410</v>
      </c>
      <c r="Q327" s="3">
        <f>IF(P327="","",IF(P327="DNS",0,IF(P327="DQ",0,IF(P327="DNF",1,IF(AND(ISNUMBER(P327),P327&gt;59),1,_xlfn.XLOOKUP(P327,tbl_points[Place],tbl_points[Points],""))))))</f>
        <v>0</v>
      </c>
      <c r="S327" s="3" t="str">
        <f>IF(R327="","",IF(R327="DNS",0,IF(R327="DQ",0,IF(R327="DNF",1,IF(AND(ISNUMBER(R327),R327&gt;59),1,_xlfn.XLOOKUP(R327,tbl_points[Place],tbl_points[Points],""))))))</f>
        <v/>
      </c>
      <c r="T327" s="3">
        <f>SUM(tbl_individual[[#This Row],[R1 Pts]],tbl_individual[[#This Row],[R2 Pts]],tbl_individual[[#This Row],[R3 Pts]],tbl_individual[[#This Row],[R4 Pts]],tbl_individual[[#This Row],[R5 Pts]],tbl_individual[[#This Row],[R6 Pts]])</f>
        <v>72</v>
      </c>
      <c r="U32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27" s="3">
        <f>tbl_individual[[#This Row],[Total]]</f>
        <v>72</v>
      </c>
    </row>
    <row r="328" spans="1:22" hidden="1" x14ac:dyDescent="0.4">
      <c r="A328" t="s">
        <v>354</v>
      </c>
      <c r="B328" t="s">
        <v>30</v>
      </c>
      <c r="C328" t="s">
        <v>7</v>
      </c>
      <c r="D328" s="3">
        <v>833</v>
      </c>
      <c r="E328" s="3" t="s">
        <v>421</v>
      </c>
      <c r="G328" s="3" t="s">
        <v>403</v>
      </c>
      <c r="H328" s="3">
        <v>15</v>
      </c>
      <c r="I328" s="3">
        <f>IF(H328="","",IF(H328="DNS",0,IF(H328="DQ",0,IF(H328="DNF",1,IF(AND(ISNUMBER(H328),H328&gt;59),1,_xlfn.XLOOKUP(H328,tbl_points[Place],tbl_points[Points],""))))))</f>
        <v>45</v>
      </c>
      <c r="J328" s="3">
        <v>16</v>
      </c>
      <c r="K328" s="3">
        <f>IF(J328="","",IF(J328="DNS",0,IF(J328="DQ",0,IF(J328="DNF",1,IF(AND(ISNUMBER(J328),J328&gt;59),1,_xlfn.XLOOKUP(J328,tbl_points[Place],tbl_points[Points],""))))))</f>
        <v>44</v>
      </c>
      <c r="L328" s="3" t="s">
        <v>410</v>
      </c>
      <c r="M328" s="3">
        <f>IF(L328="","",IF(L328="DNS",0,IF(L328="DQ",0,IF(L328="DNF",1,IF(AND(ISNUMBER(L328),L328&gt;59),1,_xlfn.XLOOKUP(L328,tbl_points[Place],tbl_points[Points],""))))))</f>
        <v>0</v>
      </c>
      <c r="N328" s="3">
        <v>34</v>
      </c>
      <c r="O328" s="3">
        <f>IF(N328="","",IF(N328="DNS",0,IF(N328="DQ",0,IF(N328="DNF",1,IF(AND(ISNUMBER(N328),N328&gt;59),1,_xlfn.XLOOKUP(N328,tbl_points[Place],tbl_points[Points],""))))))</f>
        <v>26</v>
      </c>
      <c r="P328" s="3">
        <v>22</v>
      </c>
      <c r="Q328" s="3">
        <f>IF(P328="","",IF(P328="DNS",0,IF(P328="DQ",0,IF(P328="DNF",1,IF(AND(ISNUMBER(P328),P328&gt;59),1,_xlfn.XLOOKUP(P328,tbl_points[Place],tbl_points[Points],""))))))</f>
        <v>38</v>
      </c>
      <c r="S328" s="3" t="str">
        <f>IF(R328="","",IF(R328="DNS",0,IF(R328="DQ",0,IF(R328="DNF",1,IF(AND(ISNUMBER(R328),R328&gt;59),1,_xlfn.XLOOKUP(R328,tbl_points[Place],tbl_points[Points],""))))))</f>
        <v/>
      </c>
      <c r="T328" s="3">
        <f>SUM(tbl_individual[[#This Row],[R1 Pts]],tbl_individual[[#This Row],[R2 Pts]],tbl_individual[[#This Row],[R3 Pts]],tbl_individual[[#This Row],[R4 Pts]],tbl_individual[[#This Row],[R5 Pts]],tbl_individual[[#This Row],[R6 Pts]])</f>
        <v>153</v>
      </c>
      <c r="U32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28" s="3">
        <f>tbl_individual[[#This Row],[Total]]</f>
        <v>153</v>
      </c>
    </row>
    <row r="329" spans="1:22" hidden="1" x14ac:dyDescent="0.4">
      <c r="A329" t="s">
        <v>355</v>
      </c>
      <c r="B329" t="s">
        <v>30</v>
      </c>
      <c r="C329" t="s">
        <v>7</v>
      </c>
      <c r="D329" s="3">
        <v>834</v>
      </c>
      <c r="E329" s="3" t="s">
        <v>421</v>
      </c>
      <c r="G329" s="3" t="s">
        <v>403</v>
      </c>
      <c r="H329" s="3" t="s">
        <v>410</v>
      </c>
      <c r="I329" s="3">
        <f>IF(H329="","",IF(H329="DNS",0,IF(H329="DQ",0,IF(H329="DNF",1,IF(AND(ISNUMBER(H329),H329&gt;59),1,_xlfn.XLOOKUP(H329,tbl_points[Place],tbl_points[Points],""))))))</f>
        <v>0</v>
      </c>
      <c r="J329" s="3">
        <v>4</v>
      </c>
      <c r="K329" s="3">
        <f>IF(J329="","",IF(J329="DNS",0,IF(J329="DQ",0,IF(J329="DNF",1,IF(AND(ISNUMBER(J329),J329&gt;59),1,_xlfn.XLOOKUP(J329,tbl_points[Place],tbl_points[Points],""))))))</f>
        <v>85</v>
      </c>
      <c r="L329" s="3" t="s">
        <v>410</v>
      </c>
      <c r="M329" s="3">
        <f>IF(L329="","",IF(L329="DNS",0,IF(L329="DQ",0,IF(L329="DNF",1,IF(AND(ISNUMBER(L329),L329&gt;59),1,_xlfn.XLOOKUP(L329,tbl_points[Place],tbl_points[Points],""))))))</f>
        <v>0</v>
      </c>
      <c r="N329" s="3" t="s">
        <v>410</v>
      </c>
      <c r="O329" s="3">
        <f>IF(N329="","",IF(N329="DNS",0,IF(N329="DQ",0,IF(N329="DNF",1,IF(AND(ISNUMBER(N329),N329&gt;59),1,_xlfn.XLOOKUP(N329,tbl_points[Place],tbl_points[Points],""))))))</f>
        <v>0</v>
      </c>
      <c r="P329" s="3">
        <v>8</v>
      </c>
      <c r="Q329" s="3">
        <f>IF(P329="","",IF(P329="DNS",0,IF(P329="DQ",0,IF(P329="DNF",1,IF(AND(ISNUMBER(P329),P329&gt;59),1,_xlfn.XLOOKUP(P329,tbl_points[Place],tbl_points[Points],""))))))</f>
        <v>65</v>
      </c>
      <c r="S329" s="3" t="str">
        <f>IF(R329="","",IF(R329="DNS",0,IF(R329="DQ",0,IF(R329="DNF",1,IF(AND(ISNUMBER(R329),R329&gt;59),1,_xlfn.XLOOKUP(R329,tbl_points[Place],tbl_points[Points],""))))))</f>
        <v/>
      </c>
      <c r="T329" s="3">
        <f>SUM(tbl_individual[[#This Row],[R1 Pts]],tbl_individual[[#This Row],[R2 Pts]],tbl_individual[[#This Row],[R3 Pts]],tbl_individual[[#This Row],[R4 Pts]],tbl_individual[[#This Row],[R5 Pts]],tbl_individual[[#This Row],[R6 Pts]])</f>
        <v>150</v>
      </c>
      <c r="U32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29" s="3">
        <f>tbl_individual[[#This Row],[Total]]</f>
        <v>150</v>
      </c>
    </row>
    <row r="330" spans="1:22" hidden="1" x14ac:dyDescent="0.4">
      <c r="A330" t="s">
        <v>356</v>
      </c>
      <c r="B330" t="s">
        <v>30</v>
      </c>
      <c r="C330" t="s">
        <v>7</v>
      </c>
      <c r="D330" s="3">
        <v>835</v>
      </c>
      <c r="E330" s="3" t="s">
        <v>421</v>
      </c>
      <c r="G330" s="3" t="s">
        <v>403</v>
      </c>
      <c r="H330" s="3" t="s">
        <v>410</v>
      </c>
      <c r="I330" s="3">
        <f>IF(H330="","",IF(H330="DNS",0,IF(H330="DQ",0,IF(H330="DNF",1,IF(AND(ISNUMBER(H330),H330&gt;59),1,_xlfn.XLOOKUP(H330,tbl_points[Place],tbl_points[Points],""))))))</f>
        <v>0</v>
      </c>
      <c r="J330" s="3">
        <v>14</v>
      </c>
      <c r="K330" s="3">
        <f>IF(J330="","",IF(J330="DNS",0,IF(J330="DQ",0,IF(J330="DNF",1,IF(AND(ISNUMBER(J330),J330&gt;59),1,_xlfn.XLOOKUP(J330,tbl_points[Place],tbl_points[Points],""))))))</f>
        <v>47</v>
      </c>
      <c r="L330" s="3">
        <v>11</v>
      </c>
      <c r="M330" s="3">
        <f>IF(L330="","",IF(L330="DNS",0,IF(L330="DQ",0,IF(L330="DNF",1,IF(AND(ISNUMBER(L330),L330&gt;59),1,_xlfn.XLOOKUP(L330,tbl_points[Place],tbl_points[Points],""))))))</f>
        <v>53</v>
      </c>
      <c r="N330" s="3">
        <v>13</v>
      </c>
      <c r="O330" s="3">
        <f>IF(N330="","",IF(N330="DNS",0,IF(N330="DQ",0,IF(N330="DNF",1,IF(AND(ISNUMBER(N330),N330&gt;59),1,_xlfn.XLOOKUP(N330,tbl_points[Place],tbl_points[Points],""))))))</f>
        <v>49</v>
      </c>
      <c r="P330" s="3">
        <v>11</v>
      </c>
      <c r="Q330" s="3">
        <f>IF(P330="","",IF(P330="DNS",0,IF(P330="DQ",0,IF(P330="DNF",1,IF(AND(ISNUMBER(P330),P330&gt;59),1,_xlfn.XLOOKUP(P330,tbl_points[Place],tbl_points[Points],""))))))</f>
        <v>53</v>
      </c>
      <c r="S330" s="3" t="str">
        <f>IF(R330="","",IF(R330="DNS",0,IF(R330="DQ",0,IF(R330="DNF",1,IF(AND(ISNUMBER(R330),R330&gt;59),1,_xlfn.XLOOKUP(R330,tbl_points[Place],tbl_points[Points],""))))))</f>
        <v/>
      </c>
      <c r="T330" s="3">
        <f>SUM(tbl_individual[[#This Row],[R1 Pts]],tbl_individual[[#This Row],[R2 Pts]],tbl_individual[[#This Row],[R3 Pts]],tbl_individual[[#This Row],[R4 Pts]],tbl_individual[[#This Row],[R5 Pts]],tbl_individual[[#This Row],[R6 Pts]])</f>
        <v>202</v>
      </c>
      <c r="U33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30" s="3">
        <f>tbl_individual[[#This Row],[Total]]</f>
        <v>202</v>
      </c>
    </row>
    <row r="331" spans="1:22" hidden="1" x14ac:dyDescent="0.4">
      <c r="A331" t="s">
        <v>357</v>
      </c>
      <c r="B331" t="s">
        <v>30</v>
      </c>
      <c r="C331" t="s">
        <v>7</v>
      </c>
      <c r="D331" s="3">
        <v>836</v>
      </c>
      <c r="E331" s="3" t="s">
        <v>421</v>
      </c>
      <c r="G331" s="3" t="s">
        <v>407</v>
      </c>
      <c r="H331" s="3">
        <v>32</v>
      </c>
      <c r="I331" s="3">
        <f>IF(H331="","",IF(H331="DNS",0,IF(H331="DQ",0,IF(H331="DNF",1,IF(AND(ISNUMBER(H331),H331&gt;59),1,_xlfn.XLOOKUP(H331,tbl_points[Place],tbl_points[Points],""))))))</f>
        <v>28</v>
      </c>
      <c r="J331" s="3" t="s">
        <v>410</v>
      </c>
      <c r="K331" s="3">
        <f>IF(J331="","",IF(J331="DNS",0,IF(J331="DQ",0,IF(J331="DNF",1,IF(AND(ISNUMBER(J331),J331&gt;59),1,_xlfn.XLOOKUP(J331,tbl_points[Place],tbl_points[Points],""))))))</f>
        <v>0</v>
      </c>
      <c r="L331" s="3">
        <v>32</v>
      </c>
      <c r="M331" s="3">
        <f>IF(L331="","",IF(L331="DNS",0,IF(L331="DQ",0,IF(L331="DNF",1,IF(AND(ISNUMBER(L331),L331&gt;59),1,_xlfn.XLOOKUP(L331,tbl_points[Place],tbl_points[Points],""))))))</f>
        <v>28</v>
      </c>
      <c r="N331" s="3" t="s">
        <v>410</v>
      </c>
      <c r="O331" s="3">
        <f>IF(N331="","",IF(N331="DNS",0,IF(N331="DQ",0,IF(N331="DNF",1,IF(AND(ISNUMBER(N331),N331&gt;59),1,_xlfn.XLOOKUP(N331,tbl_points[Place],tbl_points[Points],""))))))</f>
        <v>0</v>
      </c>
      <c r="P331" s="3" t="s">
        <v>410</v>
      </c>
      <c r="Q331" s="3">
        <f>IF(P331="","",IF(P331="DNS",0,IF(P331="DQ",0,IF(P331="DNF",1,IF(AND(ISNUMBER(P331),P331&gt;59),1,_xlfn.XLOOKUP(P331,tbl_points[Place],tbl_points[Points],""))))))</f>
        <v>0</v>
      </c>
      <c r="S331" s="3" t="str">
        <f>IF(R331="","",IF(R331="DNS",0,IF(R331="DQ",0,IF(R331="DNF",1,IF(AND(ISNUMBER(R331),R331&gt;59),1,_xlfn.XLOOKUP(R331,tbl_points[Place],tbl_points[Points],""))))))</f>
        <v/>
      </c>
      <c r="T331" s="3">
        <f>SUM(tbl_individual[[#This Row],[R1 Pts]],tbl_individual[[#This Row],[R2 Pts]],tbl_individual[[#This Row],[R3 Pts]],tbl_individual[[#This Row],[R4 Pts]],tbl_individual[[#This Row],[R5 Pts]],tbl_individual[[#This Row],[R6 Pts]])</f>
        <v>56</v>
      </c>
      <c r="U33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31" s="3">
        <f>tbl_individual[[#This Row],[Total]]</f>
        <v>56</v>
      </c>
    </row>
    <row r="332" spans="1:22" x14ac:dyDescent="0.4">
      <c r="A332" t="s">
        <v>358</v>
      </c>
      <c r="B332" t="s">
        <v>30</v>
      </c>
      <c r="C332" t="s">
        <v>6</v>
      </c>
      <c r="D332" s="3">
        <v>931</v>
      </c>
      <c r="E332" s="3" t="s">
        <v>421</v>
      </c>
      <c r="G332" s="3" t="s">
        <v>403</v>
      </c>
      <c r="H332" s="3">
        <v>12</v>
      </c>
      <c r="I332" s="3">
        <f>IF(H332="","",IF(H332="DNS",0,IF(H332="DQ",0,IF(H332="DNF",1,IF(AND(ISNUMBER(H332),H332&gt;59),1,_xlfn.XLOOKUP(H332,tbl_points[Place],tbl_points[Points],""))))))</f>
        <v>51</v>
      </c>
      <c r="J332" s="3">
        <v>5</v>
      </c>
      <c r="K332" s="3">
        <f>IF(J332="","",IF(J332="DNS",0,IF(J332="DQ",0,IF(J332="DNF",1,IF(AND(ISNUMBER(J332),J332&gt;59),1,_xlfn.XLOOKUP(J332,tbl_points[Place],tbl_points[Points],""))))))</f>
        <v>80</v>
      </c>
      <c r="L332" s="3">
        <v>11</v>
      </c>
      <c r="M332" s="3">
        <f>IF(L332="","",IF(L332="DNS",0,IF(L332="DQ",0,IF(L332="DNF",1,IF(AND(ISNUMBER(L332),L332&gt;59),1,_xlfn.XLOOKUP(L332,tbl_points[Place],tbl_points[Points],""))))))</f>
        <v>53</v>
      </c>
      <c r="N332" s="3">
        <v>9</v>
      </c>
      <c r="O332" s="3">
        <f>IF(N332="","",IF(N332="DNS",0,IF(N332="DQ",0,IF(N332="DNF",1,IF(AND(ISNUMBER(N332),N332&gt;59),1,_xlfn.XLOOKUP(N332,tbl_points[Place],tbl_points[Points],""))))))</f>
        <v>60</v>
      </c>
      <c r="P332" s="3">
        <v>6</v>
      </c>
      <c r="Q332" s="3">
        <f>IF(P332="","",IF(P332="DNS",0,IF(P332="DQ",0,IF(P332="DNF",1,IF(AND(ISNUMBER(P332),P332&gt;59),1,_xlfn.XLOOKUP(P332,tbl_points[Place],tbl_points[Points],""))))))</f>
        <v>75</v>
      </c>
      <c r="S332" s="3" t="str">
        <f>IF(R332="","",IF(R332="DNS",0,IF(R332="DQ",0,IF(R332="DNF",1,IF(AND(ISNUMBER(R332),R332&gt;59),1,_xlfn.XLOOKUP(R332,tbl_points[Place],tbl_points[Points],""))))))</f>
        <v/>
      </c>
      <c r="T332" s="3">
        <f>SUM(tbl_individual[[#This Row],[R1 Pts]],tbl_individual[[#This Row],[R2 Pts]],tbl_individual[[#This Row],[R3 Pts]],tbl_individual[[#This Row],[R4 Pts]],tbl_individual[[#This Row],[R5 Pts]],tbl_individual[[#This Row],[R6 Pts]])</f>
        <v>319</v>
      </c>
      <c r="U332" s="3">
        <f>MIN(tbl_individual[[#This Row],[R1 Pts]],tbl_individual[[#This Row],[R2 Pts]],tbl_individual[[#This Row],[R3 Pts]],tbl_individual[[#This Row],[R4 Pts]],tbl_individual[[#This Row],[R5 Pts]],tbl_individual[[#This Row],[R6 Pts]])</f>
        <v>51</v>
      </c>
      <c r="V332" s="3">
        <f>tbl_individual[[#This Row],[Total]]</f>
        <v>319</v>
      </c>
    </row>
    <row r="333" spans="1:22" x14ac:dyDescent="0.4">
      <c r="A333" t="s">
        <v>359</v>
      </c>
      <c r="B333" t="s">
        <v>30</v>
      </c>
      <c r="C333" t="s">
        <v>6</v>
      </c>
      <c r="D333" s="3">
        <v>932</v>
      </c>
      <c r="E333" s="3" t="s">
        <v>421</v>
      </c>
      <c r="G333" s="3" t="s">
        <v>403</v>
      </c>
      <c r="H333" s="3" t="s">
        <v>410</v>
      </c>
      <c r="I333" s="3">
        <f>IF(H333="","",IF(H333="DNS",0,IF(H333="DQ",0,IF(H333="DNF",1,IF(AND(ISNUMBER(H333),H333&gt;59),1,_xlfn.XLOOKUP(H333,tbl_points[Place],tbl_points[Points],""))))))</f>
        <v>0</v>
      </c>
      <c r="J333" s="3">
        <v>4</v>
      </c>
      <c r="K333" s="3">
        <f>IF(J333="","",IF(J333="DNS",0,IF(J333="DQ",0,IF(J333="DNF",1,IF(AND(ISNUMBER(J333),J333&gt;59),1,_xlfn.XLOOKUP(J333,tbl_points[Place],tbl_points[Points],""))))))</f>
        <v>85</v>
      </c>
      <c r="L333" s="3" t="s">
        <v>410</v>
      </c>
      <c r="M333" s="3">
        <f>IF(L333="","",IF(L333="DNS",0,IF(L333="DQ",0,IF(L333="DNF",1,IF(AND(ISNUMBER(L333),L333&gt;59),1,_xlfn.XLOOKUP(L333,tbl_points[Place],tbl_points[Points],""))))))</f>
        <v>0</v>
      </c>
      <c r="N333" s="3" t="s">
        <v>410</v>
      </c>
      <c r="O333" s="3">
        <f>IF(N333="","",IF(N333="DNS",0,IF(N333="DQ",0,IF(N333="DNF",1,IF(AND(ISNUMBER(N333),N333&gt;59),1,_xlfn.XLOOKUP(N333,tbl_points[Place],tbl_points[Points],""))))))</f>
        <v>0</v>
      </c>
      <c r="P333" s="3">
        <v>9</v>
      </c>
      <c r="Q333" s="3">
        <f>IF(P333="","",IF(P333="DNS",0,IF(P333="DQ",0,IF(P333="DNF",1,IF(AND(ISNUMBER(P333),P333&gt;59),1,_xlfn.XLOOKUP(P333,tbl_points[Place],tbl_points[Points],""))))))</f>
        <v>60</v>
      </c>
      <c r="S333" s="3" t="str">
        <f>IF(R333="","",IF(R333="DNS",0,IF(R333="DQ",0,IF(R333="DNF",1,IF(AND(ISNUMBER(R333),R333&gt;59),1,_xlfn.XLOOKUP(R333,tbl_points[Place],tbl_points[Points],""))))))</f>
        <v/>
      </c>
      <c r="T333" s="3">
        <f>SUM(tbl_individual[[#This Row],[R1 Pts]],tbl_individual[[#This Row],[R2 Pts]],tbl_individual[[#This Row],[R3 Pts]],tbl_individual[[#This Row],[R4 Pts]],tbl_individual[[#This Row],[R5 Pts]],tbl_individual[[#This Row],[R6 Pts]])</f>
        <v>145</v>
      </c>
      <c r="U33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33" s="3">
        <f>tbl_individual[[#This Row],[Total]]</f>
        <v>145</v>
      </c>
    </row>
    <row r="334" spans="1:22" x14ac:dyDescent="0.4">
      <c r="A334" t="s">
        <v>360</v>
      </c>
      <c r="B334" t="s">
        <v>30</v>
      </c>
      <c r="C334" t="s">
        <v>6</v>
      </c>
      <c r="D334" s="3">
        <v>933</v>
      </c>
      <c r="E334" s="3" t="s">
        <v>421</v>
      </c>
      <c r="G334" s="3" t="s">
        <v>403</v>
      </c>
      <c r="H334" s="3">
        <v>1</v>
      </c>
      <c r="I334" s="3">
        <f>IF(H334="","",IF(H334="DNS",0,IF(H334="DQ",0,IF(H334="DNF",1,IF(AND(ISNUMBER(H334),H334&gt;59),1,_xlfn.XLOOKUP(H334,tbl_points[Place],tbl_points[Points],""))))))</f>
        <v>100</v>
      </c>
      <c r="J334" s="3">
        <v>1</v>
      </c>
      <c r="K334" s="3">
        <f>IF(J334="","",IF(J334="DNS",0,IF(J334="DQ",0,IF(J334="DNF",1,IF(AND(ISNUMBER(J334),J334&gt;59),1,_xlfn.XLOOKUP(J334,tbl_points[Place],tbl_points[Points],""))))))</f>
        <v>100</v>
      </c>
      <c r="L334" s="3">
        <v>1</v>
      </c>
      <c r="M334" s="3">
        <f>IF(L334="","",IF(L334="DNS",0,IF(L334="DQ",0,IF(L334="DNF",1,IF(AND(ISNUMBER(L334),L334&gt;59),1,_xlfn.XLOOKUP(L334,tbl_points[Place],tbl_points[Points],""))))))</f>
        <v>100</v>
      </c>
      <c r="N334" s="3">
        <v>1</v>
      </c>
      <c r="O334" s="3">
        <f>IF(N334="","",IF(N334="DNS",0,IF(N334="DQ",0,IF(N334="DNF",1,IF(AND(ISNUMBER(N334),N334&gt;59),1,_xlfn.XLOOKUP(N334,tbl_points[Place],tbl_points[Points],""))))))</f>
        <v>100</v>
      </c>
      <c r="P334" s="3">
        <v>1</v>
      </c>
      <c r="Q334" s="3">
        <f>IF(P334="","",IF(P334="DNS",0,IF(P334="DQ",0,IF(P334="DNF",1,IF(AND(ISNUMBER(P334),P334&gt;59),1,_xlfn.XLOOKUP(P334,tbl_points[Place],tbl_points[Points],""))))))</f>
        <v>100</v>
      </c>
      <c r="S334" s="3" t="str">
        <f>IF(R334="","",IF(R334="DNS",0,IF(R334="DQ",0,IF(R334="DNF",1,IF(AND(ISNUMBER(R334),R334&gt;59),1,_xlfn.XLOOKUP(R334,tbl_points[Place],tbl_points[Points],""))))))</f>
        <v/>
      </c>
      <c r="T334" s="3">
        <f>SUM(tbl_individual[[#This Row],[R1 Pts]],tbl_individual[[#This Row],[R2 Pts]],tbl_individual[[#This Row],[R3 Pts]],tbl_individual[[#This Row],[R4 Pts]],tbl_individual[[#This Row],[R5 Pts]],tbl_individual[[#This Row],[R6 Pts]])</f>
        <v>500</v>
      </c>
      <c r="U334" s="3">
        <f>MIN(tbl_individual[[#This Row],[R1 Pts]],tbl_individual[[#This Row],[R2 Pts]],tbl_individual[[#This Row],[R3 Pts]],tbl_individual[[#This Row],[R4 Pts]],tbl_individual[[#This Row],[R5 Pts]],tbl_individual[[#This Row],[R6 Pts]])</f>
        <v>100</v>
      </c>
      <c r="V334" s="3">
        <f>tbl_individual[[#This Row],[Total]]</f>
        <v>500</v>
      </c>
    </row>
    <row r="335" spans="1:22" x14ac:dyDescent="0.4">
      <c r="A335" t="s">
        <v>361</v>
      </c>
      <c r="B335" t="s">
        <v>30</v>
      </c>
      <c r="C335" t="s">
        <v>6</v>
      </c>
      <c r="D335" s="3">
        <v>934</v>
      </c>
      <c r="E335" s="3" t="s">
        <v>421</v>
      </c>
      <c r="G335" s="3" t="s">
        <v>407</v>
      </c>
      <c r="H335" s="3" t="s">
        <v>410</v>
      </c>
      <c r="I335" s="3">
        <f>IF(H335="","",IF(H335="DNS",0,IF(H335="DQ",0,IF(H335="DNF",1,IF(AND(ISNUMBER(H335),H335&gt;59),1,_xlfn.XLOOKUP(H335,tbl_points[Place],tbl_points[Points],""))))))</f>
        <v>0</v>
      </c>
      <c r="J335" s="3" t="s">
        <v>410</v>
      </c>
      <c r="K335" s="3">
        <f>IF(J335="","",IF(J335="DNS",0,IF(J335="DQ",0,IF(J335="DNF",1,IF(AND(ISNUMBER(J335),J335&gt;59),1,_xlfn.XLOOKUP(J335,tbl_points[Place],tbl_points[Points],""))))))</f>
        <v>0</v>
      </c>
      <c r="L335" s="3" t="s">
        <v>410</v>
      </c>
      <c r="M335" s="3">
        <f>IF(L335="","",IF(L335="DNS",0,IF(L335="DQ",0,IF(L335="DNF",1,IF(AND(ISNUMBER(L335),L335&gt;59),1,_xlfn.XLOOKUP(L335,tbl_points[Place],tbl_points[Points],""))))))</f>
        <v>0</v>
      </c>
      <c r="N335" s="3" t="s">
        <v>410</v>
      </c>
      <c r="O335" s="3">
        <f>IF(N335="","",IF(N335="DNS",0,IF(N335="DQ",0,IF(N335="DNF",1,IF(AND(ISNUMBER(N335),N335&gt;59),1,_xlfn.XLOOKUP(N335,tbl_points[Place],tbl_points[Points],""))))))</f>
        <v>0</v>
      </c>
      <c r="P335" s="3" t="s">
        <v>410</v>
      </c>
      <c r="Q335" s="3">
        <f>IF(P335="","",IF(P335="DNS",0,IF(P335="DQ",0,IF(P335="DNF",1,IF(AND(ISNUMBER(P335),P335&gt;59),1,_xlfn.XLOOKUP(P335,tbl_points[Place],tbl_points[Points],""))))))</f>
        <v>0</v>
      </c>
      <c r="S335" s="3" t="str">
        <f>IF(R335="","",IF(R335="DNS",0,IF(R335="DQ",0,IF(R335="DNF",1,IF(AND(ISNUMBER(R335),R335&gt;59),1,_xlfn.XLOOKUP(R335,tbl_points[Place],tbl_points[Points],""))))))</f>
        <v/>
      </c>
      <c r="T335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33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35" s="3">
        <f>tbl_individual[[#This Row],[Total]]</f>
        <v>0</v>
      </c>
    </row>
    <row r="336" spans="1:22" x14ac:dyDescent="0.4">
      <c r="A336" t="s">
        <v>362</v>
      </c>
      <c r="B336" t="s">
        <v>30</v>
      </c>
      <c r="C336" t="s">
        <v>6</v>
      </c>
      <c r="D336" s="3">
        <v>935</v>
      </c>
      <c r="E336" s="3" t="s">
        <v>421</v>
      </c>
      <c r="G336" s="3" t="s">
        <v>403</v>
      </c>
      <c r="H336" s="3">
        <v>2</v>
      </c>
      <c r="I336" s="3">
        <f>IF(H336="","",IF(H336="DNS",0,IF(H336="DQ",0,IF(H336="DNF",1,IF(AND(ISNUMBER(H336),H336&gt;59),1,_xlfn.XLOOKUP(H336,tbl_points[Place],tbl_points[Points],""))))))</f>
        <v>95</v>
      </c>
      <c r="J336" s="3">
        <v>11</v>
      </c>
      <c r="K336" s="3">
        <f>IF(J336="","",IF(J336="DNS",0,IF(J336="DQ",0,IF(J336="DNF",1,IF(AND(ISNUMBER(J336),J336&gt;59),1,_xlfn.XLOOKUP(J336,tbl_points[Place],tbl_points[Points],""))))))</f>
        <v>53</v>
      </c>
      <c r="L336" s="3">
        <v>2</v>
      </c>
      <c r="M336" s="3">
        <f>IF(L336="","",IF(L336="DNS",0,IF(L336="DQ",0,IF(L336="DNF",1,IF(AND(ISNUMBER(L336),L336&gt;59),1,_xlfn.XLOOKUP(L336,tbl_points[Place],tbl_points[Points],""))))))</f>
        <v>95</v>
      </c>
      <c r="N336" s="3">
        <v>10</v>
      </c>
      <c r="O336" s="3">
        <f>IF(N336="","",IF(N336="DNS",0,IF(N336="DQ",0,IF(N336="DNF",1,IF(AND(ISNUMBER(N336),N336&gt;59),1,_xlfn.XLOOKUP(N336,tbl_points[Place],tbl_points[Points],""))))))</f>
        <v>55</v>
      </c>
      <c r="P336" s="3">
        <v>8</v>
      </c>
      <c r="Q336" s="3">
        <f>IF(P336="","",IF(P336="DNS",0,IF(P336="DQ",0,IF(P336="DNF",1,IF(AND(ISNUMBER(P336),P336&gt;59),1,_xlfn.XLOOKUP(P336,tbl_points[Place],tbl_points[Points],""))))))</f>
        <v>65</v>
      </c>
      <c r="S336" s="3" t="str">
        <f>IF(R336="","",IF(R336="DNS",0,IF(R336="DQ",0,IF(R336="DNF",1,IF(AND(ISNUMBER(R336),R336&gt;59),1,_xlfn.XLOOKUP(R336,tbl_points[Place],tbl_points[Points],""))))))</f>
        <v/>
      </c>
      <c r="T336" s="3">
        <f>SUM(tbl_individual[[#This Row],[R1 Pts]],tbl_individual[[#This Row],[R2 Pts]],tbl_individual[[#This Row],[R3 Pts]],tbl_individual[[#This Row],[R4 Pts]],tbl_individual[[#This Row],[R5 Pts]],tbl_individual[[#This Row],[R6 Pts]])</f>
        <v>363</v>
      </c>
      <c r="U336" s="3">
        <f>MIN(tbl_individual[[#This Row],[R1 Pts]],tbl_individual[[#This Row],[R2 Pts]],tbl_individual[[#This Row],[R3 Pts]],tbl_individual[[#This Row],[R4 Pts]],tbl_individual[[#This Row],[R5 Pts]],tbl_individual[[#This Row],[R6 Pts]])</f>
        <v>53</v>
      </c>
      <c r="V336" s="3">
        <f>tbl_individual[[#This Row],[Total]]</f>
        <v>363</v>
      </c>
    </row>
    <row r="337" spans="1:22" hidden="1" x14ac:dyDescent="0.4">
      <c r="A337" t="s">
        <v>366</v>
      </c>
      <c r="B337" t="s">
        <v>30</v>
      </c>
      <c r="C337" t="s">
        <v>3</v>
      </c>
      <c r="D337" s="3">
        <v>10193</v>
      </c>
      <c r="E337" s="3" t="s">
        <v>421</v>
      </c>
      <c r="G337" s="3" t="s">
        <v>403</v>
      </c>
      <c r="H337" s="3">
        <v>11</v>
      </c>
      <c r="I337" s="3">
        <f>IF(H337="","",IF(H337="DNS",0,IF(H337="DQ",0,IF(H337="DNF",1,IF(AND(ISNUMBER(H337),H337&gt;59),1,_xlfn.XLOOKUP(H337,tbl_points[Place],tbl_points[Points],""))))))</f>
        <v>53</v>
      </c>
      <c r="J337" s="3">
        <v>26</v>
      </c>
      <c r="K337" s="3">
        <f>IF(J337="","",IF(J337="DNS",0,IF(J337="DQ",0,IF(J337="DNF",1,IF(AND(ISNUMBER(J337),J337&gt;59),1,_xlfn.XLOOKUP(J337,tbl_points[Place],tbl_points[Points],""))))))</f>
        <v>34</v>
      </c>
      <c r="L337" s="3">
        <v>7</v>
      </c>
      <c r="M337" s="3">
        <f>IF(L337="","",IF(L337="DNS",0,IF(L337="DQ",0,IF(L337="DNF",1,IF(AND(ISNUMBER(L337),L337&gt;59),1,_xlfn.XLOOKUP(L337,tbl_points[Place],tbl_points[Points],""))))))</f>
        <v>70</v>
      </c>
      <c r="N337" s="3">
        <v>1</v>
      </c>
      <c r="O337" s="3">
        <f>IF(N337="","",IF(N337="DNS",0,IF(N337="DQ",0,IF(N337="DNF",1,IF(AND(ISNUMBER(N337),N337&gt;59),1,_xlfn.XLOOKUP(N337,tbl_points[Place],tbl_points[Points],""))))))</f>
        <v>100</v>
      </c>
      <c r="P337" s="3">
        <v>2</v>
      </c>
      <c r="Q337" s="3">
        <f>IF(P337="","",IF(P337="DNS",0,IF(P337="DQ",0,IF(P337="DNF",1,IF(AND(ISNUMBER(P337),P337&gt;59),1,_xlfn.XLOOKUP(P337,tbl_points[Place],tbl_points[Points],""))))))</f>
        <v>95</v>
      </c>
      <c r="S337" s="3" t="str">
        <f>IF(R337="","",IF(R337="DNS",0,IF(R337="DQ",0,IF(R337="DNF",1,IF(AND(ISNUMBER(R337),R337&gt;59),1,_xlfn.XLOOKUP(R337,tbl_points[Place],tbl_points[Points],""))))))</f>
        <v/>
      </c>
      <c r="T337" s="3">
        <f>SUM(tbl_individual[[#This Row],[R1 Pts]],tbl_individual[[#This Row],[R2 Pts]],tbl_individual[[#This Row],[R3 Pts]],tbl_individual[[#This Row],[R4 Pts]],tbl_individual[[#This Row],[R5 Pts]],tbl_individual[[#This Row],[R6 Pts]])</f>
        <v>352</v>
      </c>
      <c r="U337" s="3">
        <f>MIN(tbl_individual[[#This Row],[R1 Pts]],tbl_individual[[#This Row],[R2 Pts]],tbl_individual[[#This Row],[R3 Pts]],tbl_individual[[#This Row],[R4 Pts]],tbl_individual[[#This Row],[R5 Pts]],tbl_individual[[#This Row],[R6 Pts]])</f>
        <v>34</v>
      </c>
      <c r="V337" s="3">
        <f>tbl_individual[[#This Row],[Total]]</f>
        <v>352</v>
      </c>
    </row>
    <row r="338" spans="1:22" hidden="1" x14ac:dyDescent="0.4">
      <c r="A338" t="s">
        <v>367</v>
      </c>
      <c r="B338" t="s">
        <v>30</v>
      </c>
      <c r="C338" t="s">
        <v>3</v>
      </c>
      <c r="D338" s="3">
        <v>10194</v>
      </c>
      <c r="E338" s="3" t="s">
        <v>421</v>
      </c>
      <c r="G338" s="3" t="s">
        <v>403</v>
      </c>
      <c r="H338" s="3">
        <v>7</v>
      </c>
      <c r="I338" s="3">
        <f>IF(H338="","",IF(H338="DNS",0,IF(H338="DQ",0,IF(H338="DNF",1,IF(AND(ISNUMBER(H338),H338&gt;59),1,_xlfn.XLOOKUP(H338,tbl_points[Place],tbl_points[Points],""))))))</f>
        <v>70</v>
      </c>
      <c r="J338" s="3">
        <v>40</v>
      </c>
      <c r="K338" s="3">
        <f>IF(J338="","",IF(J338="DNS",0,IF(J338="DQ",0,IF(J338="DNF",1,IF(AND(ISNUMBER(J338),J338&gt;59),1,_xlfn.XLOOKUP(J338,tbl_points[Place],tbl_points[Points],""))))))</f>
        <v>20</v>
      </c>
      <c r="L338" s="3">
        <v>2</v>
      </c>
      <c r="M338" s="3">
        <f>IF(L338="","",IF(L338="DNS",0,IF(L338="DQ",0,IF(L338="DNF",1,IF(AND(ISNUMBER(L338),L338&gt;59),1,_xlfn.XLOOKUP(L338,tbl_points[Place],tbl_points[Points],""))))))</f>
        <v>95</v>
      </c>
      <c r="N338" s="3">
        <v>34</v>
      </c>
      <c r="O338" s="3">
        <f>IF(N338="","",IF(N338="DNS",0,IF(N338="DQ",0,IF(N338="DNF",1,IF(AND(ISNUMBER(N338),N338&gt;59),1,_xlfn.XLOOKUP(N338,tbl_points[Place],tbl_points[Points],""))))))</f>
        <v>26</v>
      </c>
      <c r="P338" s="3">
        <v>27</v>
      </c>
      <c r="Q338" s="3">
        <f>IF(P338="","",IF(P338="DNS",0,IF(P338="DQ",0,IF(P338="DNF",1,IF(AND(ISNUMBER(P338),P338&gt;59),1,_xlfn.XLOOKUP(P338,tbl_points[Place],tbl_points[Points],""))))))</f>
        <v>33</v>
      </c>
      <c r="S338" s="3" t="str">
        <f>IF(R338="","",IF(R338="DNS",0,IF(R338="DQ",0,IF(R338="DNF",1,IF(AND(ISNUMBER(R338),R338&gt;59),1,_xlfn.XLOOKUP(R338,tbl_points[Place],tbl_points[Points],""))))))</f>
        <v/>
      </c>
      <c r="T338" s="3">
        <f>SUM(tbl_individual[[#This Row],[R1 Pts]],tbl_individual[[#This Row],[R2 Pts]],tbl_individual[[#This Row],[R3 Pts]],tbl_individual[[#This Row],[R4 Pts]],tbl_individual[[#This Row],[R5 Pts]],tbl_individual[[#This Row],[R6 Pts]])</f>
        <v>244</v>
      </c>
      <c r="U338" s="3">
        <f>MIN(tbl_individual[[#This Row],[R1 Pts]],tbl_individual[[#This Row],[R2 Pts]],tbl_individual[[#This Row],[R3 Pts]],tbl_individual[[#This Row],[R4 Pts]],tbl_individual[[#This Row],[R5 Pts]],tbl_individual[[#This Row],[R6 Pts]])</f>
        <v>20</v>
      </c>
      <c r="V338" s="3">
        <f>tbl_individual[[#This Row],[Total]]</f>
        <v>244</v>
      </c>
    </row>
    <row r="339" spans="1:22" hidden="1" x14ac:dyDescent="0.4">
      <c r="A339" t="s">
        <v>368</v>
      </c>
      <c r="B339" t="s">
        <v>30</v>
      </c>
      <c r="C339" t="s">
        <v>3</v>
      </c>
      <c r="D339" s="3">
        <v>10195</v>
      </c>
      <c r="E339" s="3" t="s">
        <v>421</v>
      </c>
      <c r="G339" s="3" t="s">
        <v>403</v>
      </c>
      <c r="H339" s="3" t="s">
        <v>410</v>
      </c>
      <c r="I339" s="3">
        <f>IF(H339="","",IF(H339="DNS",0,IF(H339="DQ",0,IF(H339="DNF",1,IF(AND(ISNUMBER(H339),H339&gt;59),1,_xlfn.XLOOKUP(H339,tbl_points[Place],tbl_points[Points],""))))))</f>
        <v>0</v>
      </c>
      <c r="J339" s="3" t="s">
        <v>410</v>
      </c>
      <c r="K339" s="3">
        <f>IF(J339="","",IF(J339="DNS",0,IF(J339="DQ",0,IF(J339="DNF",1,IF(AND(ISNUMBER(J339),J339&gt;59),1,_xlfn.XLOOKUP(J339,tbl_points[Place],tbl_points[Points],""))))))</f>
        <v>0</v>
      </c>
      <c r="L339" s="3">
        <v>43</v>
      </c>
      <c r="M339" s="3">
        <f>IF(L339="","",IF(L339="DNS",0,IF(L339="DQ",0,IF(L339="DNF",1,IF(AND(ISNUMBER(L339),L339&gt;59),1,_xlfn.XLOOKUP(L339,tbl_points[Place],tbl_points[Points],""))))))</f>
        <v>17</v>
      </c>
      <c r="N339" s="3">
        <v>37</v>
      </c>
      <c r="O339" s="3">
        <f>IF(N339="","",IF(N339="DNS",0,IF(N339="DQ",0,IF(N339="DNF",1,IF(AND(ISNUMBER(N339),N339&gt;59),1,_xlfn.XLOOKUP(N339,tbl_points[Place],tbl_points[Points],""))))))</f>
        <v>23</v>
      </c>
      <c r="P339" s="3" t="s">
        <v>410</v>
      </c>
      <c r="Q339" s="3">
        <f>IF(P339="","",IF(P339="DNS",0,IF(P339="DQ",0,IF(P339="DNF",1,IF(AND(ISNUMBER(P339),P339&gt;59),1,_xlfn.XLOOKUP(P339,tbl_points[Place],tbl_points[Points],""))))))</f>
        <v>0</v>
      </c>
      <c r="S339" s="3" t="str">
        <f>IF(R339="","",IF(R339="DNS",0,IF(R339="DQ",0,IF(R339="DNF",1,IF(AND(ISNUMBER(R339),R339&gt;59),1,_xlfn.XLOOKUP(R339,tbl_points[Place],tbl_points[Points],""))))))</f>
        <v/>
      </c>
      <c r="T339" s="3">
        <f>SUM(tbl_individual[[#This Row],[R1 Pts]],tbl_individual[[#This Row],[R2 Pts]],tbl_individual[[#This Row],[R3 Pts]],tbl_individual[[#This Row],[R4 Pts]],tbl_individual[[#This Row],[R5 Pts]],tbl_individual[[#This Row],[R6 Pts]])</f>
        <v>40</v>
      </c>
      <c r="U33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39" s="3">
        <f>tbl_individual[[#This Row],[Total]]</f>
        <v>40</v>
      </c>
    </row>
    <row r="340" spans="1:22" hidden="1" x14ac:dyDescent="0.4">
      <c r="A340" t="s">
        <v>369</v>
      </c>
      <c r="B340" t="s">
        <v>30</v>
      </c>
      <c r="C340" t="s">
        <v>3</v>
      </c>
      <c r="D340" s="3">
        <v>10196</v>
      </c>
      <c r="E340" s="3" t="s">
        <v>421</v>
      </c>
      <c r="G340" s="3" t="s">
        <v>403</v>
      </c>
      <c r="H340" s="3">
        <v>25</v>
      </c>
      <c r="I340" s="3">
        <f>IF(H340="","",IF(H340="DNS",0,IF(H340="DQ",0,IF(H340="DNF",1,IF(AND(ISNUMBER(H340),H340&gt;59),1,_xlfn.XLOOKUP(H340,tbl_points[Place],tbl_points[Points],""))))))</f>
        <v>35</v>
      </c>
      <c r="J340" s="3">
        <v>25</v>
      </c>
      <c r="K340" s="3">
        <f>IF(J340="","",IF(J340="DNS",0,IF(J340="DQ",0,IF(J340="DNF",1,IF(AND(ISNUMBER(J340),J340&gt;59),1,_xlfn.XLOOKUP(J340,tbl_points[Place],tbl_points[Points],""))))))</f>
        <v>35</v>
      </c>
      <c r="L340" s="3">
        <v>18</v>
      </c>
      <c r="M340" s="3">
        <f>IF(L340="","",IF(L340="DNS",0,IF(L340="DQ",0,IF(L340="DNF",1,IF(AND(ISNUMBER(L340),L340&gt;59),1,_xlfn.XLOOKUP(L340,tbl_points[Place],tbl_points[Points],""))))))</f>
        <v>42</v>
      </c>
      <c r="N340" s="3">
        <v>33</v>
      </c>
      <c r="O340" s="3">
        <f>IF(N340="","",IF(N340="DNS",0,IF(N340="DQ",0,IF(N340="DNF",1,IF(AND(ISNUMBER(N340),N340&gt;59),1,_xlfn.XLOOKUP(N340,tbl_points[Place],tbl_points[Points],""))))))</f>
        <v>27</v>
      </c>
      <c r="P340" s="3">
        <v>28</v>
      </c>
      <c r="Q340" s="3">
        <f>IF(P340="","",IF(P340="DNS",0,IF(P340="DQ",0,IF(P340="DNF",1,IF(AND(ISNUMBER(P340),P340&gt;59),1,_xlfn.XLOOKUP(P340,tbl_points[Place],tbl_points[Points],""))))))</f>
        <v>32</v>
      </c>
      <c r="S340" s="3" t="str">
        <f>IF(R340="","",IF(R340="DNS",0,IF(R340="DQ",0,IF(R340="DNF",1,IF(AND(ISNUMBER(R340),R340&gt;59),1,_xlfn.XLOOKUP(R340,tbl_points[Place],tbl_points[Points],""))))))</f>
        <v/>
      </c>
      <c r="T340" s="3">
        <f>SUM(tbl_individual[[#This Row],[R1 Pts]],tbl_individual[[#This Row],[R2 Pts]],tbl_individual[[#This Row],[R3 Pts]],tbl_individual[[#This Row],[R4 Pts]],tbl_individual[[#This Row],[R5 Pts]],tbl_individual[[#This Row],[R6 Pts]])</f>
        <v>171</v>
      </c>
      <c r="U340" s="3">
        <f>MIN(tbl_individual[[#This Row],[R1 Pts]],tbl_individual[[#This Row],[R2 Pts]],tbl_individual[[#This Row],[R3 Pts]],tbl_individual[[#This Row],[R4 Pts]],tbl_individual[[#This Row],[R5 Pts]],tbl_individual[[#This Row],[R6 Pts]])</f>
        <v>27</v>
      </c>
      <c r="V340" s="3">
        <f>tbl_individual[[#This Row],[Total]]</f>
        <v>171</v>
      </c>
    </row>
    <row r="341" spans="1:22" hidden="1" x14ac:dyDescent="0.4">
      <c r="A341" t="s">
        <v>370</v>
      </c>
      <c r="B341" t="s">
        <v>30</v>
      </c>
      <c r="C341" t="s">
        <v>3</v>
      </c>
      <c r="D341" s="3">
        <v>10197</v>
      </c>
      <c r="E341" s="3" t="s">
        <v>421</v>
      </c>
      <c r="G341" s="3" t="s">
        <v>403</v>
      </c>
      <c r="H341" s="3" t="s">
        <v>409</v>
      </c>
      <c r="I341" s="3">
        <f>IF(H341="","",IF(H341="DNS",0,IF(H341="DQ",0,IF(H341="DNF",1,IF(AND(ISNUMBER(H341),H341&gt;59),1,_xlfn.XLOOKUP(H341,tbl_points[Place],tbl_points[Points],""))))))</f>
        <v>1</v>
      </c>
      <c r="J341" s="3">
        <v>35</v>
      </c>
      <c r="K341" s="3">
        <f>IF(J341="","",IF(J341="DNS",0,IF(J341="DQ",0,IF(J341="DNF",1,IF(AND(ISNUMBER(J341),J341&gt;59),1,_xlfn.XLOOKUP(J341,tbl_points[Place],tbl_points[Points],""))))))</f>
        <v>25</v>
      </c>
      <c r="L341" s="3">
        <v>39</v>
      </c>
      <c r="M341" s="3">
        <f>IF(L341="","",IF(L341="DNS",0,IF(L341="DQ",0,IF(L341="DNF",1,IF(AND(ISNUMBER(L341),L341&gt;59),1,_xlfn.XLOOKUP(L341,tbl_points[Place],tbl_points[Points],""))))))</f>
        <v>21</v>
      </c>
      <c r="N341" s="3">
        <v>46</v>
      </c>
      <c r="O341" s="3">
        <f>IF(N341="","",IF(N341="DNS",0,IF(N341="DQ",0,IF(N341="DNF",1,IF(AND(ISNUMBER(N341),N341&gt;59),1,_xlfn.XLOOKUP(N341,tbl_points[Place],tbl_points[Points],""))))))</f>
        <v>14</v>
      </c>
      <c r="P341" s="3">
        <v>33</v>
      </c>
      <c r="Q341" s="3">
        <f>IF(P341="","",IF(P341="DNS",0,IF(P341="DQ",0,IF(P341="DNF",1,IF(AND(ISNUMBER(P341),P341&gt;59),1,_xlfn.XLOOKUP(P341,tbl_points[Place],tbl_points[Points],""))))))</f>
        <v>27</v>
      </c>
      <c r="S341" s="3" t="str">
        <f>IF(R341="","",IF(R341="DNS",0,IF(R341="DQ",0,IF(R341="DNF",1,IF(AND(ISNUMBER(R341),R341&gt;59),1,_xlfn.XLOOKUP(R341,tbl_points[Place],tbl_points[Points],""))))))</f>
        <v/>
      </c>
      <c r="T341" s="3">
        <f>SUM(tbl_individual[[#This Row],[R1 Pts]],tbl_individual[[#This Row],[R2 Pts]],tbl_individual[[#This Row],[R3 Pts]],tbl_individual[[#This Row],[R4 Pts]],tbl_individual[[#This Row],[R5 Pts]],tbl_individual[[#This Row],[R6 Pts]])</f>
        <v>88</v>
      </c>
      <c r="U341" s="3">
        <f>MIN(tbl_individual[[#This Row],[R1 Pts]],tbl_individual[[#This Row],[R2 Pts]],tbl_individual[[#This Row],[R3 Pts]],tbl_individual[[#This Row],[R4 Pts]],tbl_individual[[#This Row],[R5 Pts]],tbl_individual[[#This Row],[R6 Pts]])</f>
        <v>1</v>
      </c>
      <c r="V341" s="3">
        <f>tbl_individual[[#This Row],[Total]]</f>
        <v>88</v>
      </c>
    </row>
    <row r="342" spans="1:22" hidden="1" x14ac:dyDescent="0.4">
      <c r="A342" t="s">
        <v>371</v>
      </c>
      <c r="B342" t="s">
        <v>30</v>
      </c>
      <c r="C342" t="s">
        <v>3</v>
      </c>
      <c r="D342" s="3">
        <v>10199</v>
      </c>
      <c r="E342" s="3" t="s">
        <v>421</v>
      </c>
      <c r="G342" s="3" t="s">
        <v>403</v>
      </c>
      <c r="H342" s="3" t="s">
        <v>410</v>
      </c>
      <c r="I342" s="3">
        <f>IF(H342="","",IF(H342="DNS",0,IF(H342="DQ",0,IF(H342="DNF",1,IF(AND(ISNUMBER(H342),H342&gt;59),1,_xlfn.XLOOKUP(H342,tbl_points[Place],tbl_points[Points],""))))))</f>
        <v>0</v>
      </c>
      <c r="J342" s="3" t="s">
        <v>410</v>
      </c>
      <c r="K342" s="3">
        <f>IF(J342="","",IF(J342="DNS",0,IF(J342="DQ",0,IF(J342="DNF",1,IF(AND(ISNUMBER(J342),J342&gt;59),1,_xlfn.XLOOKUP(J342,tbl_points[Place],tbl_points[Points],""))))))</f>
        <v>0</v>
      </c>
      <c r="L342" s="3" t="s">
        <v>410</v>
      </c>
      <c r="M342" s="3">
        <f>IF(L342="","",IF(L342="DNS",0,IF(L342="DQ",0,IF(L342="DNF",1,IF(AND(ISNUMBER(L342),L342&gt;59),1,_xlfn.XLOOKUP(L342,tbl_points[Place],tbl_points[Points],""))))))</f>
        <v>0</v>
      </c>
      <c r="N342" s="3">
        <v>39</v>
      </c>
      <c r="O342" s="3">
        <f>IF(N342="","",IF(N342="DNS",0,IF(N342="DQ",0,IF(N342="DNF",1,IF(AND(ISNUMBER(N342),N342&gt;59),1,_xlfn.XLOOKUP(N342,tbl_points[Place],tbl_points[Points],""))))))</f>
        <v>21</v>
      </c>
      <c r="P342" s="3" t="s">
        <v>410</v>
      </c>
      <c r="Q342" s="3">
        <f>IF(P342="","",IF(P342="DNS",0,IF(P342="DQ",0,IF(P342="DNF",1,IF(AND(ISNUMBER(P342),P342&gt;59),1,_xlfn.XLOOKUP(P342,tbl_points[Place],tbl_points[Points],""))))))</f>
        <v>0</v>
      </c>
      <c r="S342" s="3" t="str">
        <f>IF(R342="","",IF(R342="DNS",0,IF(R342="DQ",0,IF(R342="DNF",1,IF(AND(ISNUMBER(R342),R342&gt;59),1,_xlfn.XLOOKUP(R342,tbl_points[Place],tbl_points[Points],""))))))</f>
        <v/>
      </c>
      <c r="T342" s="3">
        <f>SUM(tbl_individual[[#This Row],[R1 Pts]],tbl_individual[[#This Row],[R2 Pts]],tbl_individual[[#This Row],[R3 Pts]],tbl_individual[[#This Row],[R4 Pts]],tbl_individual[[#This Row],[R5 Pts]],tbl_individual[[#This Row],[R6 Pts]])</f>
        <v>21</v>
      </c>
      <c r="U34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42" s="3">
        <f>tbl_individual[[#This Row],[Total]]</f>
        <v>21</v>
      </c>
    </row>
    <row r="343" spans="1:22" hidden="1" x14ac:dyDescent="0.4">
      <c r="A343" t="s">
        <v>372</v>
      </c>
      <c r="B343" t="s">
        <v>30</v>
      </c>
      <c r="C343" t="s">
        <v>3</v>
      </c>
      <c r="D343" s="3">
        <v>10200</v>
      </c>
      <c r="E343" s="3" t="s">
        <v>421</v>
      </c>
      <c r="G343" s="3" t="s">
        <v>403</v>
      </c>
      <c r="H343" s="3" t="s">
        <v>410</v>
      </c>
      <c r="I343" s="3">
        <f>IF(H343="","",IF(H343="DNS",0,IF(H343="DQ",0,IF(H343="DNF",1,IF(AND(ISNUMBER(H343),H343&gt;59),1,_xlfn.XLOOKUP(H343,tbl_points[Place],tbl_points[Points],""))))))</f>
        <v>0</v>
      </c>
      <c r="J343" s="3">
        <v>31</v>
      </c>
      <c r="K343" s="3">
        <f>IF(J343="","",IF(J343="DNS",0,IF(J343="DQ",0,IF(J343="DNF",1,IF(AND(ISNUMBER(J343),J343&gt;59),1,_xlfn.XLOOKUP(J343,tbl_points[Place],tbl_points[Points],""))))))</f>
        <v>29</v>
      </c>
      <c r="L343" s="3" t="s">
        <v>410</v>
      </c>
      <c r="M343" s="3">
        <f>IF(L343="","",IF(L343="DNS",0,IF(L343="DQ",0,IF(L343="DNF",1,IF(AND(ISNUMBER(L343),L343&gt;59),1,_xlfn.XLOOKUP(L343,tbl_points[Place],tbl_points[Points],""))))))</f>
        <v>0</v>
      </c>
      <c r="N343" s="3">
        <v>20</v>
      </c>
      <c r="O343" s="3">
        <f>IF(N343="","",IF(N343="DNS",0,IF(N343="DQ",0,IF(N343="DNF",1,IF(AND(ISNUMBER(N343),N343&gt;59),1,_xlfn.XLOOKUP(N343,tbl_points[Place],tbl_points[Points],""))))))</f>
        <v>40</v>
      </c>
      <c r="P343" s="3">
        <v>19</v>
      </c>
      <c r="Q343" s="3">
        <f>IF(P343="","",IF(P343="DNS",0,IF(P343="DQ",0,IF(P343="DNF",1,IF(AND(ISNUMBER(P343),P343&gt;59),1,_xlfn.XLOOKUP(P343,tbl_points[Place],tbl_points[Points],""))))))</f>
        <v>41</v>
      </c>
      <c r="S343" s="3" t="str">
        <f>IF(R343="","",IF(R343="DNS",0,IF(R343="DQ",0,IF(R343="DNF",1,IF(AND(ISNUMBER(R343),R343&gt;59),1,_xlfn.XLOOKUP(R343,tbl_points[Place],tbl_points[Points],""))))))</f>
        <v/>
      </c>
      <c r="T343" s="3">
        <f>SUM(tbl_individual[[#This Row],[R1 Pts]],tbl_individual[[#This Row],[R2 Pts]],tbl_individual[[#This Row],[R3 Pts]],tbl_individual[[#This Row],[R4 Pts]],tbl_individual[[#This Row],[R5 Pts]],tbl_individual[[#This Row],[R6 Pts]])</f>
        <v>110</v>
      </c>
      <c r="U34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43" s="3">
        <f>tbl_individual[[#This Row],[Total]]</f>
        <v>110</v>
      </c>
    </row>
    <row r="344" spans="1:22" hidden="1" x14ac:dyDescent="0.4">
      <c r="A344" t="s">
        <v>373</v>
      </c>
      <c r="B344" t="s">
        <v>30</v>
      </c>
      <c r="C344" t="s">
        <v>3</v>
      </c>
      <c r="D344" s="3">
        <v>10201</v>
      </c>
      <c r="E344" s="3" t="s">
        <v>421</v>
      </c>
      <c r="G344" s="3" t="s">
        <v>403</v>
      </c>
      <c r="H344" s="3" t="s">
        <v>410</v>
      </c>
      <c r="I344" s="3">
        <f>IF(H344="","",IF(H344="DNS",0,IF(H344="DQ",0,IF(H344="DNF",1,IF(AND(ISNUMBER(H344),H344&gt;59),1,_xlfn.XLOOKUP(H344,tbl_points[Place],tbl_points[Points],""))))))</f>
        <v>0</v>
      </c>
      <c r="J344" s="3">
        <v>45</v>
      </c>
      <c r="K344" s="3">
        <f>IF(J344="","",IF(J344="DNS",0,IF(J344="DQ",0,IF(J344="DNF",1,IF(AND(ISNUMBER(J344),J344&gt;59),1,_xlfn.XLOOKUP(J344,tbl_points[Place],tbl_points[Points],""))))))</f>
        <v>15</v>
      </c>
      <c r="L344" s="3" t="s">
        <v>410</v>
      </c>
      <c r="M344" s="3">
        <f>IF(L344="","",IF(L344="DNS",0,IF(L344="DQ",0,IF(L344="DNF",1,IF(AND(ISNUMBER(L344),L344&gt;59),1,_xlfn.XLOOKUP(L344,tbl_points[Place],tbl_points[Points],""))))))</f>
        <v>0</v>
      </c>
      <c r="N344" s="3">
        <v>8</v>
      </c>
      <c r="O344" s="3">
        <f>IF(N344="","",IF(N344="DNS",0,IF(N344="DQ",0,IF(N344="DNF",1,IF(AND(ISNUMBER(N344),N344&gt;59),1,_xlfn.XLOOKUP(N344,tbl_points[Place],tbl_points[Points],""))))))</f>
        <v>65</v>
      </c>
      <c r="P344" s="3">
        <v>42</v>
      </c>
      <c r="Q344" s="3">
        <f>IF(P344="","",IF(P344="DNS",0,IF(P344="DQ",0,IF(P344="DNF",1,IF(AND(ISNUMBER(P344),P344&gt;59),1,_xlfn.XLOOKUP(P344,tbl_points[Place],tbl_points[Points],""))))))</f>
        <v>18</v>
      </c>
      <c r="S344" s="3" t="str">
        <f>IF(R344="","",IF(R344="DNS",0,IF(R344="DQ",0,IF(R344="DNF",1,IF(AND(ISNUMBER(R344),R344&gt;59),1,_xlfn.XLOOKUP(R344,tbl_points[Place],tbl_points[Points],""))))))</f>
        <v/>
      </c>
      <c r="T344" s="3">
        <f>SUM(tbl_individual[[#This Row],[R1 Pts]],tbl_individual[[#This Row],[R2 Pts]],tbl_individual[[#This Row],[R3 Pts]],tbl_individual[[#This Row],[R4 Pts]],tbl_individual[[#This Row],[R5 Pts]],tbl_individual[[#This Row],[R6 Pts]])</f>
        <v>98</v>
      </c>
      <c r="U34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44" s="3">
        <f>tbl_individual[[#This Row],[Total]]</f>
        <v>98</v>
      </c>
    </row>
    <row r="345" spans="1:22" hidden="1" x14ac:dyDescent="0.4">
      <c r="A345" t="s">
        <v>363</v>
      </c>
      <c r="B345" t="s">
        <v>30</v>
      </c>
      <c r="C345" t="s">
        <v>4</v>
      </c>
      <c r="D345" s="3">
        <v>1041</v>
      </c>
      <c r="E345" s="3" t="s">
        <v>421</v>
      </c>
      <c r="G345" s="3" t="s">
        <v>403</v>
      </c>
      <c r="H345" s="3" t="s">
        <v>409</v>
      </c>
      <c r="I345" s="3">
        <f>IF(H345="","",IF(H345="DNS",0,IF(H345="DQ",0,IF(H345="DNF",1,IF(AND(ISNUMBER(H345),H345&gt;59),1,_xlfn.XLOOKUP(H345,tbl_points[Place],tbl_points[Points],""))))))</f>
        <v>1</v>
      </c>
      <c r="J345" s="3">
        <v>4</v>
      </c>
      <c r="K345" s="3">
        <f>IF(J345="","",IF(J345="DNS",0,IF(J345="DQ",0,IF(J345="DNF",1,IF(AND(ISNUMBER(J345),J345&gt;59),1,_xlfn.XLOOKUP(J345,tbl_points[Place],tbl_points[Points],""))))))</f>
        <v>85</v>
      </c>
      <c r="L345" s="3" t="s">
        <v>410</v>
      </c>
      <c r="M345" s="3">
        <f>IF(L345="","",IF(L345="DNS",0,IF(L345="DQ",0,IF(L345="DNF",1,IF(AND(ISNUMBER(L345),L345&gt;59),1,_xlfn.XLOOKUP(L345,tbl_points[Place],tbl_points[Points],""))))))</f>
        <v>0</v>
      </c>
      <c r="N345" s="3">
        <v>3</v>
      </c>
      <c r="O345" s="3">
        <f>IF(N345="","",IF(N345="DNS",0,IF(N345="DQ",0,IF(N345="DNF",1,IF(AND(ISNUMBER(N345),N345&gt;59),1,_xlfn.XLOOKUP(N345,tbl_points[Place],tbl_points[Points],""))))))</f>
        <v>90</v>
      </c>
      <c r="P345" s="3">
        <v>5</v>
      </c>
      <c r="Q345" s="3">
        <f>IF(P345="","",IF(P345="DNS",0,IF(P345="DQ",0,IF(P345="DNF",1,IF(AND(ISNUMBER(P345),P345&gt;59),1,_xlfn.XLOOKUP(P345,tbl_points[Place],tbl_points[Points],""))))))</f>
        <v>80</v>
      </c>
      <c r="S345" s="3" t="str">
        <f>IF(R345="","",IF(R345="DNS",0,IF(R345="DQ",0,IF(R345="DNF",1,IF(AND(ISNUMBER(R345),R345&gt;59),1,_xlfn.XLOOKUP(R345,tbl_points[Place],tbl_points[Points],""))))))</f>
        <v/>
      </c>
      <c r="T345" s="3">
        <f>SUM(tbl_individual[[#This Row],[R1 Pts]],tbl_individual[[#This Row],[R2 Pts]],tbl_individual[[#This Row],[R3 Pts]],tbl_individual[[#This Row],[R4 Pts]],tbl_individual[[#This Row],[R5 Pts]],tbl_individual[[#This Row],[R6 Pts]])</f>
        <v>256</v>
      </c>
      <c r="U34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45" s="3">
        <f>tbl_individual[[#This Row],[Total]]</f>
        <v>256</v>
      </c>
    </row>
    <row r="346" spans="1:22" hidden="1" x14ac:dyDescent="0.4">
      <c r="A346" t="s">
        <v>364</v>
      </c>
      <c r="B346" t="s">
        <v>30</v>
      </c>
      <c r="C346" t="s">
        <v>4</v>
      </c>
      <c r="D346" s="3">
        <v>1042</v>
      </c>
      <c r="E346" s="3" t="s">
        <v>421</v>
      </c>
      <c r="G346" s="3" t="s">
        <v>403</v>
      </c>
      <c r="H346" s="3" t="s">
        <v>410</v>
      </c>
      <c r="I346" s="3">
        <f>IF(H346="","",IF(H346="DNS",0,IF(H346="DQ",0,IF(H346="DNF",1,IF(AND(ISNUMBER(H346),H346&gt;59),1,_xlfn.XLOOKUP(H346,tbl_points[Place],tbl_points[Points],""))))))</f>
        <v>0</v>
      </c>
      <c r="J346" s="3">
        <v>13</v>
      </c>
      <c r="K346" s="3">
        <f>IF(J346="","",IF(J346="DNS",0,IF(J346="DQ",0,IF(J346="DNF",1,IF(AND(ISNUMBER(J346),J346&gt;59),1,_xlfn.XLOOKUP(J346,tbl_points[Place],tbl_points[Points],""))))))</f>
        <v>49</v>
      </c>
      <c r="L346" s="3" t="s">
        <v>410</v>
      </c>
      <c r="M346" s="3">
        <f>IF(L346="","",IF(L346="DNS",0,IF(L346="DQ",0,IF(L346="DNF",1,IF(AND(ISNUMBER(L346),L346&gt;59),1,_xlfn.XLOOKUP(L346,tbl_points[Place],tbl_points[Points],""))))))</f>
        <v>0</v>
      </c>
      <c r="N346" s="3" t="s">
        <v>409</v>
      </c>
      <c r="O346" s="3">
        <f>IF(N346="","",IF(N346="DNS",0,IF(N346="DQ",0,IF(N346="DNF",1,IF(AND(ISNUMBER(N346),N346&gt;59),1,_xlfn.XLOOKUP(N346,tbl_points[Place],tbl_points[Points],""))))))</f>
        <v>1</v>
      </c>
      <c r="P346" s="3" t="s">
        <v>410</v>
      </c>
      <c r="Q346" s="3">
        <f>IF(P346="","",IF(P346="DNS",0,IF(P346="DQ",0,IF(P346="DNF",1,IF(AND(ISNUMBER(P346),P346&gt;59),1,_xlfn.XLOOKUP(P346,tbl_points[Place],tbl_points[Points],""))))))</f>
        <v>0</v>
      </c>
      <c r="S346" s="3" t="str">
        <f>IF(R346="","",IF(R346="DNS",0,IF(R346="DQ",0,IF(R346="DNF",1,IF(AND(ISNUMBER(R346),R346&gt;59),1,_xlfn.XLOOKUP(R346,tbl_points[Place],tbl_points[Points],""))))))</f>
        <v/>
      </c>
      <c r="T346" s="3">
        <f>SUM(tbl_individual[[#This Row],[R1 Pts]],tbl_individual[[#This Row],[R2 Pts]],tbl_individual[[#This Row],[R3 Pts]],tbl_individual[[#This Row],[R4 Pts]],tbl_individual[[#This Row],[R5 Pts]],tbl_individual[[#This Row],[R6 Pts]])</f>
        <v>50</v>
      </c>
      <c r="U34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46" s="3">
        <f>tbl_individual[[#This Row],[Total]]</f>
        <v>50</v>
      </c>
    </row>
    <row r="347" spans="1:22" hidden="1" x14ac:dyDescent="0.4">
      <c r="A347" t="s">
        <v>365</v>
      </c>
      <c r="B347" t="s">
        <v>30</v>
      </c>
      <c r="C347" t="s">
        <v>4</v>
      </c>
      <c r="D347" s="3">
        <v>1043</v>
      </c>
      <c r="E347" s="3" t="s">
        <v>421</v>
      </c>
      <c r="G347" s="3" t="s">
        <v>407</v>
      </c>
      <c r="H347" s="3" t="s">
        <v>410</v>
      </c>
      <c r="I347" s="3">
        <f>IF(H347="","",IF(H347="DNS",0,IF(H347="DQ",0,IF(H347="DNF",1,IF(AND(ISNUMBER(H347),H347&gt;59),1,_xlfn.XLOOKUP(H347,tbl_points[Place],tbl_points[Points],""))))))</f>
        <v>0</v>
      </c>
      <c r="J347" s="3" t="s">
        <v>410</v>
      </c>
      <c r="K347" s="3">
        <f>IF(J347="","",IF(J347="DNS",0,IF(J347="DQ",0,IF(J347="DNF",1,IF(AND(ISNUMBER(J347),J347&gt;59),1,_xlfn.XLOOKUP(J347,tbl_points[Place],tbl_points[Points],""))))))</f>
        <v>0</v>
      </c>
      <c r="L347" s="3" t="s">
        <v>410</v>
      </c>
      <c r="M347" s="3">
        <f>IF(L347="","",IF(L347="DNS",0,IF(L347="DQ",0,IF(L347="DNF",1,IF(AND(ISNUMBER(L347),L347&gt;59),1,_xlfn.XLOOKUP(L347,tbl_points[Place],tbl_points[Points],""))))))</f>
        <v>0</v>
      </c>
      <c r="N347" s="3">
        <v>6</v>
      </c>
      <c r="O347" s="3">
        <f>IF(N347="","",IF(N347="DNS",0,IF(N347="DQ",0,IF(N347="DNF",1,IF(AND(ISNUMBER(N347),N347&gt;59),1,_xlfn.XLOOKUP(N347,tbl_points[Place],tbl_points[Points],""))))))</f>
        <v>75</v>
      </c>
      <c r="P347" s="3" t="s">
        <v>410</v>
      </c>
      <c r="Q347" s="3">
        <f>IF(P347="","",IF(P347="DNS",0,IF(P347="DQ",0,IF(P347="DNF",1,IF(AND(ISNUMBER(P347),P347&gt;59),1,_xlfn.XLOOKUP(P347,tbl_points[Place],tbl_points[Points],""))))))</f>
        <v>0</v>
      </c>
      <c r="S347" s="3" t="str">
        <f>IF(R347="","",IF(R347="DNS",0,IF(R347="DQ",0,IF(R347="DNF",1,IF(AND(ISNUMBER(R347),R347&gt;59),1,_xlfn.XLOOKUP(R347,tbl_points[Place],tbl_points[Points],""))))))</f>
        <v/>
      </c>
      <c r="T347" s="3">
        <f>SUM(tbl_individual[[#This Row],[R1 Pts]],tbl_individual[[#This Row],[R2 Pts]],tbl_individual[[#This Row],[R3 Pts]],tbl_individual[[#This Row],[R4 Pts]],tbl_individual[[#This Row],[R5 Pts]],tbl_individual[[#This Row],[R6 Pts]])</f>
        <v>75</v>
      </c>
      <c r="U34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47" s="3">
        <f>tbl_individual[[#This Row],[Total]]</f>
        <v>75</v>
      </c>
    </row>
    <row r="348" spans="1:22" hidden="1" x14ac:dyDescent="0.4">
      <c r="A348" t="s">
        <v>375</v>
      </c>
      <c r="B348" t="s">
        <v>30</v>
      </c>
      <c r="C348" t="s">
        <v>1</v>
      </c>
      <c r="D348" s="3">
        <v>12097</v>
      </c>
      <c r="E348" s="3" t="s">
        <v>421</v>
      </c>
      <c r="G348" s="3" t="s">
        <v>403</v>
      </c>
      <c r="H348" s="3" t="s">
        <v>410</v>
      </c>
      <c r="I348" s="3">
        <f>IF(H348="","",IF(H348="DNS",0,IF(H348="DQ",0,IF(H348="DNF",1,IF(AND(ISNUMBER(H348),H348&gt;59),1,_xlfn.XLOOKUP(H348,tbl_points[Place],tbl_points[Points],""))))))</f>
        <v>0</v>
      </c>
      <c r="J348" s="3">
        <v>25</v>
      </c>
      <c r="K348" s="3">
        <f>IF(J348="","",IF(J348="DNS",0,IF(J348="DQ",0,IF(J348="DNF",1,IF(AND(ISNUMBER(J348),J348&gt;59),1,_xlfn.XLOOKUP(J348,tbl_points[Place],tbl_points[Points],""))))))</f>
        <v>35</v>
      </c>
      <c r="L348" s="3" t="s">
        <v>410</v>
      </c>
      <c r="M348" s="3">
        <f>IF(L348="","",IF(L348="DNS",0,IF(L348="DQ",0,IF(L348="DNF",1,IF(AND(ISNUMBER(L348),L348&gt;59),1,_xlfn.XLOOKUP(L348,tbl_points[Place],tbl_points[Points],""))))))</f>
        <v>0</v>
      </c>
      <c r="N348" s="3">
        <v>25</v>
      </c>
      <c r="O348" s="3">
        <f>IF(N348="","",IF(N348="DNS",0,IF(N348="DQ",0,IF(N348="DNF",1,IF(AND(ISNUMBER(N348),N348&gt;59),1,_xlfn.XLOOKUP(N348,tbl_points[Place],tbl_points[Points],""))))))</f>
        <v>35</v>
      </c>
      <c r="P348" s="3">
        <v>36</v>
      </c>
      <c r="Q348" s="3">
        <f>IF(P348="","",IF(P348="DNS",0,IF(P348="DQ",0,IF(P348="DNF",1,IF(AND(ISNUMBER(P348),P348&gt;59),1,_xlfn.XLOOKUP(P348,tbl_points[Place],tbl_points[Points],""))))))</f>
        <v>24</v>
      </c>
      <c r="S348" s="3" t="str">
        <f>IF(R348="","",IF(R348="DNS",0,IF(R348="DQ",0,IF(R348="DNF",1,IF(AND(ISNUMBER(R348),R348&gt;59),1,_xlfn.XLOOKUP(R348,tbl_points[Place],tbl_points[Points],""))))))</f>
        <v/>
      </c>
      <c r="T348" s="3">
        <f>SUM(tbl_individual[[#This Row],[R1 Pts]],tbl_individual[[#This Row],[R2 Pts]],tbl_individual[[#This Row],[R3 Pts]],tbl_individual[[#This Row],[R4 Pts]],tbl_individual[[#This Row],[R5 Pts]],tbl_individual[[#This Row],[R6 Pts]])</f>
        <v>94</v>
      </c>
      <c r="U34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48" s="3">
        <f>tbl_individual[[#This Row],[Total]]</f>
        <v>94</v>
      </c>
    </row>
    <row r="349" spans="1:22" hidden="1" x14ac:dyDescent="0.4">
      <c r="A349" t="s">
        <v>376</v>
      </c>
      <c r="B349" t="s">
        <v>30</v>
      </c>
      <c r="C349" t="s">
        <v>1</v>
      </c>
      <c r="D349" s="3">
        <v>12098</v>
      </c>
      <c r="E349" s="3" t="s">
        <v>421</v>
      </c>
      <c r="G349" s="3" t="s">
        <v>403</v>
      </c>
      <c r="H349" s="3">
        <v>20</v>
      </c>
      <c r="I349" s="3">
        <f>IF(H349="","",IF(H349="DNS",0,IF(H349="DQ",0,IF(H349="DNF",1,IF(AND(ISNUMBER(H349),H349&gt;59),1,_xlfn.XLOOKUP(H349,tbl_points[Place],tbl_points[Points],""))))))</f>
        <v>40</v>
      </c>
      <c r="J349" s="3">
        <v>22</v>
      </c>
      <c r="K349" s="3">
        <f>IF(J349="","",IF(J349="DNS",0,IF(J349="DQ",0,IF(J349="DNF",1,IF(AND(ISNUMBER(J349),J349&gt;59),1,_xlfn.XLOOKUP(J349,tbl_points[Place],tbl_points[Points],""))))))</f>
        <v>38</v>
      </c>
      <c r="L349" s="3">
        <v>25</v>
      </c>
      <c r="M349" s="3">
        <f>IF(L349="","",IF(L349="DNS",0,IF(L349="DQ",0,IF(L349="DNF",1,IF(AND(ISNUMBER(L349),L349&gt;59),1,_xlfn.XLOOKUP(L349,tbl_points[Place],tbl_points[Points],""))))))</f>
        <v>35</v>
      </c>
      <c r="N349" s="3">
        <v>19</v>
      </c>
      <c r="O349" s="3">
        <f>IF(N349="","",IF(N349="DNS",0,IF(N349="DQ",0,IF(N349="DNF",1,IF(AND(ISNUMBER(N349),N349&gt;59),1,_xlfn.XLOOKUP(N349,tbl_points[Place],tbl_points[Points],""))))))</f>
        <v>41</v>
      </c>
      <c r="P349" s="3">
        <v>26</v>
      </c>
      <c r="Q349" s="3">
        <f>IF(P349="","",IF(P349="DNS",0,IF(P349="DQ",0,IF(P349="DNF",1,IF(AND(ISNUMBER(P349),P349&gt;59),1,_xlfn.XLOOKUP(P349,tbl_points[Place],tbl_points[Points],""))))))</f>
        <v>34</v>
      </c>
      <c r="S349" s="3" t="str">
        <f>IF(R349="","",IF(R349="DNS",0,IF(R349="DQ",0,IF(R349="DNF",1,IF(AND(ISNUMBER(R349),R349&gt;59),1,_xlfn.XLOOKUP(R349,tbl_points[Place],tbl_points[Points],""))))))</f>
        <v/>
      </c>
      <c r="T349" s="3">
        <f>SUM(tbl_individual[[#This Row],[R1 Pts]],tbl_individual[[#This Row],[R2 Pts]],tbl_individual[[#This Row],[R3 Pts]],tbl_individual[[#This Row],[R4 Pts]],tbl_individual[[#This Row],[R5 Pts]],tbl_individual[[#This Row],[R6 Pts]])</f>
        <v>188</v>
      </c>
      <c r="U349" s="3">
        <f>MIN(tbl_individual[[#This Row],[R1 Pts]],tbl_individual[[#This Row],[R2 Pts]],tbl_individual[[#This Row],[R3 Pts]],tbl_individual[[#This Row],[R4 Pts]],tbl_individual[[#This Row],[R5 Pts]],tbl_individual[[#This Row],[R6 Pts]])</f>
        <v>34</v>
      </c>
      <c r="V349" s="3">
        <f>tbl_individual[[#This Row],[Total]]</f>
        <v>188</v>
      </c>
    </row>
    <row r="350" spans="1:22" hidden="1" x14ac:dyDescent="0.4">
      <c r="A350" t="s">
        <v>377</v>
      </c>
      <c r="B350" t="s">
        <v>30</v>
      </c>
      <c r="C350" t="s">
        <v>1</v>
      </c>
      <c r="D350" s="3">
        <v>12099</v>
      </c>
      <c r="E350" s="3" t="s">
        <v>421</v>
      </c>
      <c r="G350" s="3" t="s">
        <v>403</v>
      </c>
      <c r="H350" s="3">
        <v>15</v>
      </c>
      <c r="I350" s="3">
        <f>IF(H350="","",IF(H350="DNS",0,IF(H350="DQ",0,IF(H350="DNF",1,IF(AND(ISNUMBER(H350),H350&gt;59),1,_xlfn.XLOOKUP(H350,tbl_points[Place],tbl_points[Points],""))))))</f>
        <v>45</v>
      </c>
      <c r="J350" s="3">
        <v>21</v>
      </c>
      <c r="K350" s="3">
        <f>IF(J350="","",IF(J350="DNS",0,IF(J350="DQ",0,IF(J350="DNF",1,IF(AND(ISNUMBER(J350),J350&gt;59),1,_xlfn.XLOOKUP(J350,tbl_points[Place],tbl_points[Points],""))))))</f>
        <v>39</v>
      </c>
      <c r="L350" s="3" t="s">
        <v>410</v>
      </c>
      <c r="M350" s="3">
        <f>IF(L350="","",IF(L350="DNS",0,IF(L350="DQ",0,IF(L350="DNF",1,IF(AND(ISNUMBER(L350),L350&gt;59),1,_xlfn.XLOOKUP(L350,tbl_points[Place],tbl_points[Points],""))))))</f>
        <v>0</v>
      </c>
      <c r="N350" s="3">
        <v>15</v>
      </c>
      <c r="O350" s="3">
        <f>IF(N350="","",IF(N350="DNS",0,IF(N350="DQ",0,IF(N350="DNF",1,IF(AND(ISNUMBER(N350),N350&gt;59),1,_xlfn.XLOOKUP(N350,tbl_points[Place],tbl_points[Points],""))))))</f>
        <v>45</v>
      </c>
      <c r="P350" s="3">
        <v>11</v>
      </c>
      <c r="Q350" s="3">
        <f>IF(P350="","",IF(P350="DNS",0,IF(P350="DQ",0,IF(P350="DNF",1,IF(AND(ISNUMBER(P350),P350&gt;59),1,_xlfn.XLOOKUP(P350,tbl_points[Place],tbl_points[Points],""))))))</f>
        <v>53</v>
      </c>
      <c r="S350" s="3" t="str">
        <f>IF(R350="","",IF(R350="DNS",0,IF(R350="DQ",0,IF(R350="DNF",1,IF(AND(ISNUMBER(R350),R350&gt;59),1,_xlfn.XLOOKUP(R350,tbl_points[Place],tbl_points[Points],""))))))</f>
        <v/>
      </c>
      <c r="T350" s="3">
        <f>SUM(tbl_individual[[#This Row],[R1 Pts]],tbl_individual[[#This Row],[R2 Pts]],tbl_individual[[#This Row],[R3 Pts]],tbl_individual[[#This Row],[R4 Pts]],tbl_individual[[#This Row],[R5 Pts]],tbl_individual[[#This Row],[R6 Pts]])</f>
        <v>182</v>
      </c>
      <c r="U35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50" s="3">
        <f>tbl_individual[[#This Row],[Total]]</f>
        <v>182</v>
      </c>
    </row>
    <row r="351" spans="1:22" hidden="1" x14ac:dyDescent="0.4">
      <c r="A351" t="s">
        <v>378</v>
      </c>
      <c r="B351" t="s">
        <v>30</v>
      </c>
      <c r="C351" t="s">
        <v>1</v>
      </c>
      <c r="D351" s="3">
        <v>12100</v>
      </c>
      <c r="E351" s="3" t="s">
        <v>421</v>
      </c>
      <c r="G351" s="3" t="s">
        <v>403</v>
      </c>
      <c r="H351" s="3" t="s">
        <v>410</v>
      </c>
      <c r="I351" s="3">
        <f>IF(H351="","",IF(H351="DNS",0,IF(H351="DQ",0,IF(H351="DNF",1,IF(AND(ISNUMBER(H351),H351&gt;59),1,_xlfn.XLOOKUP(H351,tbl_points[Place],tbl_points[Points],""))))))</f>
        <v>0</v>
      </c>
      <c r="J351" s="3">
        <v>5</v>
      </c>
      <c r="K351" s="3">
        <f>IF(J351="","",IF(J351="DNS",0,IF(J351="DQ",0,IF(J351="DNF",1,IF(AND(ISNUMBER(J351),J351&gt;59),1,_xlfn.XLOOKUP(J351,tbl_points[Place],tbl_points[Points],""))))))</f>
        <v>80</v>
      </c>
      <c r="L351" s="3">
        <v>5</v>
      </c>
      <c r="M351" s="3">
        <f>IF(L351="","",IF(L351="DNS",0,IF(L351="DQ",0,IF(L351="DNF",1,IF(AND(ISNUMBER(L351),L351&gt;59),1,_xlfn.XLOOKUP(L351,tbl_points[Place],tbl_points[Points],""))))))</f>
        <v>80</v>
      </c>
      <c r="N351" s="3">
        <v>8</v>
      </c>
      <c r="O351" s="3">
        <f>IF(N351="","",IF(N351="DNS",0,IF(N351="DQ",0,IF(N351="DNF",1,IF(AND(ISNUMBER(N351),N351&gt;59),1,_xlfn.XLOOKUP(N351,tbl_points[Place],tbl_points[Points],""))))))</f>
        <v>65</v>
      </c>
      <c r="P351" s="3">
        <v>6</v>
      </c>
      <c r="Q351" s="3">
        <f>IF(P351="","",IF(P351="DNS",0,IF(P351="DQ",0,IF(P351="DNF",1,IF(AND(ISNUMBER(P351),P351&gt;59),1,_xlfn.XLOOKUP(P351,tbl_points[Place],tbl_points[Points],""))))))</f>
        <v>75</v>
      </c>
      <c r="S351" s="3" t="str">
        <f>IF(R351="","",IF(R351="DNS",0,IF(R351="DQ",0,IF(R351="DNF",1,IF(AND(ISNUMBER(R351),R351&gt;59),1,_xlfn.XLOOKUP(R351,tbl_points[Place],tbl_points[Points],""))))))</f>
        <v/>
      </c>
      <c r="T351" s="3">
        <f>SUM(tbl_individual[[#This Row],[R1 Pts]],tbl_individual[[#This Row],[R2 Pts]],tbl_individual[[#This Row],[R3 Pts]],tbl_individual[[#This Row],[R4 Pts]],tbl_individual[[#This Row],[R5 Pts]],tbl_individual[[#This Row],[R6 Pts]])</f>
        <v>300</v>
      </c>
      <c r="U35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51" s="3">
        <f>tbl_individual[[#This Row],[Total]]</f>
        <v>300</v>
      </c>
    </row>
    <row r="352" spans="1:22" hidden="1" x14ac:dyDescent="0.4">
      <c r="A352" t="s">
        <v>400</v>
      </c>
      <c r="B352" t="s">
        <v>30</v>
      </c>
      <c r="C352" t="s">
        <v>1</v>
      </c>
      <c r="D352" s="3">
        <v>12906</v>
      </c>
      <c r="E352" s="3" t="s">
        <v>421</v>
      </c>
      <c r="G352" s="3" t="s">
        <v>407</v>
      </c>
      <c r="H352" s="3" t="s">
        <v>410</v>
      </c>
      <c r="I352" s="3">
        <f>IF(H352="","",IF(H352="DNS",0,IF(H352="DQ",0,IF(H352="DNF",1,IF(AND(ISNUMBER(H352),H352&gt;59),1,_xlfn.XLOOKUP(H352,tbl_points[Place],tbl_points[Points],""))))))</f>
        <v>0</v>
      </c>
      <c r="J352" s="3" t="s">
        <v>410</v>
      </c>
      <c r="K352" s="3">
        <f>IF(J352="","",IF(J352="DNS",0,IF(J352="DQ",0,IF(J352="DNF",1,IF(AND(ISNUMBER(J352),J352&gt;59),1,_xlfn.XLOOKUP(J352,tbl_points[Place],tbl_points[Points],""))))))</f>
        <v>0</v>
      </c>
      <c r="L352" s="3" t="s">
        <v>410</v>
      </c>
      <c r="M352" s="3">
        <f>IF(L352="","",IF(L352="DNS",0,IF(L352="DQ",0,IF(L352="DNF",1,IF(AND(ISNUMBER(L352),L352&gt;59),1,_xlfn.XLOOKUP(L352,tbl_points[Place],tbl_points[Points],""))))))</f>
        <v>0</v>
      </c>
      <c r="N352" s="3">
        <v>4</v>
      </c>
      <c r="O352" s="3">
        <f>IF(N352="","",IF(N352="DNS",0,IF(N352="DQ",0,IF(N352="DNF",1,IF(AND(ISNUMBER(N352),N352&gt;59),1,_xlfn.XLOOKUP(N352,tbl_points[Place],tbl_points[Points],""))))))</f>
        <v>85</v>
      </c>
      <c r="P352" s="3">
        <v>5</v>
      </c>
      <c r="Q352" s="3">
        <f>IF(P352="","",IF(P352="DNS",0,IF(P352="DQ",0,IF(P352="DNF",1,IF(AND(ISNUMBER(P352),P352&gt;59),1,_xlfn.XLOOKUP(P352,tbl_points[Place],tbl_points[Points],""))))))</f>
        <v>80</v>
      </c>
      <c r="S352" s="3" t="str">
        <f>IF(R352="","",IF(R352="DNS",0,IF(R352="DQ",0,IF(R352="DNF",1,IF(AND(ISNUMBER(R352),R352&gt;59),1,_xlfn.XLOOKUP(R352,tbl_points[Place],tbl_points[Points],""))))))</f>
        <v/>
      </c>
      <c r="T352" s="3">
        <f>SUM(tbl_individual[[#This Row],[R1 Pts]],tbl_individual[[#This Row],[R2 Pts]],tbl_individual[[#This Row],[R3 Pts]],tbl_individual[[#This Row],[R4 Pts]],tbl_individual[[#This Row],[R5 Pts]],tbl_individual[[#This Row],[R6 Pts]])</f>
        <v>165</v>
      </c>
      <c r="U35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52" s="3">
        <f>tbl_individual[[#This Row],[Total]]</f>
        <v>165</v>
      </c>
    </row>
    <row r="353" spans="1:22" hidden="1" x14ac:dyDescent="0.4">
      <c r="A353" t="s">
        <v>1157</v>
      </c>
      <c r="B353" t="s">
        <v>30</v>
      </c>
      <c r="C353" t="s">
        <v>2</v>
      </c>
      <c r="D353" s="3">
        <v>1245</v>
      </c>
      <c r="E353" s="3" t="s">
        <v>421</v>
      </c>
      <c r="G353" s="3" t="s">
        <v>403</v>
      </c>
      <c r="H353" s="3">
        <v>5</v>
      </c>
      <c r="I353" s="3">
        <f>IF(H353="","",IF(H353="DNS",0,IF(H353="DQ",0,IF(H353="DNF",1,IF(AND(ISNUMBER(H353),H353&gt;59),1,_xlfn.XLOOKUP(H353,tbl_points[Place],tbl_points[Points],""))))))</f>
        <v>80</v>
      </c>
      <c r="J353" s="3">
        <v>11</v>
      </c>
      <c r="K353" s="3">
        <f>IF(J353="","",IF(J353="DNS",0,IF(J353="DQ",0,IF(J353="DNF",1,IF(AND(ISNUMBER(J353),J353&gt;59),1,_xlfn.XLOOKUP(J353,tbl_points[Place],tbl_points[Points],""))))))</f>
        <v>53</v>
      </c>
      <c r="L353" s="3">
        <v>4</v>
      </c>
      <c r="M353" s="3">
        <f>IF(L353="","",IF(L353="DNS",0,IF(L353="DQ",0,IF(L353="DNF",1,IF(AND(ISNUMBER(L353),L353&gt;59),1,_xlfn.XLOOKUP(L353,tbl_points[Place],tbl_points[Points],""))))))</f>
        <v>85</v>
      </c>
      <c r="N353" s="3">
        <v>6</v>
      </c>
      <c r="O353" s="3">
        <f>IF(N353="","",IF(N353="DNS",0,IF(N353="DQ",0,IF(N353="DNF",1,IF(AND(ISNUMBER(N353),N353&gt;59),1,_xlfn.XLOOKUP(N353,tbl_points[Place],tbl_points[Points],""))))))</f>
        <v>75</v>
      </c>
      <c r="P353" s="3">
        <v>4</v>
      </c>
      <c r="Q353" s="3">
        <f>IF(P353="","",IF(P353="DNS",0,IF(P353="DQ",0,IF(P353="DNF",1,IF(AND(ISNUMBER(P353),P353&gt;59),1,_xlfn.XLOOKUP(P353,tbl_points[Place],tbl_points[Points],""))))))</f>
        <v>85</v>
      </c>
      <c r="S353" s="3" t="str">
        <f>IF(R353="","",IF(R353="DNS",0,IF(R353="DQ",0,IF(R353="DNF",1,IF(AND(ISNUMBER(R353),R353&gt;59),1,_xlfn.XLOOKUP(R353,tbl_points[Place],tbl_points[Points],""))))))</f>
        <v/>
      </c>
      <c r="T353" s="3">
        <f>SUM(tbl_individual[[#This Row],[R1 Pts]],tbl_individual[[#This Row],[R2 Pts]],tbl_individual[[#This Row],[R3 Pts]],tbl_individual[[#This Row],[R4 Pts]],tbl_individual[[#This Row],[R5 Pts]],tbl_individual[[#This Row],[R6 Pts]])</f>
        <v>378</v>
      </c>
      <c r="U353" s="3">
        <f>MIN(tbl_individual[[#This Row],[R1 Pts]],tbl_individual[[#This Row],[R2 Pts]],tbl_individual[[#This Row],[R3 Pts]],tbl_individual[[#This Row],[R4 Pts]],tbl_individual[[#This Row],[R5 Pts]],tbl_individual[[#This Row],[R6 Pts]])</f>
        <v>53</v>
      </c>
      <c r="V353" s="3">
        <f>tbl_individual[[#This Row],[Total]]</f>
        <v>378</v>
      </c>
    </row>
    <row r="354" spans="1:22" hidden="1" x14ac:dyDescent="0.4">
      <c r="A354" t="s">
        <v>1158</v>
      </c>
      <c r="B354" t="s">
        <v>30</v>
      </c>
      <c r="C354" t="s">
        <v>2</v>
      </c>
      <c r="D354" s="3">
        <v>1246</v>
      </c>
      <c r="E354" s="3" t="s">
        <v>421</v>
      </c>
      <c r="G354" s="3" t="s">
        <v>407</v>
      </c>
      <c r="H354" s="3">
        <v>12</v>
      </c>
      <c r="I354" s="3">
        <f>IF(H354="","",IF(H354="DNS",0,IF(H354="DQ",0,IF(H354="DNF",1,IF(AND(ISNUMBER(H354),H354&gt;59),1,_xlfn.XLOOKUP(H354,tbl_points[Place],tbl_points[Points],""))))))</f>
        <v>51</v>
      </c>
      <c r="J354" s="3" t="s">
        <v>410</v>
      </c>
      <c r="K354" s="3">
        <f>IF(J354="","",IF(J354="DNS",0,IF(J354="DQ",0,IF(J354="DNF",1,IF(AND(ISNUMBER(J354),J354&gt;59),1,_xlfn.XLOOKUP(J354,tbl_points[Place],tbl_points[Points],""))))))</f>
        <v>0</v>
      </c>
      <c r="L354" s="3" t="s">
        <v>410</v>
      </c>
      <c r="M354" s="3">
        <f>IF(L354="","",IF(L354="DNS",0,IF(L354="DQ",0,IF(L354="DNF",1,IF(AND(ISNUMBER(L354),L354&gt;59),1,_xlfn.XLOOKUP(L354,tbl_points[Place],tbl_points[Points],""))))))</f>
        <v>0</v>
      </c>
      <c r="N354" s="3">
        <v>9</v>
      </c>
      <c r="O354" s="3">
        <f>IF(N354="","",IF(N354="DNS",0,IF(N354="DQ",0,IF(N354="DNF",1,IF(AND(ISNUMBER(N354),N354&gt;59),1,_xlfn.XLOOKUP(N354,tbl_points[Place],tbl_points[Points],""))))))</f>
        <v>60</v>
      </c>
      <c r="P354" s="3">
        <v>10</v>
      </c>
      <c r="Q354" s="3">
        <f>IF(P354="","",IF(P354="DNS",0,IF(P354="DQ",0,IF(P354="DNF",1,IF(AND(ISNUMBER(P354),P354&gt;59),1,_xlfn.XLOOKUP(P354,tbl_points[Place],tbl_points[Points],""))))))</f>
        <v>55</v>
      </c>
      <c r="S354" s="3" t="str">
        <f>IF(R354="","",IF(R354="DNS",0,IF(R354="DQ",0,IF(R354="DNF",1,IF(AND(ISNUMBER(R354),R354&gt;59),1,_xlfn.XLOOKUP(R354,tbl_points[Place],tbl_points[Points],""))))))</f>
        <v/>
      </c>
      <c r="T354" s="3">
        <f>SUM(tbl_individual[[#This Row],[R1 Pts]],tbl_individual[[#This Row],[R2 Pts]],tbl_individual[[#This Row],[R3 Pts]],tbl_individual[[#This Row],[R4 Pts]],tbl_individual[[#This Row],[R5 Pts]],tbl_individual[[#This Row],[R6 Pts]])</f>
        <v>166</v>
      </c>
      <c r="U354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54" s="3">
        <f>tbl_individual[[#This Row],[Total]]</f>
        <v>166</v>
      </c>
    </row>
    <row r="355" spans="1:22" hidden="1" x14ac:dyDescent="0.4">
      <c r="A355" t="s">
        <v>374</v>
      </c>
      <c r="B355" t="s">
        <v>30</v>
      </c>
      <c r="C355" t="s">
        <v>2</v>
      </c>
      <c r="D355" s="3">
        <v>1247</v>
      </c>
      <c r="E355" s="3" t="s">
        <v>421</v>
      </c>
      <c r="G355" s="3" t="s">
        <v>403</v>
      </c>
      <c r="H355" s="3" t="s">
        <v>410</v>
      </c>
      <c r="I355" s="3">
        <f>IF(H355="","",IF(H355="DNS",0,IF(H355="DQ",0,IF(H355="DNF",1,IF(AND(ISNUMBER(H355),H355&gt;59),1,_xlfn.XLOOKUP(H355,tbl_points[Place],tbl_points[Points],""))))))</f>
        <v>0</v>
      </c>
      <c r="J355" s="3">
        <v>12</v>
      </c>
      <c r="K355" s="3">
        <f>IF(J355="","",IF(J355="DNS",0,IF(J355="DQ",0,IF(J355="DNF",1,IF(AND(ISNUMBER(J355),J355&gt;59),1,_xlfn.XLOOKUP(J355,tbl_points[Place],tbl_points[Points],""))))))</f>
        <v>51</v>
      </c>
      <c r="L355" s="3" t="s">
        <v>410</v>
      </c>
      <c r="M355" s="3">
        <f>IF(L355="","",IF(L355="DNS",0,IF(L355="DQ",0,IF(L355="DNF",1,IF(AND(ISNUMBER(L355),L355&gt;59),1,_xlfn.XLOOKUP(L355,tbl_points[Place],tbl_points[Points],""))))))</f>
        <v>0</v>
      </c>
      <c r="N355" s="3" t="s">
        <v>410</v>
      </c>
      <c r="O355" s="3">
        <f>IF(N355="","",IF(N355="DNS",0,IF(N355="DQ",0,IF(N355="DNF",1,IF(AND(ISNUMBER(N355),N355&gt;59),1,_xlfn.XLOOKUP(N355,tbl_points[Place],tbl_points[Points],""))))))</f>
        <v>0</v>
      </c>
      <c r="P355" s="3" t="s">
        <v>410</v>
      </c>
      <c r="Q355" s="3">
        <f>IF(P355="","",IF(P355="DNS",0,IF(P355="DQ",0,IF(P355="DNF",1,IF(AND(ISNUMBER(P355),P355&gt;59),1,_xlfn.XLOOKUP(P355,tbl_points[Place],tbl_points[Points],""))))))</f>
        <v>0</v>
      </c>
      <c r="S355" s="3" t="str">
        <f>IF(R355="","",IF(R355="DNS",0,IF(R355="DQ",0,IF(R355="DNF",1,IF(AND(ISNUMBER(R355),R355&gt;59),1,_xlfn.XLOOKUP(R355,tbl_points[Place],tbl_points[Points],""))))))</f>
        <v/>
      </c>
      <c r="T355" s="3">
        <f>SUM(tbl_individual[[#This Row],[R1 Pts]],tbl_individual[[#This Row],[R2 Pts]],tbl_individual[[#This Row],[R3 Pts]],tbl_individual[[#This Row],[R4 Pts]],tbl_individual[[#This Row],[R5 Pts]],tbl_individual[[#This Row],[R6 Pts]])</f>
        <v>51</v>
      </c>
      <c r="U355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55" s="3">
        <f>tbl_individual[[#This Row],[Total]]</f>
        <v>51</v>
      </c>
    </row>
    <row r="356" spans="1:22" hidden="1" x14ac:dyDescent="0.4">
      <c r="A356" t="s">
        <v>379</v>
      </c>
      <c r="B356" t="s">
        <v>31</v>
      </c>
      <c r="C356" t="s">
        <v>7</v>
      </c>
      <c r="D356" s="3">
        <v>8084</v>
      </c>
      <c r="E356" s="3" t="s">
        <v>421</v>
      </c>
      <c r="G356" s="3" t="s">
        <v>403</v>
      </c>
      <c r="H356" s="3" t="s">
        <v>410</v>
      </c>
      <c r="I356" s="3">
        <f>IF(H356="","",IF(H356="DNS",0,IF(H356="DQ",0,IF(H356="DNF",1,IF(AND(ISNUMBER(H356),H356&gt;59),1,_xlfn.XLOOKUP(H356,tbl_points[Place],tbl_points[Points],""))))))</f>
        <v>0</v>
      </c>
      <c r="J356" s="3">
        <v>9</v>
      </c>
      <c r="K356" s="3">
        <f>IF(J356="","",IF(J356="DNS",0,IF(J356="DQ",0,IF(J356="DNF",1,IF(AND(ISNUMBER(J356),J356&gt;59),1,_xlfn.XLOOKUP(J356,tbl_points[Place],tbl_points[Points],""))))))</f>
        <v>60</v>
      </c>
      <c r="L356" s="3">
        <v>28</v>
      </c>
      <c r="M356" s="3">
        <f>IF(L356="","",IF(L356="DNS",0,IF(L356="DQ",0,IF(L356="DNF",1,IF(AND(ISNUMBER(L356),L356&gt;59),1,_xlfn.XLOOKUP(L356,tbl_points[Place],tbl_points[Points],""))))))</f>
        <v>32</v>
      </c>
      <c r="N356" s="3">
        <v>10</v>
      </c>
      <c r="O356" s="3">
        <f>IF(N356="","",IF(N356="DNS",0,IF(N356="DQ",0,IF(N356="DNF",1,IF(AND(ISNUMBER(N356),N356&gt;59),1,_xlfn.XLOOKUP(N356,tbl_points[Place],tbl_points[Points],""))))))</f>
        <v>55</v>
      </c>
      <c r="P356" s="3">
        <v>26</v>
      </c>
      <c r="Q356" s="3">
        <f>IF(P356="","",IF(P356="DNS",0,IF(P356="DQ",0,IF(P356="DNF",1,IF(AND(ISNUMBER(P356),P356&gt;59),1,_xlfn.XLOOKUP(P356,tbl_points[Place],tbl_points[Points],""))))))</f>
        <v>34</v>
      </c>
      <c r="S356" s="3" t="str">
        <f>IF(R356="","",IF(R356="DNS",0,IF(R356="DQ",0,IF(R356="DNF",1,IF(AND(ISNUMBER(R356),R356&gt;59),1,_xlfn.XLOOKUP(R356,tbl_points[Place],tbl_points[Points],""))))))</f>
        <v/>
      </c>
      <c r="T356" s="3">
        <f>SUM(tbl_individual[[#This Row],[R1 Pts]],tbl_individual[[#This Row],[R2 Pts]],tbl_individual[[#This Row],[R3 Pts]],tbl_individual[[#This Row],[R4 Pts]],tbl_individual[[#This Row],[R5 Pts]],tbl_individual[[#This Row],[R6 Pts]])</f>
        <v>181</v>
      </c>
      <c r="U356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56" s="3">
        <f>tbl_individual[[#This Row],[Total]]</f>
        <v>181</v>
      </c>
    </row>
    <row r="357" spans="1:22" hidden="1" x14ac:dyDescent="0.4">
      <c r="A357" t="s">
        <v>380</v>
      </c>
      <c r="B357" t="s">
        <v>31</v>
      </c>
      <c r="C357" t="s">
        <v>5</v>
      </c>
      <c r="D357" s="3">
        <v>952</v>
      </c>
      <c r="E357" s="3" t="s">
        <v>421</v>
      </c>
      <c r="G357" s="3" t="s">
        <v>407</v>
      </c>
      <c r="H357" s="3" t="s">
        <v>410</v>
      </c>
      <c r="I357" s="3">
        <f>IF(H357="","",IF(H357="DNS",0,IF(H357="DQ",0,IF(H357="DNF",1,IF(AND(ISNUMBER(H357),H357&gt;59),1,_xlfn.XLOOKUP(H357,tbl_points[Place],tbl_points[Points],""))))))</f>
        <v>0</v>
      </c>
      <c r="J357" s="3" t="s">
        <v>410</v>
      </c>
      <c r="K357" s="3">
        <f>IF(J357="","",IF(J357="DNS",0,IF(J357="DQ",0,IF(J357="DNF",1,IF(AND(ISNUMBER(J357),J357&gt;59),1,_xlfn.XLOOKUP(J357,tbl_points[Place],tbl_points[Points],""))))))</f>
        <v>0</v>
      </c>
      <c r="L357" s="3" t="s">
        <v>410</v>
      </c>
      <c r="M357" s="3">
        <f>IF(L357="","",IF(L357="DNS",0,IF(L357="DQ",0,IF(L357="DNF",1,IF(AND(ISNUMBER(L357),L357&gt;59),1,_xlfn.XLOOKUP(L357,tbl_points[Place],tbl_points[Points],""))))))</f>
        <v>0</v>
      </c>
      <c r="N357" s="3" t="s">
        <v>410</v>
      </c>
      <c r="O357" s="3">
        <f>IF(N357="","",IF(N357="DNS",0,IF(N357="DQ",0,IF(N357="DNF",1,IF(AND(ISNUMBER(N357),N357&gt;59),1,_xlfn.XLOOKUP(N357,tbl_points[Place],tbl_points[Points],""))))))</f>
        <v>0</v>
      </c>
      <c r="P357" s="3" t="s">
        <v>410</v>
      </c>
      <c r="Q357" s="3">
        <f>IF(P357="","",IF(P357="DNS",0,IF(P357="DQ",0,IF(P357="DNF",1,IF(AND(ISNUMBER(P357),P357&gt;59),1,_xlfn.XLOOKUP(P357,tbl_points[Place],tbl_points[Points],""))))))</f>
        <v>0</v>
      </c>
      <c r="S357" s="3" t="str">
        <f>IF(R357="","",IF(R357="DNS",0,IF(R357="DQ",0,IF(R357="DNF",1,IF(AND(ISNUMBER(R357),R357&gt;59),1,_xlfn.XLOOKUP(R357,tbl_points[Place],tbl_points[Points],""))))))</f>
        <v/>
      </c>
      <c r="T357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357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57" s="3">
        <f>tbl_individual[[#This Row],[Total]]</f>
        <v>0</v>
      </c>
    </row>
    <row r="358" spans="1:22" hidden="1" x14ac:dyDescent="0.4">
      <c r="A358" t="s">
        <v>381</v>
      </c>
      <c r="B358" t="s">
        <v>31</v>
      </c>
      <c r="C358" t="s">
        <v>5</v>
      </c>
      <c r="D358" s="3">
        <v>953</v>
      </c>
      <c r="E358" s="3" t="s">
        <v>421</v>
      </c>
      <c r="G358" s="3" t="s">
        <v>407</v>
      </c>
      <c r="H358" s="3" t="s">
        <v>410</v>
      </c>
      <c r="I358" s="3">
        <f>IF(H358="","",IF(H358="DNS",0,IF(H358="DQ",0,IF(H358="DNF",1,IF(AND(ISNUMBER(H358),H358&gt;59),1,_xlfn.XLOOKUP(H358,tbl_points[Place],tbl_points[Points],""))))))</f>
        <v>0</v>
      </c>
      <c r="J358" s="3" t="s">
        <v>410</v>
      </c>
      <c r="K358" s="3">
        <f>IF(J358="","",IF(J358="DNS",0,IF(J358="DQ",0,IF(J358="DNF",1,IF(AND(ISNUMBER(J358),J358&gt;59),1,_xlfn.XLOOKUP(J358,tbl_points[Place],tbl_points[Points],""))))))</f>
        <v>0</v>
      </c>
      <c r="L358" s="3" t="s">
        <v>410</v>
      </c>
      <c r="M358" s="3">
        <f>IF(L358="","",IF(L358="DNS",0,IF(L358="DQ",0,IF(L358="DNF",1,IF(AND(ISNUMBER(L358),L358&gt;59),1,_xlfn.XLOOKUP(L358,tbl_points[Place],tbl_points[Points],""))))))</f>
        <v>0</v>
      </c>
      <c r="N358" s="3" t="s">
        <v>410</v>
      </c>
      <c r="O358" s="3">
        <f>IF(N358="","",IF(N358="DNS",0,IF(N358="DQ",0,IF(N358="DNF",1,IF(AND(ISNUMBER(N358),N358&gt;59),1,_xlfn.XLOOKUP(N358,tbl_points[Place],tbl_points[Points],""))))))</f>
        <v>0</v>
      </c>
      <c r="P358" s="3" t="s">
        <v>410</v>
      </c>
      <c r="Q358" s="3">
        <f>IF(P358="","",IF(P358="DNS",0,IF(P358="DQ",0,IF(P358="DNF",1,IF(AND(ISNUMBER(P358),P358&gt;59),1,_xlfn.XLOOKUP(P358,tbl_points[Place],tbl_points[Points],""))))))</f>
        <v>0</v>
      </c>
      <c r="S358" s="3" t="str">
        <f>IF(R358="","",IF(R358="DNS",0,IF(R358="DQ",0,IF(R358="DNF",1,IF(AND(ISNUMBER(R358),R358&gt;59),1,_xlfn.XLOOKUP(R358,tbl_points[Place],tbl_points[Points],""))))))</f>
        <v/>
      </c>
      <c r="T358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358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58" s="3">
        <f>tbl_individual[[#This Row],[Total]]</f>
        <v>0</v>
      </c>
    </row>
    <row r="359" spans="1:22" hidden="1" x14ac:dyDescent="0.4">
      <c r="A359" t="s">
        <v>382</v>
      </c>
      <c r="B359" t="s">
        <v>31</v>
      </c>
      <c r="C359" t="s">
        <v>5</v>
      </c>
      <c r="D359" s="3">
        <v>954</v>
      </c>
      <c r="E359" s="3" t="s">
        <v>421</v>
      </c>
      <c r="G359" s="3" t="s">
        <v>403</v>
      </c>
      <c r="H359" s="3">
        <v>39</v>
      </c>
      <c r="I359" s="3">
        <f>IF(H359="","",IF(H359="DNS",0,IF(H359="DQ",0,IF(H359="DNF",1,IF(AND(ISNUMBER(H359),H359&gt;59),1,_xlfn.XLOOKUP(H359,tbl_points[Place],tbl_points[Points],""))))))</f>
        <v>21</v>
      </c>
      <c r="J359" s="3">
        <v>36</v>
      </c>
      <c r="K359" s="3">
        <f>IF(J359="","",IF(J359="DNS",0,IF(J359="DQ",0,IF(J359="DNF",1,IF(AND(ISNUMBER(J359),J359&gt;59),1,_xlfn.XLOOKUP(J359,tbl_points[Place],tbl_points[Points],""))))))</f>
        <v>24</v>
      </c>
      <c r="L359" s="3" t="s">
        <v>410</v>
      </c>
      <c r="M359" s="3">
        <f>IF(L359="","",IF(L359="DNS",0,IF(L359="DQ",0,IF(L359="DNF",1,IF(AND(ISNUMBER(L359),L359&gt;59),1,_xlfn.XLOOKUP(L359,tbl_points[Place],tbl_points[Points],""))))))</f>
        <v>0</v>
      </c>
      <c r="N359" s="3">
        <v>31</v>
      </c>
      <c r="O359" s="3">
        <f>IF(N359="","",IF(N359="DNS",0,IF(N359="DQ",0,IF(N359="DNF",1,IF(AND(ISNUMBER(N359),N359&gt;59),1,_xlfn.XLOOKUP(N359,tbl_points[Place],tbl_points[Points],""))))))</f>
        <v>29</v>
      </c>
      <c r="P359" s="3" t="s">
        <v>410</v>
      </c>
      <c r="Q359" s="3">
        <f>IF(P359="","",IF(P359="DNS",0,IF(P359="DQ",0,IF(P359="DNF",1,IF(AND(ISNUMBER(P359),P359&gt;59),1,_xlfn.XLOOKUP(P359,tbl_points[Place],tbl_points[Points],""))))))</f>
        <v>0</v>
      </c>
      <c r="S359" s="3" t="str">
        <f>IF(R359="","",IF(R359="DNS",0,IF(R359="DQ",0,IF(R359="DNF",1,IF(AND(ISNUMBER(R359),R359&gt;59),1,_xlfn.XLOOKUP(R359,tbl_points[Place],tbl_points[Points],""))))))</f>
        <v/>
      </c>
      <c r="T359" s="3">
        <f>SUM(tbl_individual[[#This Row],[R1 Pts]],tbl_individual[[#This Row],[R2 Pts]],tbl_individual[[#This Row],[R3 Pts]],tbl_individual[[#This Row],[R4 Pts]],tbl_individual[[#This Row],[R5 Pts]],tbl_individual[[#This Row],[R6 Pts]])</f>
        <v>74</v>
      </c>
      <c r="U359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59" s="3">
        <f>tbl_individual[[#This Row],[Total]]</f>
        <v>74</v>
      </c>
    </row>
    <row r="360" spans="1:22" hidden="1" x14ac:dyDescent="0.4">
      <c r="A360" t="s">
        <v>383</v>
      </c>
      <c r="B360" t="s">
        <v>31</v>
      </c>
      <c r="C360" t="s">
        <v>3</v>
      </c>
      <c r="D360" s="3">
        <v>10202</v>
      </c>
      <c r="E360" s="3" t="s">
        <v>421</v>
      </c>
      <c r="G360" s="3" t="s">
        <v>403</v>
      </c>
      <c r="H360" s="3">
        <v>30</v>
      </c>
      <c r="I360" s="3">
        <f>IF(H360="","",IF(H360="DNS",0,IF(H360="DQ",0,IF(H360="DNF",1,IF(AND(ISNUMBER(H360),H360&gt;59),1,_xlfn.XLOOKUP(H360,tbl_points[Place],tbl_points[Points],""))))))</f>
        <v>30</v>
      </c>
      <c r="J360" s="3" t="s">
        <v>410</v>
      </c>
      <c r="K360" s="3">
        <f>IF(J360="","",IF(J360="DNS",0,IF(J360="DQ",0,IF(J360="DNF",1,IF(AND(ISNUMBER(J360),J360&gt;59),1,_xlfn.XLOOKUP(J360,tbl_points[Place],tbl_points[Points],""))))))</f>
        <v>0</v>
      </c>
      <c r="L360" s="3" t="s">
        <v>410</v>
      </c>
      <c r="M360" s="3">
        <f>IF(L360="","",IF(L360="DNS",0,IF(L360="DQ",0,IF(L360="DNF",1,IF(AND(ISNUMBER(L360),L360&gt;59),1,_xlfn.XLOOKUP(L360,tbl_points[Place],tbl_points[Points],""))))))</f>
        <v>0</v>
      </c>
      <c r="N360" s="3">
        <v>16</v>
      </c>
      <c r="O360" s="3">
        <f>IF(N360="","",IF(N360="DNS",0,IF(N360="DQ",0,IF(N360="DNF",1,IF(AND(ISNUMBER(N360),N360&gt;59),1,_xlfn.XLOOKUP(N360,tbl_points[Place],tbl_points[Points],""))))))</f>
        <v>44</v>
      </c>
      <c r="P360" s="3" t="s">
        <v>410</v>
      </c>
      <c r="Q360" s="3">
        <f>IF(P360="","",IF(P360="DNS",0,IF(P360="DQ",0,IF(P360="DNF",1,IF(AND(ISNUMBER(P360),P360&gt;59),1,_xlfn.XLOOKUP(P360,tbl_points[Place],tbl_points[Points],""))))))</f>
        <v>0</v>
      </c>
      <c r="S360" s="3" t="str">
        <f>IF(R360="","",IF(R360="DNS",0,IF(R360="DQ",0,IF(R360="DNF",1,IF(AND(ISNUMBER(R360),R360&gt;59),1,_xlfn.XLOOKUP(R360,tbl_points[Place],tbl_points[Points],""))))))</f>
        <v/>
      </c>
      <c r="T360" s="3">
        <f>SUM(tbl_individual[[#This Row],[R1 Pts]],tbl_individual[[#This Row],[R2 Pts]],tbl_individual[[#This Row],[R3 Pts]],tbl_individual[[#This Row],[R4 Pts]],tbl_individual[[#This Row],[R5 Pts]],tbl_individual[[#This Row],[R6 Pts]])</f>
        <v>74</v>
      </c>
      <c r="U360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60" s="3">
        <f>tbl_individual[[#This Row],[Total]]</f>
        <v>74</v>
      </c>
    </row>
    <row r="361" spans="1:22" hidden="1" x14ac:dyDescent="0.4">
      <c r="A361" t="s">
        <v>384</v>
      </c>
      <c r="B361" t="s">
        <v>31</v>
      </c>
      <c r="C361" t="s">
        <v>4</v>
      </c>
      <c r="D361" s="3">
        <v>1044</v>
      </c>
      <c r="E361" s="3" t="s">
        <v>421</v>
      </c>
      <c r="G361" s="3" t="s">
        <v>403</v>
      </c>
      <c r="H361" s="3" t="s">
        <v>410</v>
      </c>
      <c r="I361" s="3">
        <f>IF(H361="","",IF(H361="DNS",0,IF(H361="DQ",0,IF(H361="DNF",1,IF(AND(ISNUMBER(H361),H361&gt;59),1,_xlfn.XLOOKUP(H361,tbl_points[Place],tbl_points[Points],""))))))</f>
        <v>0</v>
      </c>
      <c r="J361" s="3">
        <v>5</v>
      </c>
      <c r="K361" s="3">
        <f>IF(J361="","",IF(J361="DNS",0,IF(J361="DQ",0,IF(J361="DNF",1,IF(AND(ISNUMBER(J361),J361&gt;59),1,_xlfn.XLOOKUP(J361,tbl_points[Place],tbl_points[Points],""))))))</f>
        <v>80</v>
      </c>
      <c r="L361" s="3">
        <v>6</v>
      </c>
      <c r="M361" s="3">
        <f>IF(L361="","",IF(L361="DNS",0,IF(L361="DQ",0,IF(L361="DNF",1,IF(AND(ISNUMBER(L361),L361&gt;59),1,_xlfn.XLOOKUP(L361,tbl_points[Place],tbl_points[Points],""))))))</f>
        <v>75</v>
      </c>
      <c r="N361" s="3">
        <v>9</v>
      </c>
      <c r="O361" s="3">
        <f>IF(N361="","",IF(N361="DNS",0,IF(N361="DQ",0,IF(N361="DNF",1,IF(AND(ISNUMBER(N361),N361&gt;59),1,_xlfn.XLOOKUP(N361,tbl_points[Place],tbl_points[Points],""))))))</f>
        <v>60</v>
      </c>
      <c r="P361" s="3">
        <v>9</v>
      </c>
      <c r="Q361" s="3">
        <f>IF(P361="","",IF(P361="DNS",0,IF(P361="DQ",0,IF(P361="DNF",1,IF(AND(ISNUMBER(P361),P361&gt;59),1,_xlfn.XLOOKUP(P361,tbl_points[Place],tbl_points[Points],""))))))</f>
        <v>60</v>
      </c>
      <c r="S361" s="3" t="str">
        <f>IF(R361="","",IF(R361="DNS",0,IF(R361="DQ",0,IF(R361="DNF",1,IF(AND(ISNUMBER(R361),R361&gt;59),1,_xlfn.XLOOKUP(R361,tbl_points[Place],tbl_points[Points],""))))))</f>
        <v/>
      </c>
      <c r="T361" s="3">
        <f>SUM(tbl_individual[[#This Row],[R1 Pts]],tbl_individual[[#This Row],[R2 Pts]],tbl_individual[[#This Row],[R3 Pts]],tbl_individual[[#This Row],[R4 Pts]],tbl_individual[[#This Row],[R5 Pts]],tbl_individual[[#This Row],[R6 Pts]])</f>
        <v>275</v>
      </c>
      <c r="U361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61" s="3">
        <f>tbl_individual[[#This Row],[Total]]</f>
        <v>275</v>
      </c>
    </row>
    <row r="362" spans="1:22" hidden="1" x14ac:dyDescent="0.4">
      <c r="A362" t="s">
        <v>385</v>
      </c>
      <c r="B362" t="s">
        <v>31</v>
      </c>
      <c r="C362" t="s">
        <v>1</v>
      </c>
      <c r="D362" s="3">
        <v>12101</v>
      </c>
      <c r="E362" s="3" t="s">
        <v>421</v>
      </c>
      <c r="G362" s="3" t="s">
        <v>403</v>
      </c>
      <c r="H362" s="3" t="s">
        <v>410</v>
      </c>
      <c r="I362" s="3">
        <f>IF(H362="","",IF(H362="DNS",0,IF(H362="DQ",0,IF(H362="DNF",1,IF(AND(ISNUMBER(H362),H362&gt;59),1,_xlfn.XLOOKUP(H362,tbl_points[Place],tbl_points[Points],""))))))</f>
        <v>0</v>
      </c>
      <c r="J362" s="3">
        <v>14</v>
      </c>
      <c r="K362" s="3">
        <f>IF(J362="","",IF(J362="DNS",0,IF(J362="DQ",0,IF(J362="DNF",1,IF(AND(ISNUMBER(J362),J362&gt;59),1,_xlfn.XLOOKUP(J362,tbl_points[Place],tbl_points[Points],""))))))</f>
        <v>47</v>
      </c>
      <c r="L362" s="3">
        <v>17</v>
      </c>
      <c r="M362" s="3">
        <f>IF(L362="","",IF(L362="DNS",0,IF(L362="DQ",0,IF(L362="DNF",1,IF(AND(ISNUMBER(L362),L362&gt;59),1,_xlfn.XLOOKUP(L362,tbl_points[Place],tbl_points[Points],""))))))</f>
        <v>43</v>
      </c>
      <c r="N362" s="3">
        <v>14</v>
      </c>
      <c r="O362" s="3">
        <f>IF(N362="","",IF(N362="DNS",0,IF(N362="DQ",0,IF(N362="DNF",1,IF(AND(ISNUMBER(N362),N362&gt;59),1,_xlfn.XLOOKUP(N362,tbl_points[Place],tbl_points[Points],""))))))</f>
        <v>47</v>
      </c>
      <c r="P362" s="3">
        <v>21</v>
      </c>
      <c r="Q362" s="3">
        <f>IF(P362="","",IF(P362="DNS",0,IF(P362="DQ",0,IF(P362="DNF",1,IF(AND(ISNUMBER(P362),P362&gt;59),1,_xlfn.XLOOKUP(P362,tbl_points[Place],tbl_points[Points],""))))))</f>
        <v>39</v>
      </c>
      <c r="S362" s="3" t="str">
        <f>IF(R362="","",IF(R362="DNS",0,IF(R362="DQ",0,IF(R362="DNF",1,IF(AND(ISNUMBER(R362),R362&gt;59),1,_xlfn.XLOOKUP(R362,tbl_points[Place],tbl_points[Points],""))))))</f>
        <v/>
      </c>
      <c r="T362" s="3">
        <f>SUM(tbl_individual[[#This Row],[R1 Pts]],tbl_individual[[#This Row],[R2 Pts]],tbl_individual[[#This Row],[R3 Pts]],tbl_individual[[#This Row],[R4 Pts]],tbl_individual[[#This Row],[R5 Pts]],tbl_individual[[#This Row],[R6 Pts]])</f>
        <v>176</v>
      </c>
      <c r="U362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62" s="3">
        <f>tbl_individual[[#This Row],[Total]]</f>
        <v>176</v>
      </c>
    </row>
    <row r="363" spans="1:22" hidden="1" x14ac:dyDescent="0.4">
      <c r="A363" t="s">
        <v>386</v>
      </c>
      <c r="B363" t="s">
        <v>31</v>
      </c>
      <c r="C363" t="s">
        <v>1</v>
      </c>
      <c r="D363" s="3">
        <v>12102</v>
      </c>
      <c r="E363" s="3" t="s">
        <v>421</v>
      </c>
      <c r="G363" s="3" t="s">
        <v>407</v>
      </c>
      <c r="H363" s="3" t="s">
        <v>410</v>
      </c>
      <c r="I363" s="3">
        <f>IF(H363="","",IF(H363="DNS",0,IF(H363="DQ",0,IF(H363="DNF",1,IF(AND(ISNUMBER(H363),H363&gt;59),1,_xlfn.XLOOKUP(H363,tbl_points[Place],tbl_points[Points],""))))))</f>
        <v>0</v>
      </c>
      <c r="J363" s="3" t="s">
        <v>410</v>
      </c>
      <c r="K363" s="3">
        <f>IF(J363="","",IF(J363="DNS",0,IF(J363="DQ",0,IF(J363="DNF",1,IF(AND(ISNUMBER(J363),J363&gt;59),1,_xlfn.XLOOKUP(J363,tbl_points[Place],tbl_points[Points],""))))))</f>
        <v>0</v>
      </c>
      <c r="L363" s="3" t="s">
        <v>410</v>
      </c>
      <c r="M363" s="3">
        <f>IF(L363="","",IF(L363="DNS",0,IF(L363="DQ",0,IF(L363="DNF",1,IF(AND(ISNUMBER(L363),L363&gt;59),1,_xlfn.XLOOKUP(L363,tbl_points[Place],tbl_points[Points],""))))))</f>
        <v>0</v>
      </c>
      <c r="N363" s="3" t="s">
        <v>410</v>
      </c>
      <c r="O363" s="3">
        <f>IF(N363="","",IF(N363="DNS",0,IF(N363="DQ",0,IF(N363="DNF",1,IF(AND(ISNUMBER(N363),N363&gt;59),1,_xlfn.XLOOKUP(N363,tbl_points[Place],tbl_points[Points],""))))))</f>
        <v>0</v>
      </c>
      <c r="P363" s="3" t="s">
        <v>410</v>
      </c>
      <c r="Q363" s="3">
        <f>IF(P363="","",IF(P363="DNS",0,IF(P363="DQ",0,IF(P363="DNF",1,IF(AND(ISNUMBER(P363),P363&gt;59),1,_xlfn.XLOOKUP(P363,tbl_points[Place],tbl_points[Points],""))))))</f>
        <v>0</v>
      </c>
      <c r="S363" s="3" t="str">
        <f>IF(R363="","",IF(R363="DNS",0,IF(R363="DQ",0,IF(R363="DNF",1,IF(AND(ISNUMBER(R363),R363&gt;59),1,_xlfn.XLOOKUP(R363,tbl_points[Place],tbl_points[Points],""))))))</f>
        <v/>
      </c>
      <c r="T363" s="3">
        <f>SUM(tbl_individual[[#This Row],[R1 Pts]],tbl_individual[[#This Row],[R2 Pts]],tbl_individual[[#This Row],[R3 Pts]],tbl_individual[[#This Row],[R4 Pts]],tbl_individual[[#This Row],[R5 Pts]],tbl_individual[[#This Row],[R6 Pts]])</f>
        <v>0</v>
      </c>
      <c r="U363" s="3">
        <f>MIN(tbl_individual[[#This Row],[R1 Pts]],tbl_individual[[#This Row],[R2 Pts]],tbl_individual[[#This Row],[R3 Pts]],tbl_individual[[#This Row],[R4 Pts]],tbl_individual[[#This Row],[R5 Pts]],tbl_individual[[#This Row],[R6 Pts]])</f>
        <v>0</v>
      </c>
      <c r="V363" s="3">
        <f>tbl_individual[[#This Row],[Total]]</f>
        <v>0</v>
      </c>
    </row>
    <row r="364" spans="1:22" hidden="1" x14ac:dyDescent="0.4">
      <c r="A364" t="s">
        <v>387</v>
      </c>
      <c r="B364" t="s">
        <v>31</v>
      </c>
      <c r="C364" t="s">
        <v>2</v>
      </c>
      <c r="D364" s="3">
        <v>1248</v>
      </c>
      <c r="E364" s="3" t="s">
        <v>421</v>
      </c>
      <c r="G364" s="3" t="s">
        <v>403</v>
      </c>
      <c r="H364" s="3">
        <v>1</v>
      </c>
      <c r="I364" s="3">
        <f>IF(H364="","",IF(H364="DNS",0,IF(H364="DQ",0,IF(H364="DNF",1,IF(AND(ISNUMBER(H364),H364&gt;59),1,_xlfn.XLOOKUP(H364,tbl_points[Place],tbl_points[Points],""))))))</f>
        <v>100</v>
      </c>
      <c r="J364" s="3">
        <v>4</v>
      </c>
      <c r="K364" s="3">
        <f>IF(J364="","",IF(J364="DNS",0,IF(J364="DQ",0,IF(J364="DNF",1,IF(AND(ISNUMBER(J364),J364&gt;59),1,_xlfn.XLOOKUP(J364,tbl_points[Place],tbl_points[Points],""))))))</f>
        <v>85</v>
      </c>
      <c r="L364" s="3">
        <v>1</v>
      </c>
      <c r="M364" s="3">
        <f>IF(L364="","",IF(L364="DNS",0,IF(L364="DQ",0,IF(L364="DNF",1,IF(AND(ISNUMBER(L364),L364&gt;59),1,_xlfn.XLOOKUP(L364,tbl_points[Place],tbl_points[Points],""))))))</f>
        <v>100</v>
      </c>
      <c r="N364" s="3">
        <v>4</v>
      </c>
      <c r="O364" s="3">
        <f>IF(N364="","",IF(N364="DNS",0,IF(N364="DQ",0,IF(N364="DNF",1,IF(AND(ISNUMBER(N364),N364&gt;59),1,_xlfn.XLOOKUP(N364,tbl_points[Place],tbl_points[Points],""))))))</f>
        <v>85</v>
      </c>
      <c r="P364" s="3">
        <v>1</v>
      </c>
      <c r="Q364" s="3">
        <f>IF(P364="","",IF(P364="DNS",0,IF(P364="DQ",0,IF(P364="DNF",1,IF(AND(ISNUMBER(P364),P364&gt;59),1,_xlfn.XLOOKUP(P364,tbl_points[Place],tbl_points[Points],""))))))</f>
        <v>100</v>
      </c>
      <c r="S364" s="3" t="str">
        <f>IF(R364="","",IF(R364="DNS",0,IF(R364="DQ",0,IF(R364="DNF",1,IF(AND(ISNUMBER(R364),R364&gt;59),1,_xlfn.XLOOKUP(R364,tbl_points[Place],tbl_points[Points],""))))))</f>
        <v/>
      </c>
      <c r="T364" s="3">
        <f>SUM(tbl_individual[[#This Row],[R1 Pts]],tbl_individual[[#This Row],[R2 Pts]],tbl_individual[[#This Row],[R3 Pts]],tbl_individual[[#This Row],[R4 Pts]],tbl_individual[[#This Row],[R5 Pts]],tbl_individual[[#This Row],[R6 Pts]])</f>
        <v>470</v>
      </c>
      <c r="U364" s="3">
        <f>MIN(tbl_individual[[#This Row],[R1 Pts]],tbl_individual[[#This Row],[R2 Pts]],tbl_individual[[#This Row],[R3 Pts]],tbl_individual[[#This Row],[R4 Pts]],tbl_individual[[#This Row],[R5 Pts]],tbl_individual[[#This Row],[R6 Pts]])</f>
        <v>85</v>
      </c>
      <c r="V364" s="3">
        <f>tbl_individual[[#This Row],[Total]]</f>
        <v>470</v>
      </c>
    </row>
    <row r="365" spans="1:22" hidden="1" x14ac:dyDescent="0.4">
      <c r="A365" t="s">
        <v>388</v>
      </c>
      <c r="B365" t="s">
        <v>31</v>
      </c>
      <c r="C365" t="s">
        <v>2</v>
      </c>
      <c r="D365" s="3">
        <v>1249</v>
      </c>
      <c r="E365" s="3" t="s">
        <v>421</v>
      </c>
      <c r="G365" s="3" t="s">
        <v>403</v>
      </c>
      <c r="H365" s="3">
        <v>6</v>
      </c>
      <c r="I365" s="3">
        <f>IF(H365="","",IF(H365="DNS",0,IF(H365="DQ",0,IF(H365="DNF",1,IF(AND(ISNUMBER(H365),H365&gt;59),1,_xlfn.XLOOKUP(H365,tbl_points[Place],tbl_points[Points],""))))))</f>
        <v>75</v>
      </c>
      <c r="J365" s="3">
        <v>9</v>
      </c>
      <c r="K365" s="3">
        <f>IF(J365="","",IF(J365="DNS",0,IF(J365="DQ",0,IF(J365="DNF",1,IF(AND(ISNUMBER(J365),J365&gt;59),1,_xlfn.XLOOKUP(J365,tbl_points[Place],tbl_points[Points],""))))))</f>
        <v>60</v>
      </c>
      <c r="L365" s="3">
        <v>3</v>
      </c>
      <c r="M365" s="3">
        <f>IF(L365="","",IF(L365="DNS",0,IF(L365="DQ",0,IF(L365="DNF",1,IF(AND(ISNUMBER(L365),L365&gt;59),1,_xlfn.XLOOKUP(L365,tbl_points[Place],tbl_points[Points],""))))))</f>
        <v>90</v>
      </c>
      <c r="N365" s="3">
        <v>5</v>
      </c>
      <c r="O365" s="3">
        <f>IF(N365="","",IF(N365="DNS",0,IF(N365="DQ",0,IF(N365="DNF",1,IF(AND(ISNUMBER(N365),N365&gt;59),1,_xlfn.XLOOKUP(N365,tbl_points[Place],tbl_points[Points],""))))))</f>
        <v>80</v>
      </c>
      <c r="P365" s="3">
        <v>3</v>
      </c>
      <c r="Q365" s="3">
        <f>IF(P365="","",IF(P365="DNS",0,IF(P365="DQ",0,IF(P365="DNF",1,IF(AND(ISNUMBER(P365),P365&gt;59),1,_xlfn.XLOOKUP(P365,tbl_points[Place],tbl_points[Points],""))))))</f>
        <v>90</v>
      </c>
      <c r="S365" s="3" t="str">
        <f>IF(R365="","",IF(R365="DNS",0,IF(R365="DQ",0,IF(R365="DNF",1,IF(AND(ISNUMBER(R365),R365&gt;59),1,_xlfn.XLOOKUP(R365,tbl_points[Place],tbl_points[Points],""))))))</f>
        <v/>
      </c>
      <c r="T365" s="3">
        <f>SUM(tbl_individual[[#This Row],[R1 Pts]],tbl_individual[[#This Row],[R2 Pts]],tbl_individual[[#This Row],[R3 Pts]],tbl_individual[[#This Row],[R4 Pts]],tbl_individual[[#This Row],[R5 Pts]],tbl_individual[[#This Row],[R6 Pts]])</f>
        <v>395</v>
      </c>
      <c r="U365" s="3">
        <f>MIN(tbl_individual[[#This Row],[R1 Pts]],tbl_individual[[#This Row],[R2 Pts]],tbl_individual[[#This Row],[R3 Pts]],tbl_individual[[#This Row],[R4 Pts]],tbl_individual[[#This Row],[R5 Pts]],tbl_individual[[#This Row],[R6 Pts]])</f>
        <v>60</v>
      </c>
      <c r="V365" s="3">
        <f>tbl_individual[[#This Row],[Total]]</f>
        <v>395</v>
      </c>
    </row>
  </sheetData>
  <conditionalFormatting sqref="D2:D380">
    <cfRule type="expression" dxfId="7" priority="17">
      <formula>$C2="Bant Boys"</formula>
    </cfRule>
    <cfRule type="expression" dxfId="6" priority="18">
      <formula>$C2="Bant Girls"</formula>
    </cfRule>
    <cfRule type="expression" dxfId="5" priority="19">
      <formula>$C2="Juv Girls"</formula>
    </cfRule>
    <cfRule type="expression" dxfId="4" priority="20">
      <formula>$C2="Juv Boys"</formula>
    </cfRule>
    <cfRule type="expression" dxfId="3" priority="21">
      <formula>$C2="Jr Girls"</formula>
    </cfRule>
    <cfRule type="expression" dxfId="2" priority="22">
      <formula>$C2="Jr Boys"</formula>
    </cfRule>
    <cfRule type="expression" dxfId="1" priority="23">
      <formula>$C2="Sr Boys"</formula>
    </cfRule>
    <cfRule type="expression" dxfId="0" priority="24">
      <formula>$C2="Sr Girls"</formula>
    </cfRule>
  </conditionalFormatting>
  <conditionalFormatting sqref="D362:D363">
    <cfRule type="expression" dxfId="15" priority="1">
      <formula>$C362="Bant Boys"</formula>
    </cfRule>
    <cfRule type="expression" dxfId="14" priority="2">
      <formula>$C362="Bant Girls"</formula>
    </cfRule>
    <cfRule type="expression" dxfId="13" priority="3">
      <formula>$C362="Juv Girls"</formula>
    </cfRule>
    <cfRule type="expression" dxfId="12" priority="4">
      <formula>$C362="Juv Boys"</formula>
    </cfRule>
    <cfRule type="expression" dxfId="11" priority="5">
      <formula>$C362="Jr Girls"</formula>
    </cfRule>
    <cfRule type="expression" dxfId="10" priority="6">
      <formula>$C362="Jr Boys"</formula>
    </cfRule>
    <cfRule type="expression" dxfId="9" priority="7">
      <formula>$C362="Sr Boys"</formula>
    </cfRule>
    <cfRule type="expression" dxfId="8" priority="8">
      <formula>$C362="Sr Girls"</formula>
    </cfRule>
  </conditionalFormatting>
  <pageMargins left="0.7" right="0.7" top="0.75" bottom="0.75" header="0.3" footer="0.3"/>
  <pageSetup orientation="portrait" copies="6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143BE4B-2ABD-4071-9EA1-71E4DA942A1C}">
          <x14:formula1>
            <xm:f>helper!$A$2:$A$9</xm:f>
          </x14:formula1>
          <xm:sqref>C2:C365</xm:sqref>
        </x14:dataValidation>
        <x14:dataValidation type="list" allowBlank="1" showInputMessage="1" showErrorMessage="1" xr:uid="{32E73A58-E06A-4729-ABD9-CA136ACD767B}">
          <x14:formula1>
            <xm:f>helper!$B$2:$B$23</xm:f>
          </x14:formula1>
          <xm:sqref>B2:B365</xm:sqref>
        </x14:dataValidation>
        <x14:dataValidation type="list" allowBlank="1" showInputMessage="1" showErrorMessage="1" xr:uid="{4BDEEBD0-1304-44D7-B87A-7C098E710F1A}">
          <x14:formula1>
            <xm:f>helper!$H$2:$H$5</xm:f>
          </x14:formula1>
          <xm:sqref>E2:E365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6E0A-EA51-4435-B11C-72027CE87945}">
  <dimension ref="A1:S65"/>
  <sheetViews>
    <sheetView workbookViewId="0">
      <pane ySplit="3" topLeftCell="A4" activePane="bottomLeft" state="frozen"/>
      <selection pane="bottomLeft" activeCell="B1" sqref="B1"/>
    </sheetView>
  </sheetViews>
  <sheetFormatPr defaultRowHeight="16.8" x14ac:dyDescent="0.4"/>
  <cols>
    <col min="1" max="1" width="24.5" customWidth="1"/>
    <col min="2" max="2" width="11.8984375" customWidth="1"/>
    <col min="3" max="3" width="11.19921875" customWidth="1"/>
    <col min="5" max="19" width="8.69921875" style="3"/>
  </cols>
  <sheetData>
    <row r="1" spans="1:19" x14ac:dyDescent="0.4">
      <c r="A1" t="s">
        <v>36</v>
      </c>
      <c r="B1" t="s">
        <v>5</v>
      </c>
    </row>
    <row r="3" spans="1:19" s="1" customFormat="1" ht="33.6" x14ac:dyDescent="0.4">
      <c r="A3" s="1" t="s">
        <v>34</v>
      </c>
      <c r="B3" s="1" t="s">
        <v>35</v>
      </c>
      <c r="C3" s="1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  <c r="R3" s="12" t="s">
        <v>51</v>
      </c>
      <c r="S3" s="2" t="s">
        <v>52</v>
      </c>
    </row>
    <row r="4" spans="1:19" x14ac:dyDescent="0.4">
      <c r="A4" t="str" cm="1">
        <f t="array" ref="A4:P65">IF($B$1="","",
_xlfn._xlws.SORT(
    _xlfn.CHOOSECOLS(
        _xlfn._xlws.FILTER(
            tbl_individual[],
            (tbl_individual[Division]=$B$1)*
            (tbl_individual[Status]="active")
        ),
        1,2,3,4,8,9,10,11,12,13,14,15,16,17,18,19
    ),
    16,-1
))</f>
        <v>Oliver Reedman</v>
      </c>
      <c r="B4" t="str">
        <v>Argyle</v>
      </c>
      <c r="C4" t="str">
        <v>Juv Boys</v>
      </c>
      <c r="D4">
        <v>900</v>
      </c>
      <c r="E4" s="3" t="str">
        <v>DNS</v>
      </c>
      <c r="F4" s="3">
        <v>0</v>
      </c>
      <c r="G4" s="3">
        <v>41</v>
      </c>
      <c r="H4" s="3">
        <v>19</v>
      </c>
      <c r="I4" s="3">
        <v>28</v>
      </c>
      <c r="J4" s="3">
        <v>32</v>
      </c>
      <c r="K4" s="3">
        <v>41</v>
      </c>
      <c r="L4" s="3">
        <v>19</v>
      </c>
      <c r="M4" s="3">
        <v>35</v>
      </c>
      <c r="N4" s="3">
        <v>25</v>
      </c>
      <c r="O4" s="3">
        <v>0</v>
      </c>
      <c r="P4" s="3" t="str">
        <v/>
      </c>
    </row>
    <row r="5" spans="1:19" x14ac:dyDescent="0.4">
      <c r="A5" t="str">
        <v>Toby Stromer</v>
      </c>
      <c r="B5" t="str">
        <v>Argyle</v>
      </c>
      <c r="C5" t="str">
        <v>Juv Boys</v>
      </c>
      <c r="D5">
        <v>901</v>
      </c>
      <c r="E5" s="3">
        <v>14</v>
      </c>
      <c r="F5" s="3">
        <v>47</v>
      </c>
      <c r="G5" s="3" t="str">
        <v>DNS</v>
      </c>
      <c r="H5" s="3">
        <v>0</v>
      </c>
      <c r="I5" s="3" t="str">
        <v>DNF</v>
      </c>
      <c r="J5" s="3">
        <v>1</v>
      </c>
      <c r="K5" s="3">
        <v>34</v>
      </c>
      <c r="L5" s="3">
        <v>26</v>
      </c>
      <c r="M5" s="3">
        <v>43</v>
      </c>
      <c r="N5" s="3">
        <v>17</v>
      </c>
      <c r="O5" s="3">
        <v>0</v>
      </c>
      <c r="P5" s="3" t="str">
        <v/>
      </c>
    </row>
    <row r="6" spans="1:19" x14ac:dyDescent="0.4">
      <c r="A6" t="str">
        <v>Theo Zaleski</v>
      </c>
      <c r="B6" t="str">
        <v>Argyle</v>
      </c>
      <c r="C6" t="str">
        <v>Juv Boys</v>
      </c>
      <c r="D6">
        <v>902</v>
      </c>
      <c r="E6" s="3">
        <v>12</v>
      </c>
      <c r="F6" s="3">
        <v>51</v>
      </c>
      <c r="G6" s="3">
        <v>17</v>
      </c>
      <c r="H6" s="3">
        <v>43</v>
      </c>
      <c r="I6" s="3">
        <v>9</v>
      </c>
      <c r="J6" s="3">
        <v>60</v>
      </c>
      <c r="K6" s="3" t="str">
        <v>DNS</v>
      </c>
      <c r="L6" s="3">
        <v>0</v>
      </c>
      <c r="M6" s="3">
        <v>12</v>
      </c>
      <c r="N6" s="3">
        <v>51</v>
      </c>
      <c r="O6" s="3">
        <v>0</v>
      </c>
      <c r="P6" s="3" t="str">
        <v/>
      </c>
    </row>
    <row r="7" spans="1:19" x14ac:dyDescent="0.4">
      <c r="A7" t="str">
        <v>Keaton Swystun</v>
      </c>
      <c r="B7" t="str">
        <v>Argyle</v>
      </c>
      <c r="C7" t="str">
        <v>Juv Boys</v>
      </c>
      <c r="D7">
        <v>903</v>
      </c>
      <c r="E7" s="3">
        <v>11</v>
      </c>
      <c r="F7" s="3">
        <v>53</v>
      </c>
      <c r="G7" s="3">
        <v>6</v>
      </c>
      <c r="H7" s="3">
        <v>75</v>
      </c>
      <c r="I7" s="3">
        <v>8</v>
      </c>
      <c r="J7" s="3">
        <v>65</v>
      </c>
      <c r="K7" s="3">
        <v>3</v>
      </c>
      <c r="L7" s="3">
        <v>90</v>
      </c>
      <c r="M7" s="3">
        <v>9</v>
      </c>
      <c r="N7" s="3">
        <v>60</v>
      </c>
      <c r="O7" s="3">
        <v>0</v>
      </c>
      <c r="P7" s="3" t="str">
        <v/>
      </c>
    </row>
    <row r="8" spans="1:19" x14ac:dyDescent="0.4">
      <c r="A8" t="str">
        <v>Nolan Mckinney</v>
      </c>
      <c r="B8" t="str">
        <v>Argyle</v>
      </c>
      <c r="C8" t="str">
        <v>Juv Boys</v>
      </c>
      <c r="D8">
        <v>904</v>
      </c>
      <c r="E8" s="3">
        <v>16</v>
      </c>
      <c r="F8" s="3">
        <v>44</v>
      </c>
      <c r="G8" s="3">
        <v>40</v>
      </c>
      <c r="H8" s="3">
        <v>20</v>
      </c>
      <c r="I8" s="3">
        <v>13</v>
      </c>
      <c r="J8" s="3">
        <v>49</v>
      </c>
      <c r="K8" s="3">
        <v>38</v>
      </c>
      <c r="L8" s="3">
        <v>22</v>
      </c>
      <c r="M8" s="3">
        <v>31</v>
      </c>
      <c r="N8" s="3">
        <v>29</v>
      </c>
      <c r="O8" s="3">
        <v>0</v>
      </c>
      <c r="P8" s="3" t="str">
        <v/>
      </c>
    </row>
    <row r="9" spans="1:19" x14ac:dyDescent="0.4">
      <c r="A9" t="str">
        <v>Matthew Crockford</v>
      </c>
      <c r="B9" t="str">
        <v>Argyle</v>
      </c>
      <c r="C9" t="str">
        <v>Juv Boys</v>
      </c>
      <c r="D9">
        <v>905</v>
      </c>
      <c r="E9" s="3">
        <v>3</v>
      </c>
      <c r="F9" s="3">
        <v>90</v>
      </c>
      <c r="G9" s="3">
        <v>3</v>
      </c>
      <c r="H9" s="3">
        <v>90</v>
      </c>
      <c r="I9" s="3">
        <v>3</v>
      </c>
      <c r="J9" s="3">
        <v>90</v>
      </c>
      <c r="K9" s="3">
        <v>4</v>
      </c>
      <c r="L9" s="3">
        <v>85</v>
      </c>
      <c r="M9" s="3">
        <v>6</v>
      </c>
      <c r="N9" s="3">
        <v>75</v>
      </c>
      <c r="O9" s="3">
        <v>0</v>
      </c>
      <c r="P9" s="3" t="str">
        <v/>
      </c>
    </row>
    <row r="10" spans="1:19" x14ac:dyDescent="0.4">
      <c r="A10" t="str">
        <v>Harrison Watson</v>
      </c>
      <c r="B10" t="str">
        <v>Argyle</v>
      </c>
      <c r="C10" t="str">
        <v>Juv Boys</v>
      </c>
      <c r="D10">
        <v>906</v>
      </c>
      <c r="E10" s="3">
        <v>29</v>
      </c>
      <c r="F10" s="3">
        <v>31</v>
      </c>
      <c r="G10" s="3">
        <v>35</v>
      </c>
      <c r="H10" s="3">
        <v>25</v>
      </c>
      <c r="I10" s="3">
        <v>18</v>
      </c>
      <c r="J10" s="3">
        <v>42</v>
      </c>
      <c r="K10" s="3">
        <v>22</v>
      </c>
      <c r="L10" s="3">
        <v>38</v>
      </c>
      <c r="M10" s="3">
        <v>21</v>
      </c>
      <c r="N10" s="3">
        <v>39</v>
      </c>
      <c r="O10" s="3">
        <v>0</v>
      </c>
      <c r="P10" s="3" t="str">
        <v/>
      </c>
    </row>
    <row r="11" spans="1:19" x14ac:dyDescent="0.4">
      <c r="A11" t="str">
        <v>Daniel Munroe</v>
      </c>
      <c r="B11" t="str">
        <v>Argyle</v>
      </c>
      <c r="C11" t="str">
        <v>Juv Boys</v>
      </c>
      <c r="D11">
        <v>907</v>
      </c>
      <c r="E11" s="3">
        <v>27</v>
      </c>
      <c r="F11" s="3">
        <v>33</v>
      </c>
      <c r="G11" s="3">
        <v>16</v>
      </c>
      <c r="H11" s="3">
        <v>44</v>
      </c>
      <c r="I11" s="3">
        <v>27</v>
      </c>
      <c r="J11" s="3">
        <v>33</v>
      </c>
      <c r="K11" s="3">
        <v>46</v>
      </c>
      <c r="L11" s="3">
        <v>14</v>
      </c>
      <c r="M11" s="3">
        <v>20</v>
      </c>
      <c r="N11" s="3">
        <v>40</v>
      </c>
      <c r="O11" s="3">
        <v>0</v>
      </c>
      <c r="P11" s="3" t="str">
        <v/>
      </c>
    </row>
    <row r="12" spans="1:19" x14ac:dyDescent="0.4">
      <c r="A12" t="str">
        <v>Sacha Strajt-Bornik</v>
      </c>
      <c r="B12" t="str">
        <v>Argyle</v>
      </c>
      <c r="C12" t="str">
        <v>Juv Boys</v>
      </c>
      <c r="D12">
        <v>909</v>
      </c>
      <c r="E12" s="3">
        <v>1</v>
      </c>
      <c r="F12" s="3">
        <v>100</v>
      </c>
      <c r="G12" s="3">
        <v>1</v>
      </c>
      <c r="H12" s="3">
        <v>100</v>
      </c>
      <c r="I12" s="3" t="str">
        <v>DNS</v>
      </c>
      <c r="J12" s="3">
        <v>0</v>
      </c>
      <c r="K12" s="3" t="str">
        <v>DNS</v>
      </c>
      <c r="L12" s="3">
        <v>0</v>
      </c>
      <c r="M12" s="3" t="str">
        <v>DNS</v>
      </c>
      <c r="N12" s="3">
        <v>0</v>
      </c>
      <c r="O12" s="3">
        <v>0</v>
      </c>
      <c r="P12" s="3" t="str">
        <v/>
      </c>
    </row>
    <row r="13" spans="1:19" x14ac:dyDescent="0.4">
      <c r="A13" t="str">
        <v>Miles Trenouth</v>
      </c>
      <c r="B13" t="str">
        <v>Argyle</v>
      </c>
      <c r="C13" t="str">
        <v>Juv Boys</v>
      </c>
      <c r="D13">
        <v>910</v>
      </c>
      <c r="E13" s="3">
        <v>35</v>
      </c>
      <c r="F13" s="3">
        <v>25</v>
      </c>
      <c r="G13" s="3">
        <v>25</v>
      </c>
      <c r="H13" s="3">
        <v>35</v>
      </c>
      <c r="I13" s="3">
        <v>21</v>
      </c>
      <c r="J13" s="3">
        <v>39</v>
      </c>
      <c r="K13" s="3">
        <v>23</v>
      </c>
      <c r="L13" s="3">
        <v>37</v>
      </c>
      <c r="M13" s="3">
        <v>38</v>
      </c>
      <c r="N13" s="3">
        <v>22</v>
      </c>
      <c r="O13" s="3">
        <v>0</v>
      </c>
      <c r="P13" s="3" t="str">
        <v/>
      </c>
    </row>
    <row r="14" spans="1:19" x14ac:dyDescent="0.4">
      <c r="A14" t="str">
        <v>Ben Hall</v>
      </c>
      <c r="B14" t="str">
        <v>Argyle</v>
      </c>
      <c r="C14" t="str">
        <v>Juv Boys</v>
      </c>
      <c r="D14">
        <v>960</v>
      </c>
      <c r="E14" s="3">
        <v>13</v>
      </c>
      <c r="F14" s="3">
        <v>49</v>
      </c>
      <c r="G14" s="3">
        <v>5</v>
      </c>
      <c r="H14" s="3">
        <v>80</v>
      </c>
      <c r="I14" s="3" t="str">
        <v>DNS</v>
      </c>
      <c r="J14" s="3">
        <v>0</v>
      </c>
      <c r="K14" s="3">
        <v>2</v>
      </c>
      <c r="L14" s="3">
        <v>95</v>
      </c>
      <c r="M14" s="3">
        <v>5</v>
      </c>
      <c r="N14" s="3">
        <v>80</v>
      </c>
      <c r="O14" s="3">
        <v>0</v>
      </c>
      <c r="P14" s="3" t="str">
        <v/>
      </c>
    </row>
    <row r="15" spans="1:19" x14ac:dyDescent="0.4">
      <c r="A15" t="str">
        <v>Platon Yaremych</v>
      </c>
      <c r="B15" t="str">
        <v>Brockton</v>
      </c>
      <c r="C15" t="str">
        <v>Juv Boys</v>
      </c>
      <c r="D15">
        <v>911</v>
      </c>
      <c r="E15" s="3" t="str">
        <v>DNS</v>
      </c>
      <c r="F15" s="3">
        <v>0</v>
      </c>
      <c r="G15" s="3">
        <v>46</v>
      </c>
      <c r="H15" s="3">
        <v>14</v>
      </c>
      <c r="I15" s="3" t="str">
        <v>DNS</v>
      </c>
      <c r="J15" s="3">
        <v>0</v>
      </c>
      <c r="K15" s="3" t="str">
        <v>DNS</v>
      </c>
      <c r="L15" s="3">
        <v>0</v>
      </c>
      <c r="M15" s="3">
        <v>42</v>
      </c>
      <c r="N15" s="3">
        <v>18</v>
      </c>
      <c r="O15" s="3">
        <v>0</v>
      </c>
      <c r="P15" s="3" t="str">
        <v/>
      </c>
    </row>
    <row r="16" spans="1:19" x14ac:dyDescent="0.4">
      <c r="A16" t="str">
        <v>Marcelo Maldifassi</v>
      </c>
      <c r="B16" t="str">
        <v>Carson</v>
      </c>
      <c r="C16" t="str">
        <v>Juv Boys</v>
      </c>
      <c r="D16">
        <v>912</v>
      </c>
      <c r="E16" s="3">
        <v>31</v>
      </c>
      <c r="F16" s="3">
        <v>29</v>
      </c>
      <c r="G16" s="3">
        <v>39</v>
      </c>
      <c r="H16" s="3">
        <v>21</v>
      </c>
      <c r="I16" s="3">
        <v>25</v>
      </c>
      <c r="J16" s="3">
        <v>35</v>
      </c>
      <c r="K16" s="3">
        <v>39</v>
      </c>
      <c r="L16" s="3">
        <v>21</v>
      </c>
      <c r="M16" s="3">
        <v>34</v>
      </c>
      <c r="N16" s="3">
        <v>26</v>
      </c>
      <c r="O16" s="3">
        <v>0</v>
      </c>
      <c r="P16" s="3" t="str">
        <v/>
      </c>
    </row>
    <row r="17" spans="1:16" x14ac:dyDescent="0.4">
      <c r="A17" t="str">
        <v>Logan Weiss-Podolski</v>
      </c>
      <c r="B17" t="str">
        <v>Carson</v>
      </c>
      <c r="C17" t="str">
        <v>Juv Boys</v>
      </c>
      <c r="D17">
        <v>913</v>
      </c>
      <c r="E17" s="3">
        <v>33</v>
      </c>
      <c r="F17" s="3">
        <v>27</v>
      </c>
      <c r="G17" s="3">
        <v>21</v>
      </c>
      <c r="H17" s="3">
        <v>39</v>
      </c>
      <c r="I17" s="3">
        <v>23</v>
      </c>
      <c r="J17" s="3">
        <v>37</v>
      </c>
      <c r="K17" s="3">
        <v>17</v>
      </c>
      <c r="L17" s="3">
        <v>43</v>
      </c>
      <c r="M17" s="3" t="str">
        <v>DNF</v>
      </c>
      <c r="N17" s="3">
        <v>1</v>
      </c>
      <c r="O17" s="3">
        <v>0</v>
      </c>
      <c r="P17" s="3" t="str">
        <v/>
      </c>
    </row>
    <row r="18" spans="1:16" x14ac:dyDescent="0.4">
      <c r="A18" t="str">
        <v>Alexander Moran</v>
      </c>
      <c r="B18" t="str">
        <v>Chatelech</v>
      </c>
      <c r="C18" t="str">
        <v>Juv Boys</v>
      </c>
      <c r="D18">
        <v>961</v>
      </c>
      <c r="E18" s="3">
        <v>3</v>
      </c>
      <c r="F18" s="3">
        <v>90</v>
      </c>
      <c r="G18" s="3" t="str">
        <v>DNS</v>
      </c>
      <c r="H18" s="3">
        <v>0</v>
      </c>
      <c r="I18" s="3" t="str">
        <v>DNS</v>
      </c>
      <c r="J18" s="3">
        <v>0</v>
      </c>
      <c r="K18" s="3" t="str">
        <v>DNS</v>
      </c>
      <c r="L18" s="3">
        <v>0</v>
      </c>
      <c r="M18" s="3" t="str">
        <v>DNF</v>
      </c>
      <c r="N18" s="3">
        <v>1</v>
      </c>
      <c r="O18" s="3">
        <v>0</v>
      </c>
      <c r="P18" s="3" t="str">
        <v/>
      </c>
    </row>
    <row r="19" spans="1:16" x14ac:dyDescent="0.4">
      <c r="A19" t="str">
        <v>Hunter Hodge</v>
      </c>
      <c r="B19" t="str">
        <v>Collingwood</v>
      </c>
      <c r="C19" t="str">
        <v>Juv Boys</v>
      </c>
      <c r="D19">
        <v>914</v>
      </c>
      <c r="E19" s="3">
        <v>26</v>
      </c>
      <c r="F19" s="3">
        <v>34</v>
      </c>
      <c r="G19" s="3">
        <v>18</v>
      </c>
      <c r="H19" s="3">
        <v>42</v>
      </c>
      <c r="I19" s="3">
        <v>16</v>
      </c>
      <c r="J19" s="3">
        <v>44</v>
      </c>
      <c r="K19" s="3">
        <v>19</v>
      </c>
      <c r="L19" s="3">
        <v>41</v>
      </c>
      <c r="M19" s="3">
        <v>16</v>
      </c>
      <c r="N19" s="3">
        <v>44</v>
      </c>
      <c r="O19" s="3">
        <v>0</v>
      </c>
      <c r="P19" s="3" t="str">
        <v/>
      </c>
    </row>
    <row r="20" spans="1:16" x14ac:dyDescent="0.4">
      <c r="A20" t="str">
        <v>Bruckner Norman-Thiessen</v>
      </c>
      <c r="B20" t="str">
        <v>Collingwood</v>
      </c>
      <c r="C20" t="str">
        <v>Juv Boys</v>
      </c>
      <c r="D20">
        <v>915</v>
      </c>
      <c r="E20" s="3">
        <v>32</v>
      </c>
      <c r="F20" s="3">
        <v>28</v>
      </c>
      <c r="G20" s="3">
        <v>33</v>
      </c>
      <c r="H20" s="3">
        <v>27</v>
      </c>
      <c r="I20" s="3">
        <v>17</v>
      </c>
      <c r="J20" s="3">
        <v>43</v>
      </c>
      <c r="K20" s="3">
        <v>25</v>
      </c>
      <c r="L20" s="3">
        <v>35</v>
      </c>
      <c r="M20" s="3">
        <v>28</v>
      </c>
      <c r="N20" s="3">
        <v>32</v>
      </c>
      <c r="O20" s="3">
        <v>0</v>
      </c>
      <c r="P20" s="3" t="str">
        <v/>
      </c>
    </row>
    <row r="21" spans="1:16" x14ac:dyDescent="0.4">
      <c r="A21" t="str">
        <v>Stellan Ortved</v>
      </c>
      <c r="B21" t="str">
        <v>Collingwood</v>
      </c>
      <c r="C21" t="str">
        <v>Juv Boys</v>
      </c>
      <c r="D21">
        <v>916</v>
      </c>
      <c r="E21" s="3">
        <v>20</v>
      </c>
      <c r="F21" s="3">
        <v>40</v>
      </c>
      <c r="G21" s="3">
        <v>8</v>
      </c>
      <c r="H21" s="3">
        <v>65</v>
      </c>
      <c r="I21" s="3">
        <v>12</v>
      </c>
      <c r="J21" s="3">
        <v>51</v>
      </c>
      <c r="K21" s="3">
        <v>7</v>
      </c>
      <c r="L21" s="3">
        <v>70</v>
      </c>
      <c r="M21" s="3">
        <v>11</v>
      </c>
      <c r="N21" s="3">
        <v>53</v>
      </c>
      <c r="O21" s="3">
        <v>0</v>
      </c>
      <c r="P21" s="3" t="str">
        <v/>
      </c>
    </row>
    <row r="22" spans="1:16" x14ac:dyDescent="0.4">
      <c r="A22" t="str">
        <v>John Suda</v>
      </c>
      <c r="B22" t="str">
        <v>Collingwood</v>
      </c>
      <c r="C22" t="str">
        <v>Juv Boys</v>
      </c>
      <c r="D22">
        <v>917</v>
      </c>
      <c r="E22" s="3">
        <v>4</v>
      </c>
      <c r="F22" s="3">
        <v>85</v>
      </c>
      <c r="G22" s="3">
        <v>11</v>
      </c>
      <c r="H22" s="3">
        <v>53</v>
      </c>
      <c r="I22" s="3">
        <v>2</v>
      </c>
      <c r="J22" s="3">
        <v>95</v>
      </c>
      <c r="K22" s="3">
        <v>9</v>
      </c>
      <c r="L22" s="3">
        <v>60</v>
      </c>
      <c r="M22" s="3">
        <v>10</v>
      </c>
      <c r="N22" s="3">
        <v>55</v>
      </c>
      <c r="O22" s="3">
        <v>0</v>
      </c>
      <c r="P22" s="3" t="str">
        <v/>
      </c>
    </row>
    <row r="23" spans="1:16" x14ac:dyDescent="0.4">
      <c r="A23" t="str">
        <v>Braden Hope</v>
      </c>
      <c r="B23" t="str">
        <v>Don Ross</v>
      </c>
      <c r="C23" t="str">
        <v>Juv Boys</v>
      </c>
      <c r="D23">
        <v>955</v>
      </c>
      <c r="E23" s="3" t="str">
        <v>DNS</v>
      </c>
      <c r="F23" s="3">
        <v>0</v>
      </c>
      <c r="G23" s="3" t="str">
        <v>DNS</v>
      </c>
      <c r="H23" s="3">
        <v>0</v>
      </c>
      <c r="I23" s="3" t="str">
        <v>DNS</v>
      </c>
      <c r="J23" s="3">
        <v>0</v>
      </c>
      <c r="K23" s="3">
        <v>12</v>
      </c>
      <c r="L23" s="3">
        <v>51</v>
      </c>
      <c r="M23" s="3">
        <v>7</v>
      </c>
      <c r="N23" s="3">
        <v>70</v>
      </c>
      <c r="O23" s="3">
        <v>0</v>
      </c>
      <c r="P23" s="3" t="str">
        <v/>
      </c>
    </row>
    <row r="24" spans="1:16" x14ac:dyDescent="0.4">
      <c r="A24" t="str">
        <v>Thomson Bythell</v>
      </c>
      <c r="B24" t="str">
        <v>Don Ross</v>
      </c>
      <c r="C24" t="str">
        <v>Juv Boys</v>
      </c>
      <c r="D24">
        <v>956</v>
      </c>
      <c r="E24" s="3" t="str">
        <v>DNS</v>
      </c>
      <c r="F24" s="3">
        <v>0</v>
      </c>
      <c r="G24" s="3">
        <v>9</v>
      </c>
      <c r="H24" s="3">
        <v>60</v>
      </c>
      <c r="I24" s="3" t="str">
        <v>DNS</v>
      </c>
      <c r="J24" s="3">
        <v>0</v>
      </c>
      <c r="K24" s="3">
        <v>8</v>
      </c>
      <c r="L24" s="3">
        <v>65</v>
      </c>
      <c r="M24" s="3">
        <v>8</v>
      </c>
      <c r="N24" s="3">
        <v>65</v>
      </c>
      <c r="O24" s="3">
        <v>0</v>
      </c>
      <c r="P24" s="3" t="str">
        <v/>
      </c>
    </row>
    <row r="25" spans="1:16" x14ac:dyDescent="0.4">
      <c r="A25" t="str">
        <v>Olivier Courcelles</v>
      </c>
      <c r="B25" t="str">
        <v>Don Ross</v>
      </c>
      <c r="C25" t="str">
        <v>Juv Boys</v>
      </c>
      <c r="D25">
        <v>957</v>
      </c>
      <c r="E25" s="3" t="str">
        <v>DNS</v>
      </c>
      <c r="F25" s="3">
        <v>0</v>
      </c>
      <c r="G25" s="3" t="str">
        <v>DNS</v>
      </c>
      <c r="H25" s="3">
        <v>0</v>
      </c>
      <c r="I25" s="3">
        <v>7</v>
      </c>
      <c r="J25" s="3">
        <v>70</v>
      </c>
      <c r="K25" s="3" t="str">
        <v>DNS</v>
      </c>
      <c r="L25" s="3">
        <v>0</v>
      </c>
      <c r="M25" s="3">
        <v>4</v>
      </c>
      <c r="N25" s="3">
        <v>85</v>
      </c>
      <c r="O25" s="3">
        <v>0</v>
      </c>
      <c r="P25" s="3" t="str">
        <v/>
      </c>
    </row>
    <row r="26" spans="1:16" x14ac:dyDescent="0.4">
      <c r="A26" t="str">
        <v>Nash Funreaux</v>
      </c>
      <c r="B26" t="str">
        <v>Don Ross</v>
      </c>
      <c r="C26" t="str">
        <v>Juv Boys</v>
      </c>
      <c r="D26">
        <v>959</v>
      </c>
      <c r="E26" s="3">
        <v>6</v>
      </c>
      <c r="F26" s="3">
        <v>75</v>
      </c>
      <c r="G26" s="3">
        <v>2</v>
      </c>
      <c r="H26" s="3">
        <v>95</v>
      </c>
      <c r="I26" s="3" t="str">
        <v>DNS</v>
      </c>
      <c r="J26" s="3">
        <v>0</v>
      </c>
      <c r="K26" s="3">
        <v>1</v>
      </c>
      <c r="L26" s="3">
        <v>100</v>
      </c>
      <c r="M26" s="3">
        <v>3</v>
      </c>
      <c r="N26" s="3">
        <v>90</v>
      </c>
      <c r="O26" s="3">
        <v>0</v>
      </c>
      <c r="P26" s="3" t="str">
        <v/>
      </c>
    </row>
    <row r="27" spans="1:16" x14ac:dyDescent="0.4">
      <c r="A27" t="str">
        <v xml:space="preserve">AJ Lysak </v>
      </c>
      <c r="B27" t="str">
        <v>GW Graham</v>
      </c>
      <c r="C27" t="str">
        <v>Juv Boys</v>
      </c>
      <c r="D27">
        <v>918</v>
      </c>
      <c r="E27" s="3" t="str">
        <v>DNS</v>
      </c>
      <c r="F27" s="3">
        <v>0</v>
      </c>
      <c r="G27" s="3" t="str">
        <v>DNS</v>
      </c>
      <c r="H27" s="3">
        <v>0</v>
      </c>
      <c r="I27" s="3" t="str">
        <v>DNS</v>
      </c>
      <c r="J27" s="3">
        <v>0</v>
      </c>
      <c r="K27" s="3" t="str">
        <v>DNS</v>
      </c>
      <c r="L27" s="3">
        <v>0</v>
      </c>
      <c r="M27" s="3" t="str">
        <v>DNS</v>
      </c>
      <c r="N27" s="3">
        <v>0</v>
      </c>
      <c r="O27" s="3">
        <v>0</v>
      </c>
      <c r="P27" s="3" t="str">
        <v/>
      </c>
    </row>
    <row r="28" spans="1:16" x14ac:dyDescent="0.4">
      <c r="A28" t="str">
        <v>Alexandre Legrand Comeau</v>
      </c>
      <c r="B28" t="str">
        <v>Handsworth</v>
      </c>
      <c r="C28" t="str">
        <v>Juv Boys</v>
      </c>
      <c r="D28">
        <v>919</v>
      </c>
      <c r="E28" s="3">
        <v>2</v>
      </c>
      <c r="F28" s="3">
        <v>95</v>
      </c>
      <c r="G28" s="3" t="str">
        <v>DNF</v>
      </c>
      <c r="H28" s="3">
        <v>1</v>
      </c>
      <c r="I28" s="3">
        <v>1</v>
      </c>
      <c r="J28" s="3">
        <v>100</v>
      </c>
      <c r="K28" s="3">
        <v>5</v>
      </c>
      <c r="L28" s="3">
        <v>80</v>
      </c>
      <c r="M28" s="3">
        <v>2</v>
      </c>
      <c r="N28" s="3">
        <v>95</v>
      </c>
      <c r="O28" s="3">
        <v>0</v>
      </c>
      <c r="P28" s="3" t="str">
        <v/>
      </c>
    </row>
    <row r="29" spans="1:16" x14ac:dyDescent="0.4">
      <c r="A29" t="str">
        <v>Monty Cormack</v>
      </c>
      <c r="B29" t="str">
        <v>Handsworth</v>
      </c>
      <c r="C29" t="str">
        <v>Juv Boys</v>
      </c>
      <c r="D29">
        <v>920</v>
      </c>
      <c r="E29" s="3" t="str">
        <v>DNS</v>
      </c>
      <c r="F29" s="3">
        <v>0</v>
      </c>
      <c r="G29" s="3">
        <v>22</v>
      </c>
      <c r="H29" s="3">
        <v>38</v>
      </c>
      <c r="I29" s="3">
        <v>4</v>
      </c>
      <c r="J29" s="3">
        <v>85</v>
      </c>
      <c r="K29" s="3">
        <v>14</v>
      </c>
      <c r="L29" s="3">
        <v>47</v>
      </c>
      <c r="M29" s="3">
        <v>15</v>
      </c>
      <c r="N29" s="3">
        <v>45</v>
      </c>
      <c r="O29" s="3">
        <v>0</v>
      </c>
      <c r="P29" s="3" t="str">
        <v/>
      </c>
    </row>
    <row r="30" spans="1:16" x14ac:dyDescent="0.4">
      <c r="A30" t="str">
        <v>Ben Macpherson</v>
      </c>
      <c r="B30" t="str">
        <v>Handsworth</v>
      </c>
      <c r="C30" t="str">
        <v>Juv Boys</v>
      </c>
      <c r="D30">
        <v>921</v>
      </c>
      <c r="E30" s="3">
        <v>25</v>
      </c>
      <c r="F30" s="3">
        <v>35</v>
      </c>
      <c r="G30" s="3">
        <v>14</v>
      </c>
      <c r="H30" s="3">
        <v>47</v>
      </c>
      <c r="I30" s="3">
        <v>22</v>
      </c>
      <c r="J30" s="3">
        <v>38</v>
      </c>
      <c r="K30" s="3">
        <v>48</v>
      </c>
      <c r="L30" s="3">
        <v>12</v>
      </c>
      <c r="M30" s="3" t="str">
        <v>DNF</v>
      </c>
      <c r="N30" s="3">
        <v>1</v>
      </c>
      <c r="O30" s="3">
        <v>0</v>
      </c>
      <c r="P30" s="3" t="str">
        <v/>
      </c>
    </row>
    <row r="31" spans="1:16" x14ac:dyDescent="0.4">
      <c r="A31" t="str">
        <v>Matthew Runzer</v>
      </c>
      <c r="B31" t="str">
        <v>Handsworth</v>
      </c>
      <c r="C31" t="str">
        <v>Juv Boys</v>
      </c>
      <c r="D31">
        <v>922</v>
      </c>
      <c r="E31" s="3">
        <v>17</v>
      </c>
      <c r="F31" s="3">
        <v>43</v>
      </c>
      <c r="G31" s="3">
        <v>44</v>
      </c>
      <c r="H31" s="3">
        <v>16</v>
      </c>
      <c r="I31" s="3">
        <v>11</v>
      </c>
      <c r="J31" s="3">
        <v>53</v>
      </c>
      <c r="K31" s="3">
        <v>40</v>
      </c>
      <c r="L31" s="3">
        <v>20</v>
      </c>
      <c r="M31" s="3">
        <v>44</v>
      </c>
      <c r="N31" s="3">
        <v>16</v>
      </c>
      <c r="O31" s="3">
        <v>0</v>
      </c>
      <c r="P31" s="3" t="str">
        <v/>
      </c>
    </row>
    <row r="32" spans="1:16" x14ac:dyDescent="0.4">
      <c r="A32" t="str">
        <v>Aiden Klimek</v>
      </c>
      <c r="B32" t="str">
        <v>Mulgrave</v>
      </c>
      <c r="C32" t="str">
        <v>Juv Boys</v>
      </c>
      <c r="D32">
        <v>923</v>
      </c>
      <c r="E32" s="3">
        <v>9</v>
      </c>
      <c r="F32" s="3">
        <v>60</v>
      </c>
      <c r="G32" s="3" t="str">
        <v>DNS</v>
      </c>
      <c r="H32" s="3">
        <v>0</v>
      </c>
      <c r="I32" s="3" t="str">
        <v>DNS</v>
      </c>
      <c r="J32" s="3">
        <v>0</v>
      </c>
      <c r="K32" s="3">
        <v>30</v>
      </c>
      <c r="L32" s="3">
        <v>30</v>
      </c>
      <c r="M32" s="3" t="str">
        <v>DNS</v>
      </c>
      <c r="N32" s="3">
        <v>0</v>
      </c>
      <c r="O32" s="3">
        <v>0</v>
      </c>
      <c r="P32" s="3" t="str">
        <v/>
      </c>
    </row>
    <row r="33" spans="1:16" x14ac:dyDescent="0.4">
      <c r="A33" t="str">
        <v>Blake Benns</v>
      </c>
      <c r="B33" t="str">
        <v>Pemberton</v>
      </c>
      <c r="C33" t="str">
        <v>Juv Boys</v>
      </c>
      <c r="D33">
        <v>924</v>
      </c>
      <c r="E33" s="3">
        <v>10</v>
      </c>
      <c r="F33" s="3">
        <v>55</v>
      </c>
      <c r="G33" s="3">
        <v>23</v>
      </c>
      <c r="H33" s="3">
        <v>37</v>
      </c>
      <c r="I33" s="3">
        <v>20</v>
      </c>
      <c r="J33" s="3">
        <v>40</v>
      </c>
      <c r="K33" s="3">
        <v>21</v>
      </c>
      <c r="L33" s="3">
        <v>39</v>
      </c>
      <c r="M33" s="3">
        <v>13</v>
      </c>
      <c r="N33" s="3">
        <v>49</v>
      </c>
      <c r="O33" s="3">
        <v>0</v>
      </c>
      <c r="P33" s="3" t="str">
        <v/>
      </c>
    </row>
    <row r="34" spans="1:16" x14ac:dyDescent="0.4">
      <c r="A34" t="str">
        <v>Xavier Harrisson</v>
      </c>
      <c r="B34" t="str">
        <v>Pemberton</v>
      </c>
      <c r="C34" t="str">
        <v>Juv Boys</v>
      </c>
      <c r="D34">
        <v>925</v>
      </c>
      <c r="E34" s="3" t="str">
        <v>DNS</v>
      </c>
      <c r="F34" s="3">
        <v>0</v>
      </c>
      <c r="G34" s="3" t="str">
        <v>DNS</v>
      </c>
      <c r="H34" s="3">
        <v>0</v>
      </c>
      <c r="I34" s="3" t="str">
        <v>DNS</v>
      </c>
      <c r="J34" s="3">
        <v>0</v>
      </c>
      <c r="K34" s="3" t="str">
        <v>DNS</v>
      </c>
      <c r="L34" s="3">
        <v>0</v>
      </c>
      <c r="M34" s="3" t="str">
        <v>DNS</v>
      </c>
      <c r="N34" s="3">
        <v>0</v>
      </c>
      <c r="O34" s="3">
        <v>0</v>
      </c>
      <c r="P34" s="3" t="str">
        <v/>
      </c>
    </row>
    <row r="35" spans="1:16" x14ac:dyDescent="0.4">
      <c r="A35" t="str">
        <v>Mack Manietta</v>
      </c>
      <c r="B35" t="str">
        <v>Pemberton</v>
      </c>
      <c r="C35" t="str">
        <v>Juv Boys</v>
      </c>
      <c r="D35">
        <v>926</v>
      </c>
      <c r="E35" s="3" t="str">
        <v>DNS</v>
      </c>
      <c r="F35" s="3">
        <v>0</v>
      </c>
      <c r="G35" s="3" t="str">
        <v>DNS</v>
      </c>
      <c r="H35" s="3">
        <v>0</v>
      </c>
      <c r="I35" s="3" t="str">
        <v>DNS</v>
      </c>
      <c r="J35" s="3">
        <v>0</v>
      </c>
      <c r="K35" s="3" t="str">
        <v>DNS</v>
      </c>
      <c r="L35" s="3">
        <v>0</v>
      </c>
      <c r="M35" s="3">
        <v>1</v>
      </c>
      <c r="N35" s="3">
        <v>100</v>
      </c>
      <c r="O35" s="3">
        <v>0</v>
      </c>
      <c r="P35" s="3" t="str">
        <v/>
      </c>
    </row>
    <row r="36" spans="1:16" x14ac:dyDescent="0.4">
      <c r="A36" t="str">
        <v>Noah Ricignuolo</v>
      </c>
      <c r="B36" t="str">
        <v>Pemberton</v>
      </c>
      <c r="C36" t="str">
        <v>Juv Boys</v>
      </c>
      <c r="D36">
        <v>927</v>
      </c>
      <c r="E36" s="3" t="str">
        <v>DNS</v>
      </c>
      <c r="F36" s="3">
        <v>0</v>
      </c>
      <c r="G36" s="3">
        <v>10</v>
      </c>
      <c r="H36" s="3">
        <v>55</v>
      </c>
      <c r="I36" s="3" t="str">
        <v>DNS</v>
      </c>
      <c r="J36" s="3">
        <v>0</v>
      </c>
      <c r="K36" s="3" t="str">
        <v>DNS</v>
      </c>
      <c r="L36" s="3">
        <v>0</v>
      </c>
      <c r="M36" s="3">
        <v>39</v>
      </c>
      <c r="N36" s="3">
        <v>21</v>
      </c>
      <c r="O36" s="3">
        <v>0</v>
      </c>
      <c r="P36" s="3" t="str">
        <v/>
      </c>
    </row>
    <row r="37" spans="1:16" x14ac:dyDescent="0.4">
      <c r="A37" t="str">
        <v>Finley Wood</v>
      </c>
      <c r="B37" t="str">
        <v>Pemberton</v>
      </c>
      <c r="C37" t="str">
        <v>Juv Boys</v>
      </c>
      <c r="D37">
        <v>928</v>
      </c>
      <c r="E37" s="3" t="str">
        <v>DNS</v>
      </c>
      <c r="F37" s="3">
        <v>0</v>
      </c>
      <c r="G37" s="3">
        <v>13</v>
      </c>
      <c r="H37" s="3">
        <v>49</v>
      </c>
      <c r="I37" s="3" t="str">
        <v>DNS</v>
      </c>
      <c r="J37" s="3">
        <v>0</v>
      </c>
      <c r="K37" s="3">
        <v>10</v>
      </c>
      <c r="L37" s="3">
        <v>55</v>
      </c>
      <c r="M37" s="3">
        <v>14</v>
      </c>
      <c r="N37" s="3">
        <v>47</v>
      </c>
      <c r="O37" s="3">
        <v>0</v>
      </c>
      <c r="P37" s="3" t="str">
        <v/>
      </c>
    </row>
    <row r="38" spans="1:16" x14ac:dyDescent="0.4">
      <c r="A38" t="str">
        <v xml:space="preserve">Luca Crema </v>
      </c>
      <c r="B38" t="str">
        <v>Seycove</v>
      </c>
      <c r="C38" t="str">
        <v>Juv Boys</v>
      </c>
      <c r="D38">
        <v>929</v>
      </c>
      <c r="E38" s="3" t="str">
        <v>DNS</v>
      </c>
      <c r="F38" s="3">
        <v>0</v>
      </c>
      <c r="G38" s="3">
        <v>31</v>
      </c>
      <c r="H38" s="3">
        <v>29</v>
      </c>
      <c r="I38" s="3" t="str">
        <v>DNS</v>
      </c>
      <c r="J38" s="3">
        <v>0</v>
      </c>
      <c r="K38" s="3">
        <v>28</v>
      </c>
      <c r="L38" s="3">
        <v>32</v>
      </c>
      <c r="M38" s="3">
        <v>33</v>
      </c>
      <c r="N38" s="3">
        <v>27</v>
      </c>
      <c r="O38" s="3">
        <v>0</v>
      </c>
      <c r="P38" s="3" t="str">
        <v/>
      </c>
    </row>
    <row r="39" spans="1:16" x14ac:dyDescent="0.4">
      <c r="A39" t="str">
        <v>Bodhi Elmas</v>
      </c>
      <c r="B39" t="str">
        <v>Seycove</v>
      </c>
      <c r="C39" t="str">
        <v>Juv Boys</v>
      </c>
      <c r="D39">
        <v>930</v>
      </c>
      <c r="E39" s="3">
        <v>38</v>
      </c>
      <c r="F39" s="3">
        <v>22</v>
      </c>
      <c r="G39" s="3">
        <v>37</v>
      </c>
      <c r="H39" s="3">
        <v>23</v>
      </c>
      <c r="I39" s="3" t="str">
        <v>DNS</v>
      </c>
      <c r="J39" s="3">
        <v>0</v>
      </c>
      <c r="K39" s="3">
        <v>43</v>
      </c>
      <c r="L39" s="3">
        <v>17</v>
      </c>
      <c r="M39" s="3">
        <v>40</v>
      </c>
      <c r="N39" s="3">
        <v>20</v>
      </c>
      <c r="O39" s="3">
        <v>0</v>
      </c>
      <c r="P39" s="3" t="str">
        <v/>
      </c>
    </row>
    <row r="40" spans="1:16" x14ac:dyDescent="0.4">
      <c r="A40" t="str">
        <v xml:space="preserve">Edward Gillett </v>
      </c>
      <c r="B40" t="str">
        <v>Seycove</v>
      </c>
      <c r="C40" t="str">
        <v>Juv Boys</v>
      </c>
      <c r="D40">
        <v>931</v>
      </c>
      <c r="E40" s="3" t="str">
        <v>DNS</v>
      </c>
      <c r="F40" s="3">
        <v>0</v>
      </c>
      <c r="G40" s="3">
        <v>27</v>
      </c>
      <c r="H40" s="3">
        <v>33</v>
      </c>
      <c r="I40" s="3" t="str">
        <v>DNS</v>
      </c>
      <c r="J40" s="3">
        <v>0</v>
      </c>
      <c r="K40" s="3">
        <v>29</v>
      </c>
      <c r="L40" s="3">
        <v>31</v>
      </c>
      <c r="M40" s="3">
        <v>23</v>
      </c>
      <c r="N40" s="3">
        <v>37</v>
      </c>
      <c r="O40" s="3">
        <v>0</v>
      </c>
      <c r="P40" s="3" t="str">
        <v/>
      </c>
    </row>
    <row r="41" spans="1:16" x14ac:dyDescent="0.4">
      <c r="A41" t="str">
        <v>Nico Gomez</v>
      </c>
      <c r="B41" t="str">
        <v>Seycove</v>
      </c>
      <c r="C41" t="str">
        <v>Juv Boys</v>
      </c>
      <c r="D41">
        <v>932</v>
      </c>
      <c r="E41" s="3">
        <v>36</v>
      </c>
      <c r="F41" s="3">
        <v>24</v>
      </c>
      <c r="G41" s="3">
        <v>29</v>
      </c>
      <c r="H41" s="3">
        <v>31</v>
      </c>
      <c r="I41" s="3" t="str">
        <v>DNS</v>
      </c>
      <c r="J41" s="3">
        <v>0</v>
      </c>
      <c r="K41" s="3">
        <v>33</v>
      </c>
      <c r="L41" s="3">
        <v>27</v>
      </c>
      <c r="M41" s="3">
        <v>32</v>
      </c>
      <c r="N41" s="3">
        <v>28</v>
      </c>
      <c r="O41" s="3">
        <v>0</v>
      </c>
      <c r="P41" s="3" t="str">
        <v/>
      </c>
    </row>
    <row r="42" spans="1:16" x14ac:dyDescent="0.4">
      <c r="A42" t="str">
        <v>Kyle Hopper-Isaac</v>
      </c>
      <c r="B42" t="str">
        <v>Seycove</v>
      </c>
      <c r="C42" t="str">
        <v>Juv Boys</v>
      </c>
      <c r="D42">
        <v>933</v>
      </c>
      <c r="E42" s="3">
        <v>7</v>
      </c>
      <c r="F42" s="3">
        <v>70</v>
      </c>
      <c r="G42" s="3">
        <v>7</v>
      </c>
      <c r="H42" s="3">
        <v>70</v>
      </c>
      <c r="I42" s="3" t="str">
        <v>DNS</v>
      </c>
      <c r="J42" s="3">
        <v>0</v>
      </c>
      <c r="K42" s="3">
        <v>18</v>
      </c>
      <c r="L42" s="3">
        <v>42</v>
      </c>
      <c r="M42" s="3" t="str">
        <v>DNS</v>
      </c>
      <c r="N42" s="3">
        <v>0</v>
      </c>
      <c r="O42" s="3">
        <v>0</v>
      </c>
      <c r="P42" s="3" t="str">
        <v/>
      </c>
    </row>
    <row r="43" spans="1:16" x14ac:dyDescent="0.4">
      <c r="A43" t="str">
        <v>Jared Kalisch</v>
      </c>
      <c r="B43" t="str">
        <v>Seycove</v>
      </c>
      <c r="C43" t="str">
        <v>Juv Boys</v>
      </c>
      <c r="D43">
        <v>934</v>
      </c>
      <c r="E43" s="3">
        <v>8</v>
      </c>
      <c r="F43" s="3">
        <v>65</v>
      </c>
      <c r="G43" s="3">
        <v>4</v>
      </c>
      <c r="H43" s="3">
        <v>85</v>
      </c>
      <c r="I43" s="3">
        <v>5</v>
      </c>
      <c r="J43" s="3">
        <v>80</v>
      </c>
      <c r="K43" s="3">
        <v>6</v>
      </c>
      <c r="L43" s="3">
        <v>75</v>
      </c>
      <c r="M43" s="3">
        <v>19</v>
      </c>
      <c r="N43" s="3">
        <v>41</v>
      </c>
      <c r="O43" s="3">
        <v>0</v>
      </c>
      <c r="P43" s="3" t="str">
        <v/>
      </c>
    </row>
    <row r="44" spans="1:16" x14ac:dyDescent="0.4">
      <c r="A44" t="str">
        <v xml:space="preserve">Max Keinhorst </v>
      </c>
      <c r="B44" t="str">
        <v>Seycove</v>
      </c>
      <c r="C44" t="str">
        <v>Juv Boys</v>
      </c>
      <c r="D44">
        <v>935</v>
      </c>
      <c r="E44" s="3">
        <v>22</v>
      </c>
      <c r="F44" s="3">
        <v>38</v>
      </c>
      <c r="G44" s="3">
        <v>20</v>
      </c>
      <c r="H44" s="3">
        <v>40</v>
      </c>
      <c r="I44" s="3" t="str">
        <v>DNS</v>
      </c>
      <c r="J44" s="3">
        <v>0</v>
      </c>
      <c r="K44" s="3">
        <v>20</v>
      </c>
      <c r="L44" s="3">
        <v>40</v>
      </c>
      <c r="M44" s="3" t="str">
        <v>DNS</v>
      </c>
      <c r="N44" s="3">
        <v>0</v>
      </c>
      <c r="O44" s="3">
        <v>0</v>
      </c>
      <c r="P44" s="3" t="str">
        <v/>
      </c>
    </row>
    <row r="45" spans="1:16" x14ac:dyDescent="0.4">
      <c r="A45" t="str">
        <v>Arlo McIntosh</v>
      </c>
      <c r="B45" t="str">
        <v>Seycove</v>
      </c>
      <c r="C45" t="str">
        <v>Juv Boys</v>
      </c>
      <c r="D45">
        <v>936</v>
      </c>
      <c r="E45" s="3" t="str">
        <v>DNS</v>
      </c>
      <c r="F45" s="3">
        <v>0</v>
      </c>
      <c r="G45" s="3" t="str">
        <v>DNS</v>
      </c>
      <c r="H45" s="3">
        <v>0</v>
      </c>
      <c r="I45" s="3" t="str">
        <v>DNS</v>
      </c>
      <c r="J45" s="3">
        <v>0</v>
      </c>
      <c r="K45" s="3" t="str">
        <v>dns</v>
      </c>
      <c r="L45" s="3">
        <v>0</v>
      </c>
      <c r="M45" s="3" t="str">
        <v>DNS</v>
      </c>
      <c r="N45" s="3">
        <v>0</v>
      </c>
      <c r="O45" s="3">
        <v>0</v>
      </c>
      <c r="P45" s="3" t="str">
        <v/>
      </c>
    </row>
    <row r="46" spans="1:16" x14ac:dyDescent="0.4">
      <c r="A46" t="str">
        <v>Owen Small</v>
      </c>
      <c r="B46" t="str">
        <v>Seycove</v>
      </c>
      <c r="C46" t="str">
        <v>Juv Boys</v>
      </c>
      <c r="D46">
        <v>937</v>
      </c>
      <c r="E46" s="3">
        <v>30</v>
      </c>
      <c r="F46" s="3">
        <v>30</v>
      </c>
      <c r="G46" s="3">
        <v>24</v>
      </c>
      <c r="H46" s="3">
        <v>36</v>
      </c>
      <c r="I46" s="3" t="str">
        <v>DNS</v>
      </c>
      <c r="J46" s="3">
        <v>0</v>
      </c>
      <c r="K46" s="3">
        <v>27</v>
      </c>
      <c r="L46" s="3">
        <v>33</v>
      </c>
      <c r="M46" s="3">
        <v>24</v>
      </c>
      <c r="N46" s="3">
        <v>36</v>
      </c>
      <c r="O46" s="3">
        <v>0</v>
      </c>
      <c r="P46" s="3" t="str">
        <v/>
      </c>
    </row>
    <row r="47" spans="1:16" x14ac:dyDescent="0.4">
      <c r="A47" t="str">
        <v>Lucas Norbert</v>
      </c>
      <c r="B47" t="str">
        <v>Seycove</v>
      </c>
      <c r="C47" t="str">
        <v>Juv Boys</v>
      </c>
      <c r="D47">
        <v>938</v>
      </c>
      <c r="E47" s="3">
        <v>5</v>
      </c>
      <c r="F47" s="3">
        <v>80</v>
      </c>
      <c r="G47" s="3">
        <v>12</v>
      </c>
      <c r="H47" s="3">
        <v>51</v>
      </c>
      <c r="I47" s="3">
        <v>6</v>
      </c>
      <c r="J47" s="3">
        <v>75</v>
      </c>
      <c r="K47" s="3">
        <v>16</v>
      </c>
      <c r="L47" s="3">
        <v>44</v>
      </c>
      <c r="M47" s="3">
        <v>17</v>
      </c>
      <c r="N47" s="3">
        <v>43</v>
      </c>
      <c r="O47" s="3">
        <v>0</v>
      </c>
      <c r="P47" s="3" t="str">
        <v/>
      </c>
    </row>
    <row r="48" spans="1:16" x14ac:dyDescent="0.4">
      <c r="A48" t="str">
        <v>Yousef Alwakees</v>
      </c>
      <c r="B48" t="str">
        <v>Seycove</v>
      </c>
      <c r="C48" t="str">
        <v>Juv Boys</v>
      </c>
      <c r="D48">
        <v>941</v>
      </c>
      <c r="E48" s="3" t="str">
        <v>DNS</v>
      </c>
      <c r="F48" s="3">
        <v>0</v>
      </c>
      <c r="G48" s="3">
        <v>40</v>
      </c>
      <c r="H48" s="3">
        <v>20</v>
      </c>
      <c r="I48" s="3" t="str">
        <v>DNS</v>
      </c>
      <c r="J48" s="3">
        <v>0</v>
      </c>
      <c r="K48" s="3">
        <v>47</v>
      </c>
      <c r="L48" s="3">
        <v>13</v>
      </c>
      <c r="M48" s="3" t="str">
        <v>DNS</v>
      </c>
      <c r="N48" s="3">
        <v>0</v>
      </c>
      <c r="O48" s="3">
        <v>0</v>
      </c>
      <c r="P48" s="3" t="str">
        <v/>
      </c>
    </row>
    <row r="49" spans="1:16" x14ac:dyDescent="0.4">
      <c r="A49" t="str">
        <v>Oliver Parkinson</v>
      </c>
      <c r="B49" t="str">
        <v>Seycove</v>
      </c>
      <c r="C49" t="str">
        <v>Juv Boys</v>
      </c>
      <c r="D49">
        <v>958</v>
      </c>
      <c r="E49" s="3" t="str">
        <v>DNF</v>
      </c>
      <c r="F49" s="3">
        <v>1</v>
      </c>
      <c r="G49" s="3">
        <v>34</v>
      </c>
      <c r="H49" s="3">
        <v>26</v>
      </c>
      <c r="I49" s="3" t="str">
        <v>DNS</v>
      </c>
      <c r="J49" s="3">
        <v>0</v>
      </c>
      <c r="K49" s="3" t="str">
        <v>DNS</v>
      </c>
      <c r="L49" s="3">
        <v>0</v>
      </c>
      <c r="M49" s="3">
        <v>37</v>
      </c>
      <c r="N49" s="3">
        <v>23</v>
      </c>
      <c r="O49" s="3">
        <v>0</v>
      </c>
      <c r="P49" s="3" t="str">
        <v/>
      </c>
    </row>
    <row r="50" spans="1:16" x14ac:dyDescent="0.4">
      <c r="A50" t="str">
        <v>Mattias Laocque</v>
      </c>
      <c r="B50" t="str">
        <v>Seycove</v>
      </c>
      <c r="C50" t="str">
        <v>Juv Boys</v>
      </c>
      <c r="D50">
        <v>963</v>
      </c>
      <c r="E50" s="3" t="str">
        <v>DNS</v>
      </c>
      <c r="F50" s="3">
        <v>0</v>
      </c>
      <c r="G50" s="3" t="str">
        <v>DNS</v>
      </c>
      <c r="H50" s="3">
        <v>0</v>
      </c>
      <c r="I50" s="3" t="str">
        <v>DNS</v>
      </c>
      <c r="J50" s="3">
        <v>0</v>
      </c>
      <c r="K50" s="3" t="str">
        <v>DNS</v>
      </c>
      <c r="L50" s="3">
        <v>0</v>
      </c>
      <c r="M50" s="3">
        <v>25</v>
      </c>
      <c r="N50" s="3">
        <v>35</v>
      </c>
      <c r="O50" s="3">
        <v>0</v>
      </c>
      <c r="P50" s="3" t="str">
        <v/>
      </c>
    </row>
    <row r="51" spans="1:16" x14ac:dyDescent="0.4">
      <c r="A51" t="str">
        <v>Jakson Bozzer</v>
      </c>
      <c r="B51" t="str">
        <v>St. Georges</v>
      </c>
      <c r="C51" t="str">
        <v>Juv Boys</v>
      </c>
      <c r="D51">
        <v>939</v>
      </c>
      <c r="E51" s="3" t="str">
        <v>DNS</v>
      </c>
      <c r="F51" s="3">
        <v>0</v>
      </c>
      <c r="G51" s="3">
        <v>32</v>
      </c>
      <c r="H51" s="3">
        <v>28</v>
      </c>
      <c r="I51" s="3">
        <v>26</v>
      </c>
      <c r="J51" s="3">
        <v>34</v>
      </c>
      <c r="K51" s="3">
        <v>32</v>
      </c>
      <c r="L51" s="3">
        <v>28</v>
      </c>
      <c r="M51" s="3" t="str">
        <v>DNS</v>
      </c>
      <c r="N51" s="3">
        <v>0</v>
      </c>
      <c r="O51" s="3">
        <v>0</v>
      </c>
      <c r="P51" s="3" t="str">
        <v/>
      </c>
    </row>
    <row r="52" spans="1:16" x14ac:dyDescent="0.4">
      <c r="A52" t="str">
        <v>Charlie Jones</v>
      </c>
      <c r="B52" t="str">
        <v>St. Georges</v>
      </c>
      <c r="C52" t="str">
        <v>Juv Boys</v>
      </c>
      <c r="D52">
        <v>940</v>
      </c>
      <c r="E52" s="3">
        <v>37</v>
      </c>
      <c r="F52" s="3">
        <v>23</v>
      </c>
      <c r="G52" s="3">
        <v>26</v>
      </c>
      <c r="H52" s="3">
        <v>34</v>
      </c>
      <c r="I52" s="3" t="str">
        <v>DNS</v>
      </c>
      <c r="J52" s="3">
        <v>0</v>
      </c>
      <c r="K52" s="3">
        <v>26</v>
      </c>
      <c r="L52" s="3">
        <v>34</v>
      </c>
      <c r="M52" s="3">
        <v>27</v>
      </c>
      <c r="N52" s="3">
        <v>33</v>
      </c>
      <c r="O52" s="3">
        <v>0</v>
      </c>
      <c r="P52" s="3" t="str">
        <v/>
      </c>
    </row>
    <row r="53" spans="1:16" x14ac:dyDescent="0.4">
      <c r="A53" t="str">
        <v>Luke Brownlee</v>
      </c>
      <c r="B53" t="str">
        <v>STA</v>
      </c>
      <c r="C53" t="str">
        <v>Juv Boys</v>
      </c>
      <c r="D53">
        <v>942</v>
      </c>
      <c r="E53" s="3">
        <v>21</v>
      </c>
      <c r="F53" s="3">
        <v>39</v>
      </c>
      <c r="G53" s="3">
        <v>38</v>
      </c>
      <c r="H53" s="3">
        <v>22</v>
      </c>
      <c r="I53" s="3" t="str">
        <v>DNS</v>
      </c>
      <c r="J53" s="3">
        <v>0</v>
      </c>
      <c r="K53" s="3">
        <v>35</v>
      </c>
      <c r="L53" s="3">
        <v>25</v>
      </c>
      <c r="M53" s="3" t="str">
        <v>DNS</v>
      </c>
      <c r="N53" s="3">
        <v>0</v>
      </c>
      <c r="O53" s="3">
        <v>0</v>
      </c>
      <c r="P53" s="3" t="str">
        <v/>
      </c>
    </row>
    <row r="54" spans="1:16" x14ac:dyDescent="0.4">
      <c r="A54" t="str">
        <v>Elliot O'Hara</v>
      </c>
      <c r="B54" t="str">
        <v>STA</v>
      </c>
      <c r="C54" t="str">
        <v>Juv Boys</v>
      </c>
      <c r="D54">
        <v>944</v>
      </c>
      <c r="E54" s="3" t="str">
        <v>DNS</v>
      </c>
      <c r="F54" s="3">
        <v>0</v>
      </c>
      <c r="G54" s="3" t="str">
        <v>DNS</v>
      </c>
      <c r="H54" s="3">
        <v>0</v>
      </c>
      <c r="I54" s="3" t="str">
        <v>DNS</v>
      </c>
      <c r="J54" s="3">
        <v>0</v>
      </c>
      <c r="K54" s="3">
        <v>15</v>
      </c>
      <c r="L54" s="3">
        <v>45</v>
      </c>
      <c r="M54" s="3">
        <v>18</v>
      </c>
      <c r="N54" s="3">
        <v>42</v>
      </c>
      <c r="O54" s="3">
        <v>0</v>
      </c>
      <c r="P54" s="3" t="str">
        <v/>
      </c>
    </row>
    <row r="55" spans="1:16" x14ac:dyDescent="0.4">
      <c r="A55" t="str">
        <v>Bradeley Stephenson</v>
      </c>
      <c r="B55" t="str">
        <v>Sutherland</v>
      </c>
      <c r="C55" t="str">
        <v>Juv Boys</v>
      </c>
      <c r="D55">
        <v>945</v>
      </c>
      <c r="E55" s="3" t="str">
        <v>DNS</v>
      </c>
      <c r="F55" s="3">
        <v>0</v>
      </c>
      <c r="G55" s="3">
        <v>28</v>
      </c>
      <c r="H55" s="3">
        <v>32</v>
      </c>
      <c r="I55" s="3">
        <v>24</v>
      </c>
      <c r="J55" s="3">
        <v>36</v>
      </c>
      <c r="K55" s="3">
        <v>37</v>
      </c>
      <c r="L55" s="3">
        <v>23</v>
      </c>
      <c r="M55" s="3">
        <v>29</v>
      </c>
      <c r="N55" s="3">
        <v>31</v>
      </c>
      <c r="O55" s="3">
        <v>0</v>
      </c>
      <c r="P55" s="3" t="str">
        <v/>
      </c>
    </row>
    <row r="56" spans="1:16" x14ac:dyDescent="0.4">
      <c r="A56" t="str">
        <v>Oliver Thatcher</v>
      </c>
      <c r="B56" t="str">
        <v>Sutherland</v>
      </c>
      <c r="C56" t="str">
        <v>Juv Boys</v>
      </c>
      <c r="D56">
        <v>946</v>
      </c>
      <c r="E56" s="3">
        <v>15</v>
      </c>
      <c r="F56" s="3">
        <v>45</v>
      </c>
      <c r="G56" s="3" t="str">
        <v>DNF</v>
      </c>
      <c r="H56" s="3">
        <v>1</v>
      </c>
      <c r="I56" s="3">
        <v>14</v>
      </c>
      <c r="J56" s="3">
        <v>47</v>
      </c>
      <c r="K56" s="3">
        <v>36</v>
      </c>
      <c r="L56" s="3">
        <v>24</v>
      </c>
      <c r="M56" s="3">
        <v>30</v>
      </c>
      <c r="N56" s="3">
        <v>30</v>
      </c>
      <c r="O56" s="3">
        <v>0</v>
      </c>
      <c r="P56" s="3" t="str">
        <v/>
      </c>
    </row>
    <row r="57" spans="1:16" x14ac:dyDescent="0.4">
      <c r="A57" t="str">
        <v>Kaeden Lau</v>
      </c>
      <c r="B57" t="str">
        <v>Sutherland</v>
      </c>
      <c r="C57" t="str">
        <v>Juv Boys</v>
      </c>
      <c r="D57">
        <v>947</v>
      </c>
      <c r="E57" s="3">
        <v>23</v>
      </c>
      <c r="F57" s="3">
        <v>37</v>
      </c>
      <c r="G57" s="3">
        <v>15</v>
      </c>
      <c r="H57" s="3">
        <v>45</v>
      </c>
      <c r="I57" s="3">
        <v>15</v>
      </c>
      <c r="J57" s="3">
        <v>45</v>
      </c>
      <c r="K57" s="3">
        <v>13</v>
      </c>
      <c r="L57" s="3">
        <v>49</v>
      </c>
      <c r="M57" s="3">
        <v>22</v>
      </c>
      <c r="N57" s="3">
        <v>38</v>
      </c>
      <c r="O57" s="3">
        <v>0</v>
      </c>
      <c r="P57" s="3" t="str">
        <v/>
      </c>
    </row>
    <row r="58" spans="1:16" x14ac:dyDescent="0.4">
      <c r="A58" t="str">
        <v>Bradley Harris</v>
      </c>
      <c r="B58" t="str">
        <v>Sutherland</v>
      </c>
      <c r="C58" t="str">
        <v>Juv Boys</v>
      </c>
      <c r="D58">
        <v>948</v>
      </c>
      <c r="E58" s="3">
        <v>24</v>
      </c>
      <c r="F58" s="3">
        <v>36</v>
      </c>
      <c r="G58" s="3">
        <v>19</v>
      </c>
      <c r="H58" s="3">
        <v>41</v>
      </c>
      <c r="I58" s="3">
        <v>19</v>
      </c>
      <c r="J58" s="3">
        <v>41</v>
      </c>
      <c r="K58" s="3">
        <v>11</v>
      </c>
      <c r="L58" s="3">
        <v>53</v>
      </c>
      <c r="M58" s="3" t="str">
        <v>DNF</v>
      </c>
      <c r="N58" s="3">
        <v>1</v>
      </c>
      <c r="O58" s="3">
        <v>0</v>
      </c>
      <c r="P58" s="3" t="str">
        <v/>
      </c>
    </row>
    <row r="59" spans="1:16" x14ac:dyDescent="0.4">
      <c r="A59" t="str">
        <v>Alexandre Roy</v>
      </c>
      <c r="B59" t="str">
        <v>Sutherland</v>
      </c>
      <c r="C59" t="str">
        <v>Juv Boys</v>
      </c>
      <c r="D59">
        <v>949</v>
      </c>
      <c r="E59" s="3">
        <v>34</v>
      </c>
      <c r="F59" s="3">
        <v>26</v>
      </c>
      <c r="G59" s="3">
        <v>30</v>
      </c>
      <c r="H59" s="3">
        <v>30</v>
      </c>
      <c r="I59" s="3" t="str">
        <v>DNS</v>
      </c>
      <c r="J59" s="3">
        <v>0</v>
      </c>
      <c r="K59" s="3">
        <v>24</v>
      </c>
      <c r="L59" s="3">
        <v>36</v>
      </c>
      <c r="M59" s="3">
        <v>26</v>
      </c>
      <c r="N59" s="3">
        <v>34</v>
      </c>
      <c r="O59" s="3">
        <v>0</v>
      </c>
      <c r="P59" s="3" t="str">
        <v/>
      </c>
    </row>
    <row r="60" spans="1:16" x14ac:dyDescent="0.4">
      <c r="A60" t="str">
        <v>Pierre Gonzales Hungr</v>
      </c>
      <c r="B60" t="str">
        <v>West Van</v>
      </c>
      <c r="C60" t="str">
        <v>Juv Boys</v>
      </c>
      <c r="D60">
        <v>950</v>
      </c>
      <c r="E60" s="3">
        <v>18</v>
      </c>
      <c r="F60" s="3">
        <v>42</v>
      </c>
      <c r="G60" s="3">
        <v>43</v>
      </c>
      <c r="H60" s="3">
        <v>17</v>
      </c>
      <c r="I60" s="3" t="str">
        <v>DNS</v>
      </c>
      <c r="J60" s="3">
        <v>0</v>
      </c>
      <c r="K60" s="3">
        <v>42</v>
      </c>
      <c r="L60" s="3">
        <v>18</v>
      </c>
      <c r="M60" s="3">
        <v>45</v>
      </c>
      <c r="N60" s="3">
        <v>15</v>
      </c>
      <c r="O60" s="3">
        <v>0</v>
      </c>
      <c r="P60" s="3" t="str">
        <v/>
      </c>
    </row>
    <row r="61" spans="1:16" x14ac:dyDescent="0.4">
      <c r="A61" t="str">
        <v>Simon Gonzales Hungr</v>
      </c>
      <c r="B61" t="str">
        <v>West Van</v>
      </c>
      <c r="C61" t="str">
        <v>Juv Boys</v>
      </c>
      <c r="D61">
        <v>951</v>
      </c>
      <c r="E61" s="3">
        <v>19</v>
      </c>
      <c r="F61" s="3">
        <v>41</v>
      </c>
      <c r="G61" s="3">
        <v>45</v>
      </c>
      <c r="H61" s="3">
        <v>15</v>
      </c>
      <c r="I61" s="3">
        <v>10</v>
      </c>
      <c r="J61" s="3">
        <v>55</v>
      </c>
      <c r="K61" s="3">
        <v>44</v>
      </c>
      <c r="L61" s="3">
        <v>16</v>
      </c>
      <c r="M61" s="3">
        <v>36</v>
      </c>
      <c r="N61" s="3">
        <v>24</v>
      </c>
      <c r="O61" s="3">
        <v>0</v>
      </c>
      <c r="P61" s="3" t="str">
        <v/>
      </c>
    </row>
    <row r="62" spans="1:16" x14ac:dyDescent="0.4">
      <c r="A62" t="str">
        <v>Tylor Way</v>
      </c>
      <c r="B62" t="str">
        <v>West Van</v>
      </c>
      <c r="C62" t="str">
        <v>Juv Boys</v>
      </c>
      <c r="D62">
        <v>962</v>
      </c>
      <c r="E62" s="3" t="str">
        <v>DNS</v>
      </c>
      <c r="F62" s="3">
        <v>0</v>
      </c>
      <c r="G62" s="3">
        <v>42</v>
      </c>
      <c r="H62" s="3">
        <v>18</v>
      </c>
      <c r="I62" s="3">
        <v>29</v>
      </c>
      <c r="J62" s="3">
        <v>31</v>
      </c>
      <c r="K62" s="3">
        <v>45</v>
      </c>
      <c r="L62" s="3">
        <v>15</v>
      </c>
      <c r="M62" s="3">
        <v>41</v>
      </c>
      <c r="N62" s="3">
        <v>19</v>
      </c>
      <c r="O62" s="3">
        <v>0</v>
      </c>
      <c r="P62" s="3" t="str">
        <v/>
      </c>
    </row>
    <row r="63" spans="1:16" x14ac:dyDescent="0.4">
      <c r="A63" t="str">
        <v>Rafe Dykstra</v>
      </c>
      <c r="B63" t="str">
        <v>Windsor</v>
      </c>
      <c r="C63" t="str">
        <v>Juv Boys</v>
      </c>
      <c r="D63">
        <v>952</v>
      </c>
      <c r="E63" s="3" t="str">
        <v>DNS</v>
      </c>
      <c r="F63" s="3">
        <v>0</v>
      </c>
      <c r="G63" s="3" t="str">
        <v>DNS</v>
      </c>
      <c r="H63" s="3">
        <v>0</v>
      </c>
      <c r="I63" s="3" t="str">
        <v>DNS</v>
      </c>
      <c r="J63" s="3">
        <v>0</v>
      </c>
      <c r="K63" s="3" t="str">
        <v>DNS</v>
      </c>
      <c r="L63" s="3">
        <v>0</v>
      </c>
      <c r="M63" s="3" t="str">
        <v>DNS</v>
      </c>
      <c r="N63" s="3">
        <v>0</v>
      </c>
      <c r="O63" s="3">
        <v>0</v>
      </c>
      <c r="P63" s="3" t="str">
        <v/>
      </c>
    </row>
    <row r="64" spans="1:16" x14ac:dyDescent="0.4">
      <c r="A64" t="str">
        <v>Tanner Bruce</v>
      </c>
      <c r="B64" t="str">
        <v>Windsor</v>
      </c>
      <c r="C64" t="str">
        <v>Juv Boys</v>
      </c>
      <c r="D64">
        <v>953</v>
      </c>
      <c r="E64" s="3" t="str">
        <v>DNS</v>
      </c>
      <c r="F64" s="3">
        <v>0</v>
      </c>
      <c r="G64" s="3" t="str">
        <v>DNS</v>
      </c>
      <c r="H64" s="3">
        <v>0</v>
      </c>
      <c r="I64" s="3" t="str">
        <v>DNS</v>
      </c>
      <c r="J64" s="3">
        <v>0</v>
      </c>
      <c r="K64" s="3" t="str">
        <v>DNS</v>
      </c>
      <c r="L64" s="3">
        <v>0</v>
      </c>
      <c r="M64" s="3" t="str">
        <v>DNS</v>
      </c>
      <c r="N64" s="3">
        <v>0</v>
      </c>
      <c r="O64" s="3">
        <v>0</v>
      </c>
      <c r="P64" s="3" t="str">
        <v/>
      </c>
    </row>
    <row r="65" spans="1:16" x14ac:dyDescent="0.4">
      <c r="A65" t="str">
        <v>James Felix</v>
      </c>
      <c r="B65" t="str">
        <v>Windsor</v>
      </c>
      <c r="C65" t="str">
        <v>Juv Boys</v>
      </c>
      <c r="D65">
        <v>954</v>
      </c>
      <c r="E65" s="3">
        <v>39</v>
      </c>
      <c r="F65" s="3">
        <v>21</v>
      </c>
      <c r="G65" s="3">
        <v>36</v>
      </c>
      <c r="H65" s="3">
        <v>24</v>
      </c>
      <c r="I65" s="3" t="str">
        <v>DNS</v>
      </c>
      <c r="J65" s="3">
        <v>0</v>
      </c>
      <c r="K65" s="3">
        <v>31</v>
      </c>
      <c r="L65" s="3">
        <v>29</v>
      </c>
      <c r="M65" s="3" t="str">
        <v>DNS</v>
      </c>
      <c r="N65" s="3">
        <v>0</v>
      </c>
      <c r="O65" s="3">
        <v>0</v>
      </c>
      <c r="P65" s="3" t="str"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DF367C-C21B-4EF4-979A-C1681298077C}">
          <x14:formula1>
            <xm:f>helper!$A$2:$A$9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C5E7-8107-4CBD-A6BE-7ADFA29378E7}">
  <dimension ref="A1:I48"/>
  <sheetViews>
    <sheetView topLeftCell="A10" workbookViewId="0">
      <selection activeCell="A16" sqref="A16:I28"/>
    </sheetView>
  </sheetViews>
  <sheetFormatPr defaultRowHeight="16.8" x14ac:dyDescent="0.4"/>
  <cols>
    <col min="1" max="1" width="16.19921875" customWidth="1"/>
    <col min="2" max="2" width="12.09765625" customWidth="1"/>
    <col min="3" max="9" width="8.69921875" style="3"/>
  </cols>
  <sheetData>
    <row r="1" spans="1:9" s="1" customFormat="1" x14ac:dyDescent="0.4">
      <c r="A1" s="1" t="s">
        <v>36</v>
      </c>
      <c r="B1" s="1" t="s">
        <v>35</v>
      </c>
      <c r="C1" s="2" t="s">
        <v>389</v>
      </c>
      <c r="D1" s="2" t="s">
        <v>390</v>
      </c>
      <c r="E1" s="2" t="s">
        <v>391</v>
      </c>
      <c r="F1" s="2" t="s">
        <v>392</v>
      </c>
      <c r="G1" s="2" t="s">
        <v>393</v>
      </c>
      <c r="H1" s="2" t="s">
        <v>394</v>
      </c>
      <c r="I1" s="2" t="s">
        <v>50</v>
      </c>
    </row>
    <row r="2" spans="1:9" x14ac:dyDescent="0.4">
      <c r="A2" t="s">
        <v>7</v>
      </c>
      <c r="B2" t="s">
        <v>17</v>
      </c>
      <c r="C2" s="3" cm="1">
        <f t="array" ref="C2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280</v>
      </c>
      <c r="D2" s="3" cm="1">
        <f t="array" ref="D2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208</v>
      </c>
      <c r="E2" s="3" t="str" cm="1">
        <f t="array" ref="E2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2" s="3" cm="1">
        <f t="array" ref="F2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340</v>
      </c>
      <c r="G2" s="3" cm="1">
        <f t="array" ref="G2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310</v>
      </c>
      <c r="H2" s="3" t="str" cm="1">
        <f t="array" ref="H2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" s="3">
        <f>SUM(tbl_teampoints[[#This Row],[Race 1]]:tbl_teampoints[[#This Row],[Race 6]])</f>
        <v>1138</v>
      </c>
    </row>
    <row r="3" spans="1:9" x14ac:dyDescent="0.4">
      <c r="A3" t="s">
        <v>7</v>
      </c>
      <c r="B3" t="s">
        <v>23</v>
      </c>
      <c r="C3" s="3" cm="1">
        <f t="array" ref="C3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168</v>
      </c>
      <c r="D3" s="3" cm="1">
        <f t="array" ref="D3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178</v>
      </c>
      <c r="E3" s="3" cm="1">
        <f t="array" ref="E3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161</v>
      </c>
      <c r="F3" s="3" cm="1">
        <f t="array" ref="F3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194</v>
      </c>
      <c r="G3" s="3" cm="1">
        <f t="array" ref="G3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177</v>
      </c>
      <c r="H3" s="3" t="str" cm="1">
        <f t="array" ref="H3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" s="3">
        <f>SUM(tbl_teampoints[[#This Row],[Race 1]]:tbl_teampoints[[#This Row],[Race 6]])</f>
        <v>878</v>
      </c>
    </row>
    <row r="4" spans="1:9" x14ac:dyDescent="0.4">
      <c r="A4" t="s">
        <v>7</v>
      </c>
      <c r="B4" t="s">
        <v>15</v>
      </c>
      <c r="C4" s="3" cm="1">
        <f t="array" ref="C4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237</v>
      </c>
      <c r="D4" s="3" cm="1">
        <f t="array" ref="D4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199</v>
      </c>
      <c r="E4" s="3" t="str" cm="1">
        <f t="array" ref="E4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4" s="3" t="str" cm="1">
        <f t="array" ref="F4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4" s="3" cm="1">
        <f t="array" ref="G4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213</v>
      </c>
      <c r="H4" s="3" t="str" cm="1">
        <f t="array" ref="H4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" s="3">
        <f>SUM(tbl_teampoints[[#This Row],[Race 1]]:tbl_teampoints[[#This Row],[Race 6]])</f>
        <v>649</v>
      </c>
    </row>
    <row r="5" spans="1:9" x14ac:dyDescent="0.4">
      <c r="A5" t="s">
        <v>7</v>
      </c>
      <c r="B5" t="s">
        <v>26</v>
      </c>
      <c r="C5" s="3" cm="1">
        <f t="array" ref="C5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160</v>
      </c>
      <c r="D5" s="3" cm="1">
        <f t="array" ref="D5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89</v>
      </c>
      <c r="E5" s="3" cm="1">
        <f t="array" ref="E5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122</v>
      </c>
      <c r="F5" s="3" cm="1">
        <f t="array" ref="F5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150</v>
      </c>
      <c r="G5" s="3" cm="1">
        <f t="array" ref="G5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102</v>
      </c>
      <c r="H5" s="3" t="str" cm="1">
        <f t="array" ref="H5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5" s="3">
        <f>SUM(tbl_teampoints[[#This Row],[Race 1]]:tbl_teampoints[[#This Row],[Race 6]])</f>
        <v>623</v>
      </c>
    </row>
    <row r="6" spans="1:9" x14ac:dyDescent="0.4">
      <c r="A6" t="s">
        <v>7</v>
      </c>
      <c r="B6" t="s">
        <v>20</v>
      </c>
      <c r="C6" s="3" cm="1">
        <f t="array" ref="C6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98</v>
      </c>
      <c r="D6" s="3" t="str" cm="1">
        <f t="array" ref="D6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6" s="3" cm="1">
        <f t="array" ref="E6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208</v>
      </c>
      <c r="F6" s="3" cm="1">
        <f t="array" ref="F6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164</v>
      </c>
      <c r="G6" s="3" cm="1">
        <f t="array" ref="G6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143</v>
      </c>
      <c r="H6" s="3" t="str" cm="1">
        <f t="array" ref="H6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6" s="3">
        <f>SUM(tbl_teampoints[[#This Row],[Race 1]]:tbl_teampoints[[#This Row],[Race 6]])</f>
        <v>613</v>
      </c>
    </row>
    <row r="7" spans="1:9" x14ac:dyDescent="0.4">
      <c r="A7" t="s">
        <v>7</v>
      </c>
      <c r="B7" t="s">
        <v>10</v>
      </c>
      <c r="C7" s="3" cm="1">
        <f t="array" ref="C7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73</v>
      </c>
      <c r="D7" s="3" cm="1">
        <f t="array" ref="D7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116</v>
      </c>
      <c r="E7" s="3" cm="1">
        <f t="array" ref="E7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178</v>
      </c>
      <c r="F7" s="3" cm="1">
        <f t="array" ref="F7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151</v>
      </c>
      <c r="G7" s="3" t="str" cm="1">
        <f t="array" ref="G7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H7" s="3" t="str" cm="1">
        <f t="array" ref="H7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7" s="3">
        <f>SUM(tbl_teampoints[[#This Row],[Race 1]]:tbl_teampoints[[#This Row],[Race 6]])</f>
        <v>518</v>
      </c>
    </row>
    <row r="8" spans="1:9" x14ac:dyDescent="0.4">
      <c r="A8" t="s">
        <v>7</v>
      </c>
      <c r="B8" t="s">
        <v>30</v>
      </c>
      <c r="C8" s="3" t="str" cm="1">
        <f t="array" ref="C8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8" s="3" cm="1">
        <f t="array" ref="D8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176</v>
      </c>
      <c r="E8" s="3" t="str" cm="1">
        <f t="array" ref="E8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8" s="3" t="str" cm="1">
        <f t="array" ref="F8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8" s="3" cm="1">
        <f t="array" ref="G8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156</v>
      </c>
      <c r="H8" s="3" t="str" cm="1">
        <f t="array" ref="H8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8" s="3">
        <f>SUM(tbl_teampoints[[#This Row],[Race 1]]:tbl_teampoints[[#This Row],[Race 6]])</f>
        <v>332</v>
      </c>
    </row>
    <row r="9" spans="1:9" x14ac:dyDescent="0.4">
      <c r="A9" t="s">
        <v>7</v>
      </c>
      <c r="B9" t="s">
        <v>28</v>
      </c>
      <c r="C9" s="3" cm="1">
        <f t="array" ref="C9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132</v>
      </c>
      <c r="D9" s="3" t="str" cm="1">
        <f t="array" ref="D9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9" s="3" cm="1">
        <f t="array" ref="E9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142</v>
      </c>
      <c r="F9" s="3" t="str" cm="1">
        <f t="array" ref="F9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9" s="3" t="str" cm="1">
        <f t="array" ref="G9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H9" s="3" t="str" cm="1">
        <f t="array" ref="H9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9" s="3">
        <f>SUM(tbl_teampoints[[#This Row],[Race 1]]:tbl_teampoints[[#This Row],[Race 6]])</f>
        <v>274</v>
      </c>
    </row>
    <row r="10" spans="1:9" x14ac:dyDescent="0.4">
      <c r="A10" t="s">
        <v>7</v>
      </c>
      <c r="B10" t="s">
        <v>18</v>
      </c>
      <c r="C10" s="3" t="str" cm="1">
        <f t="array" ref="C10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10" s="3" t="str" cm="1">
        <f t="array" ref="D10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10" s="3" cm="1">
        <f t="array" ref="E10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66</v>
      </c>
      <c r="F10" s="3" cm="1">
        <f t="array" ref="F10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63</v>
      </c>
      <c r="G10" s="3" t="str" cm="1">
        <f t="array" ref="G10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H10" s="3" t="str" cm="1">
        <f t="array" ref="H10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0" s="3">
        <f>SUM(tbl_teampoints[[#This Row],[Race 1]]:tbl_teampoints[[#This Row],[Race 6]])</f>
        <v>129</v>
      </c>
    </row>
    <row r="11" spans="1:9" x14ac:dyDescent="0.4">
      <c r="A11" t="s">
        <v>396</v>
      </c>
      <c r="B11" t="s">
        <v>30</v>
      </c>
      <c r="C11" s="3" cm="1">
        <f t="array" ref="C11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246</v>
      </c>
      <c r="D11" s="3" cm="1">
        <f t="array" ref="D11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318</v>
      </c>
      <c r="E11" s="3" cm="1">
        <f t="array" ref="E11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248</v>
      </c>
      <c r="F11" s="3" cm="1">
        <f t="array" ref="F11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215</v>
      </c>
      <c r="G11" s="3" cm="1">
        <f t="array" ref="G11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300</v>
      </c>
      <c r="H11" s="3" t="str" cm="1">
        <f t="array" ref="H11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1" s="3">
        <f>SUM(tbl_teampoints[[#This Row],[Race 1]]:tbl_teampoints[[#This Row],[Race 6]])</f>
        <v>1327</v>
      </c>
    </row>
    <row r="12" spans="1:9" x14ac:dyDescent="0.4">
      <c r="A12" t="s">
        <v>396</v>
      </c>
      <c r="B12" t="s">
        <v>23</v>
      </c>
      <c r="C12" s="3" cm="1">
        <f t="array" ref="C12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235</v>
      </c>
      <c r="D12" s="3" t="str" cm="1">
        <f t="array" ref="D12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12" s="3" cm="1">
        <f t="array" ref="E12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167</v>
      </c>
      <c r="F12" s="3" cm="1">
        <f t="array" ref="F12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238</v>
      </c>
      <c r="G12" s="3" cm="1">
        <f t="array" ref="G12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293</v>
      </c>
      <c r="H12" s="3" t="str" cm="1">
        <f t="array" ref="H12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2" s="3">
        <f>SUM(tbl_teampoints[[#This Row],[Race 1]]:tbl_teampoints[[#This Row],[Race 6]])</f>
        <v>933</v>
      </c>
    </row>
    <row r="13" spans="1:9" x14ac:dyDescent="0.4">
      <c r="A13" t="s">
        <v>396</v>
      </c>
      <c r="B13" t="s">
        <v>10</v>
      </c>
      <c r="C13" s="3" cm="1">
        <f t="array" ref="C13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237</v>
      </c>
      <c r="D13" s="3" cm="1">
        <f t="array" ref="D13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241</v>
      </c>
      <c r="E13" s="3" cm="1">
        <f t="array" ref="E13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200</v>
      </c>
      <c r="F13" s="3" t="str" cm="1">
        <f t="array" ref="F13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13" s="3" cm="1">
        <f t="array" ref="G13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180</v>
      </c>
      <c r="H13" s="3" t="str" cm="1">
        <f t="array" ref="H13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3" s="3">
        <f>SUM(tbl_teampoints[[#This Row],[Race 1]]:tbl_teampoints[[#This Row],[Race 6]])</f>
        <v>858</v>
      </c>
    </row>
    <row r="14" spans="1:9" x14ac:dyDescent="0.4">
      <c r="A14" t="s">
        <v>396</v>
      </c>
      <c r="B14" t="s">
        <v>15</v>
      </c>
      <c r="C14" s="3" cm="1">
        <f t="array" ref="C14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220</v>
      </c>
      <c r="D14" s="3" t="str" cm="1">
        <f t="array" ref="D14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14" s="3" cm="1">
        <f t="array" ref="E14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220</v>
      </c>
      <c r="F14" s="3" t="str" cm="1">
        <f t="array" ref="F14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14" s="3" cm="1">
        <f t="array" ref="G14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195</v>
      </c>
      <c r="H14" s="3" t="str" cm="1">
        <f t="array" ref="H14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4" s="3">
        <f>SUM(tbl_teampoints[[#This Row],[Race 1]]:tbl_teampoints[[#This Row],[Race 6]])</f>
        <v>635</v>
      </c>
    </row>
    <row r="15" spans="1:9" x14ac:dyDescent="0.4">
      <c r="A15" t="s">
        <v>396</v>
      </c>
      <c r="B15" t="s">
        <v>17</v>
      </c>
      <c r="C15" s="3" t="str" cm="1">
        <f t="array" ref="C15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15" s="3" t="str" cm="1">
        <f t="array" ref="D15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15" s="3" t="str" cm="1">
        <f t="array" ref="E15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15" s="3" t="str" cm="1">
        <f t="array" ref="F15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15" s="3" cm="1">
        <f t="array" ref="G15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270</v>
      </c>
      <c r="H15" s="3" t="str" cm="1">
        <f t="array" ref="H15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5" s="3">
        <f>SUM(tbl_teampoints[[#This Row],[Race 1]]:tbl_teampoints[[#This Row],[Race 6]])</f>
        <v>270</v>
      </c>
    </row>
    <row r="16" spans="1:9" x14ac:dyDescent="0.4">
      <c r="A16" t="s">
        <v>3</v>
      </c>
      <c r="B16" t="s">
        <v>21</v>
      </c>
      <c r="C16" s="3" cm="1">
        <f t="array" ref="C16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320</v>
      </c>
      <c r="D16" s="3" cm="1">
        <f t="array" ref="D16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290</v>
      </c>
      <c r="E16" s="3" cm="1">
        <f t="array" ref="E16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222</v>
      </c>
      <c r="F16" s="3" cm="1">
        <f t="array" ref="F16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215</v>
      </c>
      <c r="G16" s="3" cm="1">
        <f t="array" ref="G16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243</v>
      </c>
      <c r="H16" s="3" t="str" cm="1">
        <f t="array" ref="H16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6" s="3">
        <f>SUM(tbl_teampoints[[#This Row],[Race 1]]:tbl_teampoints[[#This Row],[Race 6]])</f>
        <v>1290</v>
      </c>
    </row>
    <row r="17" spans="1:9" x14ac:dyDescent="0.4">
      <c r="A17" t="s">
        <v>3</v>
      </c>
      <c r="B17" t="s">
        <v>20</v>
      </c>
      <c r="C17" s="3" cm="1">
        <f t="array" ref="C17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242</v>
      </c>
      <c r="D17" s="3" cm="1">
        <f t="array" ref="D17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221</v>
      </c>
      <c r="E17" s="3" cm="1">
        <f t="array" ref="E17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283</v>
      </c>
      <c r="F17" s="3" cm="1">
        <f t="array" ref="F17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240</v>
      </c>
      <c r="G17" s="3" cm="1">
        <f t="array" ref="G17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271</v>
      </c>
      <c r="H17" s="3" t="str" cm="1">
        <f t="array" ref="H17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7" s="3">
        <f>SUM(tbl_teampoints[[#This Row],[Race 1]]:tbl_teampoints[[#This Row],[Race 6]])</f>
        <v>1257</v>
      </c>
    </row>
    <row r="18" spans="1:9" x14ac:dyDescent="0.4">
      <c r="A18" t="s">
        <v>3</v>
      </c>
      <c r="B18" t="s">
        <v>10</v>
      </c>
      <c r="C18" s="3" cm="1">
        <f t="array" ref="C18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250</v>
      </c>
      <c r="D18" s="3" cm="1">
        <f t="array" ref="D18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224</v>
      </c>
      <c r="E18" s="3" cm="1">
        <f t="array" ref="E18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270</v>
      </c>
      <c r="F18" s="3" cm="1">
        <f t="array" ref="F18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197</v>
      </c>
      <c r="G18" s="3" cm="1">
        <f t="array" ref="G18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217</v>
      </c>
      <c r="H18" s="3" t="str" cm="1">
        <f t="array" ref="H18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8" s="3">
        <f>SUM(tbl_teampoints[[#This Row],[Race 1]]:tbl_teampoints[[#This Row],[Race 6]])</f>
        <v>1158</v>
      </c>
    </row>
    <row r="19" spans="1:9" x14ac:dyDescent="0.4">
      <c r="A19" t="s">
        <v>3</v>
      </c>
      <c r="B19" t="s">
        <v>23</v>
      </c>
      <c r="C19" s="3" cm="1">
        <f t="array" ref="C19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161</v>
      </c>
      <c r="D19" s="3" cm="1">
        <f t="array" ref="D19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293</v>
      </c>
      <c r="E19" s="3" cm="1">
        <f t="array" ref="E19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90</v>
      </c>
      <c r="F19" s="3" cm="1">
        <f t="array" ref="F19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261</v>
      </c>
      <c r="G19" s="3" cm="1">
        <f t="array" ref="G19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199</v>
      </c>
      <c r="H19" s="3" t="str" cm="1">
        <f t="array" ref="H19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19" s="3">
        <f>SUM(tbl_teampoints[[#This Row],[Race 1]]:tbl_teampoints[[#This Row],[Race 6]])</f>
        <v>1004</v>
      </c>
    </row>
    <row r="20" spans="1:9" x14ac:dyDescent="0.4">
      <c r="A20" t="s">
        <v>3</v>
      </c>
      <c r="B20" t="s">
        <v>30</v>
      </c>
      <c r="C20" s="3" cm="1">
        <f t="array" ref="C20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159</v>
      </c>
      <c r="D20" s="3" cm="1">
        <f t="array" ref="D20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123</v>
      </c>
      <c r="E20" s="3" cm="1">
        <f t="array" ref="E20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228</v>
      </c>
      <c r="F20" s="3" cm="1">
        <f t="array" ref="F20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232</v>
      </c>
      <c r="G20" s="3" cm="1">
        <f t="array" ref="G20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201</v>
      </c>
      <c r="H20" s="3" t="str" cm="1">
        <f t="array" ref="H20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0" s="3">
        <f>SUM(tbl_teampoints[[#This Row],[Race 1]]:tbl_teampoints[[#This Row],[Race 6]])</f>
        <v>943</v>
      </c>
    </row>
    <row r="21" spans="1:9" x14ac:dyDescent="0.4">
      <c r="A21" t="s">
        <v>3</v>
      </c>
      <c r="B21" t="s">
        <v>11</v>
      </c>
      <c r="C21" s="3" t="str" cm="1">
        <f t="array" ref="C21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21" s="3" cm="1">
        <f t="array" ref="D21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125</v>
      </c>
      <c r="E21" s="3" cm="1">
        <f t="array" ref="E21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102</v>
      </c>
      <c r="F21" s="3" cm="1">
        <f t="array" ref="F21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97</v>
      </c>
      <c r="G21" s="3" cm="1">
        <f t="array" ref="G21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115</v>
      </c>
      <c r="H21" s="3" t="str" cm="1">
        <f t="array" ref="H21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1" s="3">
        <f>SUM(tbl_teampoints[[#This Row],[Race 1]]:tbl_teampoints[[#This Row],[Race 6]])</f>
        <v>439</v>
      </c>
    </row>
    <row r="22" spans="1:9" x14ac:dyDescent="0.4">
      <c r="A22" t="s">
        <v>395</v>
      </c>
      <c r="B22" t="s">
        <v>23</v>
      </c>
      <c r="C22" s="3" cm="1">
        <f t="array" ref="C22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295</v>
      </c>
      <c r="D22" s="3" cm="1">
        <f t="array" ref="D22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310</v>
      </c>
      <c r="E22" s="3" cm="1">
        <f t="array" ref="E22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320</v>
      </c>
      <c r="F22" s="3" cm="1">
        <f t="array" ref="F22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315</v>
      </c>
      <c r="G22" s="3" cm="1">
        <f t="array" ref="G22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325</v>
      </c>
      <c r="H22" s="3" t="str" cm="1">
        <f t="array" ref="H22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2" s="3">
        <f>SUM(tbl_teampoints[[#This Row],[Race 1]]:tbl_teampoints[[#This Row],[Race 6]])</f>
        <v>1565</v>
      </c>
    </row>
    <row r="23" spans="1:9" x14ac:dyDescent="0.4">
      <c r="A23" t="s">
        <v>395</v>
      </c>
      <c r="B23" t="s">
        <v>10</v>
      </c>
      <c r="C23" s="3" cm="1">
        <f t="array" ref="C23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260</v>
      </c>
      <c r="D23" s="3" cm="1">
        <f t="array" ref="D23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270</v>
      </c>
      <c r="E23" s="3" cm="1">
        <f t="array" ref="E23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250</v>
      </c>
      <c r="F23" s="3" cm="1">
        <f t="array" ref="F23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243</v>
      </c>
      <c r="G23" s="3" cm="1">
        <f t="array" ref="G23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178</v>
      </c>
      <c r="H23" s="3" t="str" cm="1">
        <f t="array" ref="H23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3" s="3">
        <f>SUM(tbl_teampoints[[#This Row],[Race 1]]:tbl_teampoints[[#This Row],[Race 6]])</f>
        <v>1201</v>
      </c>
    </row>
    <row r="24" spans="1:9" x14ac:dyDescent="0.4">
      <c r="A24" t="s">
        <v>395</v>
      </c>
      <c r="B24" t="s">
        <v>31</v>
      </c>
      <c r="C24" s="3" t="str" cm="1">
        <f t="array" ref="C24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24" s="3" cm="1">
        <f t="array" ref="D24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225</v>
      </c>
      <c r="E24" s="3" cm="1">
        <f t="array" ref="E24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265</v>
      </c>
      <c r="F24" s="3" cm="1">
        <f t="array" ref="F24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225</v>
      </c>
      <c r="G24" s="3" cm="1">
        <f t="array" ref="G24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250</v>
      </c>
      <c r="H24" s="3" t="str" cm="1">
        <f t="array" ref="H24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4" s="3">
        <f>SUM(tbl_teampoints[[#This Row],[Race 1]]:tbl_teampoints[[#This Row],[Race 6]])</f>
        <v>965</v>
      </c>
    </row>
    <row r="25" spans="1:9" x14ac:dyDescent="0.4">
      <c r="A25" t="s">
        <v>395</v>
      </c>
      <c r="B25" t="s">
        <v>30</v>
      </c>
      <c r="C25" s="3" cm="1">
        <f t="array" ref="C25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132</v>
      </c>
      <c r="D25" s="3" cm="1">
        <f t="array" ref="D25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238</v>
      </c>
      <c r="E25" s="3" t="str" cm="1">
        <f t="array" ref="E25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25" s="3" cm="1">
        <f t="array" ref="F25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300</v>
      </c>
      <c r="G25" s="3" cm="1">
        <f t="array" ref="G25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220</v>
      </c>
      <c r="H25" s="3" t="str" cm="1">
        <f t="array" ref="H25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5" s="3">
        <f>SUM(tbl_teampoints[[#This Row],[Race 1]]:tbl_teampoints[[#This Row],[Race 6]])</f>
        <v>890</v>
      </c>
    </row>
    <row r="26" spans="1:9" x14ac:dyDescent="0.4">
      <c r="A26" t="s">
        <v>395</v>
      </c>
      <c r="B26" t="s">
        <v>21</v>
      </c>
      <c r="C26" s="3" cm="1">
        <f t="array" ref="C26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238</v>
      </c>
      <c r="D26" s="3" cm="1">
        <f t="array" ref="D26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248</v>
      </c>
      <c r="E26" s="3" t="str" cm="1">
        <f t="array" ref="E26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26" s="3" t="str" cm="1">
        <f t="array" ref="F26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26" s="3" cm="1">
        <f t="array" ref="G26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240</v>
      </c>
      <c r="H26" s="3" t="str" cm="1">
        <f t="array" ref="H26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6" s="3">
        <f>SUM(tbl_teampoints[[#This Row],[Race 1]]:tbl_teampoints[[#This Row],[Race 6]])</f>
        <v>726</v>
      </c>
    </row>
    <row r="27" spans="1:9" x14ac:dyDescent="0.4">
      <c r="A27" t="s">
        <v>395</v>
      </c>
      <c r="B27" t="s">
        <v>13</v>
      </c>
      <c r="C27" s="3" t="str" cm="1">
        <f t="array" ref="C27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27" s="3" t="str" cm="1">
        <f t="array" ref="D27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27" s="3" t="str" cm="1">
        <f t="array" ref="E27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27" s="3" cm="1">
        <f t="array" ref="F27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157</v>
      </c>
      <c r="G27" s="3" cm="1">
        <f t="array" ref="G27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55</v>
      </c>
      <c r="H27" s="3" t="str" cm="1">
        <f t="array" ref="H27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7" s="3">
        <f>SUM(tbl_teampoints[[#This Row],[Race 1]]:tbl_teampoints[[#This Row],[Race 6]])</f>
        <v>212</v>
      </c>
    </row>
    <row r="28" spans="1:9" x14ac:dyDescent="0.4">
      <c r="A28" t="s">
        <v>395</v>
      </c>
      <c r="B28" t="s">
        <v>20</v>
      </c>
      <c r="C28" s="3" t="str" cm="1">
        <f t="array" ref="C28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28" s="3" t="str" cm="1">
        <f t="array" ref="D28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28" s="3" t="str" cm="1">
        <f t="array" ref="E28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28" s="3" t="str" cm="1">
        <f t="array" ref="F28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28" s="3" t="str" cm="1">
        <f t="array" ref="G28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H28" s="3" t="str" cm="1">
        <f t="array" ref="H28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8" s="3">
        <f>SUM(tbl_teampoints[[#This Row],[Race 1]]:tbl_teampoints[[#This Row],[Race 6]])</f>
        <v>0</v>
      </c>
    </row>
    <row r="29" spans="1:9" x14ac:dyDescent="0.4">
      <c r="A29" t="s">
        <v>5</v>
      </c>
      <c r="B29" t="s">
        <v>10</v>
      </c>
      <c r="C29" s="3" cm="1">
        <f t="array" ref="C29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294</v>
      </c>
      <c r="D29" s="3" cm="1">
        <f t="array" ref="D29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345</v>
      </c>
      <c r="E29" s="3" cm="1">
        <f t="array" ref="E29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264</v>
      </c>
      <c r="F29" s="3" cm="1">
        <f t="array" ref="F29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308</v>
      </c>
      <c r="G29" s="3" cm="1">
        <f t="array" ref="G29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266</v>
      </c>
      <c r="H29" s="3" t="str" cm="1">
        <f t="array" ref="H29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29" s="3">
        <f>SUM(tbl_teampoints[[#This Row],[Race 1]]:tbl_teampoints[[#This Row],[Race 6]])</f>
        <v>1477</v>
      </c>
    </row>
    <row r="30" spans="1:9" x14ac:dyDescent="0.4">
      <c r="A30" t="s">
        <v>5</v>
      </c>
      <c r="B30" t="s">
        <v>16</v>
      </c>
      <c r="C30" s="3" cm="1">
        <f t="array" ref="C30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187</v>
      </c>
      <c r="D30" s="3" cm="1">
        <f t="array" ref="D30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187</v>
      </c>
      <c r="E30" s="3" cm="1">
        <f t="array" ref="E30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233</v>
      </c>
      <c r="F30" s="3" cm="1">
        <f t="array" ref="F30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206</v>
      </c>
      <c r="G30" s="3" cm="1">
        <f t="array" ref="G30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184</v>
      </c>
      <c r="H30" s="3" t="str" cm="1">
        <f t="array" ref="H30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0" s="3">
        <f>SUM(tbl_teampoints[[#This Row],[Race 1]]:tbl_teampoints[[#This Row],[Race 6]])</f>
        <v>997</v>
      </c>
    </row>
    <row r="31" spans="1:9" x14ac:dyDescent="0.4">
      <c r="A31" t="s">
        <v>5</v>
      </c>
      <c r="B31" t="s">
        <v>20</v>
      </c>
      <c r="C31" s="3" cm="1">
        <f t="array" ref="C31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173</v>
      </c>
      <c r="D31" s="3" cm="1">
        <f t="array" ref="D31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102</v>
      </c>
      <c r="E31" s="3" cm="1">
        <f t="array" ref="E31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276</v>
      </c>
      <c r="F31" s="3" cm="1">
        <f t="array" ref="F31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159</v>
      </c>
      <c r="G31" s="3" cm="1">
        <f t="array" ref="G31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157</v>
      </c>
      <c r="H31" s="3" t="str" cm="1">
        <f t="array" ref="H31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1" s="3">
        <f>SUM(tbl_teampoints[[#This Row],[Race 1]]:tbl_teampoints[[#This Row],[Race 6]])</f>
        <v>867</v>
      </c>
    </row>
    <row r="32" spans="1:9" x14ac:dyDescent="0.4">
      <c r="A32" t="s">
        <v>5</v>
      </c>
      <c r="B32" t="s">
        <v>25</v>
      </c>
      <c r="C32" s="3" cm="1">
        <f t="array" ref="C32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253</v>
      </c>
      <c r="D32" s="3" cm="1">
        <f t="array" ref="D32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246</v>
      </c>
      <c r="E32" s="3" t="str" cm="1">
        <f t="array" ref="E32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32" s="3" cm="1">
        <f t="array" ref="F32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201</v>
      </c>
      <c r="G32" s="3" cm="1">
        <f t="array" ref="G32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157</v>
      </c>
      <c r="H32" s="3" t="str" cm="1">
        <f t="array" ref="H32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2" s="3">
        <f>SUM(tbl_teampoints[[#This Row],[Race 1]]:tbl_teampoints[[#This Row],[Race 6]])</f>
        <v>857</v>
      </c>
    </row>
    <row r="33" spans="1:9" x14ac:dyDescent="0.4">
      <c r="A33" t="s">
        <v>5</v>
      </c>
      <c r="B33" t="s">
        <v>28</v>
      </c>
      <c r="C33" s="3" cm="1">
        <f t="array" ref="C33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144</v>
      </c>
      <c r="D33" s="3" cm="1">
        <f t="array" ref="D33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148</v>
      </c>
      <c r="E33" s="3" cm="1">
        <f t="array" ref="E33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169</v>
      </c>
      <c r="F33" s="3" cm="1">
        <f t="array" ref="F33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162</v>
      </c>
      <c r="G33" s="3" cm="1">
        <f t="array" ref="G33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133</v>
      </c>
      <c r="H33" s="3" t="str" cm="1">
        <f t="array" ref="H33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3" s="3">
        <f>SUM(tbl_teampoints[[#This Row],[Race 1]]:tbl_teampoints[[#This Row],[Race 6]])</f>
        <v>756</v>
      </c>
    </row>
    <row r="34" spans="1:9" x14ac:dyDescent="0.4">
      <c r="A34" t="s">
        <v>5</v>
      </c>
      <c r="B34" t="s">
        <v>17</v>
      </c>
      <c r="C34" s="3" t="str" cm="1">
        <f t="array" ref="C34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34" s="3" t="str" cm="1">
        <f t="array" ref="D34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34" s="3" t="str" cm="1">
        <f t="array" ref="E34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34" s="3" cm="1">
        <f t="array" ref="F34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216</v>
      </c>
      <c r="G34" s="3" cm="1">
        <f t="array" ref="G34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310</v>
      </c>
      <c r="H34" s="3" t="str" cm="1">
        <f t="array" ref="H34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4" s="3">
        <f>SUM(tbl_teampoints[[#This Row],[Race 1]]:tbl_teampoints[[#This Row],[Race 6]])</f>
        <v>526</v>
      </c>
    </row>
    <row r="35" spans="1:9" x14ac:dyDescent="0.4">
      <c r="A35" t="s">
        <v>5</v>
      </c>
      <c r="B35" t="s">
        <v>23</v>
      </c>
      <c r="C35" s="3" t="str" cm="1">
        <f t="array" ref="C35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35" s="3" cm="1">
        <f t="array" ref="D35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141</v>
      </c>
      <c r="E35" s="3" t="str" cm="1">
        <f t="array" ref="E35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35" s="3" t="str" cm="1">
        <f t="array" ref="F35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35" s="3" cm="1">
        <f t="array" ref="G35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217</v>
      </c>
      <c r="H35" s="3" t="str" cm="1">
        <f t="array" ref="H35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5" s="3">
        <f>SUM(tbl_teampoints[[#This Row],[Race 1]]:tbl_teampoints[[#This Row],[Race 6]])</f>
        <v>358</v>
      </c>
    </row>
    <row r="36" spans="1:9" x14ac:dyDescent="0.4">
      <c r="A36" t="s">
        <v>5</v>
      </c>
      <c r="B36" t="s">
        <v>27</v>
      </c>
      <c r="C36" s="3" t="str" cm="1">
        <f t="array" ref="C36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36" s="3" t="str" cm="1">
        <f t="array" ref="D36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36" s="3" t="str" cm="1">
        <f t="array" ref="E36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36" s="3" t="str" cm="1">
        <f t="array" ref="F36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36" s="3" t="str" cm="1">
        <f t="array" ref="G36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H36" s="3" t="str" cm="1">
        <f t="array" ref="H36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6" s="3">
        <f>SUM(tbl_teampoints[[#This Row],[Race 1]]:tbl_teampoints[[#This Row],[Race 6]])</f>
        <v>0</v>
      </c>
    </row>
    <row r="37" spans="1:9" x14ac:dyDescent="0.4">
      <c r="A37" t="s">
        <v>5</v>
      </c>
      <c r="B37" t="s">
        <v>31</v>
      </c>
      <c r="C37" s="3" t="str" cm="1">
        <f t="array" ref="C37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37" s="3" t="str" cm="1">
        <f t="array" ref="D37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37" s="3" t="str" cm="1">
        <f t="array" ref="E37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37" s="3" t="str" cm="1">
        <f t="array" ref="F37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37" s="3" t="str" cm="1">
        <f t="array" ref="G37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H37" s="3" t="str" cm="1">
        <f t="array" ref="H37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7" s="3">
        <f>SUM(tbl_teampoints[[#This Row],[Race 1]]:tbl_teampoints[[#This Row],[Race 6]])</f>
        <v>0</v>
      </c>
    </row>
    <row r="38" spans="1:9" x14ac:dyDescent="0.4">
      <c r="A38" t="s">
        <v>1</v>
      </c>
      <c r="B38" t="s">
        <v>20</v>
      </c>
      <c r="C38" s="3" cm="1">
        <f t="array" ref="C38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235</v>
      </c>
      <c r="D38" s="3" cm="1">
        <f t="array" ref="D38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345</v>
      </c>
      <c r="E38" s="3" cm="1">
        <f t="array" ref="E38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256</v>
      </c>
      <c r="F38" s="3" cm="1">
        <f t="array" ref="F38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320</v>
      </c>
      <c r="G38" s="3" cm="1">
        <f t="array" ref="G38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245</v>
      </c>
      <c r="H38" s="3" t="str" cm="1">
        <f t="array" ref="H38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8" s="3">
        <f>SUM(tbl_teampoints[[#This Row],[Race 1]]:tbl_teampoints[[#This Row],[Race 6]])</f>
        <v>1401</v>
      </c>
    </row>
    <row r="39" spans="1:9" x14ac:dyDescent="0.4">
      <c r="A39" t="s">
        <v>1</v>
      </c>
      <c r="B39" t="s">
        <v>13</v>
      </c>
      <c r="C39" s="3" cm="1">
        <f t="array" ref="C39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293</v>
      </c>
      <c r="D39" s="3" cm="1">
        <f t="array" ref="D39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223</v>
      </c>
      <c r="E39" s="3" cm="1">
        <f t="array" ref="E39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283</v>
      </c>
      <c r="F39" s="3" cm="1">
        <f t="array" ref="F39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238</v>
      </c>
      <c r="G39" s="3" cm="1">
        <f t="array" ref="G39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269</v>
      </c>
      <c r="H39" s="3" t="str" cm="1">
        <f t="array" ref="H39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39" s="3">
        <f>SUM(tbl_teampoints[[#This Row],[Race 1]]:tbl_teampoints[[#This Row],[Race 6]])</f>
        <v>1306</v>
      </c>
    </row>
    <row r="40" spans="1:9" x14ac:dyDescent="0.4">
      <c r="A40" t="s">
        <v>1</v>
      </c>
      <c r="B40" t="s">
        <v>23</v>
      </c>
      <c r="C40" s="3" cm="1">
        <f t="array" ref="C40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233</v>
      </c>
      <c r="D40" s="3" cm="1">
        <f t="array" ref="D40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181</v>
      </c>
      <c r="E40" s="3" cm="1">
        <f t="array" ref="E40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243</v>
      </c>
      <c r="F40" s="3" cm="1">
        <f t="array" ref="F40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146</v>
      </c>
      <c r="G40" s="3" cm="1">
        <f t="array" ref="G40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157</v>
      </c>
      <c r="H40" s="3" t="str" cm="1">
        <f t="array" ref="H40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0" s="3">
        <f>SUM(tbl_teampoints[[#This Row],[Race 1]]:tbl_teampoints[[#This Row],[Race 6]])</f>
        <v>960</v>
      </c>
    </row>
    <row r="41" spans="1:9" x14ac:dyDescent="0.4">
      <c r="A41" t="s">
        <v>1</v>
      </c>
      <c r="B41" t="s">
        <v>21</v>
      </c>
      <c r="C41" s="3" cm="1">
        <f t="array" ref="C41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182</v>
      </c>
      <c r="D41" s="3" cm="1">
        <f t="array" ref="D41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194</v>
      </c>
      <c r="E41" s="3" cm="1">
        <f t="array" ref="E41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124</v>
      </c>
      <c r="F41" s="3" cm="1">
        <f t="array" ref="F41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116</v>
      </c>
      <c r="G41" s="3" cm="1">
        <f t="array" ref="G41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274</v>
      </c>
      <c r="H41" s="3" t="str" cm="1">
        <f t="array" ref="H41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1" s="3">
        <f>SUM(tbl_teampoints[[#This Row],[Race 1]]:tbl_teampoints[[#This Row],[Race 6]])</f>
        <v>890</v>
      </c>
    </row>
    <row r="42" spans="1:9" x14ac:dyDescent="0.4">
      <c r="A42" t="s">
        <v>1</v>
      </c>
      <c r="B42" t="s">
        <v>28</v>
      </c>
      <c r="C42" s="3" cm="1">
        <f t="array" ref="C42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147</v>
      </c>
      <c r="D42" s="3" cm="1">
        <f t="array" ref="D42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153</v>
      </c>
      <c r="E42" s="3" cm="1">
        <f t="array" ref="E42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137</v>
      </c>
      <c r="F42" s="3" cm="1">
        <f t="array" ref="F42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188</v>
      </c>
      <c r="G42" s="3" cm="1">
        <f t="array" ref="G42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114</v>
      </c>
      <c r="H42" s="3" t="str" cm="1">
        <f t="array" ref="H42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2" s="3">
        <f>SUM(tbl_teampoints[[#This Row],[Race 1]]:tbl_teampoints[[#This Row],[Race 6]])</f>
        <v>739</v>
      </c>
    </row>
    <row r="43" spans="1:9" x14ac:dyDescent="0.4">
      <c r="A43" t="s">
        <v>1</v>
      </c>
      <c r="B43" t="s">
        <v>30</v>
      </c>
      <c r="C43" s="3" t="str" cm="1">
        <f t="array" ref="C43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43" s="3" cm="1">
        <f t="array" ref="D43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192</v>
      </c>
      <c r="E43" s="3" t="str" cm="1">
        <f t="array" ref="E43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43" s="3" cm="1">
        <f t="array" ref="F43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236</v>
      </c>
      <c r="G43" s="3" cm="1">
        <f t="array" ref="G43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242</v>
      </c>
      <c r="H43" s="3" t="str" cm="1">
        <f t="array" ref="H43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3" s="3">
        <f>SUM(tbl_teampoints[[#This Row],[Race 1]]:tbl_teampoints[[#This Row],[Race 6]])</f>
        <v>670</v>
      </c>
    </row>
    <row r="44" spans="1:9" x14ac:dyDescent="0.4">
      <c r="A44" t="s">
        <v>1</v>
      </c>
      <c r="B44" t="s">
        <v>27</v>
      </c>
      <c r="C44" s="3" cm="1">
        <f t="array" ref="C44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104</v>
      </c>
      <c r="D44" s="3" cm="1">
        <f t="array" ref="D44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127</v>
      </c>
      <c r="E44" s="3" cm="1">
        <f t="array" ref="E44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104</v>
      </c>
      <c r="F44" s="3" cm="1">
        <f t="array" ref="F44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144</v>
      </c>
      <c r="G44" s="3" cm="1">
        <f t="array" ref="G44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153</v>
      </c>
      <c r="H44" s="3" t="str" cm="1">
        <f t="array" ref="H44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4" s="3">
        <f>SUM(tbl_teampoints[[#This Row],[Race 1]]:tbl_teampoints[[#This Row],[Race 6]])</f>
        <v>632</v>
      </c>
    </row>
    <row r="45" spans="1:9" x14ac:dyDescent="0.4">
      <c r="A45" t="s">
        <v>1</v>
      </c>
      <c r="B45" t="s">
        <v>10</v>
      </c>
      <c r="C45" s="3" cm="1">
        <f t="array" ref="C45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103</v>
      </c>
      <c r="D45" s="3" cm="1">
        <f t="array" ref="D45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48</v>
      </c>
      <c r="E45" s="3" cm="1">
        <f t="array" ref="E45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99</v>
      </c>
      <c r="F45" s="3" cm="1">
        <f t="array" ref="F45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90</v>
      </c>
      <c r="G45" s="3" cm="1">
        <f t="array" ref="G45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74</v>
      </c>
      <c r="H45" s="3" t="str" cm="1">
        <f t="array" ref="H45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5" s="3">
        <f>SUM(tbl_teampoints[[#This Row],[Race 1]]:tbl_teampoints[[#This Row],[Race 6]])</f>
        <v>414</v>
      </c>
    </row>
    <row r="46" spans="1:9" x14ac:dyDescent="0.4">
      <c r="A46" t="s">
        <v>1</v>
      </c>
      <c r="B46" t="s">
        <v>12</v>
      </c>
      <c r="C46" s="3" cm="1">
        <f t="array" ref="C46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39</v>
      </c>
      <c r="D46" s="3" cm="1">
        <f t="array" ref="D46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3</v>
      </c>
      <c r="E46" s="3" cm="1">
        <f t="array" ref="E46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21</v>
      </c>
      <c r="F46" s="3" cm="1">
        <f t="array" ref="F46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5</v>
      </c>
      <c r="G46" s="3" t="str" cm="1">
        <f t="array" ref="G46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H46" s="3" t="str" cm="1">
        <f t="array" ref="H46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6" s="3">
        <f>SUM(tbl_teampoints[[#This Row],[Race 1]]:tbl_teampoints[[#This Row],[Race 6]])</f>
        <v>68</v>
      </c>
    </row>
    <row r="47" spans="1:9" x14ac:dyDescent="0.4">
      <c r="A47" t="s">
        <v>1</v>
      </c>
      <c r="B47" t="s">
        <v>26</v>
      </c>
      <c r="C47" s="3" t="str" cm="1">
        <f t="array" ref="C47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47" s="3" cm="1">
        <f t="array" ref="D47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18</v>
      </c>
      <c r="E47" s="3" t="str" cm="1">
        <f t="array" ref="E47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47" s="3" cm="1">
        <f t="array" ref="F47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19</v>
      </c>
      <c r="G47" s="3" cm="1">
        <f t="array" ref="G47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>24</v>
      </c>
      <c r="H47" s="3" t="str" cm="1">
        <f t="array" ref="H47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7" s="3">
        <f>SUM(tbl_teampoints[[#This Row],[Race 1]]:tbl_teampoints[[#This Row],[Race 6]])</f>
        <v>61</v>
      </c>
    </row>
    <row r="48" spans="1:9" x14ac:dyDescent="0.4">
      <c r="A48" t="s">
        <v>1</v>
      </c>
      <c r="B48" t="s">
        <v>24</v>
      </c>
      <c r="C48" s="3" t="str" cm="1">
        <f t="array" ref="C48">_xlfn.LET(
_xlpm.teamDiv,tbl_teampoints[[#This Row],[Division]],
_xlpm.teamSchool,tbl_teampoints[[#This Row],[School]],
_xlpm.divRange,tbl_individual[Division],
_xlpm.schoolRange,tbl_individual[School],
_xlpm.scoreRange,tbl_individual[R1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D48" s="3" t="str" cm="1">
        <f t="array" ref="D48">_xlfn.LET(
_xlpm.teamDiv,tbl_teampoints[[#This Row],[Division]],
_xlpm.teamSchool,tbl_teampoints[[#This Row],[School]],
_xlpm.divRange,tbl_individual[Division],
_xlpm.schoolRange,tbl_individual[School],
_xlpm.scoreRange,tbl_individual[R2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E48" s="3" t="str" cm="1">
        <f t="array" ref="E48">_xlfn.LET(
_xlpm.teamDiv,tbl_teampoints[[#This Row],[Division]],
_xlpm.teamSchool,tbl_teampoints[[#This Row],[School]],
_xlpm.divRange,tbl_individual[Division],
_xlpm.schoolRange,tbl_individual[School],
_xlpm.scoreRange,tbl_individual[R3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F48" s="3" t="str" cm="1">
        <f t="array" ref="F48">_xlfn.LET(
_xlpm.teamDiv,tbl_teampoints[[#This Row],[Division]],
_xlpm.teamSchool,tbl_teampoints[[#This Row],[School]],
_xlpm.divRange,tbl_individual[Division],
_xlpm.schoolRange,tbl_individual[School],
_xlpm.scoreRange,tbl_individual[R4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G48" s="3" t="str" cm="1">
        <f t="array" ref="G48">_xlfn.LET(
_xlpm.teamDiv,tbl_teampoints[[#This Row],[Division]],
_xlpm.teamSchool,tbl_teampoints[[#This Row],[School]],
_xlpm.divRange,tbl_individual[Division],
_xlpm.schoolRange,tbl_individual[School],
_xlpm.scoreRange,tbl_individual[R5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H48" s="3" t="str" cm="1">
        <f t="array" ref="H48">_xlfn.LET(
_xlpm.teamDiv,tbl_teampoints[[#This Row],[Division]],
_xlpm.teamSchool,tbl_teampoints[[#This Row],[School]],
_xlpm.divRange,tbl_individual[Division],
_xlpm.schoolRange,tbl_individual[School],
_xlpm.scoreRange,tbl_individual[R6 Pts],
_xlpm.divMatch,IF(
    _xlpm.teamDiv="Jr/Sr Girls",
    ((_xlpm.divRange="Jr Girls")+(_xlpm.divRange="Sr Girls"))&gt;0,
    IF(
        _xlpm.teamDiv="Bant/Juv Girls",
        ((_xlpm.divRange="Bant Girls")+(_xlpm.divRange="Juv Girls"))&gt;0,
        _xlpm.divRange=_xlpm.teamDiv
    )
),
_xlpm.validScores,_xlfn._xlws.FILTER(_xlpm.scoreRange,(_xlpm.schoolRange=_xlpm.teamSchool)*_xlpm.divMatch*(_xlpm.scoreRange&gt;0)),
_xlpm.scoreCount,ROWS(_xlpm.validScores),
IFERROR(
    IF(
        _xlpm.scoreCount&lt;3,
        "",
        SUM(LARGE(_xlpm.validScores,_xlfn.SEQUENCE(MIN(4,_xlpm.scoreCount))))
    ),
    ""
)
)</f>
        <v/>
      </c>
      <c r="I48" s="3">
        <f>SUM(tbl_teampoints[[#This Row],[Race 1]]:tbl_teampoints[[#This Row],[Race 6]])</f>
        <v>0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2ED774D-5BE5-45B5-A4A8-9A7F466C5D25}">
          <x14:formula1>
            <xm:f>helper!$A$2:$A$11</xm:f>
          </x14:formula1>
          <xm:sqref>A2:A48</xm:sqref>
        </x14:dataValidation>
        <x14:dataValidation type="list" allowBlank="1" showInputMessage="1" showErrorMessage="1" xr:uid="{F7E02CA6-A5D7-4B8D-B745-E8B55301577C}">
          <x14:formula1>
            <xm:f>helper!$B$2:$B$23</xm:f>
          </x14:formula1>
          <xm:sqref>B2:B48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BCDC-ECF0-4F65-8039-974453658416}">
  <dimension ref="A1:G103"/>
  <sheetViews>
    <sheetView workbookViewId="0">
      <selection activeCell="C1" sqref="C1"/>
    </sheetView>
  </sheetViews>
  <sheetFormatPr defaultColWidth="8.69921875" defaultRowHeight="16.8" x14ac:dyDescent="0.4"/>
  <cols>
    <col min="1" max="1" width="5.69921875" style="5" customWidth="1"/>
    <col min="2" max="2" width="24.3984375" style="6" customWidth="1"/>
    <col min="3" max="3" width="15.69921875" style="6" customWidth="1"/>
    <col min="4" max="4" width="10.8984375" style="5" customWidth="1"/>
    <col min="5" max="7" width="8.69921875" style="5"/>
    <col min="8" max="16384" width="8.69921875" style="6"/>
  </cols>
  <sheetData>
    <row r="1" spans="1:7" x14ac:dyDescent="0.4">
      <c r="B1" s="6" t="s">
        <v>36</v>
      </c>
      <c r="C1" s="6" t="s">
        <v>1</v>
      </c>
    </row>
    <row r="2" spans="1:7" ht="19.95" customHeight="1" x14ac:dyDescent="0.4"/>
    <row r="3" spans="1:7" s="4" customFormat="1" ht="24" customHeight="1" x14ac:dyDescent="0.4">
      <c r="A3" s="7"/>
      <c r="B3" s="8" t="s">
        <v>397</v>
      </c>
      <c r="C3" s="8" t="s">
        <v>35</v>
      </c>
      <c r="D3" s="7" t="s">
        <v>36</v>
      </c>
      <c r="E3" s="7" t="s">
        <v>398</v>
      </c>
      <c r="F3" s="7" t="s">
        <v>399</v>
      </c>
      <c r="G3" s="7" t="s">
        <v>32</v>
      </c>
    </row>
    <row r="4" spans="1:7" ht="24" customHeight="1" x14ac:dyDescent="0.4">
      <c r="A4" s="9">
        <v>1</v>
      </c>
      <c r="B4" s="10" t="str" cm="1">
        <f t="array" ref="B4:E99">_xlfn.LET(
_xlpm.data,_xlfn._xlws.FILTER(tbl_individual[],(tbl_individual[Division]=$C$1)*(tbl_individual[Status]="Active")),
_xlfn.SORTBY(
_xlfn.CHOOSECOLS(_xlpm.data,1,2,3,4),
_xlfn.CHOOSECOLS(_xlpm.data,2),1,
_xlfn.CHOOSECOLS(_xlpm.data,4),1
)
)</f>
        <v>Guy Shalev</v>
      </c>
      <c r="C4" s="10" t="str">
        <v>Argyle</v>
      </c>
      <c r="D4" s="9" t="str">
        <v>Sr Boys</v>
      </c>
      <c r="E4" s="9">
        <v>12001</v>
      </c>
      <c r="F4" s="9"/>
      <c r="G4" s="9"/>
    </row>
    <row r="5" spans="1:7" ht="24" customHeight="1" x14ac:dyDescent="0.4">
      <c r="A5" s="9">
        <v>2</v>
      </c>
      <c r="B5" s="10" t="str">
        <v>Markus Leung</v>
      </c>
      <c r="C5" s="10" t="str">
        <v>Argyle</v>
      </c>
      <c r="D5" s="9" t="str">
        <v>Sr Boys</v>
      </c>
      <c r="E5" s="9">
        <v>12005</v>
      </c>
      <c r="F5" s="9"/>
      <c r="G5" s="9"/>
    </row>
    <row r="6" spans="1:7" ht="24" customHeight="1" x14ac:dyDescent="0.4">
      <c r="A6" s="9">
        <v>3</v>
      </c>
      <c r="B6" s="10" t="str">
        <v>Satoru Yamaguchi</v>
      </c>
      <c r="C6" s="10" t="str">
        <v>Argyle</v>
      </c>
      <c r="D6" s="9" t="str">
        <v>Sr Boys</v>
      </c>
      <c r="E6" s="9">
        <v>12009</v>
      </c>
      <c r="F6" s="9"/>
      <c r="G6" s="9"/>
    </row>
    <row r="7" spans="1:7" ht="24" customHeight="1" x14ac:dyDescent="0.4">
      <c r="A7" s="9">
        <v>4</v>
      </c>
      <c r="B7" s="10" t="str">
        <v>Ruben Wright</v>
      </c>
      <c r="C7" s="10" t="str">
        <v>Argyle</v>
      </c>
      <c r="D7" s="9" t="str">
        <v>Sr Boys</v>
      </c>
      <c r="E7" s="9">
        <v>12012</v>
      </c>
      <c r="F7" s="9"/>
      <c r="G7" s="9"/>
    </row>
    <row r="8" spans="1:7" ht="24" customHeight="1" x14ac:dyDescent="0.4">
      <c r="A8" s="9">
        <v>5</v>
      </c>
      <c r="B8" s="10" t="str">
        <v>Kai Nunes</v>
      </c>
      <c r="C8" s="10" t="str">
        <v>Argyle</v>
      </c>
      <c r="D8" s="9" t="str">
        <v>Sr Boys</v>
      </c>
      <c r="E8" s="9">
        <v>12013</v>
      </c>
      <c r="F8" s="9"/>
      <c r="G8" s="9"/>
    </row>
    <row r="9" spans="1:7" ht="24" customHeight="1" x14ac:dyDescent="0.4">
      <c r="A9" s="9">
        <v>6</v>
      </c>
      <c r="B9" s="10" t="str">
        <v>Hyunseo Ryu</v>
      </c>
      <c r="C9" s="10" t="str">
        <v>Argyle</v>
      </c>
      <c r="D9" s="9" t="str">
        <v>Sr Boys</v>
      </c>
      <c r="E9" s="9">
        <v>12014</v>
      </c>
      <c r="F9" s="9"/>
      <c r="G9" s="9"/>
    </row>
    <row r="10" spans="1:7" ht="24" customHeight="1" x14ac:dyDescent="0.4">
      <c r="A10" s="9">
        <v>7</v>
      </c>
      <c r="B10" s="10" t="str">
        <v>Leif Montgomery</v>
      </c>
      <c r="C10" s="10" t="str">
        <v>Argyle</v>
      </c>
      <c r="D10" s="9" t="str">
        <v>Sr Boys</v>
      </c>
      <c r="E10" s="9">
        <v>12015</v>
      </c>
      <c r="F10" s="9"/>
      <c r="G10" s="9"/>
    </row>
    <row r="11" spans="1:7" ht="24" customHeight="1" x14ac:dyDescent="0.4">
      <c r="A11" s="9">
        <v>8</v>
      </c>
      <c r="B11" s="10" t="str">
        <v>Ben Christian</v>
      </c>
      <c r="C11" s="10" t="str">
        <v>Argyle</v>
      </c>
      <c r="D11" s="9" t="str">
        <v>Sr Boys</v>
      </c>
      <c r="E11" s="9">
        <v>12016</v>
      </c>
      <c r="F11" s="9"/>
      <c r="G11" s="9"/>
    </row>
    <row r="12" spans="1:7" ht="24" customHeight="1" x14ac:dyDescent="0.4">
      <c r="A12" s="9">
        <v>9</v>
      </c>
      <c r="B12" s="10" t="str">
        <v>Dylan Lilley</v>
      </c>
      <c r="C12" s="10" t="str">
        <v>Argyle</v>
      </c>
      <c r="D12" s="9" t="str">
        <v>Sr Boys</v>
      </c>
      <c r="E12" s="9">
        <v>12017</v>
      </c>
      <c r="F12" s="9"/>
      <c r="G12" s="9"/>
    </row>
    <row r="13" spans="1:7" ht="24" customHeight="1" x14ac:dyDescent="0.4">
      <c r="A13" s="9">
        <v>10</v>
      </c>
      <c r="B13" s="10" t="str">
        <v>Isaac Flegal</v>
      </c>
      <c r="C13" s="10" t="str">
        <v>Argyle</v>
      </c>
      <c r="D13" s="9" t="str">
        <v>Sr Boys</v>
      </c>
      <c r="E13" s="9">
        <v>12104</v>
      </c>
      <c r="F13" s="9"/>
      <c r="G13" s="9"/>
    </row>
    <row r="14" spans="1:7" ht="24" customHeight="1" x14ac:dyDescent="0.4">
      <c r="A14" s="9">
        <v>11</v>
      </c>
      <c r="B14" s="10" t="str">
        <v>Carter Bucci</v>
      </c>
      <c r="C14" s="10" t="str">
        <v>Brockton</v>
      </c>
      <c r="D14" s="9" t="str">
        <v>Sr Boys</v>
      </c>
      <c r="E14" s="9">
        <v>12018</v>
      </c>
      <c r="F14" s="9"/>
      <c r="G14" s="9"/>
    </row>
    <row r="15" spans="1:7" ht="24" customHeight="1" x14ac:dyDescent="0.4">
      <c r="A15" s="9">
        <v>12</v>
      </c>
      <c r="B15" s="10" t="str">
        <v>Harry Duess</v>
      </c>
      <c r="C15" s="10" t="str">
        <v>Brockton</v>
      </c>
      <c r="D15" s="9" t="str">
        <v>Sr Boys</v>
      </c>
      <c r="E15" s="9">
        <v>12019</v>
      </c>
      <c r="F15" s="9"/>
      <c r="G15" s="9"/>
    </row>
    <row r="16" spans="1:7" ht="24" customHeight="1" x14ac:dyDescent="0.4">
      <c r="A16" s="9">
        <v>13</v>
      </c>
      <c r="B16" s="10" t="str">
        <v>Tristan Ng</v>
      </c>
      <c r="C16" s="10" t="str">
        <v>Burnaby Mtn</v>
      </c>
      <c r="D16" s="9" t="str">
        <v>Sr Boys</v>
      </c>
      <c r="E16" s="9">
        <v>12020</v>
      </c>
      <c r="F16" s="9"/>
      <c r="G16" s="9"/>
    </row>
    <row r="17" spans="1:7" ht="24" customHeight="1" x14ac:dyDescent="0.4">
      <c r="A17" s="9">
        <v>14</v>
      </c>
      <c r="B17" s="10" t="str">
        <v>Will Burkett</v>
      </c>
      <c r="C17" s="10" t="str">
        <v>Burnaby Mtn</v>
      </c>
      <c r="D17" s="9" t="str">
        <v>Sr Boys</v>
      </c>
      <c r="E17" s="9">
        <v>12021</v>
      </c>
      <c r="F17" s="9"/>
      <c r="G17" s="9"/>
    </row>
    <row r="18" spans="1:7" ht="24" customHeight="1" x14ac:dyDescent="0.4">
      <c r="A18" s="9">
        <v>15</v>
      </c>
      <c r="B18" s="10" t="str">
        <v>Caige Udagawa</v>
      </c>
      <c r="C18" s="10" t="str">
        <v>Burnaby Mtn</v>
      </c>
      <c r="D18" s="9" t="str">
        <v>Sr Boys</v>
      </c>
      <c r="E18" s="9">
        <v>12022</v>
      </c>
      <c r="F18" s="9"/>
      <c r="G18" s="9"/>
    </row>
    <row r="19" spans="1:7" ht="24" customHeight="1" x14ac:dyDescent="0.4">
      <c r="A19" s="9">
        <v>16</v>
      </c>
      <c r="B19" s="10" t="str">
        <v>Jayin Charan</v>
      </c>
      <c r="C19" s="10" t="str">
        <v>Burnaby Mtn</v>
      </c>
      <c r="D19" s="9" t="str">
        <v>Sr Boys</v>
      </c>
      <c r="E19" s="9">
        <v>12023</v>
      </c>
      <c r="F19" s="9"/>
      <c r="G19" s="9"/>
    </row>
    <row r="20" spans="1:7" ht="24" customHeight="1" x14ac:dyDescent="0.4">
      <c r="A20" s="9">
        <v>17</v>
      </c>
      <c r="B20" s="10" t="str">
        <v>Luke Mackie</v>
      </c>
      <c r="C20" s="10" t="str">
        <v>Carson</v>
      </c>
      <c r="D20" s="9" t="str">
        <v>Sr Boys</v>
      </c>
      <c r="E20" s="9">
        <v>12024</v>
      </c>
      <c r="F20" s="9"/>
      <c r="G20" s="9"/>
    </row>
    <row r="21" spans="1:7" ht="24" customHeight="1" x14ac:dyDescent="0.4">
      <c r="A21" s="9">
        <v>18</v>
      </c>
      <c r="B21" s="10" t="str">
        <v>Jonah Rickard</v>
      </c>
      <c r="C21" s="10" t="str">
        <v>Carson</v>
      </c>
      <c r="D21" s="9" t="str">
        <v>Sr Boys</v>
      </c>
      <c r="E21" s="9">
        <v>12025</v>
      </c>
      <c r="F21" s="9"/>
      <c r="G21" s="9"/>
    </row>
    <row r="22" spans="1:7" ht="24" customHeight="1" x14ac:dyDescent="0.4">
      <c r="A22" s="9">
        <v>19</v>
      </c>
      <c r="B22" s="10" t="str">
        <v>Oscar Tschan</v>
      </c>
      <c r="C22" s="10" t="str">
        <v>Carson</v>
      </c>
      <c r="D22" s="9" t="str">
        <v>Sr Boys</v>
      </c>
      <c r="E22" s="9">
        <v>12026</v>
      </c>
      <c r="F22" s="9"/>
      <c r="G22" s="9"/>
    </row>
    <row r="23" spans="1:7" ht="24" customHeight="1" x14ac:dyDescent="0.4">
      <c r="A23" s="9">
        <v>20</v>
      </c>
      <c r="B23" s="10" t="str">
        <v>Trent McGrenera</v>
      </c>
      <c r="C23" s="10" t="str">
        <v>Carson</v>
      </c>
      <c r="D23" s="9" t="str">
        <v>Sr Boys</v>
      </c>
      <c r="E23" s="9">
        <v>12027</v>
      </c>
      <c r="F23" s="9"/>
      <c r="G23" s="9"/>
    </row>
    <row r="24" spans="1:7" ht="24" customHeight="1" x14ac:dyDescent="0.4">
      <c r="A24" s="9">
        <v>21</v>
      </c>
      <c r="B24" s="10" t="str">
        <v>Nate Morse</v>
      </c>
      <c r="C24" s="10" t="str">
        <v>Carson</v>
      </c>
      <c r="D24" s="9" t="str">
        <v>Sr Boys</v>
      </c>
      <c r="E24" s="9">
        <v>12028</v>
      </c>
      <c r="F24" s="9"/>
      <c r="G24" s="9"/>
    </row>
    <row r="25" spans="1:7" ht="24" customHeight="1" x14ac:dyDescent="0.4">
      <c r="A25" s="9">
        <v>22</v>
      </c>
      <c r="B25" s="10" t="str">
        <v>Eden Golan</v>
      </c>
      <c r="C25" s="10" t="str">
        <v>Carson</v>
      </c>
      <c r="D25" s="9" t="str">
        <v>Sr Boys</v>
      </c>
      <c r="E25" s="9">
        <v>12029</v>
      </c>
      <c r="F25" s="9"/>
      <c r="G25" s="9"/>
    </row>
    <row r="26" spans="1:7" ht="24" customHeight="1" x14ac:dyDescent="0.4">
      <c r="A26" s="9">
        <v>23</v>
      </c>
      <c r="B26" s="10" t="str">
        <v>Jake Brackenbury</v>
      </c>
      <c r="C26" s="10" t="str">
        <v>Carson</v>
      </c>
      <c r="D26" s="9" t="str">
        <v>Sr Boys</v>
      </c>
      <c r="E26" s="9">
        <v>12030</v>
      </c>
      <c r="F26" s="9"/>
      <c r="G26" s="9"/>
    </row>
    <row r="27" spans="1:7" ht="24" customHeight="1" x14ac:dyDescent="0.4">
      <c r="A27" s="9">
        <v>24</v>
      </c>
      <c r="B27" s="10" t="str">
        <v>James Pinfold</v>
      </c>
      <c r="C27" s="10" t="str">
        <v>Carson</v>
      </c>
      <c r="D27" s="9" t="str">
        <v>Sr Boys</v>
      </c>
      <c r="E27" s="9">
        <v>12103</v>
      </c>
      <c r="F27" s="9"/>
      <c r="G27" s="9"/>
    </row>
    <row r="28" spans="1:7" ht="24" customHeight="1" x14ac:dyDescent="0.4">
      <c r="A28" s="9">
        <v>25</v>
      </c>
      <c r="B28" s="10" t="str">
        <v>Quentin Bayle</v>
      </c>
      <c r="C28" s="10" t="str">
        <v>Chatelech</v>
      </c>
      <c r="D28" s="9" t="str">
        <v>Sr Boys</v>
      </c>
      <c r="E28" s="9">
        <v>12031</v>
      </c>
      <c r="F28" s="9"/>
      <c r="G28" s="9"/>
    </row>
    <row r="29" spans="1:7" ht="24" customHeight="1" x14ac:dyDescent="0.4">
      <c r="A29" s="9">
        <v>26</v>
      </c>
      <c r="B29" s="10" t="str">
        <v>Harrison Hume</v>
      </c>
      <c r="C29" s="10" t="str">
        <v>Coast Mtn</v>
      </c>
      <c r="D29" s="9" t="str">
        <v>Sr Boys</v>
      </c>
      <c r="E29" s="9">
        <v>12032</v>
      </c>
      <c r="F29" s="9"/>
      <c r="G29" s="9"/>
    </row>
    <row r="30" spans="1:7" ht="24" customHeight="1" x14ac:dyDescent="0.4">
      <c r="A30" s="9">
        <v>27</v>
      </c>
      <c r="B30" s="10" t="str">
        <v>Rafe Hudson</v>
      </c>
      <c r="C30" s="10" t="str">
        <v>Coast Mtn</v>
      </c>
      <c r="D30" s="9" t="str">
        <v>Sr Boys</v>
      </c>
      <c r="E30" s="9">
        <v>12033</v>
      </c>
      <c r="F30" s="9"/>
      <c r="G30" s="9"/>
    </row>
    <row r="31" spans="1:7" ht="24" customHeight="1" x14ac:dyDescent="0.4">
      <c r="A31" s="9">
        <v>28</v>
      </c>
      <c r="B31" s="10" t="str">
        <v>Beckett Jiminez</v>
      </c>
      <c r="C31" s="10" t="str">
        <v>Collingwood</v>
      </c>
      <c r="D31" s="9" t="str">
        <v>Sr Boys</v>
      </c>
      <c r="E31" s="9">
        <v>12034</v>
      </c>
      <c r="F31" s="9"/>
      <c r="G31" s="9"/>
    </row>
    <row r="32" spans="1:7" ht="24" customHeight="1" x14ac:dyDescent="0.4">
      <c r="A32" s="9">
        <v>29</v>
      </c>
      <c r="B32" s="10" t="str">
        <v>Zachary Jiminez</v>
      </c>
      <c r="C32" s="10" t="str">
        <v>Collingwood</v>
      </c>
      <c r="D32" s="9" t="str">
        <v>Sr Boys</v>
      </c>
      <c r="E32" s="9">
        <v>12035</v>
      </c>
      <c r="F32" s="9"/>
      <c r="G32" s="9"/>
    </row>
    <row r="33" spans="1:7" ht="24" customHeight="1" x14ac:dyDescent="0.4">
      <c r="A33" s="9">
        <v>30</v>
      </c>
      <c r="B33" s="10" t="str">
        <v>Chase Marchuk</v>
      </c>
      <c r="C33" s="10" t="str">
        <v>GW Graham</v>
      </c>
      <c r="D33" s="9" t="str">
        <v>Sr Boys</v>
      </c>
      <c r="E33" s="9">
        <v>12036</v>
      </c>
      <c r="F33" s="9"/>
      <c r="G33" s="9"/>
    </row>
    <row r="34" spans="1:7" ht="24" customHeight="1" x14ac:dyDescent="0.4">
      <c r="A34" s="9">
        <v>31</v>
      </c>
      <c r="B34" s="10" t="str">
        <v>Luke Mulyono</v>
      </c>
      <c r="C34" s="10" t="str">
        <v>GW Graham</v>
      </c>
      <c r="D34" s="9" t="str">
        <v>Sr Boys</v>
      </c>
      <c r="E34" s="9">
        <v>12037</v>
      </c>
      <c r="F34" s="9"/>
      <c r="G34" s="9"/>
    </row>
    <row r="35" spans="1:7" ht="24" customHeight="1" x14ac:dyDescent="0.4">
      <c r="A35" s="9">
        <v>32</v>
      </c>
      <c r="B35" s="10" t="str">
        <v>Hudson Baker</v>
      </c>
      <c r="C35" s="10" t="str">
        <v>Handsworth</v>
      </c>
      <c r="D35" s="9" t="str">
        <v>Sr Boys</v>
      </c>
      <c r="E35" s="9">
        <v>12038</v>
      </c>
      <c r="F35" s="9"/>
      <c r="G35" s="9"/>
    </row>
    <row r="36" spans="1:7" ht="24" customHeight="1" x14ac:dyDescent="0.4">
      <c r="A36" s="9">
        <v>33</v>
      </c>
      <c r="B36" s="10" t="str">
        <v>Jacob Bergerhoff</v>
      </c>
      <c r="C36" s="10" t="str">
        <v>Handsworth</v>
      </c>
      <c r="D36" s="9" t="str">
        <v>Sr Boys</v>
      </c>
      <c r="E36" s="9">
        <v>12039</v>
      </c>
      <c r="F36" s="9"/>
      <c r="G36" s="9"/>
    </row>
    <row r="37" spans="1:7" ht="24" customHeight="1" x14ac:dyDescent="0.4">
      <c r="A37" s="9">
        <v>34</v>
      </c>
      <c r="B37" s="10" t="str">
        <v>Russell Ferguson</v>
      </c>
      <c r="C37" s="10" t="str">
        <v>Handsworth</v>
      </c>
      <c r="D37" s="9" t="str">
        <v>Sr Boys</v>
      </c>
      <c r="E37" s="9">
        <v>12040</v>
      </c>
      <c r="F37" s="9"/>
      <c r="G37" s="9"/>
    </row>
    <row r="38" spans="1:7" ht="24" customHeight="1" x14ac:dyDescent="0.4">
      <c r="A38" s="9">
        <v>35</v>
      </c>
      <c r="B38" s="10" t="str">
        <v>Noah Gradin</v>
      </c>
      <c r="C38" s="10" t="str">
        <v>Handsworth</v>
      </c>
      <c r="D38" s="9" t="str">
        <v>Sr Boys</v>
      </c>
      <c r="E38" s="9">
        <v>12041</v>
      </c>
      <c r="F38" s="9"/>
      <c r="G38" s="9"/>
    </row>
    <row r="39" spans="1:7" ht="24" customHeight="1" x14ac:dyDescent="0.4">
      <c r="A39" s="9">
        <v>36</v>
      </c>
      <c r="B39" s="10" t="str">
        <v>Trevor Gurd</v>
      </c>
      <c r="C39" s="10" t="str">
        <v>Handsworth</v>
      </c>
      <c r="D39" s="9" t="str">
        <v>Sr Boys</v>
      </c>
      <c r="E39" s="9">
        <v>12042</v>
      </c>
      <c r="F39" s="9"/>
      <c r="G39" s="9"/>
    </row>
    <row r="40" spans="1:7" ht="24" customHeight="1" x14ac:dyDescent="0.4">
      <c r="A40" s="9">
        <v>37</v>
      </c>
      <c r="B40" s="10" t="str">
        <v>Easton Hestler</v>
      </c>
      <c r="C40" s="10" t="str">
        <v>Handsworth</v>
      </c>
      <c r="D40" s="9" t="str">
        <v>Sr Boys</v>
      </c>
      <c r="E40" s="9">
        <v>12043</v>
      </c>
      <c r="F40" s="9"/>
      <c r="G40" s="9"/>
    </row>
    <row r="41" spans="1:7" ht="24" customHeight="1" x14ac:dyDescent="0.4">
      <c r="A41" s="9">
        <v>38</v>
      </c>
      <c r="B41" s="10" t="str">
        <v>Riley Hobbs</v>
      </c>
      <c r="C41" s="10" t="str">
        <v>Handsworth</v>
      </c>
      <c r="D41" s="9" t="str">
        <v>Sr Boys</v>
      </c>
      <c r="E41" s="9">
        <v>12044</v>
      </c>
      <c r="F41" s="9"/>
      <c r="G41" s="9"/>
    </row>
    <row r="42" spans="1:7" ht="24" customHeight="1" x14ac:dyDescent="0.4">
      <c r="A42" s="9">
        <v>39</v>
      </c>
      <c r="B42" s="10" t="str">
        <v>Owen Moore</v>
      </c>
      <c r="C42" s="10" t="str">
        <v>Handsworth</v>
      </c>
      <c r="D42" s="9" t="str">
        <v>Sr Boys</v>
      </c>
      <c r="E42" s="9">
        <v>12045</v>
      </c>
      <c r="F42" s="9"/>
      <c r="G42" s="9"/>
    </row>
    <row r="43" spans="1:7" ht="24" customHeight="1" x14ac:dyDescent="0.4">
      <c r="A43" s="9">
        <v>40</v>
      </c>
      <c r="B43" s="10" t="str">
        <v>Nathaniel Pica</v>
      </c>
      <c r="C43" s="10" t="str">
        <v>Handsworth</v>
      </c>
      <c r="D43" s="9" t="str">
        <v>Sr Boys</v>
      </c>
      <c r="E43" s="9">
        <v>12046</v>
      </c>
      <c r="F43" s="9"/>
      <c r="G43" s="9"/>
    </row>
    <row r="44" spans="1:7" ht="24" customHeight="1" x14ac:dyDescent="0.4">
      <c r="A44" s="9">
        <v>41</v>
      </c>
      <c r="B44" s="10" t="str">
        <v>Max Rinzema</v>
      </c>
      <c r="C44" s="10" t="str">
        <v>Handsworth</v>
      </c>
      <c r="D44" s="9" t="str">
        <v>Sr Boys</v>
      </c>
      <c r="E44" s="9">
        <v>12047</v>
      </c>
      <c r="F44" s="9"/>
      <c r="G44" s="9"/>
    </row>
    <row r="45" spans="1:7" ht="24" customHeight="1" x14ac:dyDescent="0.4">
      <c r="A45" s="9">
        <v>42</v>
      </c>
      <c r="B45" s="10" t="str">
        <v>Ethan Stewart</v>
      </c>
      <c r="C45" s="10" t="str">
        <v>Handsworth</v>
      </c>
      <c r="D45" s="9" t="str">
        <v>Sr Boys</v>
      </c>
      <c r="E45" s="9">
        <v>12048</v>
      </c>
      <c r="F45" s="9"/>
      <c r="G45" s="9"/>
    </row>
    <row r="46" spans="1:7" ht="24" customHeight="1" x14ac:dyDescent="0.4">
      <c r="A46" s="9">
        <v>43</v>
      </c>
      <c r="B46" s="10" t="str">
        <v>Bennet Scheider</v>
      </c>
      <c r="C46" s="10" t="str">
        <v>Howe Sound</v>
      </c>
      <c r="D46" s="9" t="str">
        <v>Sr Boys</v>
      </c>
      <c r="E46" s="9">
        <v>12049</v>
      </c>
      <c r="F46" s="9"/>
      <c r="G46" s="9"/>
    </row>
    <row r="47" spans="1:7" ht="24" customHeight="1" x14ac:dyDescent="0.4">
      <c r="A47" s="9">
        <v>44</v>
      </c>
      <c r="B47" s="10" t="str">
        <v xml:space="preserve">Caelan Hooper </v>
      </c>
      <c r="C47" s="10" t="str">
        <v>Howe Sound</v>
      </c>
      <c r="D47" s="9" t="str">
        <v>Sr Boys</v>
      </c>
      <c r="E47" s="9">
        <v>12050</v>
      </c>
      <c r="F47" s="9"/>
      <c r="G47" s="9"/>
    </row>
    <row r="48" spans="1:7" ht="24" customHeight="1" x14ac:dyDescent="0.4">
      <c r="A48" s="9">
        <v>45</v>
      </c>
      <c r="B48" s="10" t="str">
        <v>Caleb Leung</v>
      </c>
      <c r="C48" s="10" t="str">
        <v>Howe Sound</v>
      </c>
      <c r="D48" s="9" t="str">
        <v>Sr Boys</v>
      </c>
      <c r="E48" s="9">
        <v>12051</v>
      </c>
      <c r="F48" s="9"/>
      <c r="G48" s="9"/>
    </row>
    <row r="49" spans="1:7" ht="24" customHeight="1" x14ac:dyDescent="0.4">
      <c r="A49" s="9">
        <v>46</v>
      </c>
      <c r="B49" s="10" t="str">
        <v xml:space="preserve">Hendrik Lorenz </v>
      </c>
      <c r="C49" s="10" t="str">
        <v>Howe Sound</v>
      </c>
      <c r="D49" s="9" t="str">
        <v>Sr Boys</v>
      </c>
      <c r="E49" s="9">
        <v>12052</v>
      </c>
      <c r="F49" s="9"/>
      <c r="G49" s="9"/>
    </row>
    <row r="50" spans="1:7" ht="24" customHeight="1" x14ac:dyDescent="0.4">
      <c r="A50" s="9">
        <v>47</v>
      </c>
      <c r="B50" s="10" t="str">
        <v>Paul Musculus</v>
      </c>
      <c r="C50" s="10" t="str">
        <v>Howe Sound</v>
      </c>
      <c r="D50" s="9" t="str">
        <v>Sr Boys</v>
      </c>
      <c r="E50" s="9">
        <v>12053</v>
      </c>
      <c r="F50" s="9"/>
      <c r="G50" s="9"/>
    </row>
    <row r="51" spans="1:7" ht="24" customHeight="1" x14ac:dyDescent="0.4">
      <c r="A51" s="9">
        <v>48</v>
      </c>
      <c r="B51" s="10" t="str">
        <v>Shu Yano</v>
      </c>
      <c r="C51" s="10" t="str">
        <v>Howe Sound</v>
      </c>
      <c r="D51" s="9" t="str">
        <v>Sr Boys</v>
      </c>
      <c r="E51" s="9">
        <v>12054</v>
      </c>
      <c r="F51" s="9"/>
      <c r="G51" s="9"/>
    </row>
    <row r="52" spans="1:7" ht="24" customHeight="1" x14ac:dyDescent="0.4">
      <c r="A52" s="9">
        <v>49</v>
      </c>
      <c r="B52" s="10" t="str">
        <v>Konrad Pfaff</v>
      </c>
      <c r="C52" s="10" t="str">
        <v>Howe Sound</v>
      </c>
      <c r="D52" s="9" t="str">
        <v>Sr Boys</v>
      </c>
      <c r="E52" s="9">
        <v>12055</v>
      </c>
      <c r="F52" s="9"/>
      <c r="G52" s="9"/>
    </row>
    <row r="53" spans="1:7" ht="24" customHeight="1" x14ac:dyDescent="0.4">
      <c r="A53" s="9">
        <v>50</v>
      </c>
      <c r="B53" s="10" t="str">
        <v>Howard Wang</v>
      </c>
      <c r="C53" s="10" t="str">
        <v>Howe Sound</v>
      </c>
      <c r="D53" s="9" t="str">
        <v>Sr Boys</v>
      </c>
      <c r="E53" s="9">
        <v>12056</v>
      </c>
      <c r="F53" s="9"/>
      <c r="G53" s="9"/>
    </row>
    <row r="54" spans="1:7" ht="24" customHeight="1" x14ac:dyDescent="0.4">
      <c r="A54" s="9">
        <v>51</v>
      </c>
      <c r="B54" s="10" t="str">
        <v>Riley Drever</v>
      </c>
      <c r="C54" s="10" t="str">
        <v>Howe Sound</v>
      </c>
      <c r="D54" s="9" t="str">
        <v>Sr Boys</v>
      </c>
      <c r="E54" s="9">
        <v>12057</v>
      </c>
      <c r="F54" s="9"/>
      <c r="G54" s="9"/>
    </row>
    <row r="55" spans="1:7" ht="24" customHeight="1" x14ac:dyDescent="0.4">
      <c r="A55" s="9">
        <v>52</v>
      </c>
      <c r="B55" s="10" t="str">
        <v>Jed Fleming</v>
      </c>
      <c r="C55" s="10" t="str">
        <v>Howe Sound</v>
      </c>
      <c r="D55" s="9" t="str">
        <v>Sr Boys</v>
      </c>
      <c r="E55" s="9">
        <v>12058</v>
      </c>
      <c r="F55" s="9"/>
      <c r="G55" s="9"/>
    </row>
    <row r="56" spans="1:7" ht="24" customHeight="1" x14ac:dyDescent="0.4">
      <c r="A56" s="9">
        <v>53</v>
      </c>
      <c r="B56" s="10" t="str">
        <v>Mateo Quist</v>
      </c>
      <c r="C56" s="10" t="str">
        <v>Howe Sound</v>
      </c>
      <c r="D56" s="9" t="str">
        <v>Sr Boys</v>
      </c>
      <c r="E56" s="9">
        <v>12059</v>
      </c>
      <c r="F56" s="9"/>
      <c r="G56" s="9"/>
    </row>
    <row r="57" spans="1:7" ht="24" customHeight="1" x14ac:dyDescent="0.4">
      <c r="A57" s="9">
        <v>54</v>
      </c>
      <c r="B57" s="10" t="str">
        <v>Florian Ruoff</v>
      </c>
      <c r="C57" s="10" t="str">
        <v>Howe Sound</v>
      </c>
      <c r="D57" s="9" t="str">
        <v>Sr Boys</v>
      </c>
      <c r="E57" s="9">
        <v>12060</v>
      </c>
      <c r="F57" s="9"/>
      <c r="G57" s="9"/>
    </row>
    <row r="58" spans="1:7" ht="24" customHeight="1" x14ac:dyDescent="0.4">
      <c r="A58" s="9">
        <v>55</v>
      </c>
      <c r="B58" s="10" t="str">
        <v>Felix LeBlanc</v>
      </c>
      <c r="C58" s="10" t="str">
        <v>Pemberton</v>
      </c>
      <c r="D58" s="9" t="str">
        <v>Sr Boys</v>
      </c>
      <c r="E58" s="9">
        <v>12061</v>
      </c>
      <c r="F58" s="9"/>
      <c r="G58" s="9"/>
    </row>
    <row r="59" spans="1:7" ht="24" customHeight="1" x14ac:dyDescent="0.4">
      <c r="A59" s="9">
        <v>56</v>
      </c>
      <c r="B59" s="10" t="str">
        <v>Hunter Ronayne</v>
      </c>
      <c r="C59" s="10" t="str">
        <v>Pemberton</v>
      </c>
      <c r="D59" s="9" t="str">
        <v>Sr Boys</v>
      </c>
      <c r="E59" s="9">
        <v>12062</v>
      </c>
      <c r="F59" s="9"/>
      <c r="G59" s="9"/>
    </row>
    <row r="60" spans="1:7" ht="24" customHeight="1" x14ac:dyDescent="0.4">
      <c r="A60" s="9">
        <v>57</v>
      </c>
      <c r="B60" s="10" t="str">
        <v>Ethan Andrew</v>
      </c>
      <c r="C60" s="10" t="str">
        <v>Pemberton</v>
      </c>
      <c r="D60" s="9" t="str">
        <v>Sr Boys</v>
      </c>
      <c r="E60" s="9">
        <v>12063</v>
      </c>
      <c r="F60" s="9"/>
      <c r="G60" s="9"/>
    </row>
    <row r="61" spans="1:7" ht="24" customHeight="1" x14ac:dyDescent="0.4">
      <c r="A61" s="9">
        <v>58</v>
      </c>
      <c r="B61" s="10" t="str">
        <v>India Becker</v>
      </c>
      <c r="C61" s="10" t="str">
        <v>Pemberton</v>
      </c>
      <c r="D61" s="9" t="str">
        <v>Sr Boys</v>
      </c>
      <c r="E61" s="9">
        <v>12064</v>
      </c>
      <c r="F61" s="9"/>
      <c r="G61" s="9"/>
    </row>
    <row r="62" spans="1:7" ht="24" customHeight="1" x14ac:dyDescent="0.4">
      <c r="A62" s="9">
        <v>59</v>
      </c>
      <c r="B62" s="10" t="str">
        <v>Tristan Benes</v>
      </c>
      <c r="C62" s="10" t="str">
        <v>Pemberton</v>
      </c>
      <c r="D62" s="9" t="str">
        <v>Sr Boys</v>
      </c>
      <c r="E62" s="9">
        <v>12065</v>
      </c>
      <c r="F62" s="9"/>
      <c r="G62" s="9"/>
    </row>
    <row r="63" spans="1:7" ht="24" customHeight="1" x14ac:dyDescent="0.4">
      <c r="A63" s="9">
        <v>60</v>
      </c>
      <c r="B63" s="10" t="str">
        <v>Finlay Bubbs</v>
      </c>
      <c r="C63" s="10" t="str">
        <v>Pemberton</v>
      </c>
      <c r="D63" s="9" t="str">
        <v>Sr Boys</v>
      </c>
      <c r="E63" s="9">
        <v>12066</v>
      </c>
      <c r="F63" s="9"/>
      <c r="G63" s="9"/>
    </row>
    <row r="64" spans="1:7" ht="24" customHeight="1" x14ac:dyDescent="0.4">
      <c r="A64" s="9">
        <v>61</v>
      </c>
      <c r="B64" s="10" t="str">
        <v>Joey Kearnes</v>
      </c>
      <c r="C64" s="10" t="str">
        <v>Pemberton</v>
      </c>
      <c r="D64" s="9" t="str">
        <v>Sr Boys</v>
      </c>
      <c r="E64" s="9">
        <v>12067</v>
      </c>
      <c r="F64" s="9"/>
      <c r="G64" s="9"/>
    </row>
    <row r="65" spans="1:7" ht="24" customHeight="1" x14ac:dyDescent="0.4">
      <c r="A65" s="9">
        <v>62</v>
      </c>
      <c r="B65" s="10" t="str">
        <v>Liam McNolty</v>
      </c>
      <c r="C65" s="10" t="str">
        <v>Pemberton</v>
      </c>
      <c r="D65" s="9" t="str">
        <v>Sr Boys</v>
      </c>
      <c r="E65" s="9">
        <v>12068</v>
      </c>
      <c r="F65" s="9"/>
      <c r="G65" s="9"/>
    </row>
    <row r="66" spans="1:7" ht="24" customHeight="1" x14ac:dyDescent="0.4">
      <c r="A66" s="9">
        <v>63</v>
      </c>
      <c r="B66" s="10" t="str">
        <v>Oscar Tarling</v>
      </c>
      <c r="C66" s="10" t="str">
        <v>Pemberton</v>
      </c>
      <c r="D66" s="9" t="str">
        <v>Sr Boys</v>
      </c>
      <c r="E66" s="9">
        <v>12069</v>
      </c>
      <c r="F66" s="9"/>
      <c r="G66" s="9"/>
    </row>
    <row r="67" spans="1:7" ht="24" customHeight="1" x14ac:dyDescent="0.4">
      <c r="A67" s="9">
        <v>64</v>
      </c>
      <c r="B67" s="10" t="str">
        <v>Rory Taylor</v>
      </c>
      <c r="C67" s="10" t="str">
        <v>Pemberton</v>
      </c>
      <c r="D67" s="9" t="str">
        <v>Sr Boys</v>
      </c>
      <c r="E67" s="9">
        <v>12070</v>
      </c>
      <c r="F67" s="9"/>
      <c r="G67" s="9"/>
    </row>
    <row r="68" spans="1:7" ht="24" customHeight="1" x14ac:dyDescent="0.4">
      <c r="A68" s="9">
        <v>65</v>
      </c>
      <c r="B68" s="10" t="str">
        <v>Deegan Wright</v>
      </c>
      <c r="C68" s="10" t="str">
        <v>Pemberton</v>
      </c>
      <c r="D68" s="9" t="str">
        <v>Sr Boys</v>
      </c>
      <c r="E68" s="9">
        <v>12071</v>
      </c>
      <c r="F68" s="9"/>
      <c r="G68" s="9"/>
    </row>
    <row r="69" spans="1:7" ht="24" customHeight="1" x14ac:dyDescent="0.4">
      <c r="A69" s="9">
        <v>66</v>
      </c>
      <c r="B69" s="10" t="str">
        <v>Ben Horswill</v>
      </c>
      <c r="C69" s="10" t="str">
        <v>Rockridge</v>
      </c>
      <c r="D69" s="9" t="str">
        <v>Sr Boys</v>
      </c>
      <c r="E69" s="9">
        <v>12072</v>
      </c>
      <c r="F69" s="9"/>
      <c r="G69" s="9"/>
    </row>
    <row r="70" spans="1:7" ht="24" customHeight="1" x14ac:dyDescent="0.4">
      <c r="A70" s="9">
        <v>67</v>
      </c>
      <c r="B70" s="10" t="str">
        <v>Oliver McKnight</v>
      </c>
      <c r="C70" s="10" t="str">
        <v>Rockridge</v>
      </c>
      <c r="D70" s="9" t="str">
        <v>Sr Boys</v>
      </c>
      <c r="E70" s="9">
        <v>12073</v>
      </c>
      <c r="F70" s="9"/>
      <c r="G70" s="9"/>
    </row>
    <row r="71" spans="1:7" ht="24" customHeight="1" x14ac:dyDescent="0.4">
      <c r="A71" s="9">
        <v>68</v>
      </c>
      <c r="B71" s="10" t="str">
        <v>Emil Reischl</v>
      </c>
      <c r="C71" s="10" t="str">
        <v>Rockridge</v>
      </c>
      <c r="D71" s="9" t="str">
        <v>Sr Boys</v>
      </c>
      <c r="E71" s="9">
        <v>12074</v>
      </c>
      <c r="F71" s="9"/>
      <c r="G71" s="9"/>
    </row>
    <row r="72" spans="1:7" ht="24" customHeight="1" x14ac:dyDescent="0.4">
      <c r="A72" s="9">
        <v>69</v>
      </c>
      <c r="B72" s="10" t="str">
        <v>Keaton Schisler</v>
      </c>
      <c r="C72" s="10" t="str">
        <v>Seycove</v>
      </c>
      <c r="D72" s="9" t="str">
        <v>Sr Boys</v>
      </c>
      <c r="E72" s="9">
        <v>12075</v>
      </c>
      <c r="F72" s="9"/>
      <c r="G72" s="9"/>
    </row>
    <row r="73" spans="1:7" ht="24" customHeight="1" x14ac:dyDescent="0.4">
      <c r="A73" s="9">
        <v>70</v>
      </c>
      <c r="B73" s="10" t="str">
        <v>Brendan Hutchinson</v>
      </c>
      <c r="C73" s="10" t="str">
        <v>Seycove</v>
      </c>
      <c r="D73" s="9" t="str">
        <v>Sr Boys</v>
      </c>
      <c r="E73" s="9">
        <v>12105</v>
      </c>
      <c r="F73" s="9"/>
      <c r="G73" s="9"/>
    </row>
    <row r="74" spans="1:7" ht="24" customHeight="1" x14ac:dyDescent="0.4">
      <c r="A74" s="9">
        <v>71</v>
      </c>
      <c r="B74" s="10" t="str">
        <v>Henry Harland</v>
      </c>
      <c r="C74" s="10" t="str">
        <v>St. Georges</v>
      </c>
      <c r="D74" s="9" t="str">
        <v>Sr Boys</v>
      </c>
      <c r="E74" s="9">
        <v>12076</v>
      </c>
      <c r="F74" s="9"/>
      <c r="G74" s="9"/>
    </row>
    <row r="75" spans="1:7" ht="24" customHeight="1" x14ac:dyDescent="0.4">
      <c r="A75" s="9">
        <v>72</v>
      </c>
      <c r="B75" s="10" t="str">
        <v>Declan Kirker</v>
      </c>
      <c r="C75" s="10" t="str">
        <v>St. Georges</v>
      </c>
      <c r="D75" s="9" t="str">
        <v>Sr Boys</v>
      </c>
      <c r="E75" s="9">
        <v>12077</v>
      </c>
      <c r="F75" s="9"/>
      <c r="G75" s="9"/>
    </row>
    <row r="76" spans="1:7" ht="24" customHeight="1" x14ac:dyDescent="0.4">
      <c r="A76" s="9">
        <v>73</v>
      </c>
      <c r="B76" s="10" t="str">
        <v xml:space="preserve">Charles Ho </v>
      </c>
      <c r="C76" s="10" t="str">
        <v>St. Georges</v>
      </c>
      <c r="D76" s="9" t="str">
        <v>Sr Boys</v>
      </c>
      <c r="E76" s="9">
        <v>12078</v>
      </c>
      <c r="F76" s="9"/>
      <c r="G76" s="9"/>
    </row>
    <row r="77" spans="1:7" ht="24" customHeight="1" x14ac:dyDescent="0.4">
      <c r="A77" s="9">
        <v>74</v>
      </c>
      <c r="B77" s="10" t="str">
        <v>Isaac Dirkson</v>
      </c>
      <c r="C77" s="10" t="str">
        <v>St. Georges</v>
      </c>
      <c r="D77" s="9" t="str">
        <v>Sr Boys</v>
      </c>
      <c r="E77" s="9">
        <v>12079</v>
      </c>
      <c r="F77" s="9"/>
      <c r="G77" s="9"/>
    </row>
    <row r="78" spans="1:7" ht="24" customHeight="1" x14ac:dyDescent="0.4">
      <c r="A78" s="9">
        <v>75</v>
      </c>
      <c r="B78" s="10" t="str">
        <v>Finn Brownlee</v>
      </c>
      <c r="C78" s="10" t="str">
        <v>STA</v>
      </c>
      <c r="D78" s="9" t="str">
        <v>Sr Boys</v>
      </c>
      <c r="E78" s="9">
        <v>12080</v>
      </c>
      <c r="F78" s="9"/>
      <c r="G78" s="9"/>
    </row>
    <row r="79" spans="1:7" ht="24" customHeight="1" x14ac:dyDescent="0.4">
      <c r="A79" s="9">
        <v>76</v>
      </c>
      <c r="B79" s="10" t="str">
        <v>William Elliott</v>
      </c>
      <c r="C79" s="10" t="str">
        <v>STA</v>
      </c>
      <c r="D79" s="9" t="str">
        <v>Sr Boys</v>
      </c>
      <c r="E79" s="9">
        <v>12081</v>
      </c>
      <c r="F79" s="9"/>
      <c r="G79" s="9"/>
    </row>
    <row r="80" spans="1:7" ht="24" customHeight="1" x14ac:dyDescent="0.4">
      <c r="A80" s="9">
        <v>77</v>
      </c>
      <c r="B80" s="10" t="str">
        <v>Miles Ferguson</v>
      </c>
      <c r="C80" s="10" t="str">
        <v>STA</v>
      </c>
      <c r="D80" s="9" t="str">
        <v>Sr Boys</v>
      </c>
      <c r="E80" s="9">
        <v>12082</v>
      </c>
      <c r="F80" s="9"/>
      <c r="G80" s="9"/>
    </row>
    <row r="81" spans="1:7" ht="24" customHeight="1" x14ac:dyDescent="0.4">
      <c r="A81" s="9">
        <v>78</v>
      </c>
      <c r="B81" s="10" t="str">
        <v>Shae O'Boyle</v>
      </c>
      <c r="C81" s="10" t="str">
        <v>STA</v>
      </c>
      <c r="D81" s="9" t="str">
        <v>Sr Boys</v>
      </c>
      <c r="E81" s="9">
        <v>12083</v>
      </c>
      <c r="F81" s="9"/>
      <c r="G81" s="9"/>
    </row>
    <row r="82" spans="1:7" ht="24" customHeight="1" x14ac:dyDescent="0.4">
      <c r="A82" s="9">
        <v>79</v>
      </c>
      <c r="B82" s="10" t="str">
        <v>Charles Suda</v>
      </c>
      <c r="C82" s="10" t="str">
        <v>STA</v>
      </c>
      <c r="D82" s="9" t="str">
        <v>Sr Boys</v>
      </c>
      <c r="E82" s="9">
        <v>12084</v>
      </c>
      <c r="F82" s="9"/>
      <c r="G82" s="9"/>
    </row>
    <row r="83" spans="1:7" ht="24" customHeight="1" x14ac:dyDescent="0.4">
      <c r="A83" s="9">
        <v>80</v>
      </c>
      <c r="B83" s="10" t="str">
        <v>Carden Tomic</v>
      </c>
      <c r="C83" s="10" t="str">
        <v>STA</v>
      </c>
      <c r="D83" s="9" t="str">
        <v>Sr Boys</v>
      </c>
      <c r="E83" s="9">
        <v>12085</v>
      </c>
      <c r="F83" s="9"/>
      <c r="G83" s="9"/>
    </row>
    <row r="84" spans="1:7" ht="24" customHeight="1" x14ac:dyDescent="0.4">
      <c r="A84" s="9">
        <v>81</v>
      </c>
      <c r="B84" s="10" t="str">
        <v>Jack Watkins</v>
      </c>
      <c r="C84" s="10" t="str">
        <v>STA</v>
      </c>
      <c r="D84" s="9" t="str">
        <v>Sr Boys</v>
      </c>
      <c r="E84" s="9">
        <v>12086</v>
      </c>
      <c r="F84" s="9"/>
      <c r="G84" s="9"/>
    </row>
    <row r="85" spans="1:7" ht="24" customHeight="1" x14ac:dyDescent="0.4">
      <c r="A85" s="9">
        <v>82</v>
      </c>
      <c r="B85" s="10" t="str">
        <v>Andrew Loutit</v>
      </c>
      <c r="C85" s="10" t="str">
        <v>Sutherland</v>
      </c>
      <c r="D85" s="9" t="str">
        <v>Sr Boys</v>
      </c>
      <c r="E85" s="9">
        <v>12087</v>
      </c>
      <c r="F85" s="9"/>
      <c r="G85" s="9"/>
    </row>
    <row r="86" spans="1:7" ht="24" customHeight="1" x14ac:dyDescent="0.4">
      <c r="A86" s="9">
        <v>83</v>
      </c>
      <c r="B86" s="10" t="str">
        <v>Carter Fincham</v>
      </c>
      <c r="C86" s="10" t="str">
        <v>Sutherland</v>
      </c>
      <c r="D86" s="9" t="str">
        <v>Sr Boys</v>
      </c>
      <c r="E86" s="9">
        <v>12089</v>
      </c>
      <c r="F86" s="9"/>
      <c r="G86" s="9"/>
    </row>
    <row r="87" spans="1:7" ht="24" customHeight="1" x14ac:dyDescent="0.4">
      <c r="A87" s="9">
        <v>84</v>
      </c>
      <c r="B87" s="10" t="str">
        <v>Jeanre Raubenheimer</v>
      </c>
      <c r="C87" s="10" t="str">
        <v>Sutherland</v>
      </c>
      <c r="D87" s="9" t="str">
        <v>Sr Boys</v>
      </c>
      <c r="E87" s="9">
        <v>12090</v>
      </c>
      <c r="F87" s="9"/>
      <c r="G87" s="9"/>
    </row>
    <row r="88" spans="1:7" ht="24" customHeight="1" x14ac:dyDescent="0.4">
      <c r="A88" s="9">
        <v>85</v>
      </c>
      <c r="B88" s="10" t="str">
        <v>Kai McLeod</v>
      </c>
      <c r="C88" s="10" t="str">
        <v>Sutherland</v>
      </c>
      <c r="D88" s="9" t="str">
        <v>Sr Boys</v>
      </c>
      <c r="E88" s="9">
        <v>12091</v>
      </c>
      <c r="F88" s="9"/>
      <c r="G88" s="9"/>
    </row>
    <row r="89" spans="1:7" ht="24" customHeight="1" x14ac:dyDescent="0.4">
      <c r="A89" s="9">
        <v>86</v>
      </c>
      <c r="B89" s="10" t="str">
        <v>Sam Roy</v>
      </c>
      <c r="C89" s="10" t="str">
        <v>Sutherland</v>
      </c>
      <c r="D89" s="9" t="str">
        <v>Sr Boys</v>
      </c>
      <c r="E89" s="9">
        <v>12092</v>
      </c>
      <c r="F89" s="9"/>
      <c r="G89" s="9"/>
    </row>
    <row r="90" spans="1:7" ht="24" customHeight="1" x14ac:dyDescent="0.4">
      <c r="A90" s="9">
        <v>87</v>
      </c>
      <c r="B90" s="10" t="str">
        <v>Mateo Ortiz</v>
      </c>
      <c r="C90" s="10" t="str">
        <v>Sutherland</v>
      </c>
      <c r="D90" s="9" t="str">
        <v>Sr Boys</v>
      </c>
      <c r="E90" s="9">
        <v>12093</v>
      </c>
      <c r="F90" s="9"/>
      <c r="G90" s="9"/>
    </row>
    <row r="91" spans="1:7" ht="24" customHeight="1" x14ac:dyDescent="0.4">
      <c r="A91" s="9">
        <v>88</v>
      </c>
      <c r="B91" s="10" t="str">
        <v>Dexter White</v>
      </c>
      <c r="C91" s="10" t="str">
        <v>Sutherland</v>
      </c>
      <c r="D91" s="9" t="str">
        <v>Sr Boys</v>
      </c>
      <c r="E91" s="9">
        <v>12094</v>
      </c>
      <c r="F91" s="9"/>
      <c r="G91" s="9"/>
    </row>
    <row r="92" spans="1:7" ht="24" customHeight="1" x14ac:dyDescent="0.4">
      <c r="A92" s="9">
        <v>89</v>
      </c>
      <c r="B92" s="10" t="str">
        <v>Oliver Kolkea</v>
      </c>
      <c r="C92" s="10" t="str">
        <v>West Van</v>
      </c>
      <c r="D92" s="9" t="str">
        <v>Sr Boys</v>
      </c>
      <c r="E92" s="9">
        <v>12095</v>
      </c>
      <c r="F92" s="9"/>
      <c r="G92" s="9"/>
    </row>
    <row r="93" spans="1:7" ht="24" customHeight="1" x14ac:dyDescent="0.4">
      <c r="A93" s="9">
        <v>90</v>
      </c>
      <c r="B93" s="10" t="str">
        <v>Damyen Bouvier</v>
      </c>
      <c r="C93" s="10" t="str">
        <v>Whistler</v>
      </c>
      <c r="D93" s="9" t="str">
        <v>Sr Boys</v>
      </c>
      <c r="E93" s="9">
        <v>12097</v>
      </c>
      <c r="F93" s="9"/>
      <c r="G93" s="9"/>
    </row>
    <row r="94" spans="1:7" ht="24" customHeight="1" x14ac:dyDescent="0.4">
      <c r="A94" s="9">
        <v>91</v>
      </c>
      <c r="B94" s="10" t="str">
        <v>Kaede Gossman</v>
      </c>
      <c r="C94" s="10" t="str">
        <v>Whistler</v>
      </c>
      <c r="D94" s="9" t="str">
        <v>Sr Boys</v>
      </c>
      <c r="E94" s="9">
        <v>12098</v>
      </c>
      <c r="F94" s="9"/>
      <c r="G94" s="9"/>
    </row>
    <row r="95" spans="1:7" ht="24" customHeight="1" x14ac:dyDescent="0.4">
      <c r="A95" s="9">
        <v>92</v>
      </c>
      <c r="B95" s="10" t="str">
        <v>Cove White</v>
      </c>
      <c r="C95" s="10" t="str">
        <v>Whistler</v>
      </c>
      <c r="D95" s="9" t="str">
        <v>Sr Boys</v>
      </c>
      <c r="E95" s="9">
        <v>12099</v>
      </c>
      <c r="F95" s="9"/>
      <c r="G95" s="9"/>
    </row>
    <row r="96" spans="1:7" ht="24" customHeight="1" x14ac:dyDescent="0.4">
      <c r="A96" s="9">
        <v>93</v>
      </c>
      <c r="B96" s="10" t="str">
        <v>Oliver Koch</v>
      </c>
      <c r="C96" s="10" t="str">
        <v>Whistler</v>
      </c>
      <c r="D96" s="9" t="str">
        <v>Sr Boys</v>
      </c>
      <c r="E96" s="9">
        <v>12100</v>
      </c>
      <c r="F96" s="9"/>
      <c r="G96" s="9"/>
    </row>
    <row r="97" spans="1:7" ht="24" customHeight="1" x14ac:dyDescent="0.4">
      <c r="A97" s="9">
        <v>94</v>
      </c>
      <c r="B97" s="10" t="str">
        <v>Theo Rothdram</v>
      </c>
      <c r="C97" s="10" t="str">
        <v>Whistler</v>
      </c>
      <c r="D97" s="9" t="str">
        <v>Sr Boys</v>
      </c>
      <c r="E97" s="9">
        <v>12906</v>
      </c>
      <c r="F97" s="9"/>
      <c r="G97" s="9"/>
    </row>
    <row r="98" spans="1:7" ht="24" customHeight="1" x14ac:dyDescent="0.4">
      <c r="A98" s="9">
        <v>95</v>
      </c>
      <c r="B98" s="10" t="str">
        <v>Sam Fort</v>
      </c>
      <c r="C98" s="10" t="str">
        <v>Windsor</v>
      </c>
      <c r="D98" s="9" t="str">
        <v>Sr Boys</v>
      </c>
      <c r="E98" s="9">
        <v>12101</v>
      </c>
      <c r="F98" s="9"/>
      <c r="G98" s="9"/>
    </row>
    <row r="99" spans="1:7" ht="24" customHeight="1" x14ac:dyDescent="0.4">
      <c r="A99" s="9">
        <v>96</v>
      </c>
      <c r="B99" s="10" t="str">
        <v>Logan Anderson</v>
      </c>
      <c r="C99" s="10" t="str">
        <v>Windsor</v>
      </c>
      <c r="D99" s="9" t="str">
        <v>Sr Boys</v>
      </c>
      <c r="E99" s="9">
        <v>12102</v>
      </c>
      <c r="F99" s="9"/>
      <c r="G99" s="9"/>
    </row>
    <row r="100" spans="1:7" ht="24" customHeight="1" x14ac:dyDescent="0.4">
      <c r="A100" s="9">
        <v>97</v>
      </c>
      <c r="B100" s="10"/>
      <c r="C100" s="10"/>
      <c r="D100" s="9"/>
      <c r="E100" s="9"/>
      <c r="F100" s="9"/>
      <c r="G100" s="9"/>
    </row>
    <row r="101" spans="1:7" ht="24" customHeight="1" x14ac:dyDescent="0.4">
      <c r="A101" s="9">
        <v>98</v>
      </c>
      <c r="B101" s="10"/>
      <c r="C101" s="10"/>
      <c r="D101" s="9"/>
      <c r="E101" s="9"/>
      <c r="F101" s="9"/>
      <c r="G101" s="9"/>
    </row>
    <row r="102" spans="1:7" ht="24" customHeight="1" x14ac:dyDescent="0.4">
      <c r="A102" s="9">
        <v>99</v>
      </c>
      <c r="B102" s="10"/>
      <c r="C102" s="10"/>
      <c r="D102" s="9"/>
      <c r="E102" s="9"/>
      <c r="F102" s="9"/>
      <c r="G102" s="9"/>
    </row>
    <row r="103" spans="1:7" ht="24" customHeight="1" x14ac:dyDescent="0.4">
      <c r="A103" s="9">
        <v>100</v>
      </c>
      <c r="B103" s="10"/>
      <c r="C103" s="10"/>
      <c r="D103" s="9"/>
      <c r="E103" s="9"/>
      <c r="F103" s="9"/>
      <c r="G103" s="9"/>
    </row>
  </sheetData>
  <pageMargins left="0.7" right="0.7" top="0.75" bottom="0.75" header="0.3" footer="0.3"/>
  <pageSetup paperSize="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99CC3A-5EE8-48C8-B52F-9FCE3DF68054}">
          <x14:formula1>
            <xm:f>helper!$A$2:$A$9</xm:f>
          </x14:formula1>
          <xm:sqref>C1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5525-81AF-46C3-88F0-2B0F595E257B}">
  <dimension ref="A1:H11"/>
  <sheetViews>
    <sheetView workbookViewId="0">
      <selection activeCell="E10" sqref="E10"/>
    </sheetView>
  </sheetViews>
  <sheetFormatPr defaultRowHeight="16.8" x14ac:dyDescent="0.4"/>
  <cols>
    <col min="1" max="1" width="10.3984375" customWidth="1"/>
    <col min="2" max="2" width="10.3984375" style="5" customWidth="1"/>
    <col min="3" max="3" width="9.59765625" style="5" customWidth="1"/>
    <col min="4" max="8" width="8.69921875" style="5"/>
  </cols>
  <sheetData>
    <row r="1" spans="1:8" x14ac:dyDescent="0.4">
      <c r="B1" s="13" t="s">
        <v>417</v>
      </c>
      <c r="C1" s="13" t="s">
        <v>389</v>
      </c>
      <c r="D1" s="13" t="s">
        <v>390</v>
      </c>
      <c r="E1" s="13" t="s">
        <v>391</v>
      </c>
      <c r="F1" s="13" t="s">
        <v>392</v>
      </c>
      <c r="G1" s="13" t="s">
        <v>393</v>
      </c>
      <c r="H1" s="13" t="s">
        <v>394</v>
      </c>
    </row>
    <row r="2" spans="1:8" x14ac:dyDescent="0.4">
      <c r="A2" t="s">
        <v>7</v>
      </c>
      <c r="B2" s="5">
        <f>COUNTIF(tbl_individual[Division],A2)</f>
        <v>65</v>
      </c>
      <c r="C2" s="5">
        <v>37</v>
      </c>
      <c r="D2" s="5">
        <f>COUNTIFS(tbl_individual[Division],"Bant Boys", tbl_individual[R2 Pts], "&gt;0")</f>
        <v>44</v>
      </c>
      <c r="E2" s="5">
        <f>COUNTIFS(tbl_individual[Division],"Bant Boys", tbl_individual[R3 Pts], "&gt;0")</f>
        <v>39</v>
      </c>
    </row>
    <row r="3" spans="1:8" x14ac:dyDescent="0.4">
      <c r="A3" t="s">
        <v>8</v>
      </c>
      <c r="B3" s="5">
        <f>COUNTIF(tbl_individual[Division],A3)</f>
        <v>10</v>
      </c>
      <c r="C3" s="5">
        <v>6</v>
      </c>
      <c r="D3" s="5">
        <f>COUNTIFS(tbl_individual[Division],"Bant Girls", tbl_individual[R2 Pts], "&gt;0")</f>
        <v>2</v>
      </c>
      <c r="E3" s="5">
        <f>COUNTIFS(tbl_individual[Division],"Bant Girls", tbl_individual[R3 Pts], "&gt;0")</f>
        <v>7</v>
      </c>
    </row>
    <row r="4" spans="1:8" x14ac:dyDescent="0.4">
      <c r="A4" t="s">
        <v>5</v>
      </c>
      <c r="B4" s="5">
        <f>COUNTIF(tbl_individual[Division],A4)</f>
        <v>65</v>
      </c>
      <c r="C4" s="5">
        <v>39</v>
      </c>
      <c r="D4" s="5">
        <f>COUNTIFS(tbl_individual[Division],"Juv Boys", tbl_individual[R2 Pts], "&gt;0")</f>
        <v>49</v>
      </c>
      <c r="E4" s="5">
        <f>COUNTIFS(tbl_individual[Division],"Juv Boys", tbl_individual[R3 Place], "&gt;0")</f>
        <v>29</v>
      </c>
    </row>
    <row r="5" spans="1:8" x14ac:dyDescent="0.4">
      <c r="A5" t="s">
        <v>6</v>
      </c>
      <c r="B5" s="5">
        <f>COUNTIF(tbl_individual[Division],A5)</f>
        <v>20</v>
      </c>
      <c r="C5" s="5">
        <v>14</v>
      </c>
      <c r="D5" s="5">
        <f>COUNTIFS(tbl_individual[Division],"Juv Girls", tbl_individual[R2 Pts], "&gt;0")</f>
        <v>14</v>
      </c>
      <c r="E5" s="5">
        <f>COUNTIFS(tbl_individual[Division],"Juv Girls", tbl_individual[R3 Place], "&gt;0")</f>
        <v>9</v>
      </c>
    </row>
    <row r="6" spans="1:8" x14ac:dyDescent="0.4">
      <c r="A6" t="s">
        <v>3</v>
      </c>
      <c r="B6" s="5">
        <f>COUNTIF(tbl_individual[Division],A6)</f>
        <v>67</v>
      </c>
      <c r="C6" s="5">
        <v>45</v>
      </c>
      <c r="D6" s="5">
        <f>COUNTIFS(tbl_individual[Division],"Jr Boys", tbl_individual[R2 Pts], "&gt;0")</f>
        <v>49</v>
      </c>
      <c r="E6" s="5">
        <f>COUNTIFS(tbl_individual[Division],"Jr Boys", tbl_individual[R3 Place], "&gt;0")</f>
        <v>45</v>
      </c>
    </row>
    <row r="7" spans="1:8" x14ac:dyDescent="0.4">
      <c r="A7" t="s">
        <v>4</v>
      </c>
      <c r="B7" s="5">
        <f>COUNTIF(tbl_individual[Division],A7)</f>
        <v>20</v>
      </c>
      <c r="C7" s="5">
        <v>11</v>
      </c>
      <c r="D7" s="5">
        <f>COUNTIFS(tbl_individual[Division],"Jr Girls", tbl_individual[R2 Pts], "&gt;0")</f>
        <v>14</v>
      </c>
      <c r="E7" s="5">
        <f>COUNTIFS(tbl_individual[Division],"Jr Girls", tbl_individual[R3 Place], "&gt;0")</f>
        <v>11</v>
      </c>
    </row>
    <row r="8" spans="1:8" x14ac:dyDescent="0.4">
      <c r="A8" t="s">
        <v>1</v>
      </c>
      <c r="B8" s="5">
        <f>COUNTIF(tbl_individual[Division],A8)</f>
        <v>96</v>
      </c>
      <c r="C8" s="5">
        <v>52</v>
      </c>
      <c r="D8" s="5">
        <f>COUNTIFS(tbl_individual[Division],"Sr Boys", tbl_individual[R2 Pts], "&gt;0")</f>
        <v>74</v>
      </c>
      <c r="E8" s="5">
        <f>COUNTIFS(tbl_individual[Division],"Sr Boys", tbl_individual[R3 Place], "&gt;0")</f>
        <v>54</v>
      </c>
    </row>
    <row r="9" spans="1:8" x14ac:dyDescent="0.4">
      <c r="A9" t="s">
        <v>2</v>
      </c>
      <c r="B9" s="5">
        <f>COUNTIF(tbl_individual[Division],A9)</f>
        <v>21</v>
      </c>
      <c r="C9" s="5">
        <v>12</v>
      </c>
      <c r="D9" s="5">
        <f>COUNTIFS(tbl_individual[Division],"Sr Girls", tbl_individual[R2 Pts], "&gt;0")</f>
        <v>12</v>
      </c>
      <c r="E9" s="5">
        <f>COUNTIFS(tbl_individual[Division],"Sr Girls", tbl_individual[R3 Place], "&gt;0")</f>
        <v>8</v>
      </c>
    </row>
    <row r="10" spans="1:8" s="1" customFormat="1" x14ac:dyDescent="0.4">
      <c r="A10" s="1" t="s">
        <v>50</v>
      </c>
      <c r="B10" s="13">
        <f>SUM(B2:B9)</f>
        <v>364</v>
      </c>
      <c r="C10" s="13">
        <f>SUM(C2:C9)</f>
        <v>216</v>
      </c>
      <c r="D10" s="13">
        <f>SUM(D2:D9)</f>
        <v>258</v>
      </c>
      <c r="E10" s="13">
        <f>SUM(E2:E9)</f>
        <v>202</v>
      </c>
      <c r="F10" s="13"/>
      <c r="G10" s="13"/>
      <c r="H10" s="13"/>
    </row>
    <row r="11" spans="1:8" x14ac:dyDescent="0.4">
      <c r="C11" s="14">
        <f>C10/B10</f>
        <v>0.59340659340659341</v>
      </c>
      <c r="D11" s="14">
        <f>D10/$B$10</f>
        <v>0.70879120879120883</v>
      </c>
      <c r="E11" s="14">
        <f>E10/$B$10</f>
        <v>0.55494505494505497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3F1B-91A5-40C3-BB4D-DC0B07FEE900}">
  <sheetPr>
    <pageSetUpPr fitToPage="1"/>
  </sheetPr>
  <dimension ref="A1:J1081"/>
  <sheetViews>
    <sheetView view="pageBreakPreview" zoomScale="110" zoomScaleNormal="100" zoomScaleSheetLayoutView="110" workbookViewId="0">
      <pane ySplit="1" topLeftCell="A347" activePane="bottomLeft" state="frozen"/>
      <selection pane="bottomLeft" activeCell="G343" sqref="G343"/>
    </sheetView>
  </sheetViews>
  <sheetFormatPr defaultColWidth="11.69921875" defaultRowHeight="24" customHeight="1" x14ac:dyDescent="0.4"/>
  <cols>
    <col min="1" max="1" width="14.5" style="20" customWidth="1"/>
    <col min="2" max="2" width="13.69921875" style="20" customWidth="1"/>
    <col min="3" max="3" width="13.8984375" style="20" customWidth="1"/>
    <col min="4" max="4" width="11.69921875" style="20"/>
    <col min="5" max="5" width="11.69921875" style="5"/>
    <col min="6" max="6" width="11.19921875" style="5" customWidth="1"/>
    <col min="7" max="7" width="9.69921875" style="13" bestFit="1" customWidth="1"/>
    <col min="8" max="16384" width="11.69921875" style="5"/>
  </cols>
  <sheetData>
    <row r="1" spans="1:10" ht="24" customHeight="1" x14ac:dyDescent="0.4">
      <c r="A1" s="24" t="s">
        <v>1159</v>
      </c>
      <c r="B1" s="25" t="s">
        <v>1160</v>
      </c>
      <c r="C1" s="25" t="s">
        <v>35</v>
      </c>
      <c r="D1" s="25" t="s">
        <v>36</v>
      </c>
      <c r="E1" s="26" t="s">
        <v>1293</v>
      </c>
      <c r="F1" s="26" t="s">
        <v>1161</v>
      </c>
      <c r="G1" s="26" t="s">
        <v>448</v>
      </c>
      <c r="H1" s="26" t="s">
        <v>1294</v>
      </c>
      <c r="I1" s="27" t="s">
        <v>1153</v>
      </c>
      <c r="J1" s="13"/>
    </row>
    <row r="2" spans="1:10" ht="24" customHeight="1" x14ac:dyDescent="0.4">
      <c r="A2" s="28" t="s">
        <v>449</v>
      </c>
      <c r="B2" s="29" t="s">
        <v>450</v>
      </c>
      <c r="C2" s="29" t="s">
        <v>10</v>
      </c>
      <c r="D2" s="29" t="s">
        <v>7</v>
      </c>
      <c r="E2" s="30">
        <v>8049</v>
      </c>
      <c r="F2" s="48" t="s">
        <v>407</v>
      </c>
      <c r="G2" s="44"/>
      <c r="H2" s="9"/>
      <c r="I2" s="31"/>
    </row>
    <row r="3" spans="1:10" ht="24" customHeight="1" x14ac:dyDescent="0.4">
      <c r="A3" s="28" t="s">
        <v>451</v>
      </c>
      <c r="B3" s="29" t="s">
        <v>452</v>
      </c>
      <c r="C3" s="29" t="s">
        <v>10</v>
      </c>
      <c r="D3" s="29" t="s">
        <v>7</v>
      </c>
      <c r="E3" s="30">
        <v>8086</v>
      </c>
      <c r="F3" s="48" t="s">
        <v>407</v>
      </c>
      <c r="G3" s="44"/>
      <c r="H3" s="9"/>
      <c r="I3" s="31"/>
    </row>
    <row r="4" spans="1:10" ht="24" customHeight="1" x14ac:dyDescent="0.4">
      <c r="A4" s="28" t="s">
        <v>453</v>
      </c>
      <c r="B4" s="29" t="s">
        <v>454</v>
      </c>
      <c r="C4" s="29" t="s">
        <v>10</v>
      </c>
      <c r="D4" s="29" t="s">
        <v>7</v>
      </c>
      <c r="E4" s="30">
        <v>8147</v>
      </c>
      <c r="F4" s="48" t="s">
        <v>403</v>
      </c>
      <c r="G4" s="45" t="s">
        <v>1190</v>
      </c>
      <c r="H4" s="9"/>
      <c r="I4" s="31"/>
    </row>
    <row r="5" spans="1:10" ht="24" customHeight="1" x14ac:dyDescent="0.4">
      <c r="A5" s="28" t="s">
        <v>455</v>
      </c>
      <c r="B5" s="29" t="s">
        <v>456</v>
      </c>
      <c r="C5" s="29" t="s">
        <v>10</v>
      </c>
      <c r="D5" s="29" t="s">
        <v>7</v>
      </c>
      <c r="E5" s="30">
        <v>8181</v>
      </c>
      <c r="F5" s="48" t="s">
        <v>407</v>
      </c>
      <c r="G5" s="44"/>
      <c r="H5" s="9"/>
      <c r="I5" s="31"/>
    </row>
    <row r="6" spans="1:10" ht="24" customHeight="1" x14ac:dyDescent="0.4">
      <c r="A6" s="28" t="s">
        <v>457</v>
      </c>
      <c r="B6" s="29" t="s">
        <v>458</v>
      </c>
      <c r="C6" s="29" t="s">
        <v>10</v>
      </c>
      <c r="D6" s="29" t="s">
        <v>7</v>
      </c>
      <c r="E6" s="30">
        <v>8185</v>
      </c>
      <c r="F6" s="48" t="s">
        <v>403</v>
      </c>
      <c r="G6" s="45" t="s">
        <v>1191</v>
      </c>
      <c r="H6" s="9"/>
      <c r="I6" s="31"/>
    </row>
    <row r="7" spans="1:10" ht="24" customHeight="1" x14ac:dyDescent="0.4">
      <c r="A7" s="28"/>
      <c r="B7" s="29"/>
      <c r="C7" s="29"/>
      <c r="D7" s="29"/>
      <c r="E7" s="45"/>
      <c r="F7" s="50"/>
      <c r="G7" s="45"/>
      <c r="H7" s="51"/>
      <c r="I7" s="31"/>
    </row>
    <row r="8" spans="1:10" ht="24" customHeight="1" x14ac:dyDescent="0.4">
      <c r="A8" s="28" t="s">
        <v>478</v>
      </c>
      <c r="B8" s="29" t="s">
        <v>490</v>
      </c>
      <c r="C8" s="29" t="s">
        <v>10</v>
      </c>
      <c r="D8" s="29" t="s">
        <v>5</v>
      </c>
      <c r="E8" s="32">
        <v>900</v>
      </c>
      <c r="F8" s="48" t="s">
        <v>403</v>
      </c>
      <c r="G8" s="45" t="s">
        <v>1180</v>
      </c>
      <c r="H8" s="9"/>
      <c r="I8" s="31"/>
    </row>
    <row r="9" spans="1:10" ht="24" customHeight="1" x14ac:dyDescent="0.4">
      <c r="A9" s="28" t="s">
        <v>491</v>
      </c>
      <c r="B9" s="29" t="s">
        <v>492</v>
      </c>
      <c r="C9" s="29" t="s">
        <v>10</v>
      </c>
      <c r="D9" s="29" t="s">
        <v>5</v>
      </c>
      <c r="E9" s="32">
        <v>901</v>
      </c>
      <c r="F9" s="48" t="s">
        <v>403</v>
      </c>
      <c r="G9" s="45" t="s">
        <v>1181</v>
      </c>
      <c r="H9" s="9"/>
      <c r="I9" s="31"/>
    </row>
    <row r="10" spans="1:10" ht="24" customHeight="1" x14ac:dyDescent="0.4">
      <c r="A10" s="28" t="s">
        <v>532</v>
      </c>
      <c r="B10" s="29" t="s">
        <v>533</v>
      </c>
      <c r="C10" s="29" t="s">
        <v>10</v>
      </c>
      <c r="D10" s="29" t="s">
        <v>5</v>
      </c>
      <c r="E10" s="32">
        <v>902</v>
      </c>
      <c r="F10" s="48" t="s">
        <v>403</v>
      </c>
      <c r="G10" s="45" t="s">
        <v>1182</v>
      </c>
      <c r="H10" s="9"/>
      <c r="I10" s="31"/>
    </row>
    <row r="11" spans="1:10" ht="24" customHeight="1" x14ac:dyDescent="0.4">
      <c r="A11" s="28" t="s">
        <v>493</v>
      </c>
      <c r="B11" s="29" t="s">
        <v>494</v>
      </c>
      <c r="C11" s="29" t="s">
        <v>10</v>
      </c>
      <c r="D11" s="29" t="s">
        <v>5</v>
      </c>
      <c r="E11" s="32">
        <v>903</v>
      </c>
      <c r="F11" s="48" t="s">
        <v>403</v>
      </c>
      <c r="G11" s="45" t="s">
        <v>1183</v>
      </c>
      <c r="H11" s="9"/>
      <c r="I11" s="31"/>
    </row>
    <row r="12" spans="1:10" ht="24" customHeight="1" x14ac:dyDescent="0.4">
      <c r="A12" s="28" t="s">
        <v>495</v>
      </c>
      <c r="B12" s="29" t="s">
        <v>496</v>
      </c>
      <c r="C12" s="29" t="s">
        <v>10</v>
      </c>
      <c r="D12" s="29" t="s">
        <v>5</v>
      </c>
      <c r="E12" s="32">
        <v>904</v>
      </c>
      <c r="F12" s="48" t="s">
        <v>403</v>
      </c>
      <c r="G12" s="45" t="s">
        <v>1184</v>
      </c>
      <c r="H12" s="9"/>
      <c r="I12" s="31"/>
    </row>
    <row r="13" spans="1:10" ht="24" customHeight="1" x14ac:dyDescent="0.4">
      <c r="A13" s="28" t="s">
        <v>497</v>
      </c>
      <c r="B13" s="29" t="s">
        <v>498</v>
      </c>
      <c r="C13" s="29" t="s">
        <v>10</v>
      </c>
      <c r="D13" s="29" t="s">
        <v>5</v>
      </c>
      <c r="E13" s="32">
        <v>905</v>
      </c>
      <c r="F13" s="48" t="s">
        <v>403</v>
      </c>
      <c r="G13" s="45" t="s">
        <v>1185</v>
      </c>
      <c r="H13" s="9"/>
      <c r="I13" s="31"/>
    </row>
    <row r="14" spans="1:10" ht="24" customHeight="1" x14ac:dyDescent="0.4">
      <c r="A14" s="28" t="s">
        <v>499</v>
      </c>
      <c r="B14" s="29" t="s">
        <v>500</v>
      </c>
      <c r="C14" s="29" t="s">
        <v>10</v>
      </c>
      <c r="D14" s="29" t="s">
        <v>5</v>
      </c>
      <c r="E14" s="32">
        <v>906</v>
      </c>
      <c r="F14" s="48" t="s">
        <v>403</v>
      </c>
      <c r="G14" s="45" t="s">
        <v>1186</v>
      </c>
      <c r="H14" s="9"/>
      <c r="I14" s="31"/>
    </row>
    <row r="15" spans="1:10" ht="24" customHeight="1" x14ac:dyDescent="0.4">
      <c r="A15" s="28" t="s">
        <v>501</v>
      </c>
      <c r="B15" s="29" t="s">
        <v>502</v>
      </c>
      <c r="C15" s="29" t="s">
        <v>10</v>
      </c>
      <c r="D15" s="29" t="s">
        <v>5</v>
      </c>
      <c r="E15" s="32">
        <v>907</v>
      </c>
      <c r="F15" s="48" t="s">
        <v>403</v>
      </c>
      <c r="G15" s="45" t="s">
        <v>1187</v>
      </c>
      <c r="H15" s="9"/>
      <c r="I15" s="31"/>
    </row>
    <row r="16" spans="1:10" ht="24" customHeight="1" x14ac:dyDescent="0.4">
      <c r="A16" s="28" t="s">
        <v>534</v>
      </c>
      <c r="B16" s="29" t="s">
        <v>535</v>
      </c>
      <c r="C16" s="29" t="s">
        <v>10</v>
      </c>
      <c r="D16" s="29" t="s">
        <v>5</v>
      </c>
      <c r="E16" s="32">
        <v>909</v>
      </c>
      <c r="F16" s="48" t="s">
        <v>407</v>
      </c>
      <c r="G16" s="44"/>
      <c r="H16" s="9"/>
      <c r="I16" s="31"/>
    </row>
    <row r="17" spans="1:9" ht="24" customHeight="1" x14ac:dyDescent="0.4">
      <c r="A17" s="28" t="s">
        <v>503</v>
      </c>
      <c r="B17" s="29" t="s">
        <v>504</v>
      </c>
      <c r="C17" s="29" t="s">
        <v>10</v>
      </c>
      <c r="D17" s="29" t="s">
        <v>5</v>
      </c>
      <c r="E17" s="32">
        <v>910</v>
      </c>
      <c r="F17" s="48" t="s">
        <v>403</v>
      </c>
      <c r="G17" s="45" t="s">
        <v>1188</v>
      </c>
      <c r="H17" s="9"/>
      <c r="I17" s="31"/>
    </row>
    <row r="18" spans="1:9" ht="24" customHeight="1" x14ac:dyDescent="0.4">
      <c r="A18" s="28" t="s">
        <v>505</v>
      </c>
      <c r="B18" s="29" t="s">
        <v>506</v>
      </c>
      <c r="C18" s="29" t="s">
        <v>10</v>
      </c>
      <c r="D18" s="29" t="s">
        <v>5</v>
      </c>
      <c r="E18" s="32">
        <v>960</v>
      </c>
      <c r="F18" s="48" t="s">
        <v>403</v>
      </c>
      <c r="G18" s="45" t="s">
        <v>1189</v>
      </c>
      <c r="H18" s="9"/>
      <c r="I18" s="31"/>
    </row>
    <row r="19" spans="1:9" ht="24" customHeight="1" x14ac:dyDescent="0.4">
      <c r="A19" s="28"/>
      <c r="B19" s="29"/>
      <c r="C19" s="29"/>
      <c r="D19" s="29"/>
      <c r="E19" s="45"/>
      <c r="F19" s="50"/>
      <c r="G19" s="45"/>
      <c r="H19" s="51"/>
      <c r="I19" s="31"/>
    </row>
    <row r="20" spans="1:9" ht="24" customHeight="1" x14ac:dyDescent="0.4">
      <c r="A20" s="28" t="s">
        <v>507</v>
      </c>
      <c r="B20" s="29" t="s">
        <v>508</v>
      </c>
      <c r="C20" s="29" t="s">
        <v>10</v>
      </c>
      <c r="D20" s="29" t="s">
        <v>6</v>
      </c>
      <c r="E20" s="33">
        <v>9180</v>
      </c>
      <c r="F20" s="48" t="s">
        <v>403</v>
      </c>
      <c r="G20" s="45" t="s">
        <v>1192</v>
      </c>
      <c r="H20" s="9"/>
      <c r="I20" s="31"/>
    </row>
    <row r="21" spans="1:9" ht="24" customHeight="1" x14ac:dyDescent="0.4">
      <c r="A21" s="28" t="s">
        <v>536</v>
      </c>
      <c r="B21" s="29" t="s">
        <v>537</v>
      </c>
      <c r="C21" s="29" t="s">
        <v>10</v>
      </c>
      <c r="D21" s="29" t="s">
        <v>6</v>
      </c>
      <c r="E21" s="33">
        <v>9421</v>
      </c>
      <c r="F21" s="48" t="s">
        <v>403</v>
      </c>
      <c r="G21" s="45" t="s">
        <v>1193</v>
      </c>
      <c r="H21" s="9"/>
      <c r="I21" s="31"/>
    </row>
    <row r="22" spans="1:9" ht="24" customHeight="1" x14ac:dyDescent="0.4">
      <c r="A22" s="28" t="s">
        <v>509</v>
      </c>
      <c r="B22" s="29" t="s">
        <v>510</v>
      </c>
      <c r="C22" s="29" t="s">
        <v>10</v>
      </c>
      <c r="D22" s="29" t="s">
        <v>6</v>
      </c>
      <c r="E22" s="33">
        <v>9451</v>
      </c>
      <c r="F22" s="48" t="s">
        <v>403</v>
      </c>
      <c r="G22" s="45" t="s">
        <v>1194</v>
      </c>
      <c r="H22" s="9"/>
      <c r="I22" s="31"/>
    </row>
    <row r="23" spans="1:9" ht="24" customHeight="1" x14ac:dyDescent="0.4">
      <c r="A23" s="28" t="s">
        <v>538</v>
      </c>
      <c r="B23" s="29" t="s">
        <v>539</v>
      </c>
      <c r="C23" s="29" t="s">
        <v>10</v>
      </c>
      <c r="D23" s="29" t="s">
        <v>6</v>
      </c>
      <c r="E23" s="33">
        <v>9471</v>
      </c>
      <c r="F23" s="48" t="s">
        <v>407</v>
      </c>
      <c r="G23" s="44"/>
      <c r="H23" s="9"/>
      <c r="I23" s="31"/>
    </row>
    <row r="24" spans="1:9" ht="24" customHeight="1" x14ac:dyDescent="0.4">
      <c r="A24" s="28" t="s">
        <v>511</v>
      </c>
      <c r="B24" s="29" t="s">
        <v>512</v>
      </c>
      <c r="C24" s="29" t="s">
        <v>10</v>
      </c>
      <c r="D24" s="29" t="s">
        <v>6</v>
      </c>
      <c r="E24" s="33">
        <v>9481</v>
      </c>
      <c r="F24" s="48" t="s">
        <v>407</v>
      </c>
      <c r="G24" s="44"/>
      <c r="H24" s="9"/>
      <c r="I24" s="31"/>
    </row>
    <row r="25" spans="1:9" ht="24" customHeight="1" x14ac:dyDescent="0.4">
      <c r="A25" s="28"/>
      <c r="B25" s="29"/>
      <c r="C25" s="29"/>
      <c r="D25" s="29"/>
      <c r="E25" s="45"/>
      <c r="F25" s="50"/>
      <c r="G25" s="45"/>
      <c r="H25" s="51"/>
      <c r="I25" s="31"/>
    </row>
    <row r="26" spans="1:9" ht="24" customHeight="1" x14ac:dyDescent="0.4">
      <c r="A26" s="28" t="s">
        <v>459</v>
      </c>
      <c r="B26" s="29" t="s">
        <v>460</v>
      </c>
      <c r="C26" s="29" t="s">
        <v>10</v>
      </c>
      <c r="D26" s="29" t="s">
        <v>3</v>
      </c>
      <c r="E26" s="34">
        <v>10110</v>
      </c>
      <c r="F26" s="48" t="s">
        <v>407</v>
      </c>
      <c r="G26" s="44"/>
      <c r="H26" s="9"/>
      <c r="I26" s="31"/>
    </row>
    <row r="27" spans="1:9" ht="24" customHeight="1" x14ac:dyDescent="0.4">
      <c r="A27" s="28" t="s">
        <v>461</v>
      </c>
      <c r="B27" s="29" t="s">
        <v>462</v>
      </c>
      <c r="C27" s="29" t="s">
        <v>10</v>
      </c>
      <c r="D27" s="29" t="s">
        <v>3</v>
      </c>
      <c r="E27" s="34">
        <v>10111</v>
      </c>
      <c r="F27" s="48" t="s">
        <v>403</v>
      </c>
      <c r="G27" s="45" t="s">
        <v>1167</v>
      </c>
      <c r="H27" s="9"/>
      <c r="I27" s="31"/>
    </row>
    <row r="28" spans="1:9" ht="24" customHeight="1" x14ac:dyDescent="0.4">
      <c r="A28" s="28" t="s">
        <v>463</v>
      </c>
      <c r="B28" s="29" t="s">
        <v>464</v>
      </c>
      <c r="C28" s="29" t="s">
        <v>10</v>
      </c>
      <c r="D28" s="29" t="s">
        <v>3</v>
      </c>
      <c r="E28" s="34">
        <v>10114</v>
      </c>
      <c r="F28" s="48" t="s">
        <v>403</v>
      </c>
      <c r="G28" s="45" t="s">
        <v>1168</v>
      </c>
      <c r="H28" s="9"/>
      <c r="I28" s="31"/>
    </row>
    <row r="29" spans="1:9" ht="24" customHeight="1" x14ac:dyDescent="0.4">
      <c r="A29" s="28" t="s">
        <v>465</v>
      </c>
      <c r="B29" s="29" t="s">
        <v>466</v>
      </c>
      <c r="C29" s="29" t="s">
        <v>10</v>
      </c>
      <c r="D29" s="29" t="s">
        <v>3</v>
      </c>
      <c r="E29" s="34">
        <v>10115</v>
      </c>
      <c r="F29" s="48" t="s">
        <v>403</v>
      </c>
      <c r="G29" s="45" t="s">
        <v>1169</v>
      </c>
      <c r="H29" s="9"/>
      <c r="I29" s="31"/>
    </row>
    <row r="30" spans="1:9" ht="24" customHeight="1" x14ac:dyDescent="0.4">
      <c r="A30" s="28" t="s">
        <v>459</v>
      </c>
      <c r="B30" s="29" t="s">
        <v>467</v>
      </c>
      <c r="C30" s="29" t="s">
        <v>10</v>
      </c>
      <c r="D30" s="29" t="s">
        <v>3</v>
      </c>
      <c r="E30" s="34">
        <v>10117</v>
      </c>
      <c r="F30" s="48" t="s">
        <v>407</v>
      </c>
      <c r="G30" s="44"/>
      <c r="H30" s="9"/>
      <c r="I30" s="31"/>
    </row>
    <row r="31" spans="1:9" ht="24" customHeight="1" x14ac:dyDescent="0.4">
      <c r="A31" s="28" t="s">
        <v>468</v>
      </c>
      <c r="B31" s="29" t="s">
        <v>469</v>
      </c>
      <c r="C31" s="29" t="s">
        <v>10</v>
      </c>
      <c r="D31" s="29" t="s">
        <v>3</v>
      </c>
      <c r="E31" s="34">
        <v>10119</v>
      </c>
      <c r="F31" s="48" t="s">
        <v>403</v>
      </c>
      <c r="G31" s="45" t="s">
        <v>1170</v>
      </c>
      <c r="H31" s="9"/>
      <c r="I31" s="31"/>
    </row>
    <row r="32" spans="1:9" ht="24" customHeight="1" x14ac:dyDescent="0.4">
      <c r="A32" s="28" t="s">
        <v>470</v>
      </c>
      <c r="B32" s="29" t="s">
        <v>471</v>
      </c>
      <c r="C32" s="29" t="s">
        <v>10</v>
      </c>
      <c r="D32" s="29" t="s">
        <v>3</v>
      </c>
      <c r="E32" s="34">
        <v>10126</v>
      </c>
      <c r="F32" s="48" t="s">
        <v>403</v>
      </c>
      <c r="G32" s="45" t="s">
        <v>1171</v>
      </c>
      <c r="H32" s="9"/>
      <c r="I32" s="31"/>
    </row>
    <row r="33" spans="1:9" ht="24" customHeight="1" x14ac:dyDescent="0.4">
      <c r="A33" s="28" t="s">
        <v>472</v>
      </c>
      <c r="B33" s="29" t="s">
        <v>473</v>
      </c>
      <c r="C33" s="29" t="s">
        <v>10</v>
      </c>
      <c r="D33" s="29" t="s">
        <v>3</v>
      </c>
      <c r="E33" s="34">
        <v>10150</v>
      </c>
      <c r="F33" s="48" t="s">
        <v>403</v>
      </c>
      <c r="G33" s="45" t="s">
        <v>1172</v>
      </c>
      <c r="H33" s="9"/>
      <c r="I33" s="31"/>
    </row>
    <row r="34" spans="1:9" ht="24" customHeight="1" x14ac:dyDescent="0.4">
      <c r="A34" s="28" t="s">
        <v>474</v>
      </c>
      <c r="B34" s="29" t="s">
        <v>475</v>
      </c>
      <c r="C34" s="29" t="s">
        <v>10</v>
      </c>
      <c r="D34" s="29" t="s">
        <v>3</v>
      </c>
      <c r="E34" s="34">
        <v>10151</v>
      </c>
      <c r="F34" s="48" t="s">
        <v>403</v>
      </c>
      <c r="G34" s="45" t="s">
        <v>1173</v>
      </c>
      <c r="H34" s="9"/>
      <c r="I34" s="31"/>
    </row>
    <row r="35" spans="1:9" ht="24" customHeight="1" x14ac:dyDescent="0.4">
      <c r="A35" s="28" t="s">
        <v>476</v>
      </c>
      <c r="B35" s="29" t="s">
        <v>477</v>
      </c>
      <c r="C35" s="29" t="s">
        <v>10</v>
      </c>
      <c r="D35" s="29" t="s">
        <v>3</v>
      </c>
      <c r="E35" s="34">
        <v>10161</v>
      </c>
      <c r="F35" s="48" t="s">
        <v>407</v>
      </c>
      <c r="G35" s="44"/>
      <c r="H35" s="9"/>
      <c r="I35" s="31"/>
    </row>
    <row r="36" spans="1:9" ht="24" customHeight="1" x14ac:dyDescent="0.4">
      <c r="A36" s="28" t="s">
        <v>478</v>
      </c>
      <c r="B36" s="29" t="s">
        <v>479</v>
      </c>
      <c r="C36" s="29" t="s">
        <v>10</v>
      </c>
      <c r="D36" s="29" t="s">
        <v>3</v>
      </c>
      <c r="E36" s="34">
        <v>10198</v>
      </c>
      <c r="F36" s="48" t="s">
        <v>403</v>
      </c>
      <c r="G36" s="45" t="s">
        <v>1179</v>
      </c>
      <c r="H36" s="9"/>
      <c r="I36" s="31"/>
    </row>
    <row r="37" spans="1:9" ht="24" customHeight="1" x14ac:dyDescent="0.4">
      <c r="A37" s="28" t="s">
        <v>480</v>
      </c>
      <c r="B37" s="29" t="s">
        <v>481</v>
      </c>
      <c r="C37" s="29" t="s">
        <v>10</v>
      </c>
      <c r="D37" s="29" t="s">
        <v>3</v>
      </c>
      <c r="E37" s="34">
        <v>10205</v>
      </c>
      <c r="F37" s="48" t="s">
        <v>407</v>
      </c>
      <c r="G37" s="44"/>
      <c r="H37" s="9"/>
      <c r="I37" s="31"/>
    </row>
    <row r="38" spans="1:9" ht="24" customHeight="1" x14ac:dyDescent="0.4">
      <c r="A38" s="28"/>
      <c r="B38" s="29"/>
      <c r="C38" s="29"/>
      <c r="D38" s="29"/>
      <c r="E38" s="45"/>
      <c r="F38" s="50"/>
      <c r="G38" s="45"/>
      <c r="H38" s="51"/>
      <c r="I38" s="31"/>
    </row>
    <row r="39" spans="1:9" ht="24" customHeight="1" x14ac:dyDescent="0.4">
      <c r="A39" s="28" t="s">
        <v>529</v>
      </c>
      <c r="B39" s="29" t="s">
        <v>530</v>
      </c>
      <c r="C39" s="29" t="s">
        <v>10</v>
      </c>
      <c r="D39" s="29" t="s">
        <v>4</v>
      </c>
      <c r="E39" s="35">
        <v>1019</v>
      </c>
      <c r="F39" s="48" t="s">
        <v>407</v>
      </c>
      <c r="G39" s="44"/>
      <c r="H39" s="9"/>
      <c r="I39" s="31"/>
    </row>
    <row r="40" spans="1:9" ht="24" customHeight="1" x14ac:dyDescent="0.4">
      <c r="A40" s="28" t="s">
        <v>482</v>
      </c>
      <c r="B40" s="29" t="s">
        <v>454</v>
      </c>
      <c r="C40" s="29" t="s">
        <v>10</v>
      </c>
      <c r="D40" s="29" t="s">
        <v>4</v>
      </c>
      <c r="E40" s="35">
        <v>1020</v>
      </c>
      <c r="F40" s="48" t="s">
        <v>403</v>
      </c>
      <c r="G40" s="45" t="s">
        <v>1165</v>
      </c>
      <c r="H40" s="9"/>
      <c r="I40" s="31"/>
    </row>
    <row r="41" spans="1:9" ht="24" customHeight="1" x14ac:dyDescent="0.4">
      <c r="A41" s="28" t="s">
        <v>483</v>
      </c>
      <c r="B41" s="29" t="s">
        <v>1162</v>
      </c>
      <c r="C41" s="29" t="s">
        <v>10</v>
      </c>
      <c r="D41" s="29" t="s">
        <v>4</v>
      </c>
      <c r="E41" s="35">
        <v>1027</v>
      </c>
      <c r="F41" s="48" t="s">
        <v>407</v>
      </c>
      <c r="G41" s="44"/>
      <c r="H41" s="9"/>
      <c r="I41" s="31"/>
    </row>
    <row r="42" spans="1:9" ht="24" customHeight="1" x14ac:dyDescent="0.4">
      <c r="A42" s="28" t="s">
        <v>484</v>
      </c>
      <c r="B42" s="29" t="s">
        <v>485</v>
      </c>
      <c r="C42" s="29" t="s">
        <v>10</v>
      </c>
      <c r="D42" s="29" t="s">
        <v>4</v>
      </c>
      <c r="E42" s="35">
        <v>1028</v>
      </c>
      <c r="F42" s="48" t="s">
        <v>407</v>
      </c>
      <c r="G42" s="44"/>
      <c r="H42" s="9"/>
      <c r="I42" s="31"/>
    </row>
    <row r="43" spans="1:9" ht="24" customHeight="1" x14ac:dyDescent="0.4">
      <c r="A43" s="28" t="s">
        <v>486</v>
      </c>
      <c r="B43" s="29" t="s">
        <v>487</v>
      </c>
      <c r="C43" s="29" t="s">
        <v>10</v>
      </c>
      <c r="D43" s="29" t="s">
        <v>4</v>
      </c>
      <c r="E43" s="35">
        <v>1029</v>
      </c>
      <c r="F43" s="48" t="s">
        <v>403</v>
      </c>
      <c r="G43" s="45" t="s">
        <v>1166</v>
      </c>
      <c r="H43" s="9"/>
      <c r="I43" s="31"/>
    </row>
    <row r="44" spans="1:9" ht="24" customHeight="1" x14ac:dyDescent="0.4">
      <c r="A44" s="28" t="s">
        <v>488</v>
      </c>
      <c r="B44" s="29" t="s">
        <v>489</v>
      </c>
      <c r="C44" s="29" t="s">
        <v>10</v>
      </c>
      <c r="D44" s="29" t="s">
        <v>4</v>
      </c>
      <c r="E44" s="35">
        <v>1030</v>
      </c>
      <c r="F44" s="48" t="s">
        <v>407</v>
      </c>
      <c r="G44" s="44"/>
      <c r="H44" s="9"/>
      <c r="I44" s="31"/>
    </row>
    <row r="45" spans="1:9" ht="24" customHeight="1" x14ac:dyDescent="0.4">
      <c r="A45" s="28"/>
      <c r="B45" s="29"/>
      <c r="C45" s="29"/>
      <c r="D45" s="29"/>
      <c r="E45" s="45"/>
      <c r="F45" s="50"/>
      <c r="G45" s="45"/>
      <c r="H45" s="51"/>
      <c r="I45" s="31"/>
    </row>
    <row r="46" spans="1:9" ht="24" customHeight="1" x14ac:dyDescent="0.4">
      <c r="A46" s="28"/>
      <c r="B46" s="29"/>
      <c r="C46" s="29"/>
      <c r="D46" s="29"/>
      <c r="E46" s="45"/>
      <c r="F46" s="50"/>
      <c r="G46" s="45"/>
      <c r="H46" s="51"/>
      <c r="I46" s="31"/>
    </row>
    <row r="47" spans="1:9" ht="24" customHeight="1" x14ac:dyDescent="0.4">
      <c r="A47" s="28" t="s">
        <v>540</v>
      </c>
      <c r="B47" s="29" t="s">
        <v>541</v>
      </c>
      <c r="C47" s="29" t="s">
        <v>10</v>
      </c>
      <c r="D47" s="29" t="s">
        <v>1</v>
      </c>
      <c r="E47" s="36">
        <v>12001</v>
      </c>
      <c r="F47" s="48" t="s">
        <v>407</v>
      </c>
      <c r="G47" s="44"/>
      <c r="H47" s="9"/>
      <c r="I47" s="31"/>
    </row>
    <row r="48" spans="1:9" ht="24" customHeight="1" x14ac:dyDescent="0.4">
      <c r="A48" s="28" t="s">
        <v>513</v>
      </c>
      <c r="B48" s="29" t="s">
        <v>514</v>
      </c>
      <c r="C48" s="29" t="s">
        <v>10</v>
      </c>
      <c r="D48" s="29" t="s">
        <v>1</v>
      </c>
      <c r="E48" s="36">
        <v>12005</v>
      </c>
      <c r="F48" s="48" t="s">
        <v>403</v>
      </c>
      <c r="G48" s="45" t="s">
        <v>1174</v>
      </c>
      <c r="H48" s="9"/>
      <c r="I48" s="31"/>
    </row>
    <row r="49" spans="1:9" ht="24" customHeight="1" x14ac:dyDescent="0.4">
      <c r="A49" s="28" t="s">
        <v>515</v>
      </c>
      <c r="B49" s="29" t="s">
        <v>516</v>
      </c>
      <c r="C49" s="29" t="s">
        <v>10</v>
      </c>
      <c r="D49" s="29" t="s">
        <v>1</v>
      </c>
      <c r="E49" s="36">
        <v>12009</v>
      </c>
      <c r="F49" s="48" t="s">
        <v>407</v>
      </c>
      <c r="G49" s="44"/>
      <c r="H49" s="9"/>
      <c r="I49" s="31"/>
    </row>
    <row r="50" spans="1:9" ht="24" customHeight="1" x14ac:dyDescent="0.4">
      <c r="A50" s="28" t="s">
        <v>517</v>
      </c>
      <c r="B50" s="29" t="s">
        <v>518</v>
      </c>
      <c r="C50" s="29" t="s">
        <v>10</v>
      </c>
      <c r="D50" s="29" t="s">
        <v>1</v>
      </c>
      <c r="E50" s="36">
        <v>12012</v>
      </c>
      <c r="F50" s="48" t="s">
        <v>407</v>
      </c>
      <c r="G50" s="44"/>
      <c r="H50" s="9"/>
      <c r="I50" s="31"/>
    </row>
    <row r="51" spans="1:9" ht="24" customHeight="1" x14ac:dyDescent="0.4">
      <c r="A51" s="28" t="s">
        <v>519</v>
      </c>
      <c r="B51" s="29" t="s">
        <v>520</v>
      </c>
      <c r="C51" s="29" t="s">
        <v>10</v>
      </c>
      <c r="D51" s="29" t="s">
        <v>1</v>
      </c>
      <c r="E51" s="36">
        <v>12013</v>
      </c>
      <c r="F51" s="48" t="s">
        <v>403</v>
      </c>
      <c r="G51" s="45" t="s">
        <v>1175</v>
      </c>
      <c r="H51" s="9"/>
      <c r="I51" s="31"/>
    </row>
    <row r="52" spans="1:9" ht="24" customHeight="1" x14ac:dyDescent="0.4">
      <c r="A52" s="28" t="s">
        <v>521</v>
      </c>
      <c r="B52" s="29" t="s">
        <v>522</v>
      </c>
      <c r="C52" s="29" t="s">
        <v>10</v>
      </c>
      <c r="D52" s="29" t="s">
        <v>1</v>
      </c>
      <c r="E52" s="36">
        <v>12014</v>
      </c>
      <c r="F52" s="48" t="s">
        <v>407</v>
      </c>
      <c r="G52" s="44"/>
      <c r="H52" s="9"/>
      <c r="I52" s="31"/>
    </row>
    <row r="53" spans="1:9" ht="24" customHeight="1" x14ac:dyDescent="0.4">
      <c r="A53" s="28" t="s">
        <v>523</v>
      </c>
      <c r="B53" s="29" t="s">
        <v>524</v>
      </c>
      <c r="C53" s="29" t="s">
        <v>10</v>
      </c>
      <c r="D53" s="29" t="s">
        <v>1</v>
      </c>
      <c r="E53" s="36">
        <v>12015</v>
      </c>
      <c r="F53" s="48" t="s">
        <v>403</v>
      </c>
      <c r="G53" s="45" t="s">
        <v>1176</v>
      </c>
      <c r="H53" s="9"/>
      <c r="I53" s="31"/>
    </row>
    <row r="54" spans="1:9" ht="24" customHeight="1" x14ac:dyDescent="0.4">
      <c r="A54" s="28" t="s">
        <v>505</v>
      </c>
      <c r="B54" s="29" t="s">
        <v>525</v>
      </c>
      <c r="C54" s="29" t="s">
        <v>10</v>
      </c>
      <c r="D54" s="29" t="s">
        <v>1</v>
      </c>
      <c r="E54" s="36">
        <v>12016</v>
      </c>
      <c r="F54" s="48" t="s">
        <v>403</v>
      </c>
      <c r="G54" s="45" t="s">
        <v>1177</v>
      </c>
      <c r="H54" s="9"/>
      <c r="I54" s="31"/>
    </row>
    <row r="55" spans="1:9" ht="24" customHeight="1" x14ac:dyDescent="0.4">
      <c r="A55" s="28" t="s">
        <v>451</v>
      </c>
      <c r="B55" s="29" t="s">
        <v>526</v>
      </c>
      <c r="C55" s="29" t="s">
        <v>10</v>
      </c>
      <c r="D55" s="29" t="s">
        <v>1</v>
      </c>
      <c r="E55" s="36">
        <v>12017</v>
      </c>
      <c r="F55" s="48" t="s">
        <v>407</v>
      </c>
      <c r="G55" s="44"/>
      <c r="H55" s="9"/>
      <c r="I55" s="31"/>
    </row>
    <row r="56" spans="1:9" ht="24" customHeight="1" x14ac:dyDescent="0.4">
      <c r="A56" s="28" t="s">
        <v>527</v>
      </c>
      <c r="B56" s="29" t="s">
        <v>528</v>
      </c>
      <c r="C56" s="29" t="s">
        <v>10</v>
      </c>
      <c r="D56" s="29" t="s">
        <v>1</v>
      </c>
      <c r="E56" s="36">
        <v>12104</v>
      </c>
      <c r="F56" s="48" t="s">
        <v>403</v>
      </c>
      <c r="G56" s="45" t="s">
        <v>1178</v>
      </c>
      <c r="H56" s="9"/>
      <c r="I56" s="31"/>
    </row>
    <row r="57" spans="1:9" ht="24" customHeight="1" x14ac:dyDescent="0.4">
      <c r="A57" s="28"/>
      <c r="B57" s="29"/>
      <c r="C57" s="29"/>
      <c r="D57" s="29"/>
      <c r="E57" s="52"/>
      <c r="F57" s="50"/>
      <c r="G57" s="45"/>
      <c r="H57" s="51"/>
      <c r="I57" s="31"/>
    </row>
    <row r="58" spans="1:9" ht="24" customHeight="1" x14ac:dyDescent="0.4">
      <c r="A58" s="28"/>
      <c r="B58" s="29"/>
      <c r="C58" s="29"/>
      <c r="D58" s="29"/>
      <c r="E58" s="52"/>
      <c r="F58" s="50"/>
      <c r="G58" s="45"/>
      <c r="H58" s="51"/>
      <c r="I58" s="31"/>
    </row>
    <row r="59" spans="1:9" ht="24" customHeight="1" x14ac:dyDescent="0.4">
      <c r="A59" s="28" t="s">
        <v>542</v>
      </c>
      <c r="B59" s="29" t="s">
        <v>543</v>
      </c>
      <c r="C59" s="29" t="s">
        <v>11</v>
      </c>
      <c r="D59" s="29" t="s">
        <v>7</v>
      </c>
      <c r="E59" s="30">
        <v>8189</v>
      </c>
      <c r="F59" s="48" t="s">
        <v>1201</v>
      </c>
      <c r="G59" s="45" t="s">
        <v>1200</v>
      </c>
      <c r="H59" s="9"/>
      <c r="I59" s="31"/>
    </row>
    <row r="60" spans="1:9" ht="24" customHeight="1" x14ac:dyDescent="0.4">
      <c r="A60" s="28" t="s">
        <v>552</v>
      </c>
      <c r="B60" s="29" t="s">
        <v>553</v>
      </c>
      <c r="C60" s="29" t="s">
        <v>11</v>
      </c>
      <c r="D60" s="29" t="s">
        <v>7</v>
      </c>
      <c r="E60" s="30">
        <v>8190</v>
      </c>
      <c r="F60" s="48" t="s">
        <v>407</v>
      </c>
      <c r="G60" s="44"/>
      <c r="H60" s="9"/>
      <c r="I60" s="31"/>
    </row>
    <row r="61" spans="1:9" ht="24" customHeight="1" x14ac:dyDescent="0.4">
      <c r="A61" s="28" t="s">
        <v>549</v>
      </c>
      <c r="B61" s="29" t="s">
        <v>550</v>
      </c>
      <c r="C61" s="29" t="s">
        <v>11</v>
      </c>
      <c r="D61" s="29" t="s">
        <v>5</v>
      </c>
      <c r="E61" s="32">
        <v>911</v>
      </c>
      <c r="F61" s="48" t="s">
        <v>403</v>
      </c>
      <c r="G61" s="45" t="s">
        <v>1202</v>
      </c>
      <c r="H61" s="9"/>
      <c r="I61" s="31"/>
    </row>
    <row r="62" spans="1:9" ht="24" customHeight="1" x14ac:dyDescent="0.4">
      <c r="A62" s="28" t="s">
        <v>554</v>
      </c>
      <c r="B62" s="29" t="s">
        <v>555</v>
      </c>
      <c r="C62" s="29" t="s">
        <v>11</v>
      </c>
      <c r="D62" s="29" t="s">
        <v>6</v>
      </c>
      <c r="E62" s="33">
        <v>9290</v>
      </c>
      <c r="F62" s="48" t="s">
        <v>531</v>
      </c>
      <c r="G62" s="44"/>
      <c r="H62" s="9"/>
      <c r="I62" s="31"/>
    </row>
    <row r="63" spans="1:9" ht="24" customHeight="1" x14ac:dyDescent="0.4">
      <c r="A63" s="28" t="s">
        <v>544</v>
      </c>
      <c r="B63" s="29" t="s">
        <v>545</v>
      </c>
      <c r="C63" s="29" t="s">
        <v>11</v>
      </c>
      <c r="D63" s="29" t="s">
        <v>3</v>
      </c>
      <c r="E63" s="34">
        <v>10152</v>
      </c>
      <c r="F63" s="48" t="s">
        <v>403</v>
      </c>
      <c r="G63" s="45" t="s">
        <v>1195</v>
      </c>
      <c r="H63" s="9"/>
      <c r="I63" s="31"/>
    </row>
    <row r="64" spans="1:9" ht="24" customHeight="1" x14ac:dyDescent="0.4">
      <c r="A64" s="28" t="s">
        <v>527</v>
      </c>
      <c r="B64" s="29" t="s">
        <v>543</v>
      </c>
      <c r="C64" s="29" t="s">
        <v>11</v>
      </c>
      <c r="D64" s="29" t="s">
        <v>3</v>
      </c>
      <c r="E64" s="34">
        <v>10153</v>
      </c>
      <c r="F64" s="48" t="s">
        <v>403</v>
      </c>
      <c r="G64" s="45" t="s">
        <v>1196</v>
      </c>
      <c r="H64" s="9"/>
      <c r="I64" s="31"/>
    </row>
    <row r="65" spans="1:9" ht="24" customHeight="1" x14ac:dyDescent="0.4">
      <c r="A65" s="28" t="s">
        <v>503</v>
      </c>
      <c r="B65" s="29" t="s">
        <v>546</v>
      </c>
      <c r="C65" s="29" t="s">
        <v>11</v>
      </c>
      <c r="D65" s="29" t="s">
        <v>3</v>
      </c>
      <c r="E65" s="34">
        <v>10154</v>
      </c>
      <c r="F65" s="48" t="s">
        <v>403</v>
      </c>
      <c r="G65" s="45" t="s">
        <v>1197</v>
      </c>
      <c r="H65" s="9"/>
      <c r="I65" s="31"/>
    </row>
    <row r="66" spans="1:9" ht="24" customHeight="1" x14ac:dyDescent="0.4">
      <c r="A66" s="28" t="s">
        <v>547</v>
      </c>
      <c r="B66" s="29" t="s">
        <v>548</v>
      </c>
      <c r="C66" s="29" t="s">
        <v>11</v>
      </c>
      <c r="D66" s="29" t="s">
        <v>3</v>
      </c>
      <c r="E66" s="34">
        <v>10155</v>
      </c>
      <c r="F66" s="48" t="s">
        <v>403</v>
      </c>
      <c r="G66" s="45" t="s">
        <v>1198</v>
      </c>
      <c r="H66" s="9"/>
      <c r="I66" s="31"/>
    </row>
    <row r="67" spans="1:9" ht="24" customHeight="1" x14ac:dyDescent="0.4">
      <c r="A67" s="28" t="s">
        <v>551</v>
      </c>
      <c r="B67" s="29" t="s">
        <v>543</v>
      </c>
      <c r="C67" s="29" t="s">
        <v>11</v>
      </c>
      <c r="D67" s="29" t="s">
        <v>1</v>
      </c>
      <c r="E67" s="36">
        <v>12018</v>
      </c>
      <c r="F67" s="48" t="s">
        <v>403</v>
      </c>
      <c r="G67" s="45" t="s">
        <v>1199</v>
      </c>
      <c r="H67" s="9"/>
      <c r="I67" s="31"/>
    </row>
    <row r="68" spans="1:9" ht="24" customHeight="1" x14ac:dyDescent="0.4">
      <c r="A68" s="28" t="s">
        <v>556</v>
      </c>
      <c r="B68" s="29" t="s">
        <v>555</v>
      </c>
      <c r="C68" s="29" t="s">
        <v>11</v>
      </c>
      <c r="D68" s="29" t="s">
        <v>1</v>
      </c>
      <c r="E68" s="36">
        <v>12019</v>
      </c>
      <c r="F68" s="48" t="s">
        <v>407</v>
      </c>
      <c r="G68" s="44"/>
      <c r="H68" s="9"/>
      <c r="I68" s="31"/>
    </row>
    <row r="69" spans="1:9" ht="24" customHeight="1" x14ac:dyDescent="0.4">
      <c r="A69" s="28"/>
      <c r="B69" s="29"/>
      <c r="C69" s="29"/>
      <c r="D69" s="29"/>
      <c r="E69" s="52"/>
      <c r="F69" s="50"/>
      <c r="G69" s="45"/>
      <c r="H69" s="51"/>
      <c r="I69" s="31"/>
    </row>
    <row r="70" spans="1:9" ht="24" customHeight="1" x14ac:dyDescent="0.4">
      <c r="A70" s="28" t="s">
        <v>557</v>
      </c>
      <c r="B70" s="29" t="s">
        <v>558</v>
      </c>
      <c r="C70" s="29" t="s">
        <v>12</v>
      </c>
      <c r="D70" s="29" t="s">
        <v>7</v>
      </c>
      <c r="E70" s="30">
        <v>8191</v>
      </c>
      <c r="F70" s="48" t="s">
        <v>403</v>
      </c>
      <c r="G70" s="45" t="s">
        <v>1208</v>
      </c>
      <c r="H70" s="9"/>
      <c r="I70" s="31"/>
    </row>
    <row r="71" spans="1:9" ht="24" customHeight="1" x14ac:dyDescent="0.4">
      <c r="A71" s="28" t="s">
        <v>559</v>
      </c>
      <c r="B71" s="29" t="s">
        <v>1210</v>
      </c>
      <c r="C71" s="29" t="s">
        <v>12</v>
      </c>
      <c r="D71" s="29" t="s">
        <v>7</v>
      </c>
      <c r="E71" s="30">
        <v>8192</v>
      </c>
      <c r="F71" s="48" t="s">
        <v>403</v>
      </c>
      <c r="G71" s="45" t="s">
        <v>1209</v>
      </c>
      <c r="H71" s="9"/>
      <c r="I71" s="31"/>
    </row>
    <row r="72" spans="1:9" ht="24" customHeight="1" x14ac:dyDescent="0.4">
      <c r="A72" s="28" t="s">
        <v>560</v>
      </c>
      <c r="B72" s="29" t="s">
        <v>561</v>
      </c>
      <c r="C72" s="29" t="s">
        <v>12</v>
      </c>
      <c r="D72" s="29" t="s">
        <v>3</v>
      </c>
      <c r="E72" s="34">
        <v>10156</v>
      </c>
      <c r="F72" s="48" t="s">
        <v>403</v>
      </c>
      <c r="G72" s="45" t="s">
        <v>1203</v>
      </c>
      <c r="H72" s="9"/>
      <c r="I72" s="31"/>
    </row>
    <row r="73" spans="1:9" ht="24" customHeight="1" x14ac:dyDescent="0.4">
      <c r="A73" s="28" t="s">
        <v>571</v>
      </c>
      <c r="B73" s="29" t="s">
        <v>572</v>
      </c>
      <c r="C73" s="29" t="s">
        <v>12</v>
      </c>
      <c r="D73" s="29" t="s">
        <v>3</v>
      </c>
      <c r="E73" s="34">
        <v>10157</v>
      </c>
      <c r="F73" s="48" t="s">
        <v>403</v>
      </c>
      <c r="G73" s="45" t="s">
        <v>1204</v>
      </c>
      <c r="H73" s="9"/>
      <c r="I73" s="31"/>
    </row>
    <row r="74" spans="1:9" ht="24" customHeight="1" x14ac:dyDescent="0.4">
      <c r="A74" s="28" t="s">
        <v>562</v>
      </c>
      <c r="B74" s="29" t="s">
        <v>563</v>
      </c>
      <c r="C74" s="29" t="s">
        <v>12</v>
      </c>
      <c r="D74" s="29" t="s">
        <v>1</v>
      </c>
      <c r="E74" s="36">
        <v>12020</v>
      </c>
      <c r="F74" s="48" t="s">
        <v>403</v>
      </c>
      <c r="G74" s="45" t="s">
        <v>1205</v>
      </c>
      <c r="H74" s="9"/>
      <c r="I74" s="31"/>
    </row>
    <row r="75" spans="1:9" ht="24" customHeight="1" x14ac:dyDescent="0.4">
      <c r="A75" s="28" t="s">
        <v>564</v>
      </c>
      <c r="B75" s="29" t="s">
        <v>565</v>
      </c>
      <c r="C75" s="29" t="s">
        <v>12</v>
      </c>
      <c r="D75" s="29" t="s">
        <v>1</v>
      </c>
      <c r="E75" s="36">
        <v>12021</v>
      </c>
      <c r="F75" s="48" t="s">
        <v>403</v>
      </c>
      <c r="G75" s="45" t="s">
        <v>1206</v>
      </c>
      <c r="H75" s="9"/>
      <c r="I75" s="31"/>
    </row>
    <row r="76" spans="1:9" ht="24" customHeight="1" x14ac:dyDescent="0.4">
      <c r="A76" s="28" t="s">
        <v>566</v>
      </c>
      <c r="B76" s="29" t="s">
        <v>567</v>
      </c>
      <c r="C76" s="29" t="s">
        <v>12</v>
      </c>
      <c r="D76" s="29" t="s">
        <v>1</v>
      </c>
      <c r="E76" s="36">
        <v>12022</v>
      </c>
      <c r="F76" s="48" t="s">
        <v>407</v>
      </c>
      <c r="G76" s="44"/>
      <c r="H76" s="9"/>
      <c r="I76" s="31"/>
    </row>
    <row r="77" spans="1:9" ht="24" customHeight="1" x14ac:dyDescent="0.4">
      <c r="A77" s="28" t="s">
        <v>568</v>
      </c>
      <c r="B77" s="29" t="s">
        <v>569</v>
      </c>
      <c r="C77" s="29" t="s">
        <v>12</v>
      </c>
      <c r="D77" s="29" t="s">
        <v>1</v>
      </c>
      <c r="E77" s="36">
        <v>12023</v>
      </c>
      <c r="F77" s="48" t="s">
        <v>403</v>
      </c>
      <c r="G77" s="45" t="s">
        <v>1207</v>
      </c>
      <c r="H77" s="9"/>
      <c r="I77" s="31"/>
    </row>
    <row r="78" spans="1:9" ht="24" customHeight="1" x14ac:dyDescent="0.4">
      <c r="A78" s="28" t="s">
        <v>570</v>
      </c>
      <c r="B78" s="29" t="s">
        <v>561</v>
      </c>
      <c r="C78" s="29" t="s">
        <v>12</v>
      </c>
      <c r="D78" s="29" t="s">
        <v>2</v>
      </c>
      <c r="E78" s="37">
        <v>1227</v>
      </c>
      <c r="F78" s="48" t="s">
        <v>407</v>
      </c>
      <c r="G78" s="44"/>
      <c r="H78" s="9"/>
      <c r="I78" s="31"/>
    </row>
    <row r="79" spans="1:9" ht="24" customHeight="1" x14ac:dyDescent="0.4">
      <c r="A79" s="28"/>
      <c r="B79" s="29"/>
      <c r="C79" s="29"/>
      <c r="D79" s="29"/>
      <c r="E79" s="45"/>
      <c r="F79" s="50"/>
      <c r="G79" s="45"/>
      <c r="H79" s="51"/>
      <c r="I79" s="31"/>
    </row>
    <row r="80" spans="1:9" ht="24" customHeight="1" x14ac:dyDescent="0.4">
      <c r="A80" s="28"/>
      <c r="B80" s="29"/>
      <c r="C80" s="29"/>
      <c r="D80" s="29"/>
      <c r="E80" s="45"/>
      <c r="F80" s="50"/>
      <c r="G80" s="45"/>
      <c r="H80" s="51"/>
      <c r="I80" s="31"/>
    </row>
    <row r="81" spans="1:9" ht="24" customHeight="1" x14ac:dyDescent="0.4">
      <c r="A81" s="28" t="s">
        <v>476</v>
      </c>
      <c r="B81" s="29" t="s">
        <v>573</v>
      </c>
      <c r="C81" s="29" t="s">
        <v>13</v>
      </c>
      <c r="D81" s="29" t="s">
        <v>7</v>
      </c>
      <c r="E81" s="30">
        <v>8193</v>
      </c>
      <c r="F81" s="48" t="s">
        <v>403</v>
      </c>
      <c r="G81" s="45" t="s">
        <v>1225</v>
      </c>
      <c r="H81" s="9"/>
      <c r="I81" s="31"/>
    </row>
    <row r="82" spans="1:9" ht="24" customHeight="1" x14ac:dyDescent="0.4">
      <c r="A82" s="28" t="s">
        <v>574</v>
      </c>
      <c r="B82" s="29" t="s">
        <v>575</v>
      </c>
      <c r="C82" s="29" t="s">
        <v>13</v>
      </c>
      <c r="D82" s="29" t="s">
        <v>7</v>
      </c>
      <c r="E82" s="30">
        <v>8194</v>
      </c>
      <c r="F82" s="48" t="s">
        <v>403</v>
      </c>
      <c r="G82" s="45" t="s">
        <v>1226</v>
      </c>
      <c r="H82" s="9"/>
      <c r="I82" s="31"/>
    </row>
    <row r="83" spans="1:9" ht="24" customHeight="1" x14ac:dyDescent="0.4">
      <c r="A83" s="28" t="s">
        <v>578</v>
      </c>
      <c r="B83" s="29" t="s">
        <v>579</v>
      </c>
      <c r="C83" s="29" t="s">
        <v>13</v>
      </c>
      <c r="D83" s="29" t="s">
        <v>5</v>
      </c>
      <c r="E83" s="32">
        <v>912</v>
      </c>
      <c r="F83" s="48" t="s">
        <v>403</v>
      </c>
      <c r="G83" s="45" t="s">
        <v>1223</v>
      </c>
      <c r="H83" s="9"/>
      <c r="I83" s="31"/>
    </row>
    <row r="84" spans="1:9" ht="24" customHeight="1" x14ac:dyDescent="0.4">
      <c r="A84" s="28" t="s">
        <v>580</v>
      </c>
      <c r="B84" s="29" t="s">
        <v>581</v>
      </c>
      <c r="C84" s="29" t="s">
        <v>13</v>
      </c>
      <c r="D84" s="29" t="s">
        <v>5</v>
      </c>
      <c r="E84" s="32">
        <v>913</v>
      </c>
      <c r="F84" s="48" t="s">
        <v>403</v>
      </c>
      <c r="G84" s="45" t="s">
        <v>1224</v>
      </c>
      <c r="H84" s="9"/>
      <c r="I84" s="31"/>
    </row>
    <row r="85" spans="1:9" ht="24" customHeight="1" x14ac:dyDescent="0.4">
      <c r="A85" s="28" t="s">
        <v>576</v>
      </c>
      <c r="B85" s="29" t="s">
        <v>577</v>
      </c>
      <c r="C85" s="29" t="s">
        <v>13</v>
      </c>
      <c r="D85" s="29" t="s">
        <v>3</v>
      </c>
      <c r="E85" s="34">
        <v>10159</v>
      </c>
      <c r="F85" s="48" t="s">
        <v>403</v>
      </c>
      <c r="G85" s="45" t="s">
        <v>1212</v>
      </c>
      <c r="H85" s="9"/>
      <c r="I85" s="31"/>
    </row>
    <row r="86" spans="1:9" ht="24" customHeight="1" x14ac:dyDescent="0.4">
      <c r="A86" s="28" t="s">
        <v>582</v>
      </c>
      <c r="B86" s="29" t="s">
        <v>583</v>
      </c>
      <c r="C86" s="29" t="s">
        <v>13</v>
      </c>
      <c r="D86" s="29" t="s">
        <v>1</v>
      </c>
      <c r="E86" s="36">
        <v>12024</v>
      </c>
      <c r="F86" s="48" t="s">
        <v>403</v>
      </c>
      <c r="G86" s="45" t="s">
        <v>1213</v>
      </c>
      <c r="H86" s="9"/>
      <c r="I86" s="31"/>
    </row>
    <row r="87" spans="1:9" ht="24" customHeight="1" x14ac:dyDescent="0.4">
      <c r="A87" s="28" t="s">
        <v>584</v>
      </c>
      <c r="B87" s="29" t="s">
        <v>585</v>
      </c>
      <c r="C87" s="29" t="s">
        <v>13</v>
      </c>
      <c r="D87" s="29" t="s">
        <v>1</v>
      </c>
      <c r="E87" s="36">
        <v>12025</v>
      </c>
      <c r="F87" s="48" t="s">
        <v>403</v>
      </c>
      <c r="G87" s="45" t="s">
        <v>1214</v>
      </c>
      <c r="H87" s="9"/>
      <c r="I87" s="31"/>
    </row>
    <row r="88" spans="1:9" ht="24" customHeight="1" x14ac:dyDescent="0.4">
      <c r="A88" s="28" t="s">
        <v>586</v>
      </c>
      <c r="B88" s="29" t="s">
        <v>587</v>
      </c>
      <c r="C88" s="29" t="s">
        <v>13</v>
      </c>
      <c r="D88" s="29" t="s">
        <v>1</v>
      </c>
      <c r="E88" s="36">
        <v>12026</v>
      </c>
      <c r="F88" s="48" t="s">
        <v>403</v>
      </c>
      <c r="G88" s="45" t="s">
        <v>1221</v>
      </c>
      <c r="H88" s="9"/>
      <c r="I88" s="31"/>
    </row>
    <row r="89" spans="1:9" ht="24" customHeight="1" x14ac:dyDescent="0.4">
      <c r="A89" s="28" t="s">
        <v>588</v>
      </c>
      <c r="B89" s="29" t="s">
        <v>589</v>
      </c>
      <c r="C89" s="29" t="s">
        <v>13</v>
      </c>
      <c r="D89" s="29" t="s">
        <v>1</v>
      </c>
      <c r="E89" s="36">
        <v>12027</v>
      </c>
      <c r="F89" s="48" t="s">
        <v>403</v>
      </c>
      <c r="G89" s="45" t="s">
        <v>1218</v>
      </c>
      <c r="H89" s="9"/>
      <c r="I89" s="31"/>
    </row>
    <row r="90" spans="1:9" ht="24" customHeight="1" x14ac:dyDescent="0.4">
      <c r="A90" s="28" t="s">
        <v>590</v>
      </c>
      <c r="B90" s="29" t="s">
        <v>591</v>
      </c>
      <c r="C90" s="29" t="s">
        <v>13</v>
      </c>
      <c r="D90" s="29" t="s">
        <v>1</v>
      </c>
      <c r="E90" s="36">
        <v>12028</v>
      </c>
      <c r="F90" s="48" t="s">
        <v>403</v>
      </c>
      <c r="G90" s="45" t="s">
        <v>1215</v>
      </c>
      <c r="H90" s="9"/>
      <c r="I90" s="31"/>
    </row>
    <row r="91" spans="1:9" ht="24" customHeight="1" x14ac:dyDescent="0.4">
      <c r="A91" s="28" t="s">
        <v>592</v>
      </c>
      <c r="B91" s="29" t="s">
        <v>593</v>
      </c>
      <c r="C91" s="29" t="s">
        <v>13</v>
      </c>
      <c r="D91" s="29" t="s">
        <v>1</v>
      </c>
      <c r="E91" s="36">
        <v>12029</v>
      </c>
      <c r="F91" s="48" t="s">
        <v>403</v>
      </c>
      <c r="G91" s="45" t="s">
        <v>1222</v>
      </c>
      <c r="H91" s="9"/>
      <c r="I91" s="31"/>
    </row>
    <row r="92" spans="1:9" ht="24" customHeight="1" x14ac:dyDescent="0.4">
      <c r="A92" s="28"/>
      <c r="B92" s="29"/>
      <c r="C92" s="29"/>
      <c r="D92" s="29"/>
      <c r="E92" s="52"/>
      <c r="F92" s="50"/>
      <c r="G92" s="45"/>
      <c r="H92" s="51"/>
      <c r="I92" s="31"/>
    </row>
    <row r="93" spans="1:9" ht="24" customHeight="1" x14ac:dyDescent="0.4">
      <c r="A93" s="28" t="s">
        <v>594</v>
      </c>
      <c r="B93" s="29" t="s">
        <v>595</v>
      </c>
      <c r="C93" s="29" t="s">
        <v>13</v>
      </c>
      <c r="D93" s="29" t="s">
        <v>1</v>
      </c>
      <c r="E93" s="36">
        <v>12030</v>
      </c>
      <c r="F93" s="48" t="s">
        <v>403</v>
      </c>
      <c r="G93" s="45" t="s">
        <v>1216</v>
      </c>
      <c r="H93" s="9"/>
      <c r="I93" s="31"/>
    </row>
    <row r="94" spans="1:9" ht="24" customHeight="1" x14ac:dyDescent="0.4">
      <c r="A94" s="28" t="s">
        <v>476</v>
      </c>
      <c r="B94" s="29" t="s">
        <v>596</v>
      </c>
      <c r="C94" s="29" t="s">
        <v>13</v>
      </c>
      <c r="D94" s="29" t="s">
        <v>1</v>
      </c>
      <c r="E94" s="36">
        <v>12103</v>
      </c>
      <c r="F94" s="48" t="s">
        <v>403</v>
      </c>
      <c r="G94" s="45" t="s">
        <v>1217</v>
      </c>
      <c r="H94" s="9"/>
      <c r="I94" s="31"/>
    </row>
    <row r="95" spans="1:9" ht="24" customHeight="1" x14ac:dyDescent="0.4">
      <c r="A95" s="28" t="s">
        <v>597</v>
      </c>
      <c r="B95" s="29" t="s">
        <v>598</v>
      </c>
      <c r="C95" s="29" t="s">
        <v>13</v>
      </c>
      <c r="D95" s="29" t="s">
        <v>2</v>
      </c>
      <c r="E95" s="37">
        <v>1230</v>
      </c>
      <c r="F95" s="48" t="s">
        <v>403</v>
      </c>
      <c r="G95" s="45" t="s">
        <v>1219</v>
      </c>
      <c r="H95" s="9"/>
      <c r="I95" s="31"/>
    </row>
    <row r="96" spans="1:9" ht="24" customHeight="1" x14ac:dyDescent="0.4">
      <c r="A96" s="28" t="s">
        <v>599</v>
      </c>
      <c r="B96" s="29" t="s">
        <v>600</v>
      </c>
      <c r="C96" s="29" t="s">
        <v>13</v>
      </c>
      <c r="D96" s="29" t="s">
        <v>2</v>
      </c>
      <c r="E96" s="37">
        <v>1231</v>
      </c>
      <c r="F96" s="48" t="s">
        <v>403</v>
      </c>
      <c r="G96" s="45" t="s">
        <v>1220</v>
      </c>
      <c r="H96" s="9"/>
      <c r="I96" s="31"/>
    </row>
    <row r="97" spans="1:9" ht="24" customHeight="1" x14ac:dyDescent="0.4">
      <c r="A97" s="28" t="s">
        <v>601</v>
      </c>
      <c r="B97" s="29" t="s">
        <v>602</v>
      </c>
      <c r="C97" s="29" t="s">
        <v>13</v>
      </c>
      <c r="D97" s="29" t="s">
        <v>2</v>
      </c>
      <c r="E97" s="37">
        <v>1232</v>
      </c>
      <c r="F97" s="48" t="s">
        <v>403</v>
      </c>
      <c r="G97" s="45" t="s">
        <v>1211</v>
      </c>
      <c r="H97" s="9"/>
      <c r="I97" s="31"/>
    </row>
    <row r="98" spans="1:9" ht="24" customHeight="1" x14ac:dyDescent="0.4">
      <c r="A98" s="28" t="s">
        <v>603</v>
      </c>
      <c r="B98" s="29" t="s">
        <v>604</v>
      </c>
      <c r="C98" s="29" t="s">
        <v>13</v>
      </c>
      <c r="D98" s="29" t="s">
        <v>2</v>
      </c>
      <c r="E98" s="37">
        <v>1233</v>
      </c>
      <c r="F98" s="48" t="s">
        <v>407</v>
      </c>
      <c r="G98" s="44"/>
      <c r="H98" s="9"/>
      <c r="I98" s="31"/>
    </row>
    <row r="99" spans="1:9" ht="24" customHeight="1" x14ac:dyDescent="0.4">
      <c r="A99" s="28"/>
      <c r="B99" s="29"/>
      <c r="C99" s="29"/>
      <c r="D99" s="29"/>
      <c r="E99" s="45"/>
      <c r="F99" s="50"/>
      <c r="G99" s="45"/>
      <c r="H99" s="51"/>
      <c r="I99" s="31"/>
    </row>
    <row r="100" spans="1:9" ht="24" customHeight="1" x14ac:dyDescent="0.4">
      <c r="A100" s="28"/>
      <c r="B100" s="29"/>
      <c r="C100" s="29"/>
      <c r="D100" s="29"/>
      <c r="E100" s="45"/>
      <c r="F100" s="50"/>
      <c r="G100" s="45"/>
      <c r="H100" s="51"/>
      <c r="I100" s="31"/>
    </row>
    <row r="101" spans="1:9" ht="24" customHeight="1" x14ac:dyDescent="0.4">
      <c r="A101" s="28" t="s">
        <v>1231</v>
      </c>
      <c r="B101" s="29" t="s">
        <v>1232</v>
      </c>
      <c r="C101" s="29" t="s">
        <v>14</v>
      </c>
      <c r="D101" s="29" t="s">
        <v>7</v>
      </c>
      <c r="E101" s="30">
        <v>843</v>
      </c>
      <c r="F101" s="48" t="s">
        <v>403</v>
      </c>
      <c r="G101" s="45" t="s">
        <v>1230</v>
      </c>
      <c r="H101" s="9"/>
      <c r="I101" s="31"/>
    </row>
    <row r="102" spans="1:9" ht="24" customHeight="1" x14ac:dyDescent="0.4">
      <c r="A102" s="28" t="s">
        <v>605</v>
      </c>
      <c r="B102" s="29" t="s">
        <v>606</v>
      </c>
      <c r="C102" s="29" t="s">
        <v>14</v>
      </c>
      <c r="D102" s="29" t="s">
        <v>7</v>
      </c>
      <c r="E102" s="30">
        <v>8195</v>
      </c>
      <c r="F102" s="48" t="s">
        <v>403</v>
      </c>
      <c r="G102" s="45" t="s">
        <v>1233</v>
      </c>
      <c r="H102" s="9"/>
      <c r="I102" s="31"/>
    </row>
    <row r="103" spans="1:9" ht="24" customHeight="1" x14ac:dyDescent="0.4">
      <c r="A103" s="28" t="s">
        <v>610</v>
      </c>
      <c r="B103" s="29" t="s">
        <v>611</v>
      </c>
      <c r="C103" s="29" t="s">
        <v>14</v>
      </c>
      <c r="D103" s="29" t="s">
        <v>5</v>
      </c>
      <c r="E103" s="32">
        <v>961</v>
      </c>
      <c r="F103" s="48" t="s">
        <v>407</v>
      </c>
      <c r="G103" s="44"/>
      <c r="H103" s="9"/>
      <c r="I103" s="31"/>
    </row>
    <row r="104" spans="1:9" ht="24" customHeight="1" x14ac:dyDescent="0.4">
      <c r="A104" s="28" t="s">
        <v>495</v>
      </c>
      <c r="B104" s="29" t="s">
        <v>607</v>
      </c>
      <c r="C104" s="29" t="s">
        <v>14</v>
      </c>
      <c r="D104" s="29" t="s">
        <v>3</v>
      </c>
      <c r="E104" s="34">
        <v>10206</v>
      </c>
      <c r="F104" s="48" t="s">
        <v>403</v>
      </c>
      <c r="G104" s="45" t="s">
        <v>1229</v>
      </c>
      <c r="H104" s="9"/>
      <c r="I104" s="31"/>
    </row>
    <row r="105" spans="1:9" ht="24" customHeight="1" x14ac:dyDescent="0.4">
      <c r="A105" s="28" t="s">
        <v>608</v>
      </c>
      <c r="B105" s="29" t="s">
        <v>609</v>
      </c>
      <c r="C105" s="29" t="s">
        <v>14</v>
      </c>
      <c r="D105" s="29" t="s">
        <v>3</v>
      </c>
      <c r="E105" s="34">
        <v>10207</v>
      </c>
      <c r="F105" s="48" t="s">
        <v>403</v>
      </c>
      <c r="G105" s="45" t="s">
        <v>1227</v>
      </c>
      <c r="H105" s="9"/>
      <c r="I105" s="31"/>
    </row>
    <row r="106" spans="1:9" ht="24" customHeight="1" x14ac:dyDescent="0.4">
      <c r="A106" s="28" t="s">
        <v>612</v>
      </c>
      <c r="B106" s="29" t="s">
        <v>613</v>
      </c>
      <c r="C106" s="29" t="s">
        <v>14</v>
      </c>
      <c r="D106" s="29" t="s">
        <v>1</v>
      </c>
      <c r="E106" s="36">
        <v>12031</v>
      </c>
      <c r="F106" s="48" t="s">
        <v>403</v>
      </c>
      <c r="G106" s="45" t="s">
        <v>1228</v>
      </c>
      <c r="H106" s="9"/>
      <c r="I106" s="31"/>
    </row>
    <row r="107" spans="1:9" ht="24" customHeight="1" x14ac:dyDescent="0.4">
      <c r="A107" s="28"/>
      <c r="B107" s="29"/>
      <c r="C107" s="29"/>
      <c r="D107" s="29"/>
      <c r="E107" s="52"/>
      <c r="F107" s="50"/>
      <c r="G107" s="45"/>
      <c r="H107" s="51"/>
      <c r="I107" s="31"/>
    </row>
    <row r="108" spans="1:9" ht="24" customHeight="1" x14ac:dyDescent="0.4">
      <c r="A108" s="28"/>
      <c r="B108" s="29"/>
      <c r="C108" s="29"/>
      <c r="D108" s="29"/>
      <c r="E108" s="52"/>
      <c r="F108" s="50"/>
      <c r="G108" s="45"/>
      <c r="H108" s="51"/>
      <c r="I108" s="31"/>
    </row>
    <row r="109" spans="1:9" ht="24" customHeight="1" x14ac:dyDescent="0.4">
      <c r="A109" s="28" t="s">
        <v>1238</v>
      </c>
      <c r="B109" s="29" t="s">
        <v>614</v>
      </c>
      <c r="C109" s="29" t="s">
        <v>15</v>
      </c>
      <c r="D109" s="29" t="s">
        <v>7</v>
      </c>
      <c r="E109" s="30">
        <v>800</v>
      </c>
      <c r="F109" s="48" t="s">
        <v>403</v>
      </c>
      <c r="G109" s="45" t="s">
        <v>1237</v>
      </c>
      <c r="H109" s="9"/>
      <c r="I109" s="31"/>
    </row>
    <row r="110" spans="1:9" ht="24" customHeight="1" x14ac:dyDescent="0.4">
      <c r="A110" s="28" t="s">
        <v>615</v>
      </c>
      <c r="B110" s="29" t="s">
        <v>1164</v>
      </c>
      <c r="C110" s="29" t="s">
        <v>15</v>
      </c>
      <c r="D110" s="29" t="s">
        <v>7</v>
      </c>
      <c r="E110" s="30">
        <v>801</v>
      </c>
      <c r="F110" s="48" t="s">
        <v>407</v>
      </c>
      <c r="G110" s="44"/>
      <c r="H110" s="9"/>
      <c r="I110" s="31"/>
    </row>
    <row r="111" spans="1:9" ht="24" customHeight="1" x14ac:dyDescent="0.4">
      <c r="A111" s="28" t="s">
        <v>461</v>
      </c>
      <c r="B111" s="29" t="s">
        <v>1240</v>
      </c>
      <c r="C111" s="29" t="s">
        <v>15</v>
      </c>
      <c r="D111" s="29" t="s">
        <v>7</v>
      </c>
      <c r="E111" s="30">
        <v>802</v>
      </c>
      <c r="F111" s="48" t="s">
        <v>403</v>
      </c>
      <c r="G111" s="45" t="s">
        <v>1239</v>
      </c>
      <c r="H111" s="9"/>
      <c r="I111" s="31"/>
    </row>
    <row r="112" spans="1:9" ht="24" customHeight="1" x14ac:dyDescent="0.4">
      <c r="A112" s="28" t="s">
        <v>1242</v>
      </c>
      <c r="B112" s="29" t="s">
        <v>1243</v>
      </c>
      <c r="C112" s="29" t="s">
        <v>15</v>
      </c>
      <c r="D112" s="29" t="s">
        <v>7</v>
      </c>
      <c r="E112" s="30">
        <v>840</v>
      </c>
      <c r="F112" s="48" t="s">
        <v>403</v>
      </c>
      <c r="G112" s="45" t="s">
        <v>1241</v>
      </c>
      <c r="H112" s="9"/>
      <c r="I112" s="31"/>
    </row>
    <row r="113" spans="1:9" ht="24" customHeight="1" x14ac:dyDescent="0.4">
      <c r="A113" s="28" t="s">
        <v>472</v>
      </c>
      <c r="B113" s="29" t="s">
        <v>616</v>
      </c>
      <c r="C113" s="29" t="s">
        <v>15</v>
      </c>
      <c r="D113" s="29" t="s">
        <v>7</v>
      </c>
      <c r="E113" s="30">
        <v>8009</v>
      </c>
      <c r="F113" s="48" t="s">
        <v>407</v>
      </c>
      <c r="G113" s="44"/>
      <c r="H113" s="9"/>
      <c r="I113" s="31"/>
    </row>
    <row r="114" spans="1:9" ht="24" customHeight="1" x14ac:dyDescent="0.4">
      <c r="A114" s="28" t="s">
        <v>617</v>
      </c>
      <c r="B114" s="29" t="s">
        <v>618</v>
      </c>
      <c r="C114" s="29" t="s">
        <v>15</v>
      </c>
      <c r="D114" s="29" t="s">
        <v>7</v>
      </c>
      <c r="E114" s="30">
        <v>8197</v>
      </c>
      <c r="F114" s="48" t="s">
        <v>403</v>
      </c>
      <c r="G114" s="45" t="s">
        <v>1247</v>
      </c>
      <c r="H114" s="9"/>
      <c r="I114" s="31"/>
    </row>
    <row r="115" spans="1:9" ht="24" customHeight="1" x14ac:dyDescent="0.4">
      <c r="A115" s="28" t="s">
        <v>1249</v>
      </c>
      <c r="B115" s="29" t="s">
        <v>1250</v>
      </c>
      <c r="C115" s="29" t="s">
        <v>15</v>
      </c>
      <c r="D115" s="29" t="s">
        <v>7</v>
      </c>
      <c r="E115" s="30">
        <v>8198</v>
      </c>
      <c r="F115" s="48" t="s">
        <v>403</v>
      </c>
      <c r="G115" s="45" t="s">
        <v>1248</v>
      </c>
      <c r="H115" s="9"/>
      <c r="I115" s="31"/>
    </row>
    <row r="116" spans="1:9" ht="24" customHeight="1" x14ac:dyDescent="0.4">
      <c r="A116" s="28" t="s">
        <v>1257</v>
      </c>
      <c r="B116" s="29" t="s">
        <v>1258</v>
      </c>
      <c r="C116" s="29" t="s">
        <v>15</v>
      </c>
      <c r="D116" s="29" t="s">
        <v>7</v>
      </c>
      <c r="E116" s="30">
        <v>8199</v>
      </c>
      <c r="F116" s="48" t="s">
        <v>403</v>
      </c>
      <c r="G116" s="45" t="s">
        <v>1256</v>
      </c>
      <c r="H116" s="9"/>
      <c r="I116" s="31"/>
    </row>
    <row r="117" spans="1:9" ht="24" customHeight="1" x14ac:dyDescent="0.4">
      <c r="A117" s="28" t="s">
        <v>1245</v>
      </c>
      <c r="B117" s="29" t="s">
        <v>1246</v>
      </c>
      <c r="C117" s="29" t="s">
        <v>15</v>
      </c>
      <c r="D117" s="29" t="s">
        <v>8</v>
      </c>
      <c r="E117" s="38">
        <v>854</v>
      </c>
      <c r="F117" s="48" t="s">
        <v>403</v>
      </c>
      <c r="G117" s="45" t="s">
        <v>1244</v>
      </c>
      <c r="H117" s="9"/>
      <c r="I117" s="31"/>
    </row>
    <row r="118" spans="1:9" ht="24" customHeight="1" x14ac:dyDescent="0.4">
      <c r="A118" s="28" t="s">
        <v>1252</v>
      </c>
      <c r="B118" s="29" t="s">
        <v>1253</v>
      </c>
      <c r="C118" s="29" t="s">
        <v>15</v>
      </c>
      <c r="D118" s="29" t="s">
        <v>8</v>
      </c>
      <c r="E118" s="38">
        <v>8250</v>
      </c>
      <c r="F118" s="48" t="s">
        <v>403</v>
      </c>
      <c r="G118" s="45" t="s">
        <v>1251</v>
      </c>
      <c r="H118" s="9"/>
      <c r="I118" s="31"/>
    </row>
    <row r="119" spans="1:9" ht="24" customHeight="1" x14ac:dyDescent="0.4">
      <c r="A119" s="28" t="s">
        <v>621</v>
      </c>
      <c r="B119" s="29" t="s">
        <v>1255</v>
      </c>
      <c r="C119" s="29" t="s">
        <v>15</v>
      </c>
      <c r="D119" s="29" t="s">
        <v>6</v>
      </c>
      <c r="E119" s="33">
        <v>9491</v>
      </c>
      <c r="F119" s="48" t="s">
        <v>403</v>
      </c>
      <c r="G119" s="45" t="s">
        <v>1254</v>
      </c>
      <c r="H119" s="9"/>
      <c r="I119" s="31"/>
    </row>
    <row r="120" spans="1:9" ht="24" customHeight="1" x14ac:dyDescent="0.4">
      <c r="A120" s="28" t="s">
        <v>1235</v>
      </c>
      <c r="B120" s="29" t="s">
        <v>1236</v>
      </c>
      <c r="C120" s="29" t="s">
        <v>15</v>
      </c>
      <c r="D120" s="29" t="s">
        <v>3</v>
      </c>
      <c r="E120" s="34">
        <v>10160</v>
      </c>
      <c r="F120" s="48" t="s">
        <v>403</v>
      </c>
      <c r="G120" s="45" t="s">
        <v>1234</v>
      </c>
      <c r="H120" s="9" t="s">
        <v>410</v>
      </c>
      <c r="I120" s="31"/>
    </row>
    <row r="121" spans="1:9" ht="24" customHeight="1" x14ac:dyDescent="0.4">
      <c r="A121" s="28" t="s">
        <v>499</v>
      </c>
      <c r="B121" s="29" t="s">
        <v>1163</v>
      </c>
      <c r="C121" s="29" t="s">
        <v>15</v>
      </c>
      <c r="D121" s="29" t="s">
        <v>1</v>
      </c>
      <c r="E121" s="36">
        <v>12032</v>
      </c>
      <c r="F121" s="48" t="s">
        <v>407</v>
      </c>
      <c r="G121" s="44"/>
      <c r="H121" s="9"/>
      <c r="I121" s="31"/>
    </row>
    <row r="122" spans="1:9" ht="24" customHeight="1" x14ac:dyDescent="0.4">
      <c r="A122" s="28" t="s">
        <v>624</v>
      </c>
      <c r="B122" s="29" t="s">
        <v>625</v>
      </c>
      <c r="C122" s="29" t="s">
        <v>15</v>
      </c>
      <c r="D122" s="29" t="s">
        <v>1</v>
      </c>
      <c r="E122" s="36">
        <v>12033</v>
      </c>
      <c r="F122" s="48" t="s">
        <v>407</v>
      </c>
      <c r="G122" s="44"/>
      <c r="H122" s="9"/>
      <c r="I122" s="31"/>
    </row>
    <row r="123" spans="1:9" ht="24" customHeight="1" x14ac:dyDescent="0.4">
      <c r="A123" s="28"/>
      <c r="B123" s="29"/>
      <c r="C123" s="29"/>
      <c r="D123" s="29"/>
      <c r="E123" s="52"/>
      <c r="F123" s="50"/>
      <c r="G123" s="45"/>
      <c r="H123" s="51"/>
      <c r="I123" s="31"/>
    </row>
    <row r="124" spans="1:9" ht="24" customHeight="1" x14ac:dyDescent="0.4">
      <c r="A124" s="28"/>
      <c r="B124" s="29"/>
      <c r="C124" s="29"/>
      <c r="D124" s="29"/>
      <c r="E124" s="52"/>
      <c r="F124" s="50"/>
      <c r="G124" s="45"/>
      <c r="H124" s="51"/>
      <c r="I124" s="31"/>
    </row>
    <row r="125" spans="1:9" ht="24" customHeight="1" x14ac:dyDescent="0.4">
      <c r="A125" s="28" t="s">
        <v>605</v>
      </c>
      <c r="B125" s="29" t="s">
        <v>645</v>
      </c>
      <c r="C125" s="29" t="s">
        <v>16</v>
      </c>
      <c r="D125" s="29" t="s">
        <v>7</v>
      </c>
      <c r="E125" s="30">
        <v>803</v>
      </c>
      <c r="F125" s="48" t="s">
        <v>403</v>
      </c>
      <c r="G125" s="45" t="s">
        <v>1266</v>
      </c>
      <c r="H125" s="9"/>
      <c r="I125" s="31"/>
    </row>
    <row r="126" spans="1:9" ht="24" customHeight="1" x14ac:dyDescent="0.4">
      <c r="A126" s="28" t="s">
        <v>647</v>
      </c>
      <c r="B126" s="29" t="s">
        <v>648</v>
      </c>
      <c r="C126" s="29" t="s">
        <v>16</v>
      </c>
      <c r="D126" s="29" t="s">
        <v>7</v>
      </c>
      <c r="E126" s="30">
        <v>804</v>
      </c>
      <c r="F126" s="48" t="s">
        <v>403</v>
      </c>
      <c r="G126" s="45" t="s">
        <v>1260</v>
      </c>
      <c r="H126" s="9"/>
      <c r="I126" s="31"/>
    </row>
    <row r="127" spans="1:9" ht="24" customHeight="1" x14ac:dyDescent="0.4">
      <c r="A127" s="28" t="s">
        <v>627</v>
      </c>
      <c r="B127" s="29" t="s">
        <v>628</v>
      </c>
      <c r="C127" s="29" t="s">
        <v>16</v>
      </c>
      <c r="D127" s="29" t="s">
        <v>5</v>
      </c>
      <c r="E127" s="32">
        <v>914</v>
      </c>
      <c r="F127" s="48" t="s">
        <v>403</v>
      </c>
      <c r="G127" s="45" t="s">
        <v>1261</v>
      </c>
      <c r="H127" s="9"/>
      <c r="I127" s="31"/>
    </row>
    <row r="128" spans="1:9" ht="24" customHeight="1" x14ac:dyDescent="0.4">
      <c r="A128" s="28" t="s">
        <v>630</v>
      </c>
      <c r="B128" s="29" t="s">
        <v>631</v>
      </c>
      <c r="C128" s="29" t="s">
        <v>16</v>
      </c>
      <c r="D128" s="29" t="s">
        <v>5</v>
      </c>
      <c r="E128" s="32">
        <v>915</v>
      </c>
      <c r="F128" s="48" t="s">
        <v>403</v>
      </c>
      <c r="G128" s="45" t="s">
        <v>1262</v>
      </c>
      <c r="H128" s="9"/>
      <c r="I128" s="31"/>
    </row>
    <row r="129" spans="1:9" ht="24" customHeight="1" x14ac:dyDescent="0.4">
      <c r="A129" s="28" t="s">
        <v>633</v>
      </c>
      <c r="B129" s="29" t="s">
        <v>634</v>
      </c>
      <c r="C129" s="29" t="s">
        <v>16</v>
      </c>
      <c r="D129" s="29" t="s">
        <v>5</v>
      </c>
      <c r="E129" s="32">
        <v>916</v>
      </c>
      <c r="F129" s="48" t="s">
        <v>403</v>
      </c>
      <c r="G129" s="45" t="s">
        <v>1263</v>
      </c>
      <c r="H129" s="9"/>
      <c r="I129" s="31"/>
    </row>
    <row r="130" spans="1:9" ht="24" customHeight="1" x14ac:dyDescent="0.4">
      <c r="A130" s="28" t="s">
        <v>636</v>
      </c>
      <c r="B130" s="29" t="s">
        <v>637</v>
      </c>
      <c r="C130" s="29" t="s">
        <v>16</v>
      </c>
      <c r="D130" s="29" t="s">
        <v>5</v>
      </c>
      <c r="E130" s="32">
        <v>917</v>
      </c>
      <c r="F130" s="48" t="s">
        <v>403</v>
      </c>
      <c r="G130" s="45" t="s">
        <v>1264</v>
      </c>
      <c r="H130" s="9"/>
      <c r="I130" s="31"/>
    </row>
    <row r="131" spans="1:9" ht="24" customHeight="1" x14ac:dyDescent="0.4">
      <c r="A131" s="28" t="s">
        <v>639</v>
      </c>
      <c r="B131" s="29" t="s">
        <v>640</v>
      </c>
      <c r="C131" s="29" t="s">
        <v>16</v>
      </c>
      <c r="D131" s="29" t="s">
        <v>6</v>
      </c>
      <c r="E131" s="33">
        <v>9250</v>
      </c>
      <c r="F131" s="48" t="s">
        <v>403</v>
      </c>
      <c r="G131" s="45" t="s">
        <v>1265</v>
      </c>
      <c r="H131" s="9"/>
      <c r="I131" s="31"/>
    </row>
    <row r="132" spans="1:9" ht="24" customHeight="1" x14ac:dyDescent="0.4">
      <c r="A132" s="28" t="s">
        <v>642</v>
      </c>
      <c r="B132" s="29" t="s">
        <v>643</v>
      </c>
      <c r="C132" s="29" t="s">
        <v>16</v>
      </c>
      <c r="D132" s="29" t="s">
        <v>1</v>
      </c>
      <c r="E132" s="36">
        <v>12034</v>
      </c>
      <c r="F132" s="48" t="s">
        <v>403</v>
      </c>
      <c r="G132" s="45" t="s">
        <v>1259</v>
      </c>
      <c r="H132" s="9"/>
      <c r="I132" s="31"/>
    </row>
    <row r="133" spans="1:9" ht="24" customHeight="1" x14ac:dyDescent="0.4">
      <c r="A133" s="28" t="s">
        <v>650</v>
      </c>
      <c r="B133" s="29" t="s">
        <v>643</v>
      </c>
      <c r="C133" s="29" t="s">
        <v>16</v>
      </c>
      <c r="D133" s="29" t="s">
        <v>1</v>
      </c>
      <c r="E133" s="36">
        <v>12035</v>
      </c>
      <c r="F133" s="48" t="s">
        <v>407</v>
      </c>
      <c r="G133" s="44"/>
      <c r="H133" s="9"/>
      <c r="I133" s="31"/>
    </row>
    <row r="134" spans="1:9" ht="24" customHeight="1" x14ac:dyDescent="0.4">
      <c r="A134" s="28"/>
      <c r="B134" s="29"/>
      <c r="C134" s="29"/>
      <c r="D134" s="29"/>
      <c r="E134" s="52"/>
      <c r="F134" s="50"/>
      <c r="G134" s="45"/>
      <c r="H134" s="51"/>
      <c r="I134" s="31"/>
    </row>
    <row r="135" spans="1:9" ht="24" customHeight="1" x14ac:dyDescent="0.4">
      <c r="A135" s="28"/>
      <c r="B135" s="29"/>
      <c r="C135" s="29"/>
      <c r="D135" s="29"/>
      <c r="E135" s="52"/>
      <c r="F135" s="50"/>
      <c r="G135" s="45"/>
      <c r="H135" s="51"/>
      <c r="I135" s="31"/>
    </row>
    <row r="136" spans="1:9" ht="24" customHeight="1" x14ac:dyDescent="0.4">
      <c r="A136" s="28" t="s">
        <v>652</v>
      </c>
      <c r="B136" s="29" t="s">
        <v>653</v>
      </c>
      <c r="C136" s="29" t="s">
        <v>17</v>
      </c>
      <c r="D136" s="29" t="s">
        <v>7</v>
      </c>
      <c r="E136" s="30">
        <v>837</v>
      </c>
      <c r="F136" s="48" t="s">
        <v>403</v>
      </c>
      <c r="G136" s="45" t="s">
        <v>1267</v>
      </c>
      <c r="H136" s="9"/>
      <c r="I136" s="31"/>
    </row>
    <row r="137" spans="1:9" ht="24" customHeight="1" x14ac:dyDescent="0.4">
      <c r="A137" s="28" t="s">
        <v>655</v>
      </c>
      <c r="B137" s="29" t="s">
        <v>656</v>
      </c>
      <c r="C137" s="29" t="s">
        <v>17</v>
      </c>
      <c r="D137" s="29" t="s">
        <v>7</v>
      </c>
      <c r="E137" s="30">
        <v>838</v>
      </c>
      <c r="F137" s="48" t="s">
        <v>403</v>
      </c>
      <c r="G137" s="45" t="s">
        <v>1268</v>
      </c>
      <c r="H137" s="9"/>
      <c r="I137" s="31"/>
    </row>
    <row r="138" spans="1:9" ht="24" customHeight="1" x14ac:dyDescent="0.4">
      <c r="A138" s="28" t="s">
        <v>562</v>
      </c>
      <c r="B138" s="29" t="s">
        <v>658</v>
      </c>
      <c r="C138" s="29" t="s">
        <v>17</v>
      </c>
      <c r="D138" s="29" t="s">
        <v>7</v>
      </c>
      <c r="E138" s="30">
        <v>839</v>
      </c>
      <c r="F138" s="48" t="s">
        <v>403</v>
      </c>
      <c r="G138" s="45" t="s">
        <v>1275</v>
      </c>
      <c r="H138" s="9"/>
      <c r="I138" s="31"/>
    </row>
    <row r="139" spans="1:9" ht="24" customHeight="1" x14ac:dyDescent="0.4">
      <c r="A139" s="28" t="s">
        <v>660</v>
      </c>
      <c r="B139" s="29" t="s">
        <v>661</v>
      </c>
      <c r="C139" s="29" t="s">
        <v>17</v>
      </c>
      <c r="D139" s="29" t="s">
        <v>7</v>
      </c>
      <c r="E139" s="30">
        <v>841</v>
      </c>
      <c r="F139" s="48" t="s">
        <v>403</v>
      </c>
      <c r="G139" s="45" t="s">
        <v>1269</v>
      </c>
      <c r="H139" s="9"/>
      <c r="I139" s="31"/>
    </row>
    <row r="140" spans="1:9" ht="24" customHeight="1" x14ac:dyDescent="0.4">
      <c r="A140" s="28" t="s">
        <v>681</v>
      </c>
      <c r="B140" s="29" t="s">
        <v>682</v>
      </c>
      <c r="C140" s="29" t="s">
        <v>17</v>
      </c>
      <c r="D140" s="29" t="s">
        <v>8</v>
      </c>
      <c r="E140" s="38">
        <v>859</v>
      </c>
      <c r="F140" s="48" t="s">
        <v>403</v>
      </c>
      <c r="G140" s="45" t="s">
        <v>1276</v>
      </c>
      <c r="H140" s="9"/>
      <c r="I140" s="31"/>
    </row>
    <row r="141" spans="1:9" ht="24" customHeight="1" x14ac:dyDescent="0.4">
      <c r="A141" s="28" t="s">
        <v>663</v>
      </c>
      <c r="B141" s="29" t="s">
        <v>664</v>
      </c>
      <c r="C141" s="29" t="s">
        <v>17</v>
      </c>
      <c r="D141" s="29" t="s">
        <v>5</v>
      </c>
      <c r="E141" s="32">
        <v>955</v>
      </c>
      <c r="F141" s="48" t="s">
        <v>403</v>
      </c>
      <c r="G141" s="45" t="s">
        <v>1270</v>
      </c>
      <c r="H141" s="9"/>
      <c r="I141" s="31"/>
    </row>
    <row r="142" spans="1:9" ht="24" customHeight="1" x14ac:dyDescent="0.4">
      <c r="A142" s="28" t="s">
        <v>666</v>
      </c>
      <c r="B142" s="29" t="s">
        <v>667</v>
      </c>
      <c r="C142" s="29" t="s">
        <v>17</v>
      </c>
      <c r="D142" s="29" t="s">
        <v>5</v>
      </c>
      <c r="E142" s="32">
        <v>956</v>
      </c>
      <c r="F142" s="48" t="s">
        <v>403</v>
      </c>
      <c r="G142" s="45" t="s">
        <v>1271</v>
      </c>
      <c r="H142" s="9"/>
      <c r="I142" s="31"/>
    </row>
    <row r="143" spans="1:9" ht="24" customHeight="1" x14ac:dyDescent="0.4">
      <c r="A143" s="28" t="s">
        <v>669</v>
      </c>
      <c r="B143" s="29" t="s">
        <v>670</v>
      </c>
      <c r="C143" s="29" t="s">
        <v>17</v>
      </c>
      <c r="D143" s="29" t="s">
        <v>5</v>
      </c>
      <c r="E143" s="32">
        <v>957</v>
      </c>
      <c r="F143" s="48" t="s">
        <v>403</v>
      </c>
      <c r="G143" s="45" t="s">
        <v>1277</v>
      </c>
      <c r="H143" s="9"/>
      <c r="I143" s="31"/>
    </row>
    <row r="144" spans="1:9" ht="24" customHeight="1" x14ac:dyDescent="0.4">
      <c r="A144" s="28" t="s">
        <v>672</v>
      </c>
      <c r="B144" s="29" t="s">
        <v>673</v>
      </c>
      <c r="C144" s="29" t="s">
        <v>17</v>
      </c>
      <c r="D144" s="29" t="s">
        <v>5</v>
      </c>
      <c r="E144" s="32">
        <v>959</v>
      </c>
      <c r="F144" s="48" t="s">
        <v>403</v>
      </c>
      <c r="G144" s="45" t="s">
        <v>1272</v>
      </c>
      <c r="H144" s="9"/>
      <c r="I144" s="31"/>
    </row>
    <row r="145" spans="1:9" ht="24" customHeight="1" x14ac:dyDescent="0.4">
      <c r="A145" s="28" t="s">
        <v>675</v>
      </c>
      <c r="B145" s="29" t="s">
        <v>676</v>
      </c>
      <c r="C145" s="29" t="s">
        <v>17</v>
      </c>
      <c r="D145" s="29" t="s">
        <v>6</v>
      </c>
      <c r="E145" s="33">
        <v>9360</v>
      </c>
      <c r="F145" s="48" t="s">
        <v>403</v>
      </c>
      <c r="G145" s="45" t="s">
        <v>1273</v>
      </c>
      <c r="H145" s="9"/>
      <c r="I145" s="31"/>
    </row>
    <row r="146" spans="1:9" ht="24" customHeight="1" x14ac:dyDescent="0.4">
      <c r="A146" s="28" t="s">
        <v>678</v>
      </c>
      <c r="B146" s="29" t="s">
        <v>679</v>
      </c>
      <c r="C146" s="29" t="s">
        <v>17</v>
      </c>
      <c r="D146" s="29" t="s">
        <v>6</v>
      </c>
      <c r="E146" s="33">
        <v>9370</v>
      </c>
      <c r="F146" s="48" t="s">
        <v>403</v>
      </c>
      <c r="G146" s="45" t="s">
        <v>1274</v>
      </c>
      <c r="H146" s="9"/>
      <c r="I146" s="31"/>
    </row>
    <row r="147" spans="1:9" ht="24" customHeight="1" x14ac:dyDescent="0.4">
      <c r="A147" s="28"/>
      <c r="B147" s="29"/>
      <c r="C147" s="29"/>
      <c r="D147" s="29"/>
      <c r="E147" s="45"/>
      <c r="F147" s="50"/>
      <c r="G147" s="45"/>
      <c r="H147" s="51"/>
      <c r="I147" s="31"/>
    </row>
    <row r="148" spans="1:9" ht="24" customHeight="1" x14ac:dyDescent="0.4">
      <c r="A148" s="28"/>
      <c r="B148" s="29"/>
      <c r="C148" s="29"/>
      <c r="D148" s="29"/>
      <c r="E148" s="45"/>
      <c r="F148" s="50"/>
      <c r="G148" s="45"/>
      <c r="H148" s="51"/>
      <c r="I148" s="31"/>
    </row>
    <row r="149" spans="1:9" ht="24" customHeight="1" x14ac:dyDescent="0.4">
      <c r="A149" s="28" t="s">
        <v>685</v>
      </c>
      <c r="B149" s="29" t="s">
        <v>1280</v>
      </c>
      <c r="C149" s="29" t="s">
        <v>18</v>
      </c>
      <c r="D149" s="29" t="s">
        <v>7</v>
      </c>
      <c r="E149" s="30">
        <v>806</v>
      </c>
      <c r="F149" s="48" t="s">
        <v>403</v>
      </c>
      <c r="G149" s="45" t="s">
        <v>1279</v>
      </c>
      <c r="H149" s="9"/>
      <c r="I149" s="31"/>
    </row>
    <row r="150" spans="1:9" ht="24" customHeight="1" x14ac:dyDescent="0.4">
      <c r="A150" s="28" t="s">
        <v>687</v>
      </c>
      <c r="B150" s="29" t="s">
        <v>688</v>
      </c>
      <c r="C150" s="29" t="s">
        <v>18</v>
      </c>
      <c r="D150" s="29" t="s">
        <v>7</v>
      </c>
      <c r="E150" s="30">
        <v>807</v>
      </c>
      <c r="F150" s="48" t="s">
        <v>403</v>
      </c>
      <c r="G150" s="45" t="s">
        <v>1281</v>
      </c>
      <c r="H150" s="9"/>
      <c r="I150" s="31"/>
    </row>
    <row r="151" spans="1:9" ht="24" customHeight="1" x14ac:dyDescent="0.4">
      <c r="A151" s="28" t="s">
        <v>690</v>
      </c>
      <c r="B151" s="29" t="s">
        <v>691</v>
      </c>
      <c r="C151" s="29" t="s">
        <v>18</v>
      </c>
      <c r="D151" s="29" t="s">
        <v>7</v>
      </c>
      <c r="E151" s="30">
        <v>808</v>
      </c>
      <c r="F151" s="48" t="s">
        <v>403</v>
      </c>
      <c r="G151" s="45" t="s">
        <v>1282</v>
      </c>
      <c r="H151" s="9"/>
      <c r="I151" s="31"/>
    </row>
    <row r="152" spans="1:9" ht="24" customHeight="1" x14ac:dyDescent="0.4">
      <c r="A152" s="28" t="s">
        <v>693</v>
      </c>
      <c r="B152" s="29" t="s">
        <v>694</v>
      </c>
      <c r="C152" s="29" t="s">
        <v>18</v>
      </c>
      <c r="D152" s="29" t="s">
        <v>8</v>
      </c>
      <c r="E152" s="38">
        <v>868</v>
      </c>
      <c r="F152" s="48" t="s">
        <v>403</v>
      </c>
      <c r="G152" s="45" t="s">
        <v>1283</v>
      </c>
      <c r="H152" s="9"/>
      <c r="I152" s="31"/>
    </row>
    <row r="153" spans="1:9" ht="24" customHeight="1" x14ac:dyDescent="0.4">
      <c r="A153" s="28" t="s">
        <v>696</v>
      </c>
      <c r="B153" s="29" t="s">
        <v>697</v>
      </c>
      <c r="C153" s="29" t="s">
        <v>18</v>
      </c>
      <c r="D153" s="29" t="s">
        <v>4</v>
      </c>
      <c r="E153" s="35">
        <v>1032</v>
      </c>
      <c r="F153" s="48" t="s">
        <v>403</v>
      </c>
      <c r="G153" s="45" t="s">
        <v>1278</v>
      </c>
      <c r="H153" s="9"/>
      <c r="I153" s="31"/>
    </row>
    <row r="154" spans="1:9" ht="24" customHeight="1" x14ac:dyDescent="0.4">
      <c r="A154" s="28"/>
      <c r="B154" s="29"/>
      <c r="C154" s="29"/>
      <c r="D154" s="29"/>
      <c r="E154" s="45"/>
      <c r="F154" s="50"/>
      <c r="G154" s="45"/>
      <c r="H154" s="51"/>
      <c r="I154" s="31"/>
    </row>
    <row r="155" spans="1:9" ht="24" customHeight="1" x14ac:dyDescent="0.4">
      <c r="A155" s="28"/>
      <c r="B155" s="29"/>
      <c r="C155" s="29"/>
      <c r="D155" s="29"/>
      <c r="E155" s="45"/>
      <c r="F155" s="50"/>
      <c r="G155" s="45"/>
      <c r="H155" s="51"/>
      <c r="I155" s="31"/>
    </row>
    <row r="156" spans="1:9" ht="24" customHeight="1" x14ac:dyDescent="0.4">
      <c r="A156" s="28" t="s">
        <v>711</v>
      </c>
      <c r="B156" s="29" t="s">
        <v>712</v>
      </c>
      <c r="C156" s="29" t="s">
        <v>19</v>
      </c>
      <c r="D156" s="29" t="s">
        <v>5</v>
      </c>
      <c r="E156" s="32">
        <v>918</v>
      </c>
      <c r="F156" s="48" t="s">
        <v>407</v>
      </c>
      <c r="G156" s="44"/>
      <c r="H156" s="9"/>
      <c r="I156" s="31"/>
    </row>
    <row r="157" spans="1:9" ht="24" customHeight="1" x14ac:dyDescent="0.4">
      <c r="A157" s="28" t="s">
        <v>542</v>
      </c>
      <c r="B157" s="29" t="s">
        <v>699</v>
      </c>
      <c r="C157" s="29" t="s">
        <v>19</v>
      </c>
      <c r="D157" s="29" t="s">
        <v>3</v>
      </c>
      <c r="E157" s="34">
        <v>10162</v>
      </c>
      <c r="F157" s="48" t="s">
        <v>403</v>
      </c>
      <c r="G157" s="45" t="s">
        <v>619</v>
      </c>
      <c r="H157" s="9"/>
      <c r="I157" s="31"/>
    </row>
    <row r="158" spans="1:9" ht="24" customHeight="1" x14ac:dyDescent="0.4">
      <c r="A158" s="28" t="s">
        <v>586</v>
      </c>
      <c r="B158" s="29" t="s">
        <v>701</v>
      </c>
      <c r="C158" s="29" t="s">
        <v>19</v>
      </c>
      <c r="D158" s="29" t="s">
        <v>3</v>
      </c>
      <c r="E158" s="34">
        <v>10163</v>
      </c>
      <c r="F158" s="48" t="s">
        <v>403</v>
      </c>
      <c r="G158" s="45" t="s">
        <v>620</v>
      </c>
      <c r="H158" s="9"/>
      <c r="I158" s="31"/>
    </row>
    <row r="159" spans="1:9" ht="24" customHeight="1" x14ac:dyDescent="0.4">
      <c r="A159" s="28" t="s">
        <v>703</v>
      </c>
      <c r="B159" s="29" t="s">
        <v>704</v>
      </c>
      <c r="C159" s="29" t="s">
        <v>19</v>
      </c>
      <c r="D159" s="29" t="s">
        <v>3</v>
      </c>
      <c r="E159" s="34">
        <v>10164</v>
      </c>
      <c r="F159" s="48" t="s">
        <v>403</v>
      </c>
      <c r="G159" s="45" t="s">
        <v>622</v>
      </c>
      <c r="H159" s="9"/>
      <c r="I159" s="31"/>
    </row>
    <row r="160" spans="1:9" ht="24" customHeight="1" x14ac:dyDescent="0.4">
      <c r="A160" s="28" t="s">
        <v>706</v>
      </c>
      <c r="B160" s="29" t="s">
        <v>707</v>
      </c>
      <c r="C160" s="29" t="s">
        <v>19</v>
      </c>
      <c r="D160" s="29" t="s">
        <v>1</v>
      </c>
      <c r="E160" s="36">
        <v>12036</v>
      </c>
      <c r="F160" s="48" t="s">
        <v>407</v>
      </c>
      <c r="G160" s="44"/>
      <c r="H160" s="9"/>
      <c r="I160" s="31"/>
    </row>
    <row r="161" spans="1:9" ht="24" customHeight="1" x14ac:dyDescent="0.4">
      <c r="A161" s="28" t="s">
        <v>582</v>
      </c>
      <c r="B161" s="29" t="s">
        <v>709</v>
      </c>
      <c r="C161" s="29" t="s">
        <v>19</v>
      </c>
      <c r="D161" s="29" t="s">
        <v>1</v>
      </c>
      <c r="E161" s="36">
        <v>12037</v>
      </c>
      <c r="F161" s="48" t="s">
        <v>403</v>
      </c>
      <c r="G161" s="45" t="s">
        <v>623</v>
      </c>
      <c r="H161" s="9"/>
      <c r="I161" s="31"/>
    </row>
    <row r="162" spans="1:9" ht="24" customHeight="1" x14ac:dyDescent="0.4">
      <c r="A162" s="28"/>
      <c r="B162" s="29"/>
      <c r="C162" s="29"/>
      <c r="D162" s="29"/>
      <c r="E162" s="52"/>
      <c r="F162" s="50"/>
      <c r="G162" s="45"/>
      <c r="H162" s="51"/>
      <c r="I162" s="31"/>
    </row>
    <row r="163" spans="1:9" ht="24" customHeight="1" x14ac:dyDescent="0.4">
      <c r="A163" s="28" t="s">
        <v>578</v>
      </c>
      <c r="B163" s="29" t="s">
        <v>1284</v>
      </c>
      <c r="C163" s="29" t="s">
        <v>20</v>
      </c>
      <c r="D163" s="29" t="s">
        <v>7</v>
      </c>
      <c r="E163" s="30">
        <v>809</v>
      </c>
      <c r="F163" s="48" t="s">
        <v>403</v>
      </c>
      <c r="G163" s="45" t="s">
        <v>677</v>
      </c>
      <c r="H163" s="9"/>
      <c r="I163" s="31"/>
    </row>
    <row r="164" spans="1:9" ht="24" customHeight="1" x14ac:dyDescent="0.4">
      <c r="A164" s="28" t="s">
        <v>715</v>
      </c>
      <c r="B164" s="29" t="s">
        <v>716</v>
      </c>
      <c r="C164" s="29" t="s">
        <v>20</v>
      </c>
      <c r="D164" s="29" t="s">
        <v>7</v>
      </c>
      <c r="E164" s="30">
        <v>810</v>
      </c>
      <c r="F164" s="48" t="s">
        <v>403</v>
      </c>
      <c r="G164" s="45" t="s">
        <v>680</v>
      </c>
      <c r="H164" s="9"/>
      <c r="I164" s="31"/>
    </row>
    <row r="165" spans="1:9" ht="24" customHeight="1" x14ac:dyDescent="0.4">
      <c r="A165" s="28" t="s">
        <v>503</v>
      </c>
      <c r="B165" s="29" t="s">
        <v>718</v>
      </c>
      <c r="C165" s="29" t="s">
        <v>20</v>
      </c>
      <c r="D165" s="29" t="s">
        <v>7</v>
      </c>
      <c r="E165" s="30">
        <v>811</v>
      </c>
      <c r="F165" s="48" t="s">
        <v>403</v>
      </c>
      <c r="G165" s="45" t="s">
        <v>695</v>
      </c>
      <c r="H165" s="9"/>
      <c r="I165" s="31"/>
    </row>
    <row r="166" spans="1:9" ht="24" customHeight="1" x14ac:dyDescent="0.4">
      <c r="A166" s="28" t="s">
        <v>720</v>
      </c>
      <c r="B166" s="29" t="s">
        <v>721</v>
      </c>
      <c r="C166" s="29" t="s">
        <v>20</v>
      </c>
      <c r="D166" s="29" t="s">
        <v>7</v>
      </c>
      <c r="E166" s="30">
        <v>812</v>
      </c>
      <c r="F166" s="48" t="s">
        <v>403</v>
      </c>
      <c r="G166" s="45" t="s">
        <v>683</v>
      </c>
      <c r="H166" s="9"/>
      <c r="I166" s="31"/>
    </row>
    <row r="167" spans="1:9" ht="24" customHeight="1" x14ac:dyDescent="0.4">
      <c r="A167" s="28" t="s">
        <v>743</v>
      </c>
      <c r="B167" s="29" t="s">
        <v>773</v>
      </c>
      <c r="C167" s="29" t="s">
        <v>20</v>
      </c>
      <c r="D167" s="29" t="s">
        <v>5</v>
      </c>
      <c r="E167" s="32">
        <v>919</v>
      </c>
      <c r="F167" s="48" t="s">
        <v>403</v>
      </c>
      <c r="G167" s="45" t="s">
        <v>684</v>
      </c>
      <c r="H167" s="9"/>
      <c r="I167" s="31"/>
    </row>
    <row r="168" spans="1:9" ht="24" customHeight="1" x14ac:dyDescent="0.4">
      <c r="A168" s="28" t="s">
        <v>745</v>
      </c>
      <c r="B168" s="29" t="s">
        <v>746</v>
      </c>
      <c r="C168" s="29" t="s">
        <v>20</v>
      </c>
      <c r="D168" s="29" t="s">
        <v>5</v>
      </c>
      <c r="E168" s="32">
        <v>920</v>
      </c>
      <c r="F168" s="48" t="s">
        <v>403</v>
      </c>
      <c r="G168" s="45" t="s">
        <v>686</v>
      </c>
      <c r="H168" s="9"/>
      <c r="I168" s="31"/>
    </row>
    <row r="169" spans="1:9" ht="24" customHeight="1" x14ac:dyDescent="0.4">
      <c r="A169" s="28" t="s">
        <v>505</v>
      </c>
      <c r="B169" s="29" t="s">
        <v>600</v>
      </c>
      <c r="C169" s="29" t="s">
        <v>20</v>
      </c>
      <c r="D169" s="29" t="s">
        <v>5</v>
      </c>
      <c r="E169" s="32">
        <v>921</v>
      </c>
      <c r="F169" s="48" t="s">
        <v>403</v>
      </c>
      <c r="G169" s="45" t="s">
        <v>689</v>
      </c>
      <c r="H169" s="9"/>
      <c r="I169" s="31"/>
    </row>
    <row r="170" spans="1:9" ht="24" customHeight="1" x14ac:dyDescent="0.4">
      <c r="A170" s="28" t="s">
        <v>497</v>
      </c>
      <c r="B170" s="29" t="s">
        <v>749</v>
      </c>
      <c r="C170" s="29" t="s">
        <v>20</v>
      </c>
      <c r="D170" s="29" t="s">
        <v>5</v>
      </c>
      <c r="E170" s="32">
        <v>922</v>
      </c>
      <c r="F170" s="48" t="s">
        <v>403</v>
      </c>
      <c r="G170" s="45" t="s">
        <v>692</v>
      </c>
      <c r="H170" s="9"/>
      <c r="I170" s="31"/>
    </row>
    <row r="171" spans="1:9" ht="24" customHeight="1" x14ac:dyDescent="0.4">
      <c r="A171" s="28" t="s">
        <v>723</v>
      </c>
      <c r="B171" s="29" t="s">
        <v>724</v>
      </c>
      <c r="C171" s="29" t="s">
        <v>20</v>
      </c>
      <c r="D171" s="29" t="s">
        <v>3</v>
      </c>
      <c r="E171" s="34">
        <v>10165</v>
      </c>
      <c r="F171" s="48" t="s">
        <v>403</v>
      </c>
      <c r="G171" s="45" t="s">
        <v>632</v>
      </c>
      <c r="H171" s="9"/>
      <c r="I171" s="31"/>
    </row>
    <row r="172" spans="1:9" ht="24" customHeight="1" x14ac:dyDescent="0.4">
      <c r="A172" s="28" t="s">
        <v>726</v>
      </c>
      <c r="B172" s="29" t="s">
        <v>727</v>
      </c>
      <c r="C172" s="29" t="s">
        <v>20</v>
      </c>
      <c r="D172" s="29" t="s">
        <v>3</v>
      </c>
      <c r="E172" s="34">
        <v>10166</v>
      </c>
      <c r="F172" s="48" t="s">
        <v>403</v>
      </c>
      <c r="G172" s="45" t="s">
        <v>635</v>
      </c>
      <c r="H172" s="9"/>
      <c r="I172" s="31"/>
    </row>
    <row r="173" spans="1:9" ht="24" customHeight="1" x14ac:dyDescent="0.4">
      <c r="A173" s="28" t="s">
        <v>453</v>
      </c>
      <c r="B173" s="29" t="s">
        <v>729</v>
      </c>
      <c r="C173" s="29" t="s">
        <v>20</v>
      </c>
      <c r="D173" s="29" t="s">
        <v>3</v>
      </c>
      <c r="E173" s="34">
        <v>10167</v>
      </c>
      <c r="F173" s="48" t="s">
        <v>403</v>
      </c>
      <c r="G173" s="45" t="s">
        <v>638</v>
      </c>
      <c r="H173" s="9"/>
      <c r="I173" s="31"/>
    </row>
    <row r="174" spans="1:9" ht="24" customHeight="1" x14ac:dyDescent="0.4">
      <c r="A174" s="28" t="s">
        <v>731</v>
      </c>
      <c r="B174" s="29" t="s">
        <v>732</v>
      </c>
      <c r="C174" s="29" t="s">
        <v>20</v>
      </c>
      <c r="D174" s="29" t="s">
        <v>3</v>
      </c>
      <c r="E174" s="34">
        <v>10168</v>
      </c>
      <c r="F174" s="48" t="s">
        <v>403</v>
      </c>
      <c r="G174" s="45" t="s">
        <v>641</v>
      </c>
      <c r="H174" s="9"/>
      <c r="I174" s="31"/>
    </row>
    <row r="175" spans="1:9" ht="24" customHeight="1" x14ac:dyDescent="0.4">
      <c r="A175" s="28" t="s">
        <v>584</v>
      </c>
      <c r="B175" s="29" t="s">
        <v>734</v>
      </c>
      <c r="C175" s="29" t="s">
        <v>20</v>
      </c>
      <c r="D175" s="29" t="s">
        <v>3</v>
      </c>
      <c r="E175" s="34">
        <v>10169</v>
      </c>
      <c r="F175" s="48" t="s">
        <v>403</v>
      </c>
      <c r="G175" s="45" t="s">
        <v>644</v>
      </c>
      <c r="H175" s="9"/>
      <c r="I175" s="31"/>
    </row>
    <row r="176" spans="1:9" ht="24" customHeight="1" x14ac:dyDescent="0.4">
      <c r="A176" s="28" t="s">
        <v>736</v>
      </c>
      <c r="B176" s="29" t="s">
        <v>737</v>
      </c>
      <c r="C176" s="29" t="s">
        <v>20</v>
      </c>
      <c r="D176" s="29" t="s">
        <v>3</v>
      </c>
      <c r="E176" s="34">
        <v>10170</v>
      </c>
      <c r="F176" s="48" t="s">
        <v>403</v>
      </c>
      <c r="G176" s="45" t="s">
        <v>646</v>
      </c>
      <c r="H176" s="9"/>
      <c r="I176" s="31"/>
    </row>
    <row r="177" spans="1:9" ht="24" customHeight="1" x14ac:dyDescent="0.4">
      <c r="A177" s="28" t="s">
        <v>723</v>
      </c>
      <c r="B177" s="29" t="s">
        <v>739</v>
      </c>
      <c r="C177" s="29" t="s">
        <v>20</v>
      </c>
      <c r="D177" s="29" t="s">
        <v>3</v>
      </c>
      <c r="E177" s="34">
        <v>10171</v>
      </c>
      <c r="F177" s="48" t="s">
        <v>403</v>
      </c>
      <c r="G177" s="45" t="s">
        <v>649</v>
      </c>
      <c r="H177" s="9"/>
      <c r="I177" s="31"/>
    </row>
    <row r="178" spans="1:9" ht="24" customHeight="1" x14ac:dyDescent="0.4">
      <c r="A178" s="28" t="s">
        <v>723</v>
      </c>
      <c r="B178" s="29" t="s">
        <v>741</v>
      </c>
      <c r="C178" s="29" t="s">
        <v>20</v>
      </c>
      <c r="D178" s="29" t="s">
        <v>3</v>
      </c>
      <c r="E178" s="34">
        <v>10203</v>
      </c>
      <c r="F178" s="48" t="s">
        <v>403</v>
      </c>
      <c r="G178" s="45" t="s">
        <v>651</v>
      </c>
      <c r="H178" s="9"/>
      <c r="I178" s="31"/>
    </row>
    <row r="179" spans="1:9" ht="24" customHeight="1" x14ac:dyDescent="0.4">
      <c r="A179" s="28" t="s">
        <v>625</v>
      </c>
      <c r="B179" s="29" t="s">
        <v>751</v>
      </c>
      <c r="C179" s="29" t="s">
        <v>20</v>
      </c>
      <c r="D179" s="29" t="s">
        <v>1</v>
      </c>
      <c r="E179" s="36">
        <v>12038</v>
      </c>
      <c r="F179" s="48" t="s">
        <v>407</v>
      </c>
      <c r="G179" s="44"/>
      <c r="H179" s="9"/>
      <c r="I179" s="31"/>
    </row>
    <row r="180" spans="1:9" ht="24" customHeight="1" x14ac:dyDescent="0.4">
      <c r="A180" s="28" t="s">
        <v>608</v>
      </c>
      <c r="B180" s="29" t="s">
        <v>753</v>
      </c>
      <c r="C180" s="29" t="s">
        <v>20</v>
      </c>
      <c r="D180" s="29" t="s">
        <v>1</v>
      </c>
      <c r="E180" s="36">
        <v>12039</v>
      </c>
      <c r="F180" s="48" t="s">
        <v>403</v>
      </c>
      <c r="G180" s="45" t="s">
        <v>654</v>
      </c>
      <c r="H180" s="9"/>
      <c r="I180" s="31"/>
    </row>
    <row r="181" spans="1:9" ht="24" customHeight="1" x14ac:dyDescent="0.4">
      <c r="A181" s="28" t="s">
        <v>778</v>
      </c>
      <c r="B181" s="29" t="s">
        <v>779</v>
      </c>
      <c r="C181" s="29" t="s">
        <v>20</v>
      </c>
      <c r="D181" s="29" t="s">
        <v>1</v>
      </c>
      <c r="E181" s="36">
        <v>12040</v>
      </c>
      <c r="F181" s="48" t="s">
        <v>407</v>
      </c>
      <c r="G181" s="44"/>
      <c r="H181" s="9"/>
      <c r="I181" s="31"/>
    </row>
    <row r="182" spans="1:9" ht="24" customHeight="1" x14ac:dyDescent="0.4">
      <c r="A182" s="28" t="s">
        <v>461</v>
      </c>
      <c r="B182" s="29" t="s">
        <v>755</v>
      </c>
      <c r="C182" s="29" t="s">
        <v>20</v>
      </c>
      <c r="D182" s="29" t="s">
        <v>1</v>
      </c>
      <c r="E182" s="36">
        <v>12041</v>
      </c>
      <c r="F182" s="48" t="s">
        <v>403</v>
      </c>
      <c r="G182" s="45" t="s">
        <v>657</v>
      </c>
      <c r="H182" s="9"/>
      <c r="I182" s="31"/>
    </row>
    <row r="183" spans="1:9" ht="24" customHeight="1" x14ac:dyDescent="0.4">
      <c r="A183" s="28" t="s">
        <v>757</v>
      </c>
      <c r="B183" s="29" t="s">
        <v>758</v>
      </c>
      <c r="C183" s="29" t="s">
        <v>20</v>
      </c>
      <c r="D183" s="29" t="s">
        <v>1</v>
      </c>
      <c r="E183" s="36">
        <v>12042</v>
      </c>
      <c r="F183" s="48" t="s">
        <v>403</v>
      </c>
      <c r="G183" s="45" t="s">
        <v>674</v>
      </c>
      <c r="H183" s="9"/>
      <c r="I183" s="31"/>
    </row>
    <row r="184" spans="1:9" ht="24" customHeight="1" x14ac:dyDescent="0.4">
      <c r="A184" s="28" t="s">
        <v>760</v>
      </c>
      <c r="B184" s="29" t="s">
        <v>761</v>
      </c>
      <c r="C184" s="29" t="s">
        <v>20</v>
      </c>
      <c r="D184" s="29" t="s">
        <v>1</v>
      </c>
      <c r="E184" s="36">
        <v>12043</v>
      </c>
      <c r="F184" s="48" t="s">
        <v>403</v>
      </c>
      <c r="G184" s="45" t="s">
        <v>659</v>
      </c>
      <c r="H184" s="9"/>
      <c r="I184" s="31"/>
    </row>
    <row r="185" spans="1:9" ht="24" customHeight="1" x14ac:dyDescent="0.4">
      <c r="A185" s="28" t="s">
        <v>763</v>
      </c>
      <c r="B185" s="29" t="s">
        <v>764</v>
      </c>
      <c r="C185" s="29" t="s">
        <v>20</v>
      </c>
      <c r="D185" s="29" t="s">
        <v>1</v>
      </c>
      <c r="E185" s="36">
        <v>12044</v>
      </c>
      <c r="F185" s="48" t="s">
        <v>403</v>
      </c>
      <c r="G185" s="45" t="s">
        <v>662</v>
      </c>
      <c r="H185" s="9"/>
      <c r="I185" s="31"/>
    </row>
    <row r="186" spans="1:9" ht="24" customHeight="1" x14ac:dyDescent="0.4">
      <c r="A186" s="28" t="s">
        <v>781</v>
      </c>
      <c r="B186" s="29" t="s">
        <v>782</v>
      </c>
      <c r="C186" s="29" t="s">
        <v>20</v>
      </c>
      <c r="D186" s="29" t="s">
        <v>1</v>
      </c>
      <c r="E186" s="36">
        <v>12045</v>
      </c>
      <c r="F186" s="48" t="s">
        <v>407</v>
      </c>
      <c r="G186" s="44"/>
      <c r="H186" s="9"/>
      <c r="I186" s="31"/>
    </row>
    <row r="187" spans="1:9" ht="24" customHeight="1" x14ac:dyDescent="0.4">
      <c r="A187" s="28" t="s">
        <v>766</v>
      </c>
      <c r="B187" s="29" t="s">
        <v>767</v>
      </c>
      <c r="C187" s="29" t="s">
        <v>20</v>
      </c>
      <c r="D187" s="29" t="s">
        <v>1</v>
      </c>
      <c r="E187" s="36">
        <v>12046</v>
      </c>
      <c r="F187" s="48" t="s">
        <v>403</v>
      </c>
      <c r="G187" s="45" t="s">
        <v>665</v>
      </c>
      <c r="H187" s="9"/>
      <c r="I187" s="31"/>
    </row>
    <row r="188" spans="1:9" ht="24" customHeight="1" x14ac:dyDescent="0.4">
      <c r="A188" s="28" t="s">
        <v>453</v>
      </c>
      <c r="B188" s="29" t="s">
        <v>769</v>
      </c>
      <c r="C188" s="29" t="s">
        <v>20</v>
      </c>
      <c r="D188" s="29" t="s">
        <v>1</v>
      </c>
      <c r="E188" s="36">
        <v>12047</v>
      </c>
      <c r="F188" s="48" t="s">
        <v>403</v>
      </c>
      <c r="G188" s="45" t="s">
        <v>668</v>
      </c>
      <c r="H188" s="9"/>
      <c r="I188" s="31"/>
    </row>
    <row r="189" spans="1:9" ht="24" customHeight="1" x14ac:dyDescent="0.4">
      <c r="A189" s="28" t="s">
        <v>470</v>
      </c>
      <c r="B189" s="29" t="s">
        <v>456</v>
      </c>
      <c r="C189" s="29" t="s">
        <v>20</v>
      </c>
      <c r="D189" s="29" t="s">
        <v>1</v>
      </c>
      <c r="E189" s="36">
        <v>12048</v>
      </c>
      <c r="F189" s="48" t="s">
        <v>403</v>
      </c>
      <c r="G189" s="45" t="s">
        <v>671</v>
      </c>
      <c r="H189" s="9"/>
      <c r="I189" s="31"/>
    </row>
    <row r="190" spans="1:9" ht="24" customHeight="1" x14ac:dyDescent="0.4">
      <c r="A190" s="28" t="s">
        <v>772</v>
      </c>
      <c r="B190" s="29" t="s">
        <v>773</v>
      </c>
      <c r="C190" s="29" t="s">
        <v>20</v>
      </c>
      <c r="D190" s="29" t="s">
        <v>2</v>
      </c>
      <c r="E190" s="37">
        <v>1235</v>
      </c>
      <c r="F190" s="48" t="s">
        <v>403</v>
      </c>
      <c r="G190" s="45" t="s">
        <v>626</v>
      </c>
      <c r="H190" s="9"/>
      <c r="I190" s="31"/>
    </row>
    <row r="191" spans="1:9" ht="24" customHeight="1" x14ac:dyDescent="0.4">
      <c r="A191" s="28" t="s">
        <v>775</v>
      </c>
      <c r="B191" s="29" t="s">
        <v>776</v>
      </c>
      <c r="C191" s="29" t="s">
        <v>20</v>
      </c>
      <c r="D191" s="29" t="s">
        <v>2</v>
      </c>
      <c r="E191" s="37">
        <v>1236</v>
      </c>
      <c r="F191" s="48" t="s">
        <v>403</v>
      </c>
      <c r="G191" s="45" t="s">
        <v>629</v>
      </c>
      <c r="H191" s="9"/>
      <c r="I191" s="31"/>
    </row>
    <row r="192" spans="1:9" ht="24" customHeight="1" x14ac:dyDescent="0.4">
      <c r="A192" s="28"/>
      <c r="B192" s="29"/>
      <c r="C192" s="29"/>
      <c r="D192" s="29"/>
      <c r="E192" s="45"/>
      <c r="F192" s="50"/>
      <c r="G192" s="45"/>
      <c r="H192" s="51"/>
      <c r="I192" s="31"/>
    </row>
    <row r="193" spans="1:9" ht="24" customHeight="1" x14ac:dyDescent="0.4">
      <c r="A193" s="28"/>
      <c r="B193" s="29"/>
      <c r="C193" s="29"/>
      <c r="D193" s="29"/>
      <c r="E193" s="45"/>
      <c r="F193" s="50"/>
      <c r="G193" s="45"/>
      <c r="H193" s="51"/>
      <c r="I193" s="31"/>
    </row>
    <row r="194" spans="1:9" ht="24" customHeight="1" x14ac:dyDescent="0.4">
      <c r="A194" s="28" t="s">
        <v>826</v>
      </c>
      <c r="B194" s="29" t="s">
        <v>1286</v>
      </c>
      <c r="C194" s="29" t="s">
        <v>21</v>
      </c>
      <c r="D194" s="29" t="s">
        <v>3</v>
      </c>
      <c r="E194" s="34">
        <v>10172</v>
      </c>
      <c r="F194" s="48" t="s">
        <v>403</v>
      </c>
      <c r="G194" s="45" t="s">
        <v>725</v>
      </c>
      <c r="H194" s="9"/>
      <c r="I194" s="31"/>
    </row>
    <row r="195" spans="1:9" ht="24" customHeight="1" x14ac:dyDescent="0.4">
      <c r="A195" s="28" t="s">
        <v>580</v>
      </c>
      <c r="B195" s="29" t="s">
        <v>784</v>
      </c>
      <c r="C195" s="29" t="s">
        <v>21</v>
      </c>
      <c r="D195" s="29" t="s">
        <v>3</v>
      </c>
      <c r="E195" s="34">
        <v>10173</v>
      </c>
      <c r="F195" s="48" t="s">
        <v>403</v>
      </c>
      <c r="G195" s="45" t="s">
        <v>700</v>
      </c>
      <c r="H195" s="9"/>
      <c r="I195" s="31"/>
    </row>
    <row r="196" spans="1:9" ht="24" customHeight="1" x14ac:dyDescent="0.4">
      <c r="A196" s="28" t="s">
        <v>786</v>
      </c>
      <c r="B196" s="29" t="s">
        <v>787</v>
      </c>
      <c r="C196" s="29" t="s">
        <v>21</v>
      </c>
      <c r="D196" s="29" t="s">
        <v>3</v>
      </c>
      <c r="E196" s="34">
        <v>10174</v>
      </c>
      <c r="F196" s="48" t="s">
        <v>403</v>
      </c>
      <c r="G196" s="45" t="s">
        <v>702</v>
      </c>
      <c r="H196" s="9"/>
      <c r="I196" s="31"/>
    </row>
    <row r="197" spans="1:9" ht="24" customHeight="1" x14ac:dyDescent="0.4">
      <c r="A197" s="28" t="s">
        <v>834</v>
      </c>
      <c r="B197" s="29" t="s">
        <v>627</v>
      </c>
      <c r="C197" s="29" t="s">
        <v>21</v>
      </c>
      <c r="D197" s="29" t="s">
        <v>3</v>
      </c>
      <c r="E197" s="34">
        <v>10175</v>
      </c>
      <c r="F197" s="48" t="s">
        <v>407</v>
      </c>
      <c r="G197" s="44"/>
      <c r="H197" s="9"/>
      <c r="I197" s="31"/>
    </row>
    <row r="198" spans="1:9" ht="24" customHeight="1" x14ac:dyDescent="0.4">
      <c r="A198" s="28" t="s">
        <v>789</v>
      </c>
      <c r="B198" s="29" t="s">
        <v>790</v>
      </c>
      <c r="C198" s="29" t="s">
        <v>21</v>
      </c>
      <c r="D198" s="29" t="s">
        <v>3</v>
      </c>
      <c r="E198" s="34">
        <v>10176</v>
      </c>
      <c r="F198" s="48" t="s">
        <v>403</v>
      </c>
      <c r="G198" s="45" t="s">
        <v>705</v>
      </c>
      <c r="H198" s="9"/>
      <c r="I198" s="31"/>
    </row>
    <row r="199" spans="1:9" ht="24" customHeight="1" x14ac:dyDescent="0.4">
      <c r="A199" s="28" t="s">
        <v>792</v>
      </c>
      <c r="B199" s="29" t="s">
        <v>614</v>
      </c>
      <c r="C199" s="29" t="s">
        <v>21</v>
      </c>
      <c r="D199" s="29" t="s">
        <v>3</v>
      </c>
      <c r="E199" s="34">
        <v>10177</v>
      </c>
      <c r="F199" s="48" t="s">
        <v>403</v>
      </c>
      <c r="G199" s="45" t="s">
        <v>1285</v>
      </c>
      <c r="H199" s="9"/>
      <c r="I199" s="31"/>
    </row>
    <row r="200" spans="1:9" ht="24" customHeight="1" x14ac:dyDescent="0.4">
      <c r="A200" s="28" t="s">
        <v>794</v>
      </c>
      <c r="B200" s="29" t="s">
        <v>795</v>
      </c>
      <c r="C200" s="29" t="s">
        <v>21</v>
      </c>
      <c r="D200" s="29" t="s">
        <v>3</v>
      </c>
      <c r="E200" s="34">
        <v>10178</v>
      </c>
      <c r="F200" s="48" t="s">
        <v>403</v>
      </c>
      <c r="G200" s="45" t="s">
        <v>708</v>
      </c>
      <c r="H200" s="9"/>
      <c r="I200" s="31"/>
    </row>
    <row r="201" spans="1:9" ht="24" customHeight="1" x14ac:dyDescent="0.4">
      <c r="A201" s="28" t="s">
        <v>797</v>
      </c>
      <c r="B201" s="29" t="s">
        <v>798</v>
      </c>
      <c r="C201" s="29" t="s">
        <v>21</v>
      </c>
      <c r="D201" s="29" t="s">
        <v>4</v>
      </c>
      <c r="E201" s="35">
        <v>1033</v>
      </c>
      <c r="F201" s="48" t="s">
        <v>403</v>
      </c>
      <c r="G201" s="45" t="s">
        <v>698</v>
      </c>
      <c r="H201" s="9"/>
      <c r="I201" s="31"/>
    </row>
    <row r="202" spans="1:9" ht="24" customHeight="1" x14ac:dyDescent="0.4">
      <c r="A202" s="28" t="s">
        <v>800</v>
      </c>
      <c r="B202" s="29" t="s">
        <v>618</v>
      </c>
      <c r="C202" s="29" t="s">
        <v>21</v>
      </c>
      <c r="D202" s="29" t="s">
        <v>4</v>
      </c>
      <c r="E202" s="35">
        <v>1034</v>
      </c>
      <c r="F202" s="48" t="s">
        <v>403</v>
      </c>
      <c r="G202" s="45" t="s">
        <v>719</v>
      </c>
      <c r="H202" s="9"/>
      <c r="I202" s="31"/>
    </row>
    <row r="203" spans="1:9" ht="24" customHeight="1" x14ac:dyDescent="0.4">
      <c r="A203" s="28" t="s">
        <v>802</v>
      </c>
      <c r="B203" s="29" t="s">
        <v>803</v>
      </c>
      <c r="C203" s="29" t="s">
        <v>21</v>
      </c>
      <c r="D203" s="29" t="s">
        <v>4</v>
      </c>
      <c r="E203" s="35">
        <v>1035</v>
      </c>
      <c r="F203" s="44" t="s">
        <v>403</v>
      </c>
      <c r="G203" s="44" t="s">
        <v>846</v>
      </c>
      <c r="H203" s="9"/>
      <c r="I203" s="31"/>
    </row>
    <row r="204" spans="1:9" ht="24" customHeight="1" x14ac:dyDescent="0.4">
      <c r="A204" s="28" t="s">
        <v>805</v>
      </c>
      <c r="B204" s="29" t="s">
        <v>806</v>
      </c>
      <c r="C204" s="29" t="s">
        <v>21</v>
      </c>
      <c r="D204" s="29" t="s">
        <v>1</v>
      </c>
      <c r="E204" s="36">
        <v>12049</v>
      </c>
      <c r="F204" s="48" t="s">
        <v>403</v>
      </c>
      <c r="G204" s="45" t="s">
        <v>710</v>
      </c>
      <c r="H204" s="9"/>
      <c r="I204" s="31"/>
    </row>
    <row r="205" spans="1:9" ht="24" customHeight="1" x14ac:dyDescent="0.4">
      <c r="A205" s="28" t="s">
        <v>808</v>
      </c>
      <c r="B205" s="29" t="s">
        <v>809</v>
      </c>
      <c r="C205" s="29" t="s">
        <v>21</v>
      </c>
      <c r="D205" s="29" t="s">
        <v>1</v>
      </c>
      <c r="E205" s="36">
        <v>12050</v>
      </c>
      <c r="F205" s="48" t="s">
        <v>403</v>
      </c>
      <c r="G205" s="45" t="s">
        <v>714</v>
      </c>
      <c r="H205" s="9"/>
      <c r="I205" s="31"/>
    </row>
    <row r="206" spans="1:9" ht="24" customHeight="1" x14ac:dyDescent="0.4">
      <c r="A206" s="28" t="s">
        <v>836</v>
      </c>
      <c r="B206" s="29" t="s">
        <v>514</v>
      </c>
      <c r="C206" s="29" t="s">
        <v>21</v>
      </c>
      <c r="D206" s="29" t="s">
        <v>1</v>
      </c>
      <c r="E206" s="36">
        <v>12051</v>
      </c>
      <c r="F206" s="48" t="s">
        <v>407</v>
      </c>
      <c r="G206" s="44"/>
      <c r="H206" s="9"/>
      <c r="I206" s="31"/>
    </row>
    <row r="207" spans="1:9" ht="24" customHeight="1" x14ac:dyDescent="0.4">
      <c r="A207" s="28" t="s">
        <v>811</v>
      </c>
      <c r="B207" s="29" t="s">
        <v>1287</v>
      </c>
      <c r="C207" s="29" t="s">
        <v>21</v>
      </c>
      <c r="D207" s="29" t="s">
        <v>1</v>
      </c>
      <c r="E207" s="36">
        <v>12052</v>
      </c>
      <c r="F207" s="48" t="s">
        <v>403</v>
      </c>
      <c r="G207" s="45" t="s">
        <v>728</v>
      </c>
      <c r="H207" s="9"/>
      <c r="I207" s="31"/>
    </row>
    <row r="208" spans="1:9" ht="24" customHeight="1" x14ac:dyDescent="0.4">
      <c r="A208" s="28" t="s">
        <v>616</v>
      </c>
      <c r="B208" s="29" t="s">
        <v>813</v>
      </c>
      <c r="C208" s="29" t="s">
        <v>21</v>
      </c>
      <c r="D208" s="29" t="s">
        <v>1</v>
      </c>
      <c r="E208" s="36">
        <v>12053</v>
      </c>
      <c r="F208" s="48" t="s">
        <v>403</v>
      </c>
      <c r="G208" s="45" t="s">
        <v>730</v>
      </c>
      <c r="H208" s="9"/>
      <c r="I208" s="31"/>
    </row>
    <row r="209" spans="1:9" ht="24" customHeight="1" x14ac:dyDescent="0.4">
      <c r="A209" s="28" t="s">
        <v>838</v>
      </c>
      <c r="B209" s="29" t="s">
        <v>839</v>
      </c>
      <c r="C209" s="29" t="s">
        <v>21</v>
      </c>
      <c r="D209" s="29" t="s">
        <v>1</v>
      </c>
      <c r="E209" s="36">
        <v>12054</v>
      </c>
      <c r="F209" s="48" t="s">
        <v>407</v>
      </c>
      <c r="G209" s="44"/>
      <c r="H209" s="9"/>
      <c r="I209" s="31"/>
    </row>
    <row r="210" spans="1:9" ht="24" customHeight="1" x14ac:dyDescent="0.4">
      <c r="A210" s="28" t="s">
        <v>815</v>
      </c>
      <c r="B210" s="29" t="s">
        <v>816</v>
      </c>
      <c r="C210" s="29" t="s">
        <v>21</v>
      </c>
      <c r="D210" s="29" t="s">
        <v>1</v>
      </c>
      <c r="E210" s="36">
        <v>12055</v>
      </c>
      <c r="F210" s="48" t="s">
        <v>403</v>
      </c>
      <c r="G210" s="45" t="s">
        <v>733</v>
      </c>
      <c r="H210" s="9"/>
      <c r="I210" s="31"/>
    </row>
    <row r="211" spans="1:9" ht="24" customHeight="1" x14ac:dyDescent="0.4">
      <c r="A211" s="28" t="s">
        <v>818</v>
      </c>
      <c r="B211" s="29" t="s">
        <v>819</v>
      </c>
      <c r="C211" s="29" t="s">
        <v>21</v>
      </c>
      <c r="D211" s="29" t="s">
        <v>1</v>
      </c>
      <c r="E211" s="36">
        <v>12056</v>
      </c>
      <c r="F211" s="48" t="s">
        <v>407</v>
      </c>
      <c r="G211" s="44"/>
      <c r="H211" s="9"/>
      <c r="I211" s="31"/>
    </row>
    <row r="212" spans="1:9" ht="24" customHeight="1" x14ac:dyDescent="0.4">
      <c r="A212" s="28" t="s">
        <v>763</v>
      </c>
      <c r="B212" s="29" t="s">
        <v>821</v>
      </c>
      <c r="C212" s="29" t="s">
        <v>21</v>
      </c>
      <c r="D212" s="29" t="s">
        <v>1</v>
      </c>
      <c r="E212" s="36">
        <v>12057</v>
      </c>
      <c r="F212" s="48" t="s">
        <v>403</v>
      </c>
      <c r="G212" s="45" t="s">
        <v>713</v>
      </c>
      <c r="H212" s="9"/>
      <c r="I212" s="31"/>
    </row>
    <row r="213" spans="1:9" ht="24" customHeight="1" x14ac:dyDescent="0.4">
      <c r="A213" s="28" t="s">
        <v>828</v>
      </c>
      <c r="B213" s="29" t="s">
        <v>829</v>
      </c>
      <c r="C213" s="29" t="s">
        <v>21</v>
      </c>
      <c r="D213" s="29" t="s">
        <v>1</v>
      </c>
      <c r="E213" s="36">
        <v>12058</v>
      </c>
      <c r="F213" s="48" t="s">
        <v>403</v>
      </c>
      <c r="G213" s="45" t="s">
        <v>735</v>
      </c>
      <c r="H213" s="9"/>
      <c r="I213" s="31"/>
    </row>
    <row r="214" spans="1:9" ht="24" customHeight="1" x14ac:dyDescent="0.4">
      <c r="A214" s="28" t="s">
        <v>831</v>
      </c>
      <c r="B214" s="29" t="s">
        <v>832</v>
      </c>
      <c r="C214" s="29" t="s">
        <v>21</v>
      </c>
      <c r="D214" s="29" t="s">
        <v>1</v>
      </c>
      <c r="E214" s="36">
        <v>12059</v>
      </c>
      <c r="F214" s="48" t="s">
        <v>403</v>
      </c>
      <c r="G214" s="45" t="s">
        <v>738</v>
      </c>
      <c r="H214" s="9"/>
      <c r="I214" s="31"/>
    </row>
    <row r="215" spans="1:9" ht="24" customHeight="1" x14ac:dyDescent="0.4">
      <c r="A215" s="28" t="s">
        <v>823</v>
      </c>
      <c r="B215" s="29" t="s">
        <v>824</v>
      </c>
      <c r="C215" s="29" t="s">
        <v>21</v>
      </c>
      <c r="D215" s="29" t="s">
        <v>1</v>
      </c>
      <c r="E215" s="36">
        <v>12060</v>
      </c>
      <c r="F215" s="48" t="s">
        <v>403</v>
      </c>
      <c r="G215" s="45" t="s">
        <v>717</v>
      </c>
      <c r="H215" s="9"/>
      <c r="I215" s="31"/>
    </row>
    <row r="216" spans="1:9" ht="24" customHeight="1" x14ac:dyDescent="0.4">
      <c r="A216" s="28" t="s">
        <v>841</v>
      </c>
      <c r="B216" s="29" t="s">
        <v>842</v>
      </c>
      <c r="C216" s="29" t="s">
        <v>21</v>
      </c>
      <c r="D216" s="29" t="s">
        <v>2</v>
      </c>
      <c r="E216" s="37">
        <v>1237</v>
      </c>
      <c r="F216" s="48" t="s">
        <v>407</v>
      </c>
      <c r="G216" s="44"/>
      <c r="H216" s="9"/>
      <c r="I216" s="31"/>
    </row>
    <row r="217" spans="1:9" ht="24" customHeight="1" x14ac:dyDescent="0.4">
      <c r="A217" s="28" t="s">
        <v>844</v>
      </c>
      <c r="B217" s="29" t="s">
        <v>845</v>
      </c>
      <c r="C217" s="29" t="s">
        <v>21</v>
      </c>
      <c r="D217" s="29" t="s">
        <v>2</v>
      </c>
      <c r="E217" s="37">
        <v>1238</v>
      </c>
      <c r="F217" s="48" t="s">
        <v>403</v>
      </c>
      <c r="G217" s="45" t="s">
        <v>722</v>
      </c>
      <c r="H217" s="9"/>
      <c r="I217" s="31"/>
    </row>
    <row r="218" spans="1:9" ht="24" customHeight="1" x14ac:dyDescent="0.4">
      <c r="A218" s="28"/>
      <c r="B218" s="29"/>
      <c r="C218" s="29"/>
      <c r="D218" s="29"/>
      <c r="E218" s="45"/>
      <c r="F218" s="50"/>
      <c r="G218" s="45"/>
      <c r="H218" s="51"/>
      <c r="I218" s="31"/>
    </row>
    <row r="219" spans="1:9" ht="24" customHeight="1" x14ac:dyDescent="0.4">
      <c r="A219" s="28" t="s">
        <v>847</v>
      </c>
      <c r="B219" s="29" t="s">
        <v>848</v>
      </c>
      <c r="C219" s="29" t="s">
        <v>22</v>
      </c>
      <c r="D219" s="29" t="s">
        <v>7</v>
      </c>
      <c r="E219" s="30">
        <v>813</v>
      </c>
      <c r="F219" s="48" t="s">
        <v>403</v>
      </c>
      <c r="G219" s="45" t="s">
        <v>742</v>
      </c>
      <c r="H219" s="9"/>
      <c r="I219" s="31"/>
    </row>
    <row r="220" spans="1:9" ht="24" customHeight="1" x14ac:dyDescent="0.4">
      <c r="A220" s="28" t="s">
        <v>849</v>
      </c>
      <c r="B220" s="29" t="s">
        <v>850</v>
      </c>
      <c r="C220" s="29" t="s">
        <v>22</v>
      </c>
      <c r="D220" s="29" t="s">
        <v>7</v>
      </c>
      <c r="E220" s="30">
        <v>814</v>
      </c>
      <c r="F220" s="48" t="s">
        <v>403</v>
      </c>
      <c r="G220" s="45" t="s">
        <v>740</v>
      </c>
      <c r="H220" s="9"/>
      <c r="I220" s="31"/>
    </row>
    <row r="221" spans="1:9" ht="24" customHeight="1" x14ac:dyDescent="0.4">
      <c r="A221" s="28" t="s">
        <v>542</v>
      </c>
      <c r="B221" s="29" t="s">
        <v>857</v>
      </c>
      <c r="C221" s="29" t="s">
        <v>22</v>
      </c>
      <c r="D221" s="29" t="s">
        <v>5</v>
      </c>
      <c r="E221" s="32">
        <v>923</v>
      </c>
      <c r="F221" s="48" t="s">
        <v>403</v>
      </c>
      <c r="G221" s="45" t="s">
        <v>744</v>
      </c>
      <c r="H221" s="9"/>
      <c r="I221" s="31"/>
    </row>
    <row r="222" spans="1:9" ht="24" customHeight="1" x14ac:dyDescent="0.4">
      <c r="A222" s="28" t="s">
        <v>615</v>
      </c>
      <c r="B222" s="29" t="s">
        <v>852</v>
      </c>
      <c r="C222" s="29" t="s">
        <v>22</v>
      </c>
      <c r="D222" s="29" t="s">
        <v>3</v>
      </c>
      <c r="E222" s="34">
        <v>10179</v>
      </c>
      <c r="F222" s="48" t="s">
        <v>407</v>
      </c>
      <c r="G222" s="44"/>
      <c r="H222" s="9"/>
      <c r="I222" s="31"/>
    </row>
    <row r="223" spans="1:9" ht="24" customHeight="1" x14ac:dyDescent="0.4">
      <c r="A223" s="28" t="s">
        <v>854</v>
      </c>
      <c r="B223" s="29" t="s">
        <v>855</v>
      </c>
      <c r="C223" s="29" t="s">
        <v>22</v>
      </c>
      <c r="D223" s="29" t="s">
        <v>3</v>
      </c>
      <c r="E223" s="34">
        <v>10180</v>
      </c>
      <c r="F223" s="48" t="s">
        <v>407</v>
      </c>
      <c r="G223" s="44"/>
      <c r="H223" s="9"/>
      <c r="I223" s="31"/>
    </row>
    <row r="224" spans="1:9" ht="24" customHeight="1" x14ac:dyDescent="0.4">
      <c r="A224" s="28"/>
      <c r="B224" s="29"/>
      <c r="C224" s="29"/>
      <c r="D224" s="29"/>
      <c r="E224" s="45"/>
      <c r="F224" s="50"/>
      <c r="G224" s="45"/>
      <c r="H224" s="51"/>
      <c r="I224" s="31"/>
    </row>
    <row r="225" spans="1:9" ht="24" customHeight="1" x14ac:dyDescent="0.4">
      <c r="A225" s="28" t="s">
        <v>859</v>
      </c>
      <c r="B225" s="29" t="s">
        <v>860</v>
      </c>
      <c r="C225" s="29" t="s">
        <v>23</v>
      </c>
      <c r="D225" s="29" t="s">
        <v>7</v>
      </c>
      <c r="E225" s="30">
        <v>815</v>
      </c>
      <c r="F225" s="48" t="s">
        <v>403</v>
      </c>
      <c r="G225" s="45" t="s">
        <v>796</v>
      </c>
      <c r="H225" s="9"/>
      <c r="I225" s="31"/>
    </row>
    <row r="226" spans="1:9" ht="24" customHeight="1" x14ac:dyDescent="0.4">
      <c r="A226" s="28" t="s">
        <v>862</v>
      </c>
      <c r="B226" s="29" t="s">
        <v>863</v>
      </c>
      <c r="C226" s="29" t="s">
        <v>23</v>
      </c>
      <c r="D226" s="29" t="s">
        <v>7</v>
      </c>
      <c r="E226" s="30">
        <v>816</v>
      </c>
      <c r="F226" s="48" t="s">
        <v>403</v>
      </c>
      <c r="G226" s="45" t="s">
        <v>799</v>
      </c>
      <c r="H226" s="9"/>
      <c r="I226" s="31"/>
    </row>
    <row r="227" spans="1:9" ht="24" customHeight="1" x14ac:dyDescent="0.4">
      <c r="A227" s="28" t="s">
        <v>571</v>
      </c>
      <c r="B227" s="29" t="s">
        <v>865</v>
      </c>
      <c r="C227" s="29" t="s">
        <v>23</v>
      </c>
      <c r="D227" s="29" t="s">
        <v>7</v>
      </c>
      <c r="E227" s="30">
        <v>817</v>
      </c>
      <c r="F227" s="48" t="s">
        <v>403</v>
      </c>
      <c r="G227" s="45" t="s">
        <v>801</v>
      </c>
      <c r="H227" s="9"/>
      <c r="I227" s="31"/>
    </row>
    <row r="228" spans="1:9" ht="24" customHeight="1" x14ac:dyDescent="0.4">
      <c r="A228" s="28" t="s">
        <v>867</v>
      </c>
      <c r="B228" s="29" t="s">
        <v>868</v>
      </c>
      <c r="C228" s="29" t="s">
        <v>23</v>
      </c>
      <c r="D228" s="29" t="s">
        <v>8</v>
      </c>
      <c r="E228" s="38">
        <v>862</v>
      </c>
      <c r="F228" s="48" t="s">
        <v>403</v>
      </c>
      <c r="G228" s="45" t="s">
        <v>804</v>
      </c>
      <c r="H228" s="9"/>
      <c r="I228" s="31"/>
    </row>
    <row r="229" spans="1:9" ht="24" customHeight="1" x14ac:dyDescent="0.4">
      <c r="A229" s="28" t="s">
        <v>932</v>
      </c>
      <c r="B229" s="29" t="s">
        <v>933</v>
      </c>
      <c r="C229" s="29" t="s">
        <v>23</v>
      </c>
      <c r="D229" s="29" t="s">
        <v>8</v>
      </c>
      <c r="E229" s="38">
        <v>863</v>
      </c>
      <c r="F229" s="48" t="s">
        <v>403</v>
      </c>
      <c r="G229" s="45" t="s">
        <v>812</v>
      </c>
      <c r="H229" s="9"/>
      <c r="I229" s="31"/>
    </row>
    <row r="230" spans="1:9" ht="24" customHeight="1" x14ac:dyDescent="0.4">
      <c r="A230" s="28" t="s">
        <v>935</v>
      </c>
      <c r="B230" s="29" t="s">
        <v>884</v>
      </c>
      <c r="C230" s="29" t="s">
        <v>23</v>
      </c>
      <c r="D230" s="29" t="s">
        <v>8</v>
      </c>
      <c r="E230" s="38">
        <v>864</v>
      </c>
      <c r="F230" s="48" t="s">
        <v>403</v>
      </c>
      <c r="G230" s="45" t="s">
        <v>814</v>
      </c>
      <c r="H230" s="9"/>
      <c r="I230" s="31"/>
    </row>
    <row r="231" spans="1:9" ht="24" customHeight="1" x14ac:dyDescent="0.4">
      <c r="A231" s="28" t="s">
        <v>894</v>
      </c>
      <c r="B231" s="29" t="s">
        <v>895</v>
      </c>
      <c r="C231" s="29" t="s">
        <v>23</v>
      </c>
      <c r="D231" s="29" t="s">
        <v>5</v>
      </c>
      <c r="E231" s="32">
        <v>924</v>
      </c>
      <c r="F231" s="48" t="s">
        <v>403</v>
      </c>
      <c r="G231" s="45" t="s">
        <v>807</v>
      </c>
      <c r="H231" s="9"/>
      <c r="I231" s="31"/>
    </row>
    <row r="232" spans="1:9" ht="24" customHeight="1" x14ac:dyDescent="0.4">
      <c r="A232" s="28" t="s">
        <v>940</v>
      </c>
      <c r="B232" s="29" t="s">
        <v>874</v>
      </c>
      <c r="C232" s="29" t="s">
        <v>23</v>
      </c>
      <c r="D232" s="29" t="s">
        <v>5</v>
      </c>
      <c r="E232" s="32">
        <v>925</v>
      </c>
      <c r="F232" s="48" t="s">
        <v>407</v>
      </c>
      <c r="G232" s="44"/>
      <c r="H232" s="9"/>
      <c r="I232" s="31"/>
    </row>
    <row r="233" spans="1:9" ht="24" customHeight="1" x14ac:dyDescent="0.4">
      <c r="A233" s="28" t="s">
        <v>942</v>
      </c>
      <c r="B233" s="29" t="s">
        <v>943</v>
      </c>
      <c r="C233" s="29" t="s">
        <v>23</v>
      </c>
      <c r="D233" s="29" t="s">
        <v>5</v>
      </c>
      <c r="E233" s="32">
        <v>926</v>
      </c>
      <c r="F233" s="48" t="s">
        <v>403</v>
      </c>
      <c r="G233" s="45" t="s">
        <v>817</v>
      </c>
      <c r="H233" s="9"/>
      <c r="I233" s="31"/>
    </row>
    <row r="234" spans="1:9" ht="24" customHeight="1" x14ac:dyDescent="0.4">
      <c r="A234" s="28" t="s">
        <v>461</v>
      </c>
      <c r="B234" s="29" t="s">
        <v>897</v>
      </c>
      <c r="C234" s="29" t="s">
        <v>23</v>
      </c>
      <c r="D234" s="29" t="s">
        <v>5</v>
      </c>
      <c r="E234" s="32">
        <v>927</v>
      </c>
      <c r="F234" s="48" t="s">
        <v>403</v>
      </c>
      <c r="G234" s="45" t="s">
        <v>820</v>
      </c>
      <c r="H234" s="9"/>
      <c r="I234" s="31"/>
    </row>
    <row r="235" spans="1:9" ht="24" customHeight="1" x14ac:dyDescent="0.4">
      <c r="A235" s="28" t="s">
        <v>786</v>
      </c>
      <c r="B235" s="29" t="s">
        <v>899</v>
      </c>
      <c r="C235" s="29" t="s">
        <v>23</v>
      </c>
      <c r="D235" s="29" t="s">
        <v>5</v>
      </c>
      <c r="E235" s="32">
        <v>928</v>
      </c>
      <c r="F235" s="48" t="s">
        <v>403</v>
      </c>
      <c r="G235" s="45" t="s">
        <v>810</v>
      </c>
      <c r="H235" s="9"/>
      <c r="I235" s="31"/>
    </row>
    <row r="236" spans="1:9" ht="24" customHeight="1" x14ac:dyDescent="0.4">
      <c r="A236" s="28" t="s">
        <v>901</v>
      </c>
      <c r="B236" s="29" t="s">
        <v>902</v>
      </c>
      <c r="C236" s="29" t="s">
        <v>23</v>
      </c>
      <c r="D236" s="29" t="s">
        <v>6</v>
      </c>
      <c r="E236" s="33">
        <v>9260</v>
      </c>
      <c r="F236" s="48" t="s">
        <v>403</v>
      </c>
      <c r="G236" s="45" t="s">
        <v>822</v>
      </c>
      <c r="H236" s="9"/>
      <c r="I236" s="31"/>
    </row>
    <row r="237" spans="1:9" ht="24" customHeight="1" x14ac:dyDescent="0.4">
      <c r="A237" s="28" t="s">
        <v>451</v>
      </c>
      <c r="B237" s="29" t="s">
        <v>904</v>
      </c>
      <c r="C237" s="29" t="s">
        <v>23</v>
      </c>
      <c r="D237" s="29" t="s">
        <v>6</v>
      </c>
      <c r="E237" s="33">
        <v>9270</v>
      </c>
      <c r="F237" s="48" t="s">
        <v>403</v>
      </c>
      <c r="G237" s="45" t="s">
        <v>825</v>
      </c>
      <c r="H237" s="9"/>
      <c r="I237" s="31"/>
    </row>
    <row r="238" spans="1:9" ht="24" customHeight="1" x14ac:dyDescent="0.4">
      <c r="A238" s="28" t="s">
        <v>906</v>
      </c>
      <c r="B238" s="29" t="s">
        <v>907</v>
      </c>
      <c r="C238" s="29" t="s">
        <v>23</v>
      </c>
      <c r="D238" s="29" t="s">
        <v>6</v>
      </c>
      <c r="E238" s="33">
        <v>9280</v>
      </c>
      <c r="F238" s="48" t="s">
        <v>403</v>
      </c>
      <c r="G238" s="45" t="s">
        <v>827</v>
      </c>
      <c r="H238" s="9"/>
      <c r="I238" s="31"/>
    </row>
    <row r="239" spans="1:9" ht="24" customHeight="1" x14ac:dyDescent="0.4">
      <c r="A239" s="28" t="s">
        <v>870</v>
      </c>
      <c r="B239" s="29" t="s">
        <v>871</v>
      </c>
      <c r="C239" s="29" t="s">
        <v>23</v>
      </c>
      <c r="D239" s="29" t="s">
        <v>3</v>
      </c>
      <c r="E239" s="34">
        <v>10181</v>
      </c>
      <c r="F239" s="48" t="s">
        <v>403</v>
      </c>
      <c r="G239" s="45" t="s">
        <v>756</v>
      </c>
      <c r="H239" s="9"/>
      <c r="I239" s="31"/>
    </row>
    <row r="240" spans="1:9" ht="24" customHeight="1" x14ac:dyDescent="0.4">
      <c r="A240" s="28" t="s">
        <v>873</v>
      </c>
      <c r="B240" s="29" t="s">
        <v>874</v>
      </c>
      <c r="C240" s="29" t="s">
        <v>23</v>
      </c>
      <c r="D240" s="29" t="s">
        <v>3</v>
      </c>
      <c r="E240" s="34">
        <v>10182</v>
      </c>
      <c r="F240" s="48" t="s">
        <v>407</v>
      </c>
      <c r="G240" s="44"/>
      <c r="H240" s="9"/>
      <c r="I240" s="31"/>
    </row>
    <row r="241" spans="1:9" ht="24" customHeight="1" x14ac:dyDescent="0.4">
      <c r="A241" s="28" t="s">
        <v>605</v>
      </c>
      <c r="B241" s="29" t="s">
        <v>876</v>
      </c>
      <c r="C241" s="29" t="s">
        <v>23</v>
      </c>
      <c r="D241" s="29" t="s">
        <v>3</v>
      </c>
      <c r="E241" s="34">
        <v>10183</v>
      </c>
      <c r="F241" s="48" t="s">
        <v>403</v>
      </c>
      <c r="G241" s="45" t="s">
        <v>759</v>
      </c>
      <c r="H241" s="9"/>
      <c r="I241" s="31"/>
    </row>
    <row r="242" spans="1:9" ht="24" customHeight="1" x14ac:dyDescent="0.4">
      <c r="A242" s="28" t="s">
        <v>878</v>
      </c>
      <c r="B242" s="29" t="s">
        <v>879</v>
      </c>
      <c r="C242" s="29" t="s">
        <v>23</v>
      </c>
      <c r="D242" s="29" t="s">
        <v>3</v>
      </c>
      <c r="E242" s="34">
        <v>10184</v>
      </c>
      <c r="F242" s="48" t="s">
        <v>403</v>
      </c>
      <c r="G242" s="45" t="s">
        <v>762</v>
      </c>
      <c r="H242" s="9"/>
      <c r="I242" s="31"/>
    </row>
    <row r="243" spans="1:9" ht="24" customHeight="1" x14ac:dyDescent="0.4">
      <c r="A243" s="28" t="s">
        <v>451</v>
      </c>
      <c r="B243" s="29" t="s">
        <v>881</v>
      </c>
      <c r="C243" s="29" t="s">
        <v>23</v>
      </c>
      <c r="D243" s="29" t="s">
        <v>3</v>
      </c>
      <c r="E243" s="34">
        <v>10185</v>
      </c>
      <c r="F243" s="48" t="s">
        <v>403</v>
      </c>
      <c r="G243" s="45" t="s">
        <v>765</v>
      </c>
      <c r="H243" s="9"/>
      <c r="I243" s="31"/>
    </row>
    <row r="244" spans="1:9" ht="24" customHeight="1" x14ac:dyDescent="0.4">
      <c r="A244" s="28" t="s">
        <v>883</v>
      </c>
      <c r="B244" s="29" t="s">
        <v>884</v>
      </c>
      <c r="C244" s="29" t="s">
        <v>23</v>
      </c>
      <c r="D244" s="29" t="s">
        <v>3</v>
      </c>
      <c r="E244" s="34">
        <v>10186</v>
      </c>
      <c r="F244" s="48" t="s">
        <v>407</v>
      </c>
      <c r="G244" s="44"/>
      <c r="H244" s="9"/>
      <c r="I244" s="31"/>
    </row>
    <row r="245" spans="1:9" ht="24" customHeight="1" x14ac:dyDescent="0.4">
      <c r="A245" s="28" t="s">
        <v>886</v>
      </c>
      <c r="B245" s="29" t="s">
        <v>887</v>
      </c>
      <c r="C245" s="29" t="s">
        <v>23</v>
      </c>
      <c r="D245" s="29" t="s">
        <v>4</v>
      </c>
      <c r="E245" s="35">
        <v>1036</v>
      </c>
      <c r="F245" s="48" t="s">
        <v>403</v>
      </c>
      <c r="G245" s="45" t="s">
        <v>747</v>
      </c>
      <c r="H245" s="9"/>
      <c r="I245" s="31"/>
    </row>
    <row r="246" spans="1:9" ht="24" customHeight="1" x14ac:dyDescent="0.4">
      <c r="A246" s="28" t="s">
        <v>937</v>
      </c>
      <c r="B246" s="29" t="s">
        <v>938</v>
      </c>
      <c r="C246" s="29" t="s">
        <v>23</v>
      </c>
      <c r="D246" s="29" t="s">
        <v>4</v>
      </c>
      <c r="E246" s="35">
        <v>1037</v>
      </c>
      <c r="F246" s="48" t="s">
        <v>407</v>
      </c>
      <c r="G246" s="44"/>
      <c r="H246" s="9"/>
      <c r="I246" s="31"/>
    </row>
    <row r="247" spans="1:9" ht="24" customHeight="1" x14ac:dyDescent="0.4">
      <c r="A247" s="28" t="s">
        <v>889</v>
      </c>
      <c r="B247" s="29" t="s">
        <v>890</v>
      </c>
      <c r="C247" s="29" t="s">
        <v>23</v>
      </c>
      <c r="D247" s="29" t="s">
        <v>4</v>
      </c>
      <c r="E247" s="35">
        <v>1038</v>
      </c>
      <c r="F247" s="48" t="s">
        <v>403</v>
      </c>
      <c r="G247" s="45" t="s">
        <v>748</v>
      </c>
      <c r="H247" s="9"/>
      <c r="I247" s="31"/>
    </row>
    <row r="248" spans="1:9" ht="24" customHeight="1" x14ac:dyDescent="0.4">
      <c r="A248" s="28" t="s">
        <v>892</v>
      </c>
      <c r="B248" s="29" t="s">
        <v>554</v>
      </c>
      <c r="C248" s="29" t="s">
        <v>23</v>
      </c>
      <c r="D248" s="29" t="s">
        <v>4</v>
      </c>
      <c r="E248" s="35">
        <v>1039</v>
      </c>
      <c r="F248" s="48" t="s">
        <v>403</v>
      </c>
      <c r="G248" s="45" t="s">
        <v>750</v>
      </c>
      <c r="H248" s="9"/>
      <c r="I248" s="31"/>
    </row>
    <row r="249" spans="1:9" ht="24" customHeight="1" x14ac:dyDescent="0.4">
      <c r="A249" s="28" t="s">
        <v>715</v>
      </c>
      <c r="B249" s="29" t="s">
        <v>879</v>
      </c>
      <c r="C249" s="29" t="s">
        <v>23</v>
      </c>
      <c r="D249" s="29" t="s">
        <v>1</v>
      </c>
      <c r="E249" s="36">
        <v>12061</v>
      </c>
      <c r="F249" s="48" t="s">
        <v>403</v>
      </c>
      <c r="G249" s="45" t="s">
        <v>768</v>
      </c>
      <c r="H249" s="9"/>
      <c r="I249" s="31"/>
    </row>
    <row r="250" spans="1:9" ht="24" customHeight="1" x14ac:dyDescent="0.4">
      <c r="A250" s="28" t="s">
        <v>627</v>
      </c>
      <c r="B250" s="29" t="s">
        <v>910</v>
      </c>
      <c r="C250" s="29" t="s">
        <v>23</v>
      </c>
      <c r="D250" s="29" t="s">
        <v>1</v>
      </c>
      <c r="E250" s="36">
        <v>12062</v>
      </c>
      <c r="F250" s="48" t="s">
        <v>403</v>
      </c>
      <c r="G250" s="45" t="s">
        <v>788</v>
      </c>
      <c r="H250" s="9"/>
      <c r="I250" s="31"/>
    </row>
    <row r="251" spans="1:9" ht="24" customHeight="1" x14ac:dyDescent="0.4">
      <c r="A251" s="28" t="s">
        <v>470</v>
      </c>
      <c r="B251" s="29" t="s">
        <v>617</v>
      </c>
      <c r="C251" s="29" t="s">
        <v>23</v>
      </c>
      <c r="D251" s="29" t="s">
        <v>1</v>
      </c>
      <c r="E251" s="36">
        <v>12063</v>
      </c>
      <c r="F251" s="48" t="s">
        <v>403</v>
      </c>
      <c r="G251" s="45" t="s">
        <v>770</v>
      </c>
      <c r="H251" s="9"/>
      <c r="I251" s="31"/>
    </row>
    <row r="252" spans="1:9" ht="24" customHeight="1" x14ac:dyDescent="0.4">
      <c r="A252" s="28" t="s">
        <v>913</v>
      </c>
      <c r="B252" s="29" t="s">
        <v>914</v>
      </c>
      <c r="C252" s="29" t="s">
        <v>23</v>
      </c>
      <c r="D252" s="29" t="s">
        <v>1</v>
      </c>
      <c r="E252" s="36">
        <v>12064</v>
      </c>
      <c r="F252" s="48" t="s">
        <v>403</v>
      </c>
      <c r="G252" s="45" t="s">
        <v>791</v>
      </c>
      <c r="H252" s="9"/>
      <c r="I252" s="31"/>
    </row>
    <row r="253" spans="1:9" ht="24" customHeight="1" x14ac:dyDescent="0.4">
      <c r="A253" s="28" t="s">
        <v>562</v>
      </c>
      <c r="B253" s="29" t="s">
        <v>916</v>
      </c>
      <c r="C253" s="29" t="s">
        <v>23</v>
      </c>
      <c r="D253" s="29" t="s">
        <v>1</v>
      </c>
      <c r="E253" s="36">
        <v>12065</v>
      </c>
      <c r="F253" s="48" t="s">
        <v>403</v>
      </c>
      <c r="G253" s="45" t="s">
        <v>771</v>
      </c>
      <c r="H253" s="9"/>
      <c r="I253" s="31"/>
    </row>
    <row r="254" spans="1:9" ht="24" customHeight="1" x14ac:dyDescent="0.4">
      <c r="A254" s="28" t="s">
        <v>548</v>
      </c>
      <c r="B254" s="29" t="s">
        <v>918</v>
      </c>
      <c r="C254" s="29" t="s">
        <v>23</v>
      </c>
      <c r="D254" s="29" t="s">
        <v>1</v>
      </c>
      <c r="E254" s="36">
        <v>12066</v>
      </c>
      <c r="F254" s="48" t="s">
        <v>403</v>
      </c>
      <c r="G254" s="45" t="s">
        <v>774</v>
      </c>
      <c r="H254" s="9"/>
      <c r="I254" s="31"/>
    </row>
    <row r="255" spans="1:9" ht="24" customHeight="1" x14ac:dyDescent="0.4">
      <c r="A255" s="28" t="s">
        <v>945</v>
      </c>
      <c r="B255" s="29" t="s">
        <v>860</v>
      </c>
      <c r="C255" s="29" t="s">
        <v>23</v>
      </c>
      <c r="D255" s="29" t="s">
        <v>1</v>
      </c>
      <c r="E255" s="36">
        <v>12067</v>
      </c>
      <c r="F255" s="48" t="s">
        <v>407</v>
      </c>
      <c r="G255" s="44"/>
      <c r="H255" s="9"/>
      <c r="I255" s="31"/>
    </row>
    <row r="256" spans="1:9" ht="24" customHeight="1" x14ac:dyDescent="0.4">
      <c r="A256" s="28" t="s">
        <v>459</v>
      </c>
      <c r="B256" s="29" t="s">
        <v>920</v>
      </c>
      <c r="C256" s="29" t="s">
        <v>23</v>
      </c>
      <c r="D256" s="29" t="s">
        <v>1</v>
      </c>
      <c r="E256" s="36">
        <v>12068</v>
      </c>
      <c r="F256" s="48" t="s">
        <v>403</v>
      </c>
      <c r="G256" s="45" t="s">
        <v>777</v>
      </c>
      <c r="H256" s="9"/>
      <c r="I256" s="31"/>
    </row>
    <row r="257" spans="1:9" ht="24" customHeight="1" x14ac:dyDescent="0.4">
      <c r="A257" s="28" t="s">
        <v>586</v>
      </c>
      <c r="B257" s="29" t="s">
        <v>922</v>
      </c>
      <c r="C257" s="29" t="s">
        <v>23</v>
      </c>
      <c r="D257" s="29" t="s">
        <v>1</v>
      </c>
      <c r="E257" s="36">
        <v>12069</v>
      </c>
      <c r="F257" s="48" t="s">
        <v>403</v>
      </c>
      <c r="G257" s="45" t="s">
        <v>780</v>
      </c>
      <c r="H257" s="9"/>
      <c r="I257" s="31"/>
    </row>
    <row r="258" spans="1:9" ht="24" customHeight="1" x14ac:dyDescent="0.4">
      <c r="A258" s="28" t="s">
        <v>789</v>
      </c>
      <c r="B258" s="29" t="s">
        <v>554</v>
      </c>
      <c r="C258" s="29" t="s">
        <v>23</v>
      </c>
      <c r="D258" s="29" t="s">
        <v>1</v>
      </c>
      <c r="E258" s="36">
        <v>12070</v>
      </c>
      <c r="F258" s="48" t="s">
        <v>403</v>
      </c>
      <c r="G258" s="45" t="s">
        <v>783</v>
      </c>
      <c r="H258" s="9"/>
      <c r="I258" s="31"/>
    </row>
    <row r="259" spans="1:9" ht="24" customHeight="1" x14ac:dyDescent="0.4">
      <c r="A259" s="28" t="s">
        <v>925</v>
      </c>
      <c r="B259" s="29" t="s">
        <v>518</v>
      </c>
      <c r="C259" s="29" t="s">
        <v>23</v>
      </c>
      <c r="D259" s="29" t="s">
        <v>1</v>
      </c>
      <c r="E259" s="36">
        <v>12071</v>
      </c>
      <c r="F259" s="48" t="s">
        <v>403</v>
      </c>
      <c r="G259" s="45" t="s">
        <v>793</v>
      </c>
      <c r="H259" s="9"/>
      <c r="I259" s="31"/>
    </row>
    <row r="260" spans="1:9" ht="24" customHeight="1" x14ac:dyDescent="0.4">
      <c r="A260" s="28" t="s">
        <v>844</v>
      </c>
      <c r="B260" s="29" t="s">
        <v>947</v>
      </c>
      <c r="C260" s="29" t="s">
        <v>23</v>
      </c>
      <c r="D260" s="29" t="s">
        <v>2</v>
      </c>
      <c r="E260" s="37">
        <v>1239</v>
      </c>
      <c r="F260" s="48" t="s">
        <v>407</v>
      </c>
      <c r="G260" s="44"/>
      <c r="H260" s="9"/>
      <c r="I260" s="31"/>
    </row>
    <row r="261" spans="1:9" ht="24" customHeight="1" x14ac:dyDescent="0.4">
      <c r="A261" s="28" t="s">
        <v>927</v>
      </c>
      <c r="B261" s="29" t="s">
        <v>928</v>
      </c>
      <c r="C261" s="29" t="s">
        <v>23</v>
      </c>
      <c r="D261" s="29" t="s">
        <v>2</v>
      </c>
      <c r="E261" s="37">
        <v>1240</v>
      </c>
      <c r="F261" s="48" t="s">
        <v>403</v>
      </c>
      <c r="G261" s="45" t="s">
        <v>752</v>
      </c>
      <c r="H261" s="9"/>
      <c r="I261" s="31"/>
    </row>
    <row r="262" spans="1:9" ht="24" customHeight="1" x14ac:dyDescent="0.4">
      <c r="A262" s="28" t="s">
        <v>930</v>
      </c>
      <c r="B262" s="29" t="s">
        <v>887</v>
      </c>
      <c r="C262" s="29" t="s">
        <v>23</v>
      </c>
      <c r="D262" s="29" t="s">
        <v>2</v>
      </c>
      <c r="E262" s="37">
        <v>1241</v>
      </c>
      <c r="F262" s="48" t="s">
        <v>403</v>
      </c>
      <c r="G262" s="45" t="s">
        <v>754</v>
      </c>
      <c r="H262" s="9"/>
      <c r="I262" s="31"/>
    </row>
    <row r="263" spans="1:9" ht="24" customHeight="1" x14ac:dyDescent="0.4">
      <c r="A263" s="28" t="s">
        <v>949</v>
      </c>
      <c r="B263" s="29" t="s">
        <v>950</v>
      </c>
      <c r="C263" s="29" t="s">
        <v>23</v>
      </c>
      <c r="D263" s="29" t="s">
        <v>2</v>
      </c>
      <c r="E263" s="37">
        <v>1242</v>
      </c>
      <c r="F263" s="48" t="s">
        <v>403</v>
      </c>
      <c r="G263" s="45" t="s">
        <v>785</v>
      </c>
      <c r="H263" s="9"/>
      <c r="I263" s="31"/>
    </row>
    <row r="264" spans="1:9" ht="24" customHeight="1" x14ac:dyDescent="0.4">
      <c r="A264" s="28"/>
      <c r="B264" s="29"/>
      <c r="C264" s="29"/>
      <c r="D264" s="29"/>
      <c r="E264" s="45"/>
      <c r="F264" s="50"/>
      <c r="G264" s="45"/>
      <c r="H264" s="51"/>
      <c r="I264" s="31"/>
    </row>
    <row r="265" spans="1:9" ht="24" customHeight="1" x14ac:dyDescent="0.4">
      <c r="A265" s="28"/>
      <c r="B265" s="29"/>
      <c r="C265" s="29"/>
      <c r="D265" s="29"/>
      <c r="E265" s="45"/>
      <c r="F265" s="50"/>
      <c r="G265" s="45"/>
      <c r="H265" s="51"/>
      <c r="I265" s="31"/>
    </row>
    <row r="266" spans="1:9" ht="24" customHeight="1" x14ac:dyDescent="0.4">
      <c r="A266" s="28" t="s">
        <v>576</v>
      </c>
      <c r="B266" s="29" t="s">
        <v>952</v>
      </c>
      <c r="C266" s="29" t="s">
        <v>24</v>
      </c>
      <c r="D266" s="29" t="s">
        <v>7</v>
      </c>
      <c r="E266" s="30">
        <v>818</v>
      </c>
      <c r="F266" s="48" t="s">
        <v>403</v>
      </c>
      <c r="G266" s="45" t="s">
        <v>840</v>
      </c>
      <c r="H266" s="9"/>
      <c r="I266" s="31"/>
    </row>
    <row r="267" spans="1:9" ht="24" customHeight="1" x14ac:dyDescent="0.4">
      <c r="A267" s="28" t="s">
        <v>954</v>
      </c>
      <c r="B267" s="29" t="s">
        <v>955</v>
      </c>
      <c r="C267" s="29" t="s">
        <v>24</v>
      </c>
      <c r="D267" s="29" t="s">
        <v>7</v>
      </c>
      <c r="E267" s="30">
        <v>819</v>
      </c>
      <c r="F267" s="48" t="s">
        <v>403</v>
      </c>
      <c r="G267" s="45" t="s">
        <v>843</v>
      </c>
      <c r="H267" s="9"/>
      <c r="I267" s="31"/>
    </row>
    <row r="268" spans="1:9" ht="24" customHeight="1" x14ac:dyDescent="0.4">
      <c r="A268" s="28" t="s">
        <v>470</v>
      </c>
      <c r="B268" s="29" t="s">
        <v>957</v>
      </c>
      <c r="C268" s="29" t="s">
        <v>24</v>
      </c>
      <c r="D268" s="29" t="s">
        <v>3</v>
      </c>
      <c r="E268" s="34">
        <v>10187</v>
      </c>
      <c r="F268" s="48" t="s">
        <v>403</v>
      </c>
      <c r="G268" s="45" t="s">
        <v>830</v>
      </c>
      <c r="H268" s="9"/>
      <c r="I268" s="31"/>
    </row>
    <row r="269" spans="1:9" ht="24" customHeight="1" x14ac:dyDescent="0.4">
      <c r="A269" s="28" t="s">
        <v>505</v>
      </c>
      <c r="B269" s="29" t="s">
        <v>962</v>
      </c>
      <c r="C269" s="29" t="s">
        <v>24</v>
      </c>
      <c r="D269" s="29" t="s">
        <v>1</v>
      </c>
      <c r="E269" s="36">
        <v>12072</v>
      </c>
      <c r="F269" s="48" t="s">
        <v>403</v>
      </c>
      <c r="G269" s="45" t="s">
        <v>833</v>
      </c>
      <c r="H269" s="9"/>
      <c r="I269" s="31"/>
    </row>
    <row r="270" spans="1:9" ht="24" customHeight="1" x14ac:dyDescent="0.4">
      <c r="A270" s="28" t="s">
        <v>478</v>
      </c>
      <c r="B270" s="29" t="s">
        <v>964</v>
      </c>
      <c r="C270" s="29" t="s">
        <v>24</v>
      </c>
      <c r="D270" s="29" t="s">
        <v>1</v>
      </c>
      <c r="E270" s="36">
        <v>12073</v>
      </c>
      <c r="F270" s="48" t="s">
        <v>403</v>
      </c>
      <c r="G270" s="45" t="s">
        <v>835</v>
      </c>
      <c r="H270" s="9"/>
      <c r="I270" s="31"/>
    </row>
    <row r="271" spans="1:9" ht="24" customHeight="1" x14ac:dyDescent="0.4">
      <c r="A271" s="28" t="s">
        <v>959</v>
      </c>
      <c r="B271" s="29" t="s">
        <v>960</v>
      </c>
      <c r="C271" s="29" t="s">
        <v>24</v>
      </c>
      <c r="D271" s="29" t="s">
        <v>1</v>
      </c>
      <c r="E271" s="36">
        <v>12074</v>
      </c>
      <c r="F271" s="48" t="s">
        <v>403</v>
      </c>
      <c r="G271" s="45" t="s">
        <v>837</v>
      </c>
      <c r="H271" s="9"/>
      <c r="I271" s="31"/>
    </row>
    <row r="272" spans="1:9" ht="24" customHeight="1" x14ac:dyDescent="0.4">
      <c r="A272" s="28"/>
      <c r="B272" s="29"/>
      <c r="C272" s="29"/>
      <c r="D272" s="29"/>
      <c r="E272" s="52"/>
      <c r="F272" s="50"/>
      <c r="G272" s="45"/>
      <c r="H272" s="51"/>
      <c r="I272" s="31"/>
    </row>
    <row r="273" spans="1:9" ht="24" customHeight="1" x14ac:dyDescent="0.4">
      <c r="A273" s="28"/>
      <c r="B273" s="29"/>
      <c r="C273" s="29"/>
      <c r="D273" s="29"/>
      <c r="E273" s="52"/>
      <c r="F273" s="50"/>
      <c r="G273" s="45"/>
      <c r="H273" s="51"/>
      <c r="I273" s="31"/>
    </row>
    <row r="274" spans="1:9" ht="24" customHeight="1" x14ac:dyDescent="0.4">
      <c r="A274" s="28" t="s">
        <v>969</v>
      </c>
      <c r="B274" s="29" t="s">
        <v>970</v>
      </c>
      <c r="C274" s="29" t="s">
        <v>25</v>
      </c>
      <c r="D274" s="29" t="s">
        <v>8</v>
      </c>
      <c r="E274" s="38">
        <v>865</v>
      </c>
      <c r="F274" s="48" t="s">
        <v>407</v>
      </c>
      <c r="G274" s="44"/>
      <c r="H274" s="9"/>
      <c r="I274" s="31"/>
    </row>
    <row r="275" spans="1:9" ht="24" customHeight="1" x14ac:dyDescent="0.4">
      <c r="A275" s="28" t="s">
        <v>981</v>
      </c>
      <c r="B275" s="29" t="s">
        <v>982</v>
      </c>
      <c r="C275" s="29" t="s">
        <v>25</v>
      </c>
      <c r="D275" s="29" t="s">
        <v>5</v>
      </c>
      <c r="E275" s="32">
        <v>929</v>
      </c>
      <c r="F275" s="48" t="s">
        <v>403</v>
      </c>
      <c r="G275" s="45" t="s">
        <v>866</v>
      </c>
      <c r="H275" s="9"/>
      <c r="I275" s="31"/>
    </row>
    <row r="276" spans="1:9" ht="24" customHeight="1" x14ac:dyDescent="0.4">
      <c r="A276" s="28" t="s">
        <v>984</v>
      </c>
      <c r="B276" s="29" t="s">
        <v>985</v>
      </c>
      <c r="C276" s="29" t="s">
        <v>25</v>
      </c>
      <c r="D276" s="29" t="s">
        <v>5</v>
      </c>
      <c r="E276" s="32">
        <v>930</v>
      </c>
      <c r="F276" s="48" t="s">
        <v>403</v>
      </c>
      <c r="G276" s="45" t="s">
        <v>869</v>
      </c>
      <c r="H276" s="9"/>
      <c r="I276" s="31"/>
    </row>
    <row r="277" spans="1:9" ht="24" customHeight="1" x14ac:dyDescent="0.4">
      <c r="A277" s="28" t="s">
        <v>987</v>
      </c>
      <c r="B277" s="29" t="s">
        <v>988</v>
      </c>
      <c r="C277" s="29" t="s">
        <v>25</v>
      </c>
      <c r="D277" s="29" t="s">
        <v>5</v>
      </c>
      <c r="E277" s="32">
        <v>931</v>
      </c>
      <c r="F277" s="48" t="s">
        <v>403</v>
      </c>
      <c r="G277" s="45" t="s">
        <v>872</v>
      </c>
      <c r="H277" s="9"/>
      <c r="I277" s="31"/>
    </row>
    <row r="278" spans="1:9" ht="24" customHeight="1" x14ac:dyDescent="0.4">
      <c r="A278" s="28" t="s">
        <v>990</v>
      </c>
      <c r="B278" s="29" t="s">
        <v>848</v>
      </c>
      <c r="C278" s="29" t="s">
        <v>25</v>
      </c>
      <c r="D278" s="29" t="s">
        <v>5</v>
      </c>
      <c r="E278" s="32">
        <v>932</v>
      </c>
      <c r="F278" s="48" t="s">
        <v>403</v>
      </c>
      <c r="G278" s="45" t="s">
        <v>875</v>
      </c>
      <c r="H278" s="9"/>
      <c r="I278" s="31"/>
    </row>
    <row r="279" spans="1:9" ht="24" customHeight="1" x14ac:dyDescent="0.4">
      <c r="A279" s="28" t="s">
        <v>992</v>
      </c>
      <c r="B279" s="29" t="s">
        <v>993</v>
      </c>
      <c r="C279" s="29" t="s">
        <v>25</v>
      </c>
      <c r="D279" s="29" t="s">
        <v>5</v>
      </c>
      <c r="E279" s="32">
        <v>933</v>
      </c>
      <c r="F279" s="48" t="s">
        <v>407</v>
      </c>
      <c r="G279" s="44"/>
      <c r="H279" s="9"/>
      <c r="I279" s="31"/>
    </row>
    <row r="280" spans="1:9" ht="24" customHeight="1" x14ac:dyDescent="0.4">
      <c r="A280" s="28" t="s">
        <v>995</v>
      </c>
      <c r="B280" s="29" t="s">
        <v>996</v>
      </c>
      <c r="C280" s="29" t="s">
        <v>25</v>
      </c>
      <c r="D280" s="29" t="s">
        <v>5</v>
      </c>
      <c r="E280" s="32">
        <v>934</v>
      </c>
      <c r="F280" s="48" t="s">
        <v>403</v>
      </c>
      <c r="G280" s="45" t="s">
        <v>877</v>
      </c>
      <c r="H280" s="9"/>
      <c r="I280" s="31"/>
    </row>
    <row r="281" spans="1:9" ht="24" customHeight="1" x14ac:dyDescent="0.4">
      <c r="A281" s="28" t="s">
        <v>453</v>
      </c>
      <c r="B281" s="29" t="s">
        <v>998</v>
      </c>
      <c r="C281" s="29" t="s">
        <v>25</v>
      </c>
      <c r="D281" s="29" t="s">
        <v>5</v>
      </c>
      <c r="E281" s="32">
        <v>935</v>
      </c>
      <c r="F281" s="48" t="s">
        <v>403</v>
      </c>
      <c r="G281" s="45" t="s">
        <v>880</v>
      </c>
      <c r="H281" s="9"/>
      <c r="I281" s="31"/>
    </row>
    <row r="282" spans="1:9" ht="24" customHeight="1" x14ac:dyDescent="0.4">
      <c r="A282" s="28" t="s">
        <v>1000</v>
      </c>
      <c r="B282" s="29" t="s">
        <v>979</v>
      </c>
      <c r="C282" s="29" t="s">
        <v>25</v>
      </c>
      <c r="D282" s="29" t="s">
        <v>5</v>
      </c>
      <c r="E282" s="32">
        <v>936</v>
      </c>
      <c r="F282" s="48" t="s">
        <v>403</v>
      </c>
      <c r="G282" s="45" t="s">
        <v>893</v>
      </c>
      <c r="H282" s="9"/>
      <c r="I282" s="31"/>
    </row>
    <row r="283" spans="1:9" ht="24" customHeight="1" x14ac:dyDescent="0.4">
      <c r="A283" s="28" t="s">
        <v>781</v>
      </c>
      <c r="B283" s="29" t="s">
        <v>1002</v>
      </c>
      <c r="C283" s="29" t="s">
        <v>25</v>
      </c>
      <c r="D283" s="29" t="s">
        <v>5</v>
      </c>
      <c r="E283" s="32">
        <v>937</v>
      </c>
      <c r="F283" s="48" t="s">
        <v>403</v>
      </c>
      <c r="G283" s="45" t="s">
        <v>882</v>
      </c>
      <c r="H283" s="9"/>
      <c r="I283" s="31"/>
    </row>
    <row r="284" spans="1:9" ht="24" customHeight="1" x14ac:dyDescent="0.4">
      <c r="A284" s="28" t="s">
        <v>576</v>
      </c>
      <c r="B284" s="29" t="s">
        <v>1004</v>
      </c>
      <c r="C284" s="29" t="s">
        <v>25</v>
      </c>
      <c r="D284" s="29" t="s">
        <v>5</v>
      </c>
      <c r="E284" s="32">
        <v>938</v>
      </c>
      <c r="F284" s="48" t="s">
        <v>403</v>
      </c>
      <c r="G284" s="45" t="s">
        <v>885</v>
      </c>
      <c r="H284" s="9"/>
      <c r="I284" s="31"/>
    </row>
    <row r="285" spans="1:9" ht="24" customHeight="1" x14ac:dyDescent="0.4">
      <c r="A285" s="28" t="s">
        <v>966</v>
      </c>
      <c r="B285" s="29" t="s">
        <v>967</v>
      </c>
      <c r="C285" s="29" t="s">
        <v>25</v>
      </c>
      <c r="D285" s="29" t="s">
        <v>5</v>
      </c>
      <c r="E285" s="32">
        <v>941</v>
      </c>
      <c r="F285" s="48" t="s">
        <v>403</v>
      </c>
      <c r="G285" s="45" t="s">
        <v>888</v>
      </c>
      <c r="H285" s="9"/>
      <c r="I285" s="31"/>
    </row>
    <row r="286" spans="1:9" ht="24" customHeight="1" x14ac:dyDescent="0.4">
      <c r="A286" s="28" t="s">
        <v>478</v>
      </c>
      <c r="B286" s="29" t="s">
        <v>1005</v>
      </c>
      <c r="C286" s="29" t="s">
        <v>25</v>
      </c>
      <c r="D286" s="29" t="s">
        <v>5</v>
      </c>
      <c r="E286" s="32">
        <v>958</v>
      </c>
      <c r="F286" s="48" t="s">
        <v>403</v>
      </c>
      <c r="G286" s="45" t="s">
        <v>896</v>
      </c>
      <c r="H286" s="9"/>
      <c r="I286" s="31"/>
    </row>
    <row r="287" spans="1:9" ht="24" customHeight="1" x14ac:dyDescent="0.4">
      <c r="A287" s="28" t="s">
        <v>1006</v>
      </c>
      <c r="B287" s="29" t="s">
        <v>1007</v>
      </c>
      <c r="C287" s="29" t="s">
        <v>25</v>
      </c>
      <c r="D287" s="29" t="s">
        <v>6</v>
      </c>
      <c r="E287" s="33">
        <v>9300</v>
      </c>
      <c r="F287" s="48" t="s">
        <v>403</v>
      </c>
      <c r="G287" s="45" t="s">
        <v>891</v>
      </c>
      <c r="H287" s="9"/>
      <c r="I287" s="31"/>
    </row>
    <row r="288" spans="1:9" ht="24" customHeight="1" x14ac:dyDescent="0.4">
      <c r="A288" s="28" t="s">
        <v>608</v>
      </c>
      <c r="B288" s="29" t="s">
        <v>972</v>
      </c>
      <c r="C288" s="29" t="s">
        <v>25</v>
      </c>
      <c r="D288" s="29" t="s">
        <v>3</v>
      </c>
      <c r="E288" s="34">
        <v>10188</v>
      </c>
      <c r="F288" s="48" t="s">
        <v>403</v>
      </c>
      <c r="G288" s="45" t="s">
        <v>861</v>
      </c>
      <c r="H288" s="9"/>
      <c r="I288" s="31"/>
    </row>
    <row r="289" spans="1:9" ht="24" customHeight="1" x14ac:dyDescent="0.4">
      <c r="A289" s="28" t="s">
        <v>781</v>
      </c>
      <c r="B289" s="29" t="s">
        <v>974</v>
      </c>
      <c r="C289" s="29" t="s">
        <v>25</v>
      </c>
      <c r="D289" s="29" t="s">
        <v>3</v>
      </c>
      <c r="E289" s="34">
        <v>10189</v>
      </c>
      <c r="F289" s="48" t="s">
        <v>403</v>
      </c>
      <c r="G289" s="45" t="s">
        <v>853</v>
      </c>
      <c r="H289" s="9"/>
      <c r="I289" s="31"/>
    </row>
    <row r="290" spans="1:9" ht="24" customHeight="1" x14ac:dyDescent="0.4">
      <c r="A290" s="28" t="s">
        <v>636</v>
      </c>
      <c r="B290" s="29" t="s">
        <v>976</v>
      </c>
      <c r="C290" s="29" t="s">
        <v>25</v>
      </c>
      <c r="D290" s="29" t="s">
        <v>3</v>
      </c>
      <c r="E290" s="34">
        <v>10204</v>
      </c>
      <c r="F290" s="48" t="s">
        <v>403</v>
      </c>
      <c r="G290" s="45" t="s">
        <v>856</v>
      </c>
      <c r="H290" s="9"/>
      <c r="I290" s="31"/>
    </row>
    <row r="291" spans="1:9" ht="24" customHeight="1" x14ac:dyDescent="0.4">
      <c r="A291" s="28" t="s">
        <v>978</v>
      </c>
      <c r="B291" s="29" t="s">
        <v>979</v>
      </c>
      <c r="C291" s="29" t="s">
        <v>25</v>
      </c>
      <c r="D291" s="29" t="s">
        <v>4</v>
      </c>
      <c r="E291" s="35">
        <v>1031</v>
      </c>
      <c r="F291" s="48" t="s">
        <v>403</v>
      </c>
      <c r="G291" s="45" t="s">
        <v>851</v>
      </c>
      <c r="H291" s="9"/>
      <c r="I291" s="31"/>
    </row>
    <row r="292" spans="1:9" ht="24" customHeight="1" x14ac:dyDescent="0.4">
      <c r="A292" s="28" t="s">
        <v>493</v>
      </c>
      <c r="B292" s="29" t="s">
        <v>970</v>
      </c>
      <c r="C292" s="29" t="s">
        <v>25</v>
      </c>
      <c r="D292" s="29" t="s">
        <v>1</v>
      </c>
      <c r="E292" s="36">
        <v>12075</v>
      </c>
      <c r="F292" s="48" t="s">
        <v>403</v>
      </c>
      <c r="G292" s="45" t="s">
        <v>858</v>
      </c>
      <c r="H292" s="9"/>
      <c r="I292" s="31"/>
    </row>
    <row r="293" spans="1:9" ht="24" customHeight="1" x14ac:dyDescent="0.4">
      <c r="A293" s="28" t="s">
        <v>1008</v>
      </c>
      <c r="B293" s="29" t="s">
        <v>1009</v>
      </c>
      <c r="C293" s="29" t="s">
        <v>25</v>
      </c>
      <c r="D293" s="29" t="s">
        <v>1</v>
      </c>
      <c r="E293" s="36">
        <v>12105</v>
      </c>
      <c r="F293" s="48" t="s">
        <v>403</v>
      </c>
      <c r="G293" s="45" t="s">
        <v>864</v>
      </c>
      <c r="H293" s="9"/>
      <c r="I293" s="31"/>
    </row>
    <row r="294" spans="1:9" ht="24" customHeight="1" x14ac:dyDescent="0.4">
      <c r="A294" s="28"/>
      <c r="B294" s="29"/>
      <c r="C294" s="29"/>
      <c r="D294" s="29"/>
      <c r="E294" s="52"/>
      <c r="F294" s="50"/>
      <c r="G294" s="45"/>
      <c r="H294" s="51"/>
      <c r="I294" s="31"/>
    </row>
    <row r="295" spans="1:9" ht="24" customHeight="1" x14ac:dyDescent="0.4">
      <c r="A295" s="28"/>
      <c r="B295" s="29"/>
      <c r="C295" s="29"/>
      <c r="D295" s="29"/>
      <c r="E295" s="52"/>
      <c r="F295" s="50"/>
      <c r="G295" s="45"/>
      <c r="H295" s="51"/>
      <c r="I295" s="31"/>
    </row>
    <row r="296" spans="1:9" ht="24" customHeight="1" x14ac:dyDescent="0.4">
      <c r="A296" s="28" t="s">
        <v>562</v>
      </c>
      <c r="B296" s="29" t="s">
        <v>615</v>
      </c>
      <c r="C296" s="29" t="s">
        <v>26</v>
      </c>
      <c r="D296" s="29" t="s">
        <v>7</v>
      </c>
      <c r="E296" s="30">
        <v>820</v>
      </c>
      <c r="F296" s="48" t="s">
        <v>403</v>
      </c>
      <c r="G296" s="45" t="s">
        <v>909</v>
      </c>
      <c r="H296" s="9"/>
      <c r="I296" s="31"/>
    </row>
    <row r="297" spans="1:9" ht="24" customHeight="1" x14ac:dyDescent="0.4">
      <c r="A297" s="28" t="s">
        <v>1010</v>
      </c>
      <c r="B297" s="29" t="s">
        <v>1011</v>
      </c>
      <c r="C297" s="29" t="s">
        <v>26</v>
      </c>
      <c r="D297" s="29" t="s">
        <v>7</v>
      </c>
      <c r="E297" s="30">
        <v>821</v>
      </c>
      <c r="F297" s="48" t="s">
        <v>403</v>
      </c>
      <c r="G297" s="45" t="s">
        <v>911</v>
      </c>
      <c r="H297" s="9"/>
      <c r="I297" s="31"/>
    </row>
    <row r="298" spans="1:9" ht="24" customHeight="1" x14ac:dyDescent="0.4">
      <c r="A298" s="28" t="s">
        <v>1012</v>
      </c>
      <c r="B298" s="29" t="s">
        <v>1013</v>
      </c>
      <c r="C298" s="29" t="s">
        <v>26</v>
      </c>
      <c r="D298" s="29" t="s">
        <v>7</v>
      </c>
      <c r="E298" s="30">
        <v>822</v>
      </c>
      <c r="F298" s="48" t="s">
        <v>403</v>
      </c>
      <c r="G298" s="45" t="s">
        <v>912</v>
      </c>
      <c r="H298" s="9"/>
      <c r="I298" s="31"/>
    </row>
    <row r="299" spans="1:9" ht="24" customHeight="1" x14ac:dyDescent="0.4">
      <c r="A299" s="28" t="s">
        <v>617</v>
      </c>
      <c r="B299" s="29" t="s">
        <v>1014</v>
      </c>
      <c r="C299" s="29" t="s">
        <v>26</v>
      </c>
      <c r="D299" s="29" t="s">
        <v>7</v>
      </c>
      <c r="E299" s="30">
        <v>823</v>
      </c>
      <c r="F299" s="48" t="s">
        <v>403</v>
      </c>
      <c r="G299" s="45" t="s">
        <v>915</v>
      </c>
      <c r="H299" s="9"/>
      <c r="I299" s="31"/>
    </row>
    <row r="300" spans="1:9" ht="24" customHeight="1" x14ac:dyDescent="0.4">
      <c r="A300" s="28" t="s">
        <v>1017</v>
      </c>
      <c r="B300" s="29" t="s">
        <v>1018</v>
      </c>
      <c r="C300" s="29" t="s">
        <v>26</v>
      </c>
      <c r="D300" s="29" t="s">
        <v>5</v>
      </c>
      <c r="E300" s="32">
        <v>939</v>
      </c>
      <c r="F300" s="48" t="s">
        <v>403</v>
      </c>
      <c r="G300" s="45" t="s">
        <v>919</v>
      </c>
      <c r="H300" s="9"/>
      <c r="I300" s="31"/>
    </row>
    <row r="301" spans="1:9" ht="24" customHeight="1" x14ac:dyDescent="0.4">
      <c r="A301" s="28" t="s">
        <v>723</v>
      </c>
      <c r="B301" s="29" t="s">
        <v>614</v>
      </c>
      <c r="C301" s="29" t="s">
        <v>26</v>
      </c>
      <c r="D301" s="29" t="s">
        <v>5</v>
      </c>
      <c r="E301" s="32">
        <v>940</v>
      </c>
      <c r="F301" s="48" t="s">
        <v>403</v>
      </c>
      <c r="G301" s="45" t="s">
        <v>921</v>
      </c>
      <c r="H301" s="9"/>
      <c r="I301" s="31"/>
    </row>
    <row r="302" spans="1:9" ht="24" customHeight="1" x14ac:dyDescent="0.4">
      <c r="A302" s="28" t="s">
        <v>1015</v>
      </c>
      <c r="B302" s="29" t="s">
        <v>1016</v>
      </c>
      <c r="C302" s="29" t="s">
        <v>26</v>
      </c>
      <c r="D302" s="29" t="s">
        <v>3</v>
      </c>
      <c r="E302" s="34">
        <v>10190</v>
      </c>
      <c r="F302" s="48" t="s">
        <v>403</v>
      </c>
      <c r="G302" s="45" t="s">
        <v>905</v>
      </c>
      <c r="H302" s="9"/>
      <c r="I302" s="31"/>
    </row>
    <row r="303" spans="1:9" ht="24" customHeight="1" x14ac:dyDescent="0.4">
      <c r="A303" s="28" t="s">
        <v>552</v>
      </c>
      <c r="B303" s="29" t="s">
        <v>1019</v>
      </c>
      <c r="C303" s="29" t="s">
        <v>26</v>
      </c>
      <c r="D303" s="29" t="s">
        <v>1</v>
      </c>
      <c r="E303" s="36">
        <v>12076</v>
      </c>
      <c r="F303" s="48" t="s">
        <v>403</v>
      </c>
      <c r="G303" s="45" t="s">
        <v>898</v>
      </c>
      <c r="H303" s="9"/>
      <c r="I303" s="31"/>
    </row>
    <row r="304" spans="1:9" ht="24" customHeight="1" x14ac:dyDescent="0.4">
      <c r="A304" s="28" t="s">
        <v>1020</v>
      </c>
      <c r="B304" s="29" t="s">
        <v>1016</v>
      </c>
      <c r="C304" s="29" t="s">
        <v>26</v>
      </c>
      <c r="D304" s="29" t="s">
        <v>1</v>
      </c>
      <c r="E304" s="36">
        <v>12077</v>
      </c>
      <c r="F304" s="48" t="s">
        <v>403</v>
      </c>
      <c r="G304" s="45" t="s">
        <v>900</v>
      </c>
      <c r="H304" s="9"/>
      <c r="I304" s="31"/>
    </row>
    <row r="305" spans="1:9" ht="24" customHeight="1" x14ac:dyDescent="0.4">
      <c r="A305" s="28" t="s">
        <v>1021</v>
      </c>
      <c r="B305" s="29" t="s">
        <v>1022</v>
      </c>
      <c r="C305" s="29" t="s">
        <v>26</v>
      </c>
      <c r="D305" s="29" t="s">
        <v>1</v>
      </c>
      <c r="E305" s="36">
        <v>12078</v>
      </c>
      <c r="F305" s="48" t="s">
        <v>403</v>
      </c>
      <c r="G305" s="45" t="s">
        <v>908</v>
      </c>
      <c r="H305" s="9"/>
      <c r="I305" s="31"/>
    </row>
    <row r="306" spans="1:9" ht="24" customHeight="1" x14ac:dyDescent="0.4">
      <c r="A306" s="28" t="s">
        <v>527</v>
      </c>
      <c r="B306" s="29" t="s">
        <v>1023</v>
      </c>
      <c r="C306" s="29" t="s">
        <v>26</v>
      </c>
      <c r="D306" s="29" t="s">
        <v>1</v>
      </c>
      <c r="E306" s="36">
        <v>12079</v>
      </c>
      <c r="F306" s="48" t="s">
        <v>403</v>
      </c>
      <c r="G306" s="45" t="s">
        <v>903</v>
      </c>
      <c r="H306" s="9"/>
      <c r="I306" s="31"/>
    </row>
    <row r="307" spans="1:9" ht="24" customHeight="1" x14ac:dyDescent="0.4">
      <c r="A307" s="28"/>
      <c r="B307" s="29"/>
      <c r="C307" s="29"/>
      <c r="D307" s="29"/>
      <c r="E307" s="52"/>
      <c r="F307" s="50"/>
      <c r="G307" s="45"/>
      <c r="H307" s="51"/>
      <c r="I307" s="31"/>
    </row>
    <row r="308" spans="1:9" ht="24" customHeight="1" x14ac:dyDescent="0.4">
      <c r="A308" s="28"/>
      <c r="B308" s="29"/>
      <c r="C308" s="29"/>
      <c r="D308" s="29"/>
      <c r="E308" s="52"/>
      <c r="F308" s="50"/>
      <c r="G308" s="45"/>
      <c r="H308" s="51"/>
      <c r="I308" s="31"/>
    </row>
    <row r="309" spans="1:9" ht="24" customHeight="1" x14ac:dyDescent="0.4">
      <c r="A309" s="28" t="s">
        <v>1024</v>
      </c>
      <c r="B309" s="29" t="s">
        <v>1025</v>
      </c>
      <c r="C309" s="29" t="s">
        <v>27</v>
      </c>
      <c r="D309" s="29" t="s">
        <v>7</v>
      </c>
      <c r="E309" s="30">
        <v>824</v>
      </c>
      <c r="F309" s="48" t="s">
        <v>407</v>
      </c>
      <c r="G309" s="44"/>
      <c r="H309" s="9"/>
      <c r="I309" s="31"/>
    </row>
    <row r="310" spans="1:9" ht="24" customHeight="1" x14ac:dyDescent="0.4">
      <c r="A310" s="28" t="s">
        <v>789</v>
      </c>
      <c r="B310" s="29" t="s">
        <v>1026</v>
      </c>
      <c r="C310" s="29" t="s">
        <v>27</v>
      </c>
      <c r="D310" s="29" t="s">
        <v>7</v>
      </c>
      <c r="E310" s="30">
        <v>825</v>
      </c>
      <c r="F310" s="48" t="s">
        <v>403</v>
      </c>
      <c r="G310" s="45" t="s">
        <v>939</v>
      </c>
      <c r="H310" s="9"/>
      <c r="I310" s="31"/>
    </row>
    <row r="311" spans="1:9" ht="24" customHeight="1" x14ac:dyDescent="0.4">
      <c r="A311" s="28" t="s">
        <v>1027</v>
      </c>
      <c r="B311" s="29" t="s">
        <v>1028</v>
      </c>
      <c r="C311" s="29" t="s">
        <v>27</v>
      </c>
      <c r="D311" s="29" t="s">
        <v>8</v>
      </c>
      <c r="E311" s="38">
        <v>866</v>
      </c>
      <c r="F311" s="48" t="s">
        <v>403</v>
      </c>
      <c r="G311" s="45" t="s">
        <v>941</v>
      </c>
      <c r="H311" s="9"/>
      <c r="I311" s="31"/>
    </row>
    <row r="312" spans="1:9" ht="24" customHeight="1" x14ac:dyDescent="0.4">
      <c r="A312" s="28" t="s">
        <v>1029</v>
      </c>
      <c r="B312" s="29" t="s">
        <v>1030</v>
      </c>
      <c r="C312" s="29" t="s">
        <v>27</v>
      </c>
      <c r="D312" s="29" t="s">
        <v>8</v>
      </c>
      <c r="E312" s="38">
        <v>867</v>
      </c>
      <c r="F312" s="48" t="s">
        <v>403</v>
      </c>
      <c r="G312" s="45" t="s">
        <v>944</v>
      </c>
      <c r="H312" s="9"/>
      <c r="I312" s="31"/>
    </row>
    <row r="313" spans="1:9" ht="24" customHeight="1" x14ac:dyDescent="0.4">
      <c r="A313" s="28" t="s">
        <v>582</v>
      </c>
      <c r="B313" s="29" t="s">
        <v>1031</v>
      </c>
      <c r="C313" s="29" t="s">
        <v>27</v>
      </c>
      <c r="D313" s="29" t="s">
        <v>5</v>
      </c>
      <c r="E313" s="32">
        <v>942</v>
      </c>
      <c r="F313" s="48" t="s">
        <v>407</v>
      </c>
      <c r="G313" s="44"/>
      <c r="H313" s="9"/>
      <c r="I313" s="31"/>
    </row>
    <row r="314" spans="1:9" ht="24" customHeight="1" x14ac:dyDescent="0.4">
      <c r="A314" s="28" t="s">
        <v>1032</v>
      </c>
      <c r="B314" s="29" t="s">
        <v>1033</v>
      </c>
      <c r="C314" s="29" t="s">
        <v>27</v>
      </c>
      <c r="D314" s="29" t="s">
        <v>5</v>
      </c>
      <c r="E314" s="32">
        <v>944</v>
      </c>
      <c r="F314" s="48" t="s">
        <v>403</v>
      </c>
      <c r="G314" s="45" t="s">
        <v>946</v>
      </c>
      <c r="H314" s="9"/>
      <c r="I314" s="31"/>
    </row>
    <row r="315" spans="1:9" ht="24" customHeight="1" x14ac:dyDescent="0.4">
      <c r="A315" s="28" t="s">
        <v>1041</v>
      </c>
      <c r="B315" s="29" t="s">
        <v>1042</v>
      </c>
      <c r="C315" s="29" t="s">
        <v>27</v>
      </c>
      <c r="D315" s="29" t="s">
        <v>4</v>
      </c>
      <c r="E315" s="35">
        <v>1040</v>
      </c>
      <c r="F315" s="48" t="s">
        <v>403</v>
      </c>
      <c r="G315" s="45" t="s">
        <v>936</v>
      </c>
      <c r="H315" s="9"/>
      <c r="I315" s="31"/>
    </row>
    <row r="316" spans="1:9" ht="24" customHeight="1" x14ac:dyDescent="0.4">
      <c r="A316" s="28" t="s">
        <v>1034</v>
      </c>
      <c r="B316" s="29" t="s">
        <v>1031</v>
      </c>
      <c r="C316" s="29" t="s">
        <v>27</v>
      </c>
      <c r="D316" s="29" t="s">
        <v>1</v>
      </c>
      <c r="E316" s="36">
        <v>12080</v>
      </c>
      <c r="F316" s="48" t="s">
        <v>407</v>
      </c>
      <c r="G316" s="44"/>
      <c r="H316" s="9"/>
      <c r="I316" s="31"/>
    </row>
    <row r="317" spans="1:9" ht="24" customHeight="1" x14ac:dyDescent="0.4">
      <c r="A317" s="28" t="s">
        <v>1035</v>
      </c>
      <c r="B317" s="29" t="s">
        <v>1036</v>
      </c>
      <c r="C317" s="29" t="s">
        <v>27</v>
      </c>
      <c r="D317" s="29" t="s">
        <v>1</v>
      </c>
      <c r="E317" s="36">
        <v>12081</v>
      </c>
      <c r="F317" s="48" t="s">
        <v>403</v>
      </c>
      <c r="G317" s="45" t="s">
        <v>923</v>
      </c>
      <c r="H317" s="9"/>
      <c r="I317" s="31"/>
    </row>
    <row r="318" spans="1:9" ht="24" customHeight="1" x14ac:dyDescent="0.4">
      <c r="A318" s="28" t="s">
        <v>503</v>
      </c>
      <c r="B318" s="29" t="s">
        <v>779</v>
      </c>
      <c r="C318" s="29" t="s">
        <v>27</v>
      </c>
      <c r="D318" s="29" t="s">
        <v>1</v>
      </c>
      <c r="E318" s="36">
        <v>12082</v>
      </c>
      <c r="F318" s="48" t="s">
        <v>403</v>
      </c>
      <c r="G318" s="45" t="s">
        <v>924</v>
      </c>
      <c r="H318" s="9"/>
      <c r="I318" s="31"/>
    </row>
    <row r="319" spans="1:9" ht="24" customHeight="1" x14ac:dyDescent="0.4">
      <c r="A319" s="28" t="s">
        <v>1037</v>
      </c>
      <c r="B319" s="29" t="s">
        <v>1038</v>
      </c>
      <c r="C319" s="29" t="s">
        <v>27</v>
      </c>
      <c r="D319" s="29" t="s">
        <v>1</v>
      </c>
      <c r="E319" s="36">
        <v>12083</v>
      </c>
      <c r="F319" s="48" t="s">
        <v>403</v>
      </c>
      <c r="G319" s="45" t="s">
        <v>926</v>
      </c>
      <c r="H319" s="9"/>
      <c r="I319" s="31"/>
    </row>
    <row r="320" spans="1:9" ht="24" customHeight="1" x14ac:dyDescent="0.4">
      <c r="A320" s="28" t="s">
        <v>1021</v>
      </c>
      <c r="B320" s="29" t="s">
        <v>637</v>
      </c>
      <c r="C320" s="29" t="s">
        <v>27</v>
      </c>
      <c r="D320" s="29" t="s">
        <v>1</v>
      </c>
      <c r="E320" s="36">
        <v>12084</v>
      </c>
      <c r="F320" s="48" t="s">
        <v>403</v>
      </c>
      <c r="G320" s="45" t="s">
        <v>929</v>
      </c>
      <c r="H320" s="9"/>
      <c r="I320" s="31"/>
    </row>
    <row r="321" spans="1:9" ht="24" customHeight="1" x14ac:dyDescent="0.4">
      <c r="A321" s="28" t="s">
        <v>1039</v>
      </c>
      <c r="B321" s="29" t="s">
        <v>1030</v>
      </c>
      <c r="C321" s="29" t="s">
        <v>27</v>
      </c>
      <c r="D321" s="29" t="s">
        <v>1</v>
      </c>
      <c r="E321" s="36">
        <v>12085</v>
      </c>
      <c r="F321" s="48" t="s">
        <v>403</v>
      </c>
      <c r="G321" s="45" t="s">
        <v>931</v>
      </c>
      <c r="H321" s="9"/>
      <c r="I321" s="31"/>
    </row>
    <row r="322" spans="1:9" ht="24" customHeight="1" x14ac:dyDescent="0.4">
      <c r="A322" s="28" t="s">
        <v>605</v>
      </c>
      <c r="B322" s="29" t="s">
        <v>1040</v>
      </c>
      <c r="C322" s="29" t="s">
        <v>27</v>
      </c>
      <c r="D322" s="29" t="s">
        <v>1</v>
      </c>
      <c r="E322" s="36">
        <v>12086</v>
      </c>
      <c r="F322" s="48" t="s">
        <v>403</v>
      </c>
      <c r="G322" s="45" t="s">
        <v>934</v>
      </c>
      <c r="H322" s="9"/>
      <c r="I322" s="31"/>
    </row>
    <row r="323" spans="1:9" ht="24" customHeight="1" x14ac:dyDescent="0.4">
      <c r="A323" s="28" t="s">
        <v>488</v>
      </c>
      <c r="B323" s="29" t="s">
        <v>1036</v>
      </c>
      <c r="C323" s="29" t="s">
        <v>27</v>
      </c>
      <c r="D323" s="29" t="s">
        <v>2</v>
      </c>
      <c r="E323" s="37">
        <v>1243</v>
      </c>
      <c r="F323" s="48" t="s">
        <v>407</v>
      </c>
      <c r="G323" s="44"/>
      <c r="H323" s="9"/>
      <c r="I323" s="31"/>
    </row>
    <row r="324" spans="1:9" ht="24" customHeight="1" x14ac:dyDescent="0.4">
      <c r="A324" s="28"/>
      <c r="B324" s="29"/>
      <c r="C324" s="29"/>
      <c r="D324" s="29"/>
      <c r="E324" s="45"/>
      <c r="F324" s="50"/>
      <c r="G324" s="45"/>
      <c r="H324" s="51"/>
      <c r="I324" s="31"/>
    </row>
    <row r="325" spans="1:9" ht="24" customHeight="1" x14ac:dyDescent="0.4">
      <c r="A325" s="28"/>
      <c r="B325" s="29"/>
      <c r="C325" s="29"/>
      <c r="D325" s="29"/>
      <c r="E325" s="45"/>
      <c r="F325" s="50"/>
      <c r="G325" s="45"/>
      <c r="H325" s="51"/>
      <c r="I325" s="31"/>
    </row>
    <row r="326" spans="1:9" ht="24" customHeight="1" x14ac:dyDescent="0.4">
      <c r="A326" s="28" t="s">
        <v>1035</v>
      </c>
      <c r="B326" s="29" t="s">
        <v>1043</v>
      </c>
      <c r="C326" s="29" t="s">
        <v>28</v>
      </c>
      <c r="D326" s="29" t="s">
        <v>7</v>
      </c>
      <c r="E326" s="30">
        <v>826</v>
      </c>
      <c r="F326" s="48" t="s">
        <v>403</v>
      </c>
      <c r="G326" s="45" t="s">
        <v>971</v>
      </c>
      <c r="H326" s="9"/>
      <c r="I326" s="31"/>
    </row>
    <row r="327" spans="1:9" ht="24" customHeight="1" x14ac:dyDescent="0.4">
      <c r="A327" s="28" t="s">
        <v>1063</v>
      </c>
      <c r="B327" s="29" t="s">
        <v>782</v>
      </c>
      <c r="C327" s="29" t="s">
        <v>28</v>
      </c>
      <c r="D327" s="29" t="s">
        <v>7</v>
      </c>
      <c r="E327" s="30">
        <v>827</v>
      </c>
      <c r="F327" s="48" t="s">
        <v>407</v>
      </c>
      <c r="G327" s="44"/>
      <c r="H327" s="9"/>
      <c r="I327" s="31"/>
    </row>
    <row r="328" spans="1:9" ht="24" customHeight="1" x14ac:dyDescent="0.4">
      <c r="A328" s="28" t="s">
        <v>1064</v>
      </c>
      <c r="B328" s="29" t="s">
        <v>1065</v>
      </c>
      <c r="C328" s="29" t="s">
        <v>28</v>
      </c>
      <c r="D328" s="29" t="s">
        <v>7</v>
      </c>
      <c r="E328" s="30">
        <v>828</v>
      </c>
      <c r="F328" s="48" t="s">
        <v>407</v>
      </c>
      <c r="G328" s="44"/>
      <c r="H328" s="9"/>
      <c r="I328" s="31"/>
    </row>
    <row r="329" spans="1:9" ht="24" customHeight="1" x14ac:dyDescent="0.4">
      <c r="A329" s="28" t="s">
        <v>1044</v>
      </c>
      <c r="B329" s="29" t="s">
        <v>1045</v>
      </c>
      <c r="C329" s="29" t="s">
        <v>28</v>
      </c>
      <c r="D329" s="29" t="s">
        <v>7</v>
      </c>
      <c r="E329" s="30">
        <v>829</v>
      </c>
      <c r="F329" s="48" t="s">
        <v>403</v>
      </c>
      <c r="G329" s="45" t="s">
        <v>973</v>
      </c>
      <c r="H329" s="9"/>
      <c r="I329" s="31"/>
    </row>
    <row r="330" spans="1:9" ht="24" customHeight="1" x14ac:dyDescent="0.4">
      <c r="A330" s="28" t="s">
        <v>1048</v>
      </c>
      <c r="B330" s="29" t="s">
        <v>1049</v>
      </c>
      <c r="C330" s="29" t="s">
        <v>28</v>
      </c>
      <c r="D330" s="29" t="s">
        <v>5</v>
      </c>
      <c r="E330" s="32">
        <v>945</v>
      </c>
      <c r="F330" s="48" t="s">
        <v>403</v>
      </c>
      <c r="G330" s="45" t="s">
        <v>975</v>
      </c>
      <c r="H330" s="9"/>
      <c r="I330" s="31"/>
    </row>
    <row r="331" spans="1:9" ht="24" customHeight="1" x14ac:dyDescent="0.4">
      <c r="A331" s="28" t="s">
        <v>478</v>
      </c>
      <c r="B331" s="29" t="s">
        <v>1050</v>
      </c>
      <c r="C331" s="29" t="s">
        <v>28</v>
      </c>
      <c r="D331" s="29" t="s">
        <v>5</v>
      </c>
      <c r="E331" s="32">
        <v>946</v>
      </c>
      <c r="F331" s="48" t="s">
        <v>403</v>
      </c>
      <c r="G331" s="45" t="s">
        <v>977</v>
      </c>
      <c r="H331" s="9"/>
      <c r="I331" s="31"/>
    </row>
    <row r="332" spans="1:9" ht="24" customHeight="1" x14ac:dyDescent="0.4">
      <c r="A332" s="28" t="s">
        <v>1051</v>
      </c>
      <c r="B332" s="29" t="s">
        <v>1052</v>
      </c>
      <c r="C332" s="29" t="s">
        <v>28</v>
      </c>
      <c r="D332" s="29" t="s">
        <v>5</v>
      </c>
      <c r="E332" s="32">
        <v>947</v>
      </c>
      <c r="F332" s="48" t="s">
        <v>403</v>
      </c>
      <c r="G332" s="45" t="s">
        <v>980</v>
      </c>
      <c r="H332" s="9"/>
      <c r="I332" s="31"/>
    </row>
    <row r="333" spans="1:9" ht="24" customHeight="1" x14ac:dyDescent="0.4">
      <c r="A333" s="28" t="s">
        <v>1053</v>
      </c>
      <c r="B333" s="29" t="s">
        <v>477</v>
      </c>
      <c r="C333" s="29" t="s">
        <v>28</v>
      </c>
      <c r="D333" s="29" t="s">
        <v>5</v>
      </c>
      <c r="E333" s="32">
        <v>948</v>
      </c>
      <c r="F333" s="48" t="s">
        <v>403</v>
      </c>
      <c r="G333" s="45" t="s">
        <v>983</v>
      </c>
      <c r="H333" s="9"/>
      <c r="I333" s="31"/>
    </row>
    <row r="334" spans="1:9" ht="24" customHeight="1" x14ac:dyDescent="0.4">
      <c r="A334" s="28" t="s">
        <v>743</v>
      </c>
      <c r="B334" s="29" t="s">
        <v>1054</v>
      </c>
      <c r="C334" s="29" t="s">
        <v>28</v>
      </c>
      <c r="D334" s="29" t="s">
        <v>5</v>
      </c>
      <c r="E334" s="32">
        <v>949</v>
      </c>
      <c r="F334" s="48" t="s">
        <v>403</v>
      </c>
      <c r="G334" s="45" t="s">
        <v>986</v>
      </c>
      <c r="H334" s="9"/>
      <c r="I334" s="31"/>
    </row>
    <row r="335" spans="1:9" ht="24" customHeight="1" x14ac:dyDescent="0.4">
      <c r="A335" s="28" t="s">
        <v>1046</v>
      </c>
      <c r="B335" s="29" t="s">
        <v>1047</v>
      </c>
      <c r="C335" s="29" t="s">
        <v>28</v>
      </c>
      <c r="D335" s="29" t="s">
        <v>3</v>
      </c>
      <c r="E335" s="34">
        <v>10192</v>
      </c>
      <c r="F335" s="48" t="s">
        <v>403</v>
      </c>
      <c r="G335" s="45" t="s">
        <v>951</v>
      </c>
      <c r="H335" s="9"/>
      <c r="I335" s="31"/>
    </row>
    <row r="336" spans="1:9" ht="24" customHeight="1" x14ac:dyDescent="0.4">
      <c r="A336" s="28" t="s">
        <v>617</v>
      </c>
      <c r="B336" s="29" t="s">
        <v>1055</v>
      </c>
      <c r="C336" s="29" t="s">
        <v>28</v>
      </c>
      <c r="D336" s="29" t="s">
        <v>1</v>
      </c>
      <c r="E336" s="36">
        <v>12087</v>
      </c>
      <c r="F336" s="48" t="s">
        <v>403</v>
      </c>
      <c r="G336" s="45" t="s">
        <v>953</v>
      </c>
      <c r="H336" s="9"/>
      <c r="I336" s="31"/>
    </row>
    <row r="337" spans="1:9" ht="24" customHeight="1" x14ac:dyDescent="0.4">
      <c r="A337" s="28" t="s">
        <v>459</v>
      </c>
      <c r="B337" s="29" t="s">
        <v>1066</v>
      </c>
      <c r="C337" s="29" t="s">
        <v>28</v>
      </c>
      <c r="D337" s="29" t="s">
        <v>1</v>
      </c>
      <c r="E337" s="36">
        <v>12088</v>
      </c>
      <c r="F337" s="48" t="s">
        <v>403</v>
      </c>
      <c r="G337" s="45" t="s">
        <v>968</v>
      </c>
      <c r="H337" s="9" t="s">
        <v>410</v>
      </c>
      <c r="I337" s="31"/>
    </row>
    <row r="338" spans="1:9" ht="24" customHeight="1" x14ac:dyDescent="0.4">
      <c r="A338" s="28" t="s">
        <v>551</v>
      </c>
      <c r="B338" s="29" t="s">
        <v>1056</v>
      </c>
      <c r="C338" s="29" t="s">
        <v>28</v>
      </c>
      <c r="D338" s="29" t="s">
        <v>1</v>
      </c>
      <c r="E338" s="36">
        <v>12089</v>
      </c>
      <c r="F338" s="48" t="s">
        <v>403</v>
      </c>
      <c r="G338" s="45" t="s">
        <v>956</v>
      </c>
      <c r="H338" s="9"/>
      <c r="I338" s="31"/>
    </row>
    <row r="339" spans="1:9" ht="24" customHeight="1" x14ac:dyDescent="0.4">
      <c r="A339" s="28" t="s">
        <v>1057</v>
      </c>
      <c r="B339" s="29" t="s">
        <v>1058</v>
      </c>
      <c r="C339" s="29" t="s">
        <v>28</v>
      </c>
      <c r="D339" s="29" t="s">
        <v>1</v>
      </c>
      <c r="E339" s="36">
        <v>12090</v>
      </c>
      <c r="F339" s="48" t="s">
        <v>403</v>
      </c>
      <c r="G339" s="45" t="s">
        <v>958</v>
      </c>
      <c r="H339" s="9"/>
      <c r="I339" s="31"/>
    </row>
    <row r="340" spans="1:9" ht="24" customHeight="1" x14ac:dyDescent="0.4">
      <c r="A340" s="28" t="s">
        <v>519</v>
      </c>
      <c r="B340" s="29" t="s">
        <v>1059</v>
      </c>
      <c r="C340" s="29" t="s">
        <v>28</v>
      </c>
      <c r="D340" s="29" t="s">
        <v>1</v>
      </c>
      <c r="E340" s="36">
        <v>12091</v>
      </c>
      <c r="F340" s="48" t="s">
        <v>403</v>
      </c>
      <c r="G340" s="45" t="s">
        <v>961</v>
      </c>
      <c r="H340" s="9"/>
      <c r="I340" s="31"/>
    </row>
    <row r="341" spans="1:9" ht="24" customHeight="1" x14ac:dyDescent="0.4">
      <c r="A341" s="28" t="s">
        <v>1060</v>
      </c>
      <c r="B341" s="29" t="s">
        <v>1054</v>
      </c>
      <c r="C341" s="29" t="s">
        <v>28</v>
      </c>
      <c r="D341" s="29" t="s">
        <v>1</v>
      </c>
      <c r="E341" s="36">
        <v>12092</v>
      </c>
      <c r="F341" s="48" t="s">
        <v>403</v>
      </c>
      <c r="G341" s="45" t="s">
        <v>963</v>
      </c>
      <c r="H341" s="9"/>
      <c r="I341" s="31"/>
    </row>
    <row r="342" spans="1:9" ht="24" customHeight="1" x14ac:dyDescent="0.4">
      <c r="A342" s="28" t="s">
        <v>831</v>
      </c>
      <c r="B342" s="29" t="s">
        <v>1061</v>
      </c>
      <c r="C342" s="29" t="s">
        <v>28</v>
      </c>
      <c r="D342" s="29" t="s">
        <v>1</v>
      </c>
      <c r="E342" s="36">
        <v>12093</v>
      </c>
      <c r="F342" s="48" t="s">
        <v>403</v>
      </c>
      <c r="G342" s="45" t="s">
        <v>965</v>
      </c>
      <c r="H342" s="9"/>
      <c r="I342" s="31"/>
    </row>
    <row r="343" spans="1:9" ht="24" customHeight="1" x14ac:dyDescent="0.4">
      <c r="A343" s="28" t="s">
        <v>1062</v>
      </c>
      <c r="B343" s="29" t="s">
        <v>640</v>
      </c>
      <c r="C343" s="29" t="s">
        <v>28</v>
      </c>
      <c r="D343" s="29" t="s">
        <v>1</v>
      </c>
      <c r="E343" s="36">
        <v>12094</v>
      </c>
      <c r="F343" s="48" t="s">
        <v>403</v>
      </c>
      <c r="G343" s="45" t="s">
        <v>917</v>
      </c>
      <c r="H343" s="9"/>
      <c r="I343" s="31"/>
    </row>
    <row r="344" spans="1:9" ht="24" customHeight="1" x14ac:dyDescent="0.4">
      <c r="A344" s="28" t="s">
        <v>1067</v>
      </c>
      <c r="B344" s="29" t="s">
        <v>1068</v>
      </c>
      <c r="C344" s="29" t="s">
        <v>28</v>
      </c>
      <c r="D344" s="29" t="s">
        <v>2</v>
      </c>
      <c r="E344" s="37">
        <v>1244</v>
      </c>
      <c r="F344" s="48" t="s">
        <v>403</v>
      </c>
      <c r="G344" s="45" t="s">
        <v>948</v>
      </c>
      <c r="H344" s="9"/>
      <c r="I344" s="31"/>
    </row>
    <row r="345" spans="1:9" ht="24" customHeight="1" x14ac:dyDescent="0.4">
      <c r="A345" s="28"/>
      <c r="B345" s="29"/>
      <c r="C345" s="29"/>
      <c r="D345" s="29"/>
      <c r="E345" s="45"/>
      <c r="F345" s="50"/>
      <c r="G345" s="45"/>
      <c r="H345" s="51"/>
      <c r="I345" s="31"/>
    </row>
    <row r="346" spans="1:9" ht="24" customHeight="1" x14ac:dyDescent="0.4">
      <c r="A346" s="28" t="s">
        <v>1069</v>
      </c>
      <c r="B346" s="29" t="s">
        <v>1070</v>
      </c>
      <c r="C346" s="29" t="s">
        <v>29</v>
      </c>
      <c r="D346" s="29" t="s">
        <v>7</v>
      </c>
      <c r="E346" s="30">
        <v>831</v>
      </c>
      <c r="F346" s="48" t="s">
        <v>403</v>
      </c>
      <c r="G346" s="45" t="s">
        <v>991</v>
      </c>
      <c r="H346" s="9"/>
      <c r="I346" s="31"/>
    </row>
    <row r="347" spans="1:9" ht="24" customHeight="1" x14ac:dyDescent="0.4">
      <c r="A347" s="28" t="s">
        <v>588</v>
      </c>
      <c r="B347" s="29" t="s">
        <v>1070</v>
      </c>
      <c r="C347" s="29" t="s">
        <v>29</v>
      </c>
      <c r="D347" s="29" t="s">
        <v>7</v>
      </c>
      <c r="E347" s="30">
        <v>832</v>
      </c>
      <c r="F347" s="48" t="s">
        <v>403</v>
      </c>
      <c r="G347" s="45" t="s">
        <v>994</v>
      </c>
      <c r="H347" s="9"/>
      <c r="I347" s="31"/>
    </row>
    <row r="348" spans="1:9" ht="24" customHeight="1" x14ac:dyDescent="0.4">
      <c r="A348" s="28" t="s">
        <v>1072</v>
      </c>
      <c r="B348" s="29" t="s">
        <v>1288</v>
      </c>
      <c r="C348" s="29" t="s">
        <v>29</v>
      </c>
      <c r="D348" s="29" t="s">
        <v>5</v>
      </c>
      <c r="E348" s="32">
        <v>950</v>
      </c>
      <c r="F348" s="48" t="s">
        <v>403</v>
      </c>
      <c r="G348" s="45" t="s">
        <v>997</v>
      </c>
      <c r="H348" s="9"/>
      <c r="I348" s="31"/>
    </row>
    <row r="349" spans="1:9" ht="24" customHeight="1" x14ac:dyDescent="0.4">
      <c r="A349" s="28" t="s">
        <v>1073</v>
      </c>
      <c r="B349" s="29" t="s">
        <v>1288</v>
      </c>
      <c r="C349" s="29" t="s">
        <v>29</v>
      </c>
      <c r="D349" s="29" t="s">
        <v>5</v>
      </c>
      <c r="E349" s="32">
        <v>951</v>
      </c>
      <c r="F349" s="48" t="s">
        <v>403</v>
      </c>
      <c r="G349" s="45" t="s">
        <v>999</v>
      </c>
      <c r="H349" s="9"/>
      <c r="I349" s="31"/>
    </row>
    <row r="350" spans="1:9" ht="24" customHeight="1" x14ac:dyDescent="0.4">
      <c r="A350" s="28" t="s">
        <v>1074</v>
      </c>
      <c r="B350" s="29" t="s">
        <v>1075</v>
      </c>
      <c r="C350" s="29" t="s">
        <v>29</v>
      </c>
      <c r="D350" s="29" t="s">
        <v>5</v>
      </c>
      <c r="E350" s="32">
        <v>962</v>
      </c>
      <c r="F350" s="48" t="s">
        <v>403</v>
      </c>
      <c r="G350" s="45" t="s">
        <v>1001</v>
      </c>
      <c r="H350" s="9"/>
      <c r="I350" s="31"/>
    </row>
    <row r="351" spans="1:9" ht="24" customHeight="1" x14ac:dyDescent="0.4">
      <c r="A351" s="28" t="s">
        <v>1034</v>
      </c>
      <c r="B351" s="29" t="s">
        <v>1071</v>
      </c>
      <c r="C351" s="29" t="s">
        <v>29</v>
      </c>
      <c r="D351" s="29" t="s">
        <v>3</v>
      </c>
      <c r="E351" s="34">
        <v>10208</v>
      </c>
      <c r="F351" s="48" t="s">
        <v>403</v>
      </c>
      <c r="G351" s="45" t="s">
        <v>989</v>
      </c>
      <c r="H351" s="9"/>
      <c r="I351" s="31"/>
    </row>
    <row r="352" spans="1:9" ht="24" customHeight="1" x14ac:dyDescent="0.4">
      <c r="A352" s="28" t="s">
        <v>478</v>
      </c>
      <c r="B352" s="29" t="s">
        <v>1076</v>
      </c>
      <c r="C352" s="29" t="s">
        <v>29</v>
      </c>
      <c r="D352" s="29" t="s">
        <v>1</v>
      </c>
      <c r="E352" s="36">
        <v>12095</v>
      </c>
      <c r="F352" s="48" t="s">
        <v>407</v>
      </c>
      <c r="G352" s="44"/>
      <c r="H352" s="9"/>
      <c r="I352" s="31"/>
    </row>
    <row r="353" spans="1:9" ht="24" customHeight="1" x14ac:dyDescent="0.4">
      <c r="A353" s="28" t="s">
        <v>582</v>
      </c>
      <c r="B353" s="29" t="s">
        <v>1077</v>
      </c>
      <c r="C353" s="29" t="s">
        <v>30</v>
      </c>
      <c r="D353" s="29" t="s">
        <v>7</v>
      </c>
      <c r="E353" s="30">
        <v>833</v>
      </c>
      <c r="F353" s="48" t="s">
        <v>403</v>
      </c>
      <c r="G353" s="45" t="s">
        <v>1126</v>
      </c>
      <c r="H353" s="9"/>
      <c r="I353" s="31"/>
    </row>
    <row r="354" spans="1:9" ht="24" customHeight="1" x14ac:dyDescent="0.4">
      <c r="A354" s="28" t="s">
        <v>1125</v>
      </c>
      <c r="B354" s="29" t="s">
        <v>473</v>
      </c>
      <c r="C354" s="29" t="s">
        <v>30</v>
      </c>
      <c r="D354" s="29" t="s">
        <v>7</v>
      </c>
      <c r="E354" s="30">
        <v>834</v>
      </c>
      <c r="F354" s="48" t="s">
        <v>403</v>
      </c>
      <c r="G354" s="45" t="s">
        <v>1139</v>
      </c>
      <c r="H354" s="9"/>
      <c r="I354" s="31"/>
    </row>
    <row r="355" spans="1:9" ht="24" customHeight="1" x14ac:dyDescent="0.4">
      <c r="A355" s="28" t="s">
        <v>873</v>
      </c>
      <c r="B355" s="29" t="s">
        <v>1078</v>
      </c>
      <c r="C355" s="29" t="s">
        <v>30</v>
      </c>
      <c r="D355" s="29" t="s">
        <v>7</v>
      </c>
      <c r="E355" s="30">
        <v>835</v>
      </c>
      <c r="F355" s="48" t="s">
        <v>403</v>
      </c>
      <c r="G355" s="45" t="s">
        <v>1129</v>
      </c>
      <c r="H355" s="9"/>
      <c r="I355" s="31"/>
    </row>
    <row r="356" spans="1:9" ht="24" customHeight="1" x14ac:dyDescent="0.4">
      <c r="A356" s="28" t="s">
        <v>1127</v>
      </c>
      <c r="B356" s="29" t="s">
        <v>1128</v>
      </c>
      <c r="C356" s="29" t="s">
        <v>30</v>
      </c>
      <c r="D356" s="29" t="s">
        <v>7</v>
      </c>
      <c r="E356" s="30">
        <v>836</v>
      </c>
      <c r="F356" s="48" t="s">
        <v>407</v>
      </c>
      <c r="G356" s="44"/>
      <c r="H356" s="9"/>
      <c r="I356" s="31"/>
    </row>
    <row r="357" spans="1:9" ht="24" customHeight="1" x14ac:dyDescent="0.4">
      <c r="A357" s="28" t="s">
        <v>1103</v>
      </c>
      <c r="B357" s="29" t="s">
        <v>1082</v>
      </c>
      <c r="C357" s="29" t="s">
        <v>30</v>
      </c>
      <c r="D357" s="29" t="s">
        <v>6</v>
      </c>
      <c r="E357" s="33">
        <v>9310</v>
      </c>
      <c r="F357" s="48" t="s">
        <v>403</v>
      </c>
      <c r="G357" s="45" t="s">
        <v>1132</v>
      </c>
      <c r="H357" s="9"/>
      <c r="I357" s="31"/>
    </row>
    <row r="358" spans="1:9" ht="24" customHeight="1" x14ac:dyDescent="0.4">
      <c r="A358" s="28" t="s">
        <v>1105</v>
      </c>
      <c r="B358" s="29" t="s">
        <v>1106</v>
      </c>
      <c r="C358" s="29" t="s">
        <v>30</v>
      </c>
      <c r="D358" s="29" t="s">
        <v>6</v>
      </c>
      <c r="E358" s="33">
        <v>9320</v>
      </c>
      <c r="F358" s="48" t="s">
        <v>403</v>
      </c>
      <c r="G358" s="45" t="s">
        <v>1133</v>
      </c>
      <c r="H358" s="9"/>
      <c r="I358" s="31"/>
    </row>
    <row r="359" spans="1:9" ht="24" customHeight="1" x14ac:dyDescent="0.4">
      <c r="A359" s="28" t="s">
        <v>1108</v>
      </c>
      <c r="B359" s="29" t="s">
        <v>1109</v>
      </c>
      <c r="C359" s="29" t="s">
        <v>30</v>
      </c>
      <c r="D359" s="29" t="s">
        <v>6</v>
      </c>
      <c r="E359" s="33">
        <v>9330</v>
      </c>
      <c r="F359" s="48" t="s">
        <v>403</v>
      </c>
      <c r="G359" s="45" t="s">
        <v>1135</v>
      </c>
      <c r="H359" s="9"/>
      <c r="I359" s="31"/>
    </row>
    <row r="360" spans="1:9" ht="24" customHeight="1" x14ac:dyDescent="0.4">
      <c r="A360" s="28" t="s">
        <v>1130</v>
      </c>
      <c r="B360" s="29" t="s">
        <v>1131</v>
      </c>
      <c r="C360" s="29" t="s">
        <v>30</v>
      </c>
      <c r="D360" s="29" t="s">
        <v>6</v>
      </c>
      <c r="E360" s="33">
        <v>9340</v>
      </c>
      <c r="F360" s="48" t="s">
        <v>407</v>
      </c>
      <c r="G360" s="44"/>
      <c r="H360" s="9"/>
      <c r="I360" s="31"/>
    </row>
    <row r="361" spans="1:9" ht="24" customHeight="1" x14ac:dyDescent="0.4">
      <c r="A361" s="28" t="s">
        <v>557</v>
      </c>
      <c r="B361" s="29" t="s">
        <v>1111</v>
      </c>
      <c r="C361" s="29" t="s">
        <v>30</v>
      </c>
      <c r="D361" s="29" t="s">
        <v>6</v>
      </c>
      <c r="E361" s="33">
        <v>9350</v>
      </c>
      <c r="F361" s="48" t="s">
        <v>403</v>
      </c>
      <c r="G361" s="45" t="s">
        <v>1137</v>
      </c>
      <c r="H361" s="9"/>
      <c r="I361" s="31"/>
    </row>
    <row r="362" spans="1:9" ht="24" customHeight="1" x14ac:dyDescent="0.4">
      <c r="A362" s="28" t="s">
        <v>453</v>
      </c>
      <c r="B362" s="29" t="s">
        <v>1079</v>
      </c>
      <c r="C362" s="29" t="s">
        <v>30</v>
      </c>
      <c r="D362" s="29" t="s">
        <v>3</v>
      </c>
      <c r="E362" s="34">
        <v>10193</v>
      </c>
      <c r="F362" s="48" t="s">
        <v>403</v>
      </c>
      <c r="G362" s="45" t="s">
        <v>1089</v>
      </c>
      <c r="H362" s="9"/>
      <c r="I362" s="31"/>
    </row>
    <row r="363" spans="1:9" ht="24" customHeight="1" x14ac:dyDescent="0.4">
      <c r="A363" s="28" t="s">
        <v>1080</v>
      </c>
      <c r="B363" s="29" t="s">
        <v>1079</v>
      </c>
      <c r="C363" s="29" t="s">
        <v>30</v>
      </c>
      <c r="D363" s="29" t="s">
        <v>3</v>
      </c>
      <c r="E363" s="34">
        <v>10194</v>
      </c>
      <c r="F363" s="48" t="s">
        <v>403</v>
      </c>
      <c r="G363" s="45" t="s">
        <v>1092</v>
      </c>
      <c r="H363" s="9"/>
      <c r="I363" s="31"/>
    </row>
    <row r="364" spans="1:9" ht="24" customHeight="1" x14ac:dyDescent="0.4">
      <c r="A364" s="28" t="s">
        <v>781</v>
      </c>
      <c r="B364" s="29" t="s">
        <v>1081</v>
      </c>
      <c r="C364" s="29" t="s">
        <v>30</v>
      </c>
      <c r="D364" s="29" t="s">
        <v>3</v>
      </c>
      <c r="E364" s="34">
        <v>10195</v>
      </c>
      <c r="F364" s="48" t="s">
        <v>403</v>
      </c>
      <c r="G364" s="45" t="s">
        <v>1120</v>
      </c>
      <c r="H364" s="9"/>
      <c r="I364" s="31"/>
    </row>
    <row r="365" spans="1:9" ht="24" customHeight="1" x14ac:dyDescent="0.4">
      <c r="A365" s="28" t="s">
        <v>1082</v>
      </c>
      <c r="B365" s="29" t="s">
        <v>1083</v>
      </c>
      <c r="C365" s="29" t="s">
        <v>30</v>
      </c>
      <c r="D365" s="29" t="s">
        <v>3</v>
      </c>
      <c r="E365" s="34">
        <v>10196</v>
      </c>
      <c r="F365" s="48" t="s">
        <v>403</v>
      </c>
      <c r="G365" s="45" t="s">
        <v>1094</v>
      </c>
      <c r="H365" s="9"/>
      <c r="I365" s="31"/>
    </row>
    <row r="366" spans="1:9" ht="24" customHeight="1" x14ac:dyDescent="0.4">
      <c r="A366" s="28" t="s">
        <v>1084</v>
      </c>
      <c r="B366" s="29" t="s">
        <v>1085</v>
      </c>
      <c r="C366" s="29" t="s">
        <v>30</v>
      </c>
      <c r="D366" s="29" t="s">
        <v>3</v>
      </c>
      <c r="E366" s="34">
        <v>10197</v>
      </c>
      <c r="F366" s="48" t="s">
        <v>403</v>
      </c>
      <c r="G366" s="45" t="s">
        <v>1096</v>
      </c>
      <c r="H366" s="9"/>
      <c r="I366" s="31"/>
    </row>
    <row r="367" spans="1:9" ht="24" customHeight="1" x14ac:dyDescent="0.4">
      <c r="A367" s="28" t="s">
        <v>1087</v>
      </c>
      <c r="B367" s="29" t="s">
        <v>1088</v>
      </c>
      <c r="C367" s="29" t="s">
        <v>30</v>
      </c>
      <c r="D367" s="29" t="s">
        <v>3</v>
      </c>
      <c r="E367" s="34">
        <v>10199</v>
      </c>
      <c r="F367" s="48" t="s">
        <v>403</v>
      </c>
      <c r="G367" s="45" t="s">
        <v>1122</v>
      </c>
      <c r="H367" s="9"/>
      <c r="I367" s="31"/>
    </row>
    <row r="368" spans="1:9" ht="24" customHeight="1" x14ac:dyDescent="0.4">
      <c r="A368" s="28" t="s">
        <v>1090</v>
      </c>
      <c r="B368" s="29" t="s">
        <v>1091</v>
      </c>
      <c r="C368" s="29" t="s">
        <v>30</v>
      </c>
      <c r="D368" s="29" t="s">
        <v>3</v>
      </c>
      <c r="E368" s="34">
        <v>10200</v>
      </c>
      <c r="F368" s="48" t="s">
        <v>403</v>
      </c>
      <c r="G368" s="45" t="s">
        <v>1099</v>
      </c>
      <c r="H368" s="9"/>
      <c r="I368" s="31"/>
    </row>
    <row r="369" spans="1:9" ht="24" customHeight="1" x14ac:dyDescent="0.4">
      <c r="A369" s="28" t="s">
        <v>505</v>
      </c>
      <c r="B369" s="29" t="s">
        <v>1093</v>
      </c>
      <c r="C369" s="29" t="s">
        <v>30</v>
      </c>
      <c r="D369" s="29" t="s">
        <v>3</v>
      </c>
      <c r="E369" s="34">
        <v>10201</v>
      </c>
      <c r="F369" s="48" t="s">
        <v>403</v>
      </c>
      <c r="G369" s="45" t="s">
        <v>1102</v>
      </c>
      <c r="H369" s="9"/>
      <c r="I369" s="31"/>
    </row>
    <row r="370" spans="1:9" ht="24" customHeight="1" x14ac:dyDescent="0.4">
      <c r="A370" s="28" t="s">
        <v>621</v>
      </c>
      <c r="B370" s="29" t="s">
        <v>1095</v>
      </c>
      <c r="C370" s="29" t="s">
        <v>30</v>
      </c>
      <c r="D370" s="29" t="s">
        <v>4</v>
      </c>
      <c r="E370" s="35">
        <v>1041</v>
      </c>
      <c r="F370" s="48" t="s">
        <v>403</v>
      </c>
      <c r="G370" s="45" t="s">
        <v>1003</v>
      </c>
      <c r="H370" s="9"/>
      <c r="I370" s="31"/>
    </row>
    <row r="371" spans="1:9" ht="24" customHeight="1" x14ac:dyDescent="0.4">
      <c r="A371" s="28" t="s">
        <v>1097</v>
      </c>
      <c r="B371" s="29" t="s">
        <v>1098</v>
      </c>
      <c r="C371" s="29" t="s">
        <v>30</v>
      </c>
      <c r="D371" s="29" t="s">
        <v>4</v>
      </c>
      <c r="E371" s="35">
        <v>1042</v>
      </c>
      <c r="F371" s="48" t="s">
        <v>407</v>
      </c>
      <c r="G371" s="44"/>
      <c r="H371" s="9"/>
      <c r="I371" s="31"/>
    </row>
    <row r="372" spans="1:9" ht="24" customHeight="1" x14ac:dyDescent="0.4">
      <c r="A372" s="28" t="s">
        <v>1100</v>
      </c>
      <c r="B372" s="29" t="s">
        <v>1101</v>
      </c>
      <c r="C372" s="29" t="s">
        <v>30</v>
      </c>
      <c r="D372" s="29" t="s">
        <v>4</v>
      </c>
      <c r="E372" s="35">
        <v>1043</v>
      </c>
      <c r="F372" s="48" t="s">
        <v>403</v>
      </c>
      <c r="G372" s="45" t="s">
        <v>1115</v>
      </c>
      <c r="H372" s="9"/>
      <c r="I372" s="31"/>
    </row>
    <row r="373" spans="1:9" ht="24" customHeight="1" x14ac:dyDescent="0.4">
      <c r="A373" s="28" t="s">
        <v>1113</v>
      </c>
      <c r="B373" s="29" t="s">
        <v>1114</v>
      </c>
      <c r="C373" s="29" t="s">
        <v>30</v>
      </c>
      <c r="D373" s="29" t="s">
        <v>1</v>
      </c>
      <c r="E373" s="36">
        <v>12097</v>
      </c>
      <c r="F373" s="48" t="s">
        <v>403</v>
      </c>
      <c r="G373" s="45" t="s">
        <v>1104</v>
      </c>
      <c r="H373" s="9"/>
      <c r="I373" s="31"/>
    </row>
    <row r="374" spans="1:9" ht="24" customHeight="1" x14ac:dyDescent="0.4">
      <c r="A374" s="28" t="s">
        <v>1116</v>
      </c>
      <c r="B374" s="29" t="s">
        <v>1117</v>
      </c>
      <c r="C374" s="29" t="s">
        <v>30</v>
      </c>
      <c r="D374" s="29" t="s">
        <v>1</v>
      </c>
      <c r="E374" s="36">
        <v>12098</v>
      </c>
      <c r="F374" s="48" t="s">
        <v>403</v>
      </c>
      <c r="G374" s="45" t="s">
        <v>1107</v>
      </c>
      <c r="H374" s="9"/>
      <c r="I374" s="31"/>
    </row>
    <row r="375" spans="1:9" ht="24" customHeight="1" x14ac:dyDescent="0.4">
      <c r="A375" s="28" t="s">
        <v>1119</v>
      </c>
      <c r="B375" s="29" t="s">
        <v>640</v>
      </c>
      <c r="C375" s="29" t="s">
        <v>30</v>
      </c>
      <c r="D375" s="29" t="s">
        <v>1</v>
      </c>
      <c r="E375" s="36">
        <v>12099</v>
      </c>
      <c r="F375" s="48" t="s">
        <v>403</v>
      </c>
      <c r="G375" s="45" t="s">
        <v>1110</v>
      </c>
      <c r="H375" s="9"/>
      <c r="I375" s="31"/>
    </row>
    <row r="376" spans="1:9" ht="24" customHeight="1" x14ac:dyDescent="0.4">
      <c r="A376" s="28" t="s">
        <v>478</v>
      </c>
      <c r="B376" s="29" t="s">
        <v>1121</v>
      </c>
      <c r="C376" s="29" t="s">
        <v>30</v>
      </c>
      <c r="D376" s="29" t="s">
        <v>1</v>
      </c>
      <c r="E376" s="36">
        <v>12100</v>
      </c>
      <c r="F376" s="48" t="s">
        <v>403</v>
      </c>
      <c r="G376" s="45" t="s">
        <v>1112</v>
      </c>
      <c r="H376" s="9"/>
      <c r="I376" s="31"/>
    </row>
    <row r="377" spans="1:9" ht="24" customHeight="1" x14ac:dyDescent="0.4">
      <c r="A377" s="28" t="s">
        <v>532</v>
      </c>
      <c r="B377" s="29" t="s">
        <v>1123</v>
      </c>
      <c r="C377" s="29" t="s">
        <v>30</v>
      </c>
      <c r="D377" s="29" t="s">
        <v>1</v>
      </c>
      <c r="E377" s="36">
        <v>12906</v>
      </c>
      <c r="F377" s="48" t="s">
        <v>403</v>
      </c>
      <c r="G377" s="45" t="s">
        <v>1124</v>
      </c>
      <c r="H377" s="9"/>
      <c r="I377" s="31"/>
    </row>
    <row r="378" spans="1:9" ht="24" customHeight="1" x14ac:dyDescent="0.4">
      <c r="A378" s="28" t="s">
        <v>1289</v>
      </c>
      <c r="B378" s="29" t="s">
        <v>1077</v>
      </c>
      <c r="C378" s="29" t="s">
        <v>30</v>
      </c>
      <c r="D378" s="29" t="s">
        <v>2</v>
      </c>
      <c r="E378" s="37">
        <v>1245</v>
      </c>
      <c r="F378" s="48" t="s">
        <v>403</v>
      </c>
      <c r="G378" s="45" t="s">
        <v>1086</v>
      </c>
      <c r="H378" s="9"/>
      <c r="I378" s="31"/>
    </row>
    <row r="379" spans="1:9" ht="24" customHeight="1" x14ac:dyDescent="0.4">
      <c r="A379" s="28" t="s">
        <v>603</v>
      </c>
      <c r="B379" s="29" t="s">
        <v>1134</v>
      </c>
      <c r="C379" s="29" t="s">
        <v>30</v>
      </c>
      <c r="D379" s="29" t="s">
        <v>2</v>
      </c>
      <c r="E379" s="37">
        <v>1246</v>
      </c>
      <c r="F379" s="48" t="s">
        <v>403</v>
      </c>
      <c r="G379" s="45" t="s">
        <v>1118</v>
      </c>
      <c r="H379" s="9"/>
      <c r="I379" s="31"/>
    </row>
    <row r="380" spans="1:9" ht="24" customHeight="1" x14ac:dyDescent="0.4">
      <c r="A380" s="28" t="s">
        <v>1136</v>
      </c>
      <c r="B380" s="29" t="s">
        <v>1098</v>
      </c>
      <c r="C380" s="29" t="s">
        <v>30</v>
      </c>
      <c r="D380" s="29" t="s">
        <v>2</v>
      </c>
      <c r="E380" s="37">
        <v>1247</v>
      </c>
      <c r="F380" s="48" t="s">
        <v>407</v>
      </c>
      <c r="G380" s="44"/>
      <c r="H380" s="9"/>
      <c r="I380" s="31"/>
    </row>
    <row r="381" spans="1:9" ht="24" customHeight="1" x14ac:dyDescent="0.4">
      <c r="A381" s="28"/>
      <c r="B381" s="29"/>
      <c r="C381" s="29"/>
      <c r="D381" s="29"/>
      <c r="E381" s="45"/>
      <c r="F381" s="50"/>
      <c r="G381" s="45"/>
      <c r="H381" s="51"/>
      <c r="I381" s="31"/>
    </row>
    <row r="382" spans="1:9" ht="24" customHeight="1" x14ac:dyDescent="0.4">
      <c r="A382" s="28"/>
      <c r="B382" s="29"/>
      <c r="C382" s="29"/>
      <c r="D382" s="29"/>
      <c r="E382" s="45"/>
      <c r="F382" s="50"/>
      <c r="G382" s="45"/>
      <c r="H382" s="51"/>
      <c r="I382" s="31"/>
    </row>
    <row r="383" spans="1:9" ht="24" customHeight="1" x14ac:dyDescent="0.4">
      <c r="A383" s="28" t="s">
        <v>1035</v>
      </c>
      <c r="B383" s="29" t="s">
        <v>1138</v>
      </c>
      <c r="C383" s="29" t="s">
        <v>31</v>
      </c>
      <c r="D383" s="29" t="s">
        <v>7</v>
      </c>
      <c r="E383" s="30">
        <v>8084</v>
      </c>
      <c r="F383" s="48" t="s">
        <v>403</v>
      </c>
      <c r="G383" s="45" t="s">
        <v>1148</v>
      </c>
      <c r="H383" s="9"/>
      <c r="I383" s="31"/>
    </row>
    <row r="384" spans="1:9" ht="24" customHeight="1" x14ac:dyDescent="0.4">
      <c r="A384" s="28" t="s">
        <v>476</v>
      </c>
      <c r="B384" s="29" t="s">
        <v>715</v>
      </c>
      <c r="C384" s="29" t="s">
        <v>31</v>
      </c>
      <c r="D384" s="29" t="s">
        <v>5</v>
      </c>
      <c r="E384" s="32">
        <v>954</v>
      </c>
      <c r="F384" s="48" t="s">
        <v>407</v>
      </c>
      <c r="G384" s="44"/>
      <c r="H384" s="9"/>
      <c r="I384" s="31"/>
    </row>
    <row r="385" spans="1:9" ht="24" customHeight="1" x14ac:dyDescent="0.4">
      <c r="A385" s="28" t="s">
        <v>1140</v>
      </c>
      <c r="B385" s="29" t="s">
        <v>1141</v>
      </c>
      <c r="C385" s="29" t="s">
        <v>31</v>
      </c>
      <c r="D385" s="29" t="s">
        <v>3</v>
      </c>
      <c r="E385" s="34">
        <v>10202</v>
      </c>
      <c r="F385" s="48" t="s">
        <v>407</v>
      </c>
      <c r="G385" s="44"/>
      <c r="H385" s="9"/>
      <c r="I385" s="31"/>
    </row>
    <row r="386" spans="1:9" ht="24" customHeight="1" x14ac:dyDescent="0.4">
      <c r="A386" s="28" t="s">
        <v>1143</v>
      </c>
      <c r="B386" s="29" t="s">
        <v>1144</v>
      </c>
      <c r="C386" s="29" t="s">
        <v>31</v>
      </c>
      <c r="D386" s="29" t="s">
        <v>4</v>
      </c>
      <c r="E386" s="35">
        <v>1044</v>
      </c>
      <c r="F386" s="48" t="s">
        <v>403</v>
      </c>
      <c r="G386" s="45" t="s">
        <v>1142</v>
      </c>
      <c r="H386" s="9"/>
      <c r="I386" s="31"/>
    </row>
    <row r="387" spans="1:9" ht="24" customHeight="1" x14ac:dyDescent="0.4">
      <c r="A387" s="28" t="s">
        <v>1060</v>
      </c>
      <c r="B387" s="29" t="s">
        <v>1147</v>
      </c>
      <c r="C387" s="29" t="s">
        <v>31</v>
      </c>
      <c r="D387" s="29" t="s">
        <v>1</v>
      </c>
      <c r="E387" s="36">
        <v>12101</v>
      </c>
      <c r="F387" s="48" t="s">
        <v>407</v>
      </c>
      <c r="G387" s="44"/>
      <c r="H387" s="9"/>
      <c r="I387" s="31"/>
    </row>
    <row r="388" spans="1:9" ht="24" customHeight="1" x14ac:dyDescent="0.4">
      <c r="A388" s="28" t="s">
        <v>1149</v>
      </c>
      <c r="B388" s="29" t="s">
        <v>1150</v>
      </c>
      <c r="C388" s="29" t="s">
        <v>31</v>
      </c>
      <c r="D388" s="29" t="s">
        <v>2</v>
      </c>
      <c r="E388" s="37">
        <v>1248</v>
      </c>
      <c r="F388" s="48" t="s">
        <v>403</v>
      </c>
      <c r="G388" s="45" t="s">
        <v>1145</v>
      </c>
      <c r="H388" s="9"/>
      <c r="I388" s="31"/>
    </row>
    <row r="389" spans="1:9" ht="24" customHeight="1" x14ac:dyDescent="0.4">
      <c r="A389" s="39" t="s">
        <v>1151</v>
      </c>
      <c r="B389" s="40" t="s">
        <v>1152</v>
      </c>
      <c r="C389" s="40" t="s">
        <v>31</v>
      </c>
      <c r="D389" s="40" t="s">
        <v>2</v>
      </c>
      <c r="E389" s="41">
        <v>1249</v>
      </c>
      <c r="F389" s="49" t="s">
        <v>403</v>
      </c>
      <c r="G389" s="46" t="s">
        <v>1146</v>
      </c>
      <c r="H389" s="42"/>
      <c r="I389" s="43"/>
    </row>
    <row r="390" spans="1:9" ht="24" customHeight="1" x14ac:dyDescent="0.4">
      <c r="A390" s="23"/>
      <c r="B390" s="23"/>
      <c r="C390" s="23"/>
      <c r="D390" s="23"/>
      <c r="E390" s="22"/>
      <c r="F390" s="22"/>
      <c r="G390" s="47"/>
    </row>
    <row r="391" spans="1:9" ht="24" customHeight="1" x14ac:dyDescent="0.4">
      <c r="A391" s="23" t="s">
        <v>1290</v>
      </c>
      <c r="B391" s="23"/>
      <c r="C391" s="23"/>
      <c r="D391" s="23"/>
      <c r="E391" s="22"/>
      <c r="F391" s="22"/>
    </row>
    <row r="392" spans="1:9" ht="24" customHeight="1" x14ac:dyDescent="0.4">
      <c r="A392" s="23" t="s">
        <v>1295</v>
      </c>
      <c r="B392" s="23"/>
      <c r="C392" s="23"/>
      <c r="D392" s="23"/>
      <c r="E392" s="22"/>
      <c r="F392" s="22"/>
    </row>
    <row r="393" spans="1:9" ht="24" customHeight="1" x14ac:dyDescent="0.4">
      <c r="A393" s="23" t="s">
        <v>1291</v>
      </c>
      <c r="B393" s="23"/>
      <c r="C393" s="23"/>
      <c r="D393" s="23"/>
      <c r="E393" s="22"/>
      <c r="F393" s="22"/>
    </row>
    <row r="394" spans="1:9" ht="24" customHeight="1" x14ac:dyDescent="0.4">
      <c r="A394" s="23" t="s">
        <v>1292</v>
      </c>
      <c r="B394" s="23"/>
      <c r="C394" s="23"/>
      <c r="D394" s="23"/>
      <c r="E394" s="22"/>
      <c r="F394" s="22"/>
    </row>
    <row r="395" spans="1:9" ht="24" customHeight="1" x14ac:dyDescent="0.4">
      <c r="A395" s="23"/>
      <c r="B395" s="23"/>
      <c r="C395" s="23"/>
      <c r="D395" s="23"/>
      <c r="E395" s="22"/>
      <c r="F395" s="22"/>
      <c r="G395" s="47"/>
    </row>
    <row r="396" spans="1:9" ht="24" customHeight="1" x14ac:dyDescent="0.4">
      <c r="A396" s="23"/>
      <c r="B396" s="23"/>
      <c r="C396" s="23"/>
      <c r="D396" s="23"/>
      <c r="E396" s="22"/>
      <c r="F396" s="22"/>
      <c r="G396" s="47"/>
    </row>
    <row r="397" spans="1:9" ht="24" customHeight="1" x14ac:dyDescent="0.4">
      <c r="A397" s="23"/>
      <c r="B397" s="23"/>
      <c r="C397" s="23"/>
      <c r="D397" s="23"/>
      <c r="E397" s="22"/>
      <c r="F397" s="22"/>
      <c r="G397" s="47"/>
    </row>
    <row r="398" spans="1:9" ht="24" customHeight="1" x14ac:dyDescent="0.4">
      <c r="A398" s="23"/>
      <c r="B398" s="23"/>
      <c r="C398" s="23"/>
      <c r="D398" s="23"/>
      <c r="E398" s="22"/>
      <c r="F398" s="22"/>
      <c r="G398" s="47"/>
    </row>
    <row r="399" spans="1:9" ht="24" customHeight="1" x14ac:dyDescent="0.4">
      <c r="A399" s="23"/>
      <c r="B399" s="23"/>
      <c r="C399" s="23"/>
      <c r="D399" s="23"/>
      <c r="E399" s="22"/>
      <c r="F399" s="22"/>
      <c r="G399" s="47"/>
    </row>
    <row r="400" spans="1:9" ht="24" customHeight="1" x14ac:dyDescent="0.4">
      <c r="A400" s="23"/>
      <c r="B400" s="23"/>
      <c r="C400" s="23"/>
      <c r="D400" s="23"/>
      <c r="E400" s="22"/>
      <c r="F400" s="22"/>
      <c r="G400" s="47"/>
    </row>
    <row r="401" spans="1:7" ht="24" customHeight="1" x14ac:dyDescent="0.4">
      <c r="A401" s="23"/>
      <c r="B401" s="23"/>
      <c r="C401" s="23"/>
      <c r="D401" s="23"/>
      <c r="E401" s="22"/>
      <c r="F401" s="22"/>
      <c r="G401" s="47"/>
    </row>
    <row r="402" spans="1:7" ht="24" customHeight="1" x14ac:dyDescent="0.4">
      <c r="A402" s="23"/>
      <c r="B402" s="23"/>
      <c r="C402" s="23"/>
      <c r="D402" s="23"/>
      <c r="E402" s="22"/>
      <c r="F402" s="22"/>
      <c r="G402" s="47"/>
    </row>
    <row r="403" spans="1:7" ht="24" customHeight="1" x14ac:dyDescent="0.4">
      <c r="A403" s="23"/>
      <c r="B403" s="23"/>
      <c r="C403" s="23"/>
      <c r="D403" s="23"/>
      <c r="E403" s="22"/>
      <c r="F403" s="22"/>
      <c r="G403" s="47"/>
    </row>
    <row r="404" spans="1:7" ht="24" customHeight="1" x14ac:dyDescent="0.4">
      <c r="A404" s="23"/>
      <c r="B404" s="23"/>
      <c r="C404" s="23"/>
      <c r="D404" s="23"/>
      <c r="E404" s="22"/>
      <c r="F404" s="22"/>
      <c r="G404" s="47"/>
    </row>
    <row r="405" spans="1:7" ht="24" customHeight="1" x14ac:dyDescent="0.4">
      <c r="A405" s="23"/>
      <c r="B405" s="23"/>
      <c r="C405" s="23"/>
      <c r="D405" s="23"/>
      <c r="E405" s="22"/>
      <c r="F405" s="22"/>
      <c r="G405" s="47"/>
    </row>
    <row r="406" spans="1:7" ht="24" customHeight="1" x14ac:dyDescent="0.4">
      <c r="A406" s="23"/>
      <c r="B406" s="23"/>
      <c r="C406" s="23"/>
      <c r="D406" s="23"/>
      <c r="E406" s="22"/>
      <c r="F406" s="22"/>
      <c r="G406" s="47"/>
    </row>
    <row r="407" spans="1:7" ht="24" customHeight="1" x14ac:dyDescent="0.4">
      <c r="A407" s="23"/>
      <c r="B407" s="23"/>
      <c r="C407" s="23"/>
      <c r="D407" s="23"/>
      <c r="E407" s="22"/>
      <c r="F407" s="22"/>
      <c r="G407" s="47"/>
    </row>
    <row r="408" spans="1:7" ht="24" customHeight="1" x14ac:dyDescent="0.4">
      <c r="A408" s="23"/>
      <c r="B408" s="23"/>
      <c r="C408" s="23"/>
      <c r="D408" s="23"/>
      <c r="E408" s="22"/>
      <c r="F408" s="22"/>
      <c r="G408" s="47"/>
    </row>
    <row r="409" spans="1:7" ht="24" customHeight="1" x14ac:dyDescent="0.4">
      <c r="A409" s="23"/>
      <c r="B409" s="23"/>
      <c r="C409" s="23"/>
      <c r="D409" s="23"/>
      <c r="E409" s="22"/>
      <c r="F409" s="22"/>
      <c r="G409" s="47"/>
    </row>
    <row r="410" spans="1:7" ht="24" customHeight="1" x14ac:dyDescent="0.4">
      <c r="A410" s="23"/>
      <c r="B410" s="23"/>
      <c r="C410" s="23"/>
      <c r="D410" s="23"/>
      <c r="E410" s="22"/>
      <c r="F410" s="22"/>
      <c r="G410" s="47"/>
    </row>
    <row r="411" spans="1:7" ht="24" customHeight="1" x14ac:dyDescent="0.4">
      <c r="A411" s="23"/>
      <c r="B411" s="23"/>
      <c r="C411" s="23"/>
      <c r="D411" s="23"/>
      <c r="E411" s="22"/>
      <c r="F411" s="22"/>
      <c r="G411" s="47"/>
    </row>
    <row r="412" spans="1:7" ht="24" customHeight="1" x14ac:dyDescent="0.4">
      <c r="A412" s="23"/>
      <c r="B412" s="23"/>
      <c r="C412" s="23"/>
      <c r="D412" s="23"/>
      <c r="E412" s="22"/>
      <c r="F412" s="22"/>
      <c r="G412" s="47"/>
    </row>
    <row r="413" spans="1:7" ht="24" customHeight="1" x14ac:dyDescent="0.4">
      <c r="A413" s="23"/>
      <c r="B413" s="23"/>
      <c r="C413" s="23"/>
      <c r="D413" s="23"/>
      <c r="E413" s="22"/>
      <c r="F413" s="22"/>
      <c r="G413" s="47"/>
    </row>
    <row r="414" spans="1:7" ht="24" customHeight="1" x14ac:dyDescent="0.4">
      <c r="A414" s="23"/>
      <c r="B414" s="23"/>
      <c r="C414" s="23"/>
      <c r="D414" s="23"/>
      <c r="E414" s="22"/>
      <c r="F414" s="22"/>
      <c r="G414" s="47"/>
    </row>
    <row r="415" spans="1:7" ht="24" customHeight="1" x14ac:dyDescent="0.4">
      <c r="A415" s="23"/>
      <c r="B415" s="23"/>
      <c r="C415" s="23"/>
      <c r="D415" s="23"/>
      <c r="E415" s="22"/>
      <c r="F415" s="22"/>
      <c r="G415" s="47"/>
    </row>
    <row r="416" spans="1:7" ht="24" customHeight="1" x14ac:dyDescent="0.4">
      <c r="A416" s="23"/>
      <c r="B416" s="23"/>
      <c r="C416" s="23"/>
      <c r="D416" s="23"/>
      <c r="E416" s="22"/>
      <c r="F416" s="22"/>
      <c r="G416" s="47"/>
    </row>
    <row r="417" spans="1:7" ht="24" customHeight="1" x14ac:dyDescent="0.4">
      <c r="A417" s="23"/>
      <c r="B417" s="23"/>
      <c r="C417" s="23"/>
      <c r="D417" s="23"/>
      <c r="E417" s="22"/>
      <c r="F417" s="22"/>
      <c r="G417" s="47"/>
    </row>
    <row r="418" spans="1:7" ht="24" customHeight="1" x14ac:dyDescent="0.4">
      <c r="A418" s="23"/>
      <c r="B418" s="23"/>
      <c r="C418" s="23"/>
      <c r="D418" s="23"/>
      <c r="E418" s="22"/>
      <c r="F418" s="22"/>
      <c r="G418" s="47"/>
    </row>
    <row r="419" spans="1:7" ht="24" customHeight="1" x14ac:dyDescent="0.4">
      <c r="A419" s="23"/>
      <c r="B419" s="23"/>
      <c r="C419" s="23"/>
      <c r="D419" s="23"/>
      <c r="E419" s="22"/>
      <c r="F419" s="22"/>
      <c r="G419" s="47"/>
    </row>
    <row r="420" spans="1:7" ht="24" customHeight="1" x14ac:dyDescent="0.4">
      <c r="A420" s="23"/>
      <c r="B420" s="23"/>
      <c r="C420" s="23"/>
      <c r="D420" s="23"/>
      <c r="E420" s="22"/>
      <c r="F420" s="22"/>
      <c r="G420" s="47"/>
    </row>
    <row r="421" spans="1:7" ht="24" customHeight="1" x14ac:dyDescent="0.4">
      <c r="A421" s="23"/>
      <c r="B421" s="23"/>
      <c r="C421" s="23"/>
      <c r="D421" s="23"/>
      <c r="E421" s="22"/>
      <c r="F421" s="22"/>
      <c r="G421" s="47"/>
    </row>
    <row r="422" spans="1:7" ht="24" customHeight="1" x14ac:dyDescent="0.4">
      <c r="A422" s="23"/>
      <c r="B422" s="23"/>
      <c r="C422" s="23"/>
      <c r="D422" s="23"/>
      <c r="E422" s="22"/>
      <c r="F422" s="22"/>
      <c r="G422" s="47"/>
    </row>
    <row r="423" spans="1:7" ht="24" customHeight="1" x14ac:dyDescent="0.4">
      <c r="A423" s="23"/>
      <c r="B423" s="23"/>
      <c r="C423" s="23"/>
      <c r="D423" s="23"/>
      <c r="E423" s="22"/>
      <c r="F423" s="22"/>
      <c r="G423" s="47"/>
    </row>
    <row r="424" spans="1:7" ht="24" customHeight="1" x14ac:dyDescent="0.4">
      <c r="A424" s="23"/>
      <c r="B424" s="23"/>
      <c r="C424" s="23"/>
      <c r="D424" s="23"/>
      <c r="E424" s="22"/>
      <c r="F424" s="22"/>
      <c r="G424" s="47"/>
    </row>
    <row r="425" spans="1:7" ht="24" customHeight="1" x14ac:dyDescent="0.4">
      <c r="A425" s="23"/>
      <c r="B425" s="23"/>
      <c r="C425" s="23"/>
      <c r="D425" s="23"/>
      <c r="E425" s="22"/>
      <c r="F425" s="22"/>
      <c r="G425" s="47"/>
    </row>
    <row r="426" spans="1:7" ht="24" customHeight="1" x14ac:dyDescent="0.4">
      <c r="A426" s="23"/>
      <c r="B426" s="23"/>
      <c r="C426" s="23"/>
      <c r="D426" s="23"/>
      <c r="E426" s="22"/>
      <c r="F426" s="22"/>
      <c r="G426" s="47"/>
    </row>
    <row r="427" spans="1:7" ht="24" customHeight="1" x14ac:dyDescent="0.4">
      <c r="A427" s="23"/>
      <c r="B427" s="23"/>
      <c r="C427" s="23"/>
      <c r="D427" s="23"/>
      <c r="E427" s="22"/>
      <c r="F427" s="22"/>
      <c r="G427" s="47"/>
    </row>
    <row r="428" spans="1:7" ht="24" customHeight="1" x14ac:dyDescent="0.4">
      <c r="A428" s="23"/>
      <c r="B428" s="23"/>
      <c r="C428" s="23"/>
      <c r="D428" s="23"/>
      <c r="E428" s="22"/>
      <c r="F428" s="22"/>
      <c r="G428" s="47"/>
    </row>
    <row r="429" spans="1:7" ht="24" customHeight="1" x14ac:dyDescent="0.4">
      <c r="A429" s="23"/>
      <c r="B429" s="23"/>
      <c r="C429" s="23"/>
      <c r="D429" s="23"/>
      <c r="E429" s="22"/>
      <c r="F429" s="22"/>
      <c r="G429" s="47"/>
    </row>
    <row r="430" spans="1:7" ht="24" customHeight="1" x14ac:dyDescent="0.4">
      <c r="A430" s="23"/>
      <c r="B430" s="23"/>
      <c r="C430" s="23"/>
      <c r="D430" s="23"/>
      <c r="E430" s="22"/>
      <c r="F430" s="22"/>
      <c r="G430" s="47"/>
    </row>
    <row r="431" spans="1:7" ht="24" customHeight="1" x14ac:dyDescent="0.4">
      <c r="A431" s="23"/>
      <c r="B431" s="23"/>
      <c r="C431" s="23"/>
      <c r="D431" s="23"/>
      <c r="E431" s="22"/>
      <c r="F431" s="22"/>
      <c r="G431" s="47"/>
    </row>
    <row r="432" spans="1:7" ht="24" customHeight="1" x14ac:dyDescent="0.4">
      <c r="A432" s="23"/>
      <c r="B432" s="23"/>
      <c r="C432" s="23"/>
      <c r="D432" s="23"/>
      <c r="E432" s="22"/>
      <c r="F432" s="22"/>
      <c r="G432" s="47"/>
    </row>
    <row r="433" spans="1:7" ht="24" customHeight="1" x14ac:dyDescent="0.4">
      <c r="A433" s="23"/>
      <c r="B433" s="23"/>
      <c r="C433" s="23"/>
      <c r="D433" s="23"/>
      <c r="E433" s="22"/>
      <c r="F433" s="22"/>
      <c r="G433" s="47"/>
    </row>
    <row r="434" spans="1:7" ht="24" customHeight="1" x14ac:dyDescent="0.4">
      <c r="A434" s="23"/>
      <c r="B434" s="23"/>
      <c r="C434" s="23"/>
      <c r="D434" s="23"/>
      <c r="E434" s="22"/>
      <c r="F434" s="22"/>
      <c r="G434" s="47"/>
    </row>
    <row r="435" spans="1:7" ht="24" customHeight="1" x14ac:dyDescent="0.4">
      <c r="A435" s="23"/>
      <c r="B435" s="23"/>
      <c r="C435" s="23"/>
      <c r="D435" s="23"/>
      <c r="E435" s="22"/>
      <c r="F435" s="22"/>
      <c r="G435" s="47"/>
    </row>
    <row r="436" spans="1:7" ht="24" customHeight="1" x14ac:dyDescent="0.4">
      <c r="A436" s="23"/>
      <c r="B436" s="23"/>
      <c r="C436" s="23"/>
      <c r="D436" s="23"/>
      <c r="E436" s="22"/>
      <c r="F436" s="22"/>
      <c r="G436" s="47"/>
    </row>
    <row r="437" spans="1:7" ht="24" customHeight="1" x14ac:dyDescent="0.4">
      <c r="A437" s="23"/>
      <c r="B437" s="23"/>
      <c r="C437" s="23"/>
      <c r="D437" s="23"/>
      <c r="E437" s="22"/>
      <c r="F437" s="22"/>
      <c r="G437" s="47"/>
    </row>
    <row r="438" spans="1:7" ht="24" customHeight="1" x14ac:dyDescent="0.4">
      <c r="A438" s="23"/>
      <c r="B438" s="23"/>
      <c r="C438" s="23"/>
      <c r="D438" s="23"/>
      <c r="E438" s="22"/>
      <c r="F438" s="22"/>
      <c r="G438" s="47"/>
    </row>
    <row r="439" spans="1:7" ht="24" customHeight="1" x14ac:dyDescent="0.4">
      <c r="A439" s="23"/>
      <c r="B439" s="23"/>
      <c r="C439" s="23"/>
      <c r="D439" s="23"/>
      <c r="E439" s="22"/>
      <c r="F439" s="22"/>
      <c r="G439" s="47"/>
    </row>
    <row r="440" spans="1:7" ht="24" customHeight="1" x14ac:dyDescent="0.4">
      <c r="A440" s="23"/>
      <c r="B440" s="23"/>
      <c r="C440" s="23"/>
      <c r="D440" s="23"/>
      <c r="E440" s="22"/>
      <c r="F440" s="22"/>
      <c r="G440" s="47"/>
    </row>
    <row r="441" spans="1:7" ht="24" customHeight="1" x14ac:dyDescent="0.4">
      <c r="A441" s="23"/>
      <c r="B441" s="23"/>
      <c r="C441" s="23"/>
      <c r="D441" s="23"/>
      <c r="E441" s="22"/>
      <c r="F441" s="22"/>
      <c r="G441" s="47"/>
    </row>
    <row r="442" spans="1:7" ht="24" customHeight="1" x14ac:dyDescent="0.4">
      <c r="A442" s="23"/>
      <c r="B442" s="23"/>
      <c r="C442" s="23"/>
      <c r="D442" s="23"/>
      <c r="E442" s="22"/>
      <c r="F442" s="22"/>
      <c r="G442" s="47"/>
    </row>
    <row r="443" spans="1:7" ht="24" customHeight="1" x14ac:dyDescent="0.4">
      <c r="A443" s="23"/>
      <c r="B443" s="23"/>
      <c r="C443" s="23"/>
      <c r="D443" s="23"/>
      <c r="E443" s="22"/>
      <c r="F443" s="22"/>
      <c r="G443" s="47"/>
    </row>
    <row r="444" spans="1:7" ht="24" customHeight="1" x14ac:dyDescent="0.4">
      <c r="A444" s="23"/>
      <c r="B444" s="23"/>
      <c r="C444" s="23"/>
      <c r="D444" s="23"/>
      <c r="E444" s="22"/>
      <c r="F444" s="22"/>
      <c r="G444" s="47"/>
    </row>
    <row r="445" spans="1:7" ht="24" customHeight="1" x14ac:dyDescent="0.4">
      <c r="A445" s="23"/>
      <c r="B445" s="23"/>
      <c r="C445" s="23"/>
      <c r="D445" s="23"/>
      <c r="E445" s="22"/>
      <c r="F445" s="22"/>
      <c r="G445" s="47"/>
    </row>
    <row r="446" spans="1:7" ht="24" customHeight="1" x14ac:dyDescent="0.4">
      <c r="A446" s="23"/>
      <c r="B446" s="23"/>
      <c r="C446" s="23"/>
      <c r="D446" s="23"/>
      <c r="E446" s="22"/>
      <c r="F446" s="22"/>
      <c r="G446" s="47"/>
    </row>
    <row r="447" spans="1:7" ht="24" customHeight="1" x14ac:dyDescent="0.4">
      <c r="A447" s="23"/>
      <c r="B447" s="23"/>
      <c r="C447" s="23"/>
      <c r="D447" s="23"/>
      <c r="E447" s="22"/>
      <c r="F447" s="22"/>
      <c r="G447" s="47"/>
    </row>
    <row r="448" spans="1:7" ht="24" customHeight="1" x14ac:dyDescent="0.4">
      <c r="A448" s="23"/>
      <c r="B448" s="23"/>
      <c r="C448" s="23"/>
      <c r="D448" s="23"/>
      <c r="E448" s="22"/>
      <c r="F448" s="22"/>
      <c r="G448" s="47"/>
    </row>
    <row r="449" spans="1:7" ht="24" customHeight="1" x14ac:dyDescent="0.4">
      <c r="A449" s="23"/>
      <c r="B449" s="23"/>
      <c r="C449" s="23"/>
      <c r="D449" s="23"/>
      <c r="E449" s="22"/>
      <c r="F449" s="22"/>
      <c r="G449" s="47"/>
    </row>
    <row r="450" spans="1:7" ht="24" customHeight="1" x14ac:dyDescent="0.4">
      <c r="A450" s="23"/>
      <c r="B450" s="23"/>
      <c r="C450" s="23"/>
      <c r="D450" s="23"/>
      <c r="E450" s="22"/>
      <c r="F450" s="22"/>
      <c r="G450" s="47"/>
    </row>
    <row r="451" spans="1:7" ht="24" customHeight="1" x14ac:dyDescent="0.4">
      <c r="A451" s="23"/>
      <c r="B451" s="23"/>
      <c r="C451" s="23"/>
      <c r="D451" s="23"/>
      <c r="E451" s="22"/>
      <c r="F451" s="22"/>
      <c r="G451" s="47"/>
    </row>
    <row r="452" spans="1:7" ht="24" customHeight="1" x14ac:dyDescent="0.4">
      <c r="A452" s="23"/>
      <c r="B452" s="23"/>
      <c r="C452" s="23"/>
      <c r="D452" s="23"/>
      <c r="E452" s="22"/>
      <c r="F452" s="22"/>
      <c r="G452" s="47"/>
    </row>
    <row r="453" spans="1:7" ht="24" customHeight="1" x14ac:dyDescent="0.4">
      <c r="A453" s="23"/>
      <c r="B453" s="23"/>
      <c r="C453" s="23"/>
      <c r="D453" s="23"/>
      <c r="E453" s="22"/>
      <c r="F453" s="22"/>
      <c r="G453" s="47"/>
    </row>
    <row r="454" spans="1:7" ht="24" customHeight="1" x14ac:dyDescent="0.4">
      <c r="A454" s="23"/>
      <c r="B454" s="23"/>
      <c r="C454" s="23"/>
      <c r="D454" s="23"/>
      <c r="E454" s="22"/>
      <c r="F454" s="22"/>
      <c r="G454" s="47"/>
    </row>
    <row r="455" spans="1:7" ht="24" customHeight="1" x14ac:dyDescent="0.4">
      <c r="A455" s="23"/>
      <c r="B455" s="23"/>
      <c r="C455" s="23"/>
      <c r="D455" s="23"/>
      <c r="E455" s="22"/>
      <c r="F455" s="22"/>
      <c r="G455" s="47"/>
    </row>
    <row r="456" spans="1:7" ht="24" customHeight="1" x14ac:dyDescent="0.4">
      <c r="A456" s="23"/>
      <c r="B456" s="23"/>
      <c r="C456" s="23"/>
      <c r="D456" s="23"/>
      <c r="E456" s="22"/>
      <c r="F456" s="22"/>
      <c r="G456" s="47"/>
    </row>
    <row r="457" spans="1:7" ht="24" customHeight="1" x14ac:dyDescent="0.4">
      <c r="A457" s="23"/>
      <c r="B457" s="23"/>
      <c r="C457" s="23"/>
      <c r="D457" s="23"/>
      <c r="E457" s="22"/>
      <c r="F457" s="22"/>
      <c r="G457" s="47"/>
    </row>
    <row r="458" spans="1:7" ht="24" customHeight="1" x14ac:dyDescent="0.4">
      <c r="A458" s="23"/>
      <c r="B458" s="23"/>
      <c r="C458" s="23"/>
      <c r="D458" s="23"/>
      <c r="E458" s="22"/>
      <c r="F458" s="22"/>
      <c r="G458" s="47"/>
    </row>
    <row r="459" spans="1:7" ht="24" customHeight="1" x14ac:dyDescent="0.4">
      <c r="A459" s="23"/>
      <c r="B459" s="23"/>
      <c r="C459" s="23"/>
      <c r="D459" s="23"/>
      <c r="E459" s="22"/>
      <c r="F459" s="22"/>
      <c r="G459" s="47"/>
    </row>
    <row r="460" spans="1:7" ht="24" customHeight="1" x14ac:dyDescent="0.4">
      <c r="A460" s="23"/>
      <c r="B460" s="23"/>
      <c r="C460" s="23"/>
      <c r="D460" s="23"/>
      <c r="E460" s="22"/>
      <c r="F460" s="22"/>
      <c r="G460" s="47"/>
    </row>
    <row r="461" spans="1:7" ht="24" customHeight="1" x14ac:dyDescent="0.4">
      <c r="A461" s="23"/>
      <c r="B461" s="23"/>
      <c r="C461" s="23"/>
      <c r="D461" s="23"/>
      <c r="E461" s="22"/>
      <c r="F461" s="22"/>
      <c r="G461" s="47"/>
    </row>
    <row r="462" spans="1:7" ht="24" customHeight="1" x14ac:dyDescent="0.4">
      <c r="A462" s="23"/>
      <c r="B462" s="23"/>
      <c r="C462" s="23"/>
      <c r="D462" s="23"/>
      <c r="E462" s="22"/>
      <c r="F462" s="22"/>
      <c r="G462" s="47"/>
    </row>
    <row r="463" spans="1:7" ht="24" customHeight="1" x14ac:dyDescent="0.4">
      <c r="A463" s="23"/>
      <c r="B463" s="23"/>
      <c r="C463" s="23"/>
      <c r="D463" s="23"/>
      <c r="E463" s="22"/>
      <c r="F463" s="22"/>
      <c r="G463" s="47"/>
    </row>
    <row r="464" spans="1:7" ht="24" customHeight="1" x14ac:dyDescent="0.4">
      <c r="A464" s="23"/>
      <c r="B464" s="23"/>
      <c r="C464" s="23"/>
      <c r="D464" s="23"/>
      <c r="E464" s="22"/>
      <c r="F464" s="22"/>
      <c r="G464" s="47"/>
    </row>
    <row r="465" spans="1:7" ht="24" customHeight="1" x14ac:dyDescent="0.4">
      <c r="A465" s="23"/>
      <c r="B465" s="23"/>
      <c r="C465" s="23"/>
      <c r="D465" s="23"/>
      <c r="E465" s="22"/>
      <c r="F465" s="22"/>
      <c r="G465" s="47"/>
    </row>
    <row r="466" spans="1:7" ht="24" customHeight="1" x14ac:dyDescent="0.4">
      <c r="A466" s="23"/>
      <c r="B466" s="23"/>
      <c r="C466" s="23"/>
      <c r="D466" s="23"/>
      <c r="E466" s="22"/>
      <c r="F466" s="22"/>
      <c r="G466" s="47"/>
    </row>
    <row r="467" spans="1:7" ht="24" customHeight="1" x14ac:dyDescent="0.4">
      <c r="A467" s="23"/>
      <c r="B467" s="23"/>
      <c r="C467" s="23"/>
      <c r="D467" s="23"/>
      <c r="E467" s="22"/>
      <c r="F467" s="22"/>
      <c r="G467" s="47"/>
    </row>
    <row r="468" spans="1:7" ht="24" customHeight="1" x14ac:dyDescent="0.4">
      <c r="A468" s="23"/>
      <c r="B468" s="23"/>
      <c r="C468" s="23"/>
      <c r="D468" s="23"/>
      <c r="E468" s="22"/>
      <c r="F468" s="22"/>
      <c r="G468" s="47"/>
    </row>
    <row r="469" spans="1:7" ht="24" customHeight="1" x14ac:dyDescent="0.4">
      <c r="A469" s="23"/>
      <c r="B469" s="23"/>
      <c r="C469" s="23"/>
      <c r="D469" s="23"/>
      <c r="E469" s="22"/>
      <c r="F469" s="22"/>
      <c r="G469" s="47"/>
    </row>
    <row r="470" spans="1:7" ht="24" customHeight="1" x14ac:dyDescent="0.4">
      <c r="A470" s="23"/>
      <c r="B470" s="23"/>
      <c r="C470" s="23"/>
      <c r="D470" s="23"/>
      <c r="E470" s="22"/>
      <c r="F470" s="22"/>
      <c r="G470" s="47"/>
    </row>
    <row r="471" spans="1:7" ht="24" customHeight="1" x14ac:dyDescent="0.4">
      <c r="A471" s="23"/>
      <c r="B471" s="23"/>
      <c r="C471" s="23"/>
      <c r="D471" s="23"/>
      <c r="E471" s="22"/>
      <c r="F471" s="22"/>
      <c r="G471" s="47"/>
    </row>
    <row r="472" spans="1:7" ht="24" customHeight="1" x14ac:dyDescent="0.4">
      <c r="A472" s="23"/>
      <c r="B472" s="23"/>
      <c r="C472" s="23"/>
      <c r="D472" s="23"/>
      <c r="E472" s="22"/>
      <c r="F472" s="22"/>
      <c r="G472" s="47"/>
    </row>
    <row r="473" spans="1:7" ht="24" customHeight="1" x14ac:dyDescent="0.4">
      <c r="A473" s="23"/>
      <c r="B473" s="23"/>
      <c r="C473" s="23"/>
      <c r="D473" s="23"/>
      <c r="E473" s="22"/>
      <c r="F473" s="22"/>
      <c r="G473" s="47"/>
    </row>
    <row r="474" spans="1:7" ht="24" customHeight="1" x14ac:dyDescent="0.4">
      <c r="A474" s="23"/>
      <c r="B474" s="23"/>
      <c r="C474" s="23"/>
      <c r="D474" s="23"/>
      <c r="E474" s="22"/>
      <c r="F474" s="22"/>
      <c r="G474" s="47"/>
    </row>
    <row r="475" spans="1:7" ht="24" customHeight="1" x14ac:dyDescent="0.4">
      <c r="A475" s="23"/>
      <c r="B475" s="23"/>
      <c r="C475" s="23"/>
      <c r="D475" s="23"/>
      <c r="E475" s="22"/>
      <c r="F475" s="22"/>
      <c r="G475" s="47"/>
    </row>
    <row r="476" spans="1:7" ht="24" customHeight="1" x14ac:dyDescent="0.4">
      <c r="A476" s="23"/>
      <c r="B476" s="23"/>
      <c r="C476" s="23"/>
      <c r="D476" s="23"/>
      <c r="E476" s="22"/>
      <c r="F476" s="22"/>
      <c r="G476" s="47"/>
    </row>
    <row r="477" spans="1:7" ht="24" customHeight="1" x14ac:dyDescent="0.4">
      <c r="A477" s="23"/>
      <c r="B477" s="23"/>
      <c r="C477" s="23"/>
      <c r="D477" s="23"/>
      <c r="E477" s="22"/>
      <c r="F477" s="22"/>
      <c r="G477" s="47"/>
    </row>
    <row r="478" spans="1:7" ht="24" customHeight="1" x14ac:dyDescent="0.4">
      <c r="A478" s="23"/>
      <c r="B478" s="23"/>
      <c r="C478" s="23"/>
      <c r="D478" s="23"/>
      <c r="E478" s="22"/>
      <c r="F478" s="22"/>
      <c r="G478" s="47"/>
    </row>
    <row r="479" spans="1:7" ht="24" customHeight="1" x14ac:dyDescent="0.4">
      <c r="A479" s="23"/>
      <c r="B479" s="23"/>
      <c r="C479" s="23"/>
      <c r="D479" s="23"/>
      <c r="E479" s="22"/>
      <c r="F479" s="22"/>
      <c r="G479" s="47"/>
    </row>
    <row r="480" spans="1:7" ht="24" customHeight="1" x14ac:dyDescent="0.4">
      <c r="A480" s="23"/>
      <c r="B480" s="23"/>
      <c r="C480" s="23"/>
      <c r="D480" s="23"/>
      <c r="E480" s="22"/>
      <c r="F480" s="22"/>
      <c r="G480" s="47"/>
    </row>
    <row r="481" spans="1:7" ht="24" customHeight="1" x14ac:dyDescent="0.4">
      <c r="A481" s="23"/>
      <c r="B481" s="23"/>
      <c r="C481" s="23"/>
      <c r="D481" s="23"/>
      <c r="E481" s="22"/>
      <c r="F481" s="22"/>
      <c r="G481" s="47"/>
    </row>
    <row r="482" spans="1:7" ht="24" customHeight="1" x14ac:dyDescent="0.4">
      <c r="A482" s="23"/>
      <c r="B482" s="23"/>
      <c r="C482" s="23"/>
      <c r="D482" s="23"/>
      <c r="E482" s="22"/>
      <c r="F482" s="22"/>
      <c r="G482" s="47"/>
    </row>
    <row r="483" spans="1:7" ht="24" customHeight="1" x14ac:dyDescent="0.4">
      <c r="A483" s="23"/>
      <c r="B483" s="23"/>
      <c r="C483" s="23"/>
      <c r="D483" s="23"/>
      <c r="E483" s="22"/>
      <c r="F483" s="22"/>
      <c r="G483" s="47"/>
    </row>
    <row r="484" spans="1:7" ht="24" customHeight="1" x14ac:dyDescent="0.4">
      <c r="A484" s="23"/>
      <c r="B484" s="23"/>
      <c r="C484" s="23"/>
      <c r="D484" s="23"/>
      <c r="E484" s="22"/>
      <c r="F484" s="22"/>
      <c r="G484" s="47"/>
    </row>
    <row r="485" spans="1:7" ht="24" customHeight="1" x14ac:dyDescent="0.4">
      <c r="A485" s="23"/>
      <c r="B485" s="23"/>
      <c r="C485" s="23"/>
      <c r="D485" s="23"/>
      <c r="E485" s="22"/>
      <c r="F485" s="22"/>
      <c r="G485" s="47"/>
    </row>
    <row r="486" spans="1:7" ht="24" customHeight="1" x14ac:dyDescent="0.4">
      <c r="A486" s="23"/>
      <c r="B486" s="23"/>
      <c r="C486" s="23"/>
      <c r="D486" s="23"/>
      <c r="E486" s="22"/>
      <c r="F486" s="22"/>
      <c r="G486" s="47"/>
    </row>
    <row r="487" spans="1:7" ht="24" customHeight="1" x14ac:dyDescent="0.4">
      <c r="A487" s="23"/>
      <c r="B487" s="23"/>
      <c r="C487" s="23"/>
      <c r="D487" s="23"/>
      <c r="E487" s="22"/>
      <c r="F487" s="22"/>
      <c r="G487" s="47"/>
    </row>
    <row r="488" spans="1:7" ht="24" customHeight="1" x14ac:dyDescent="0.4">
      <c r="A488" s="23"/>
      <c r="B488" s="23"/>
      <c r="C488" s="23"/>
      <c r="D488" s="23"/>
      <c r="E488" s="22"/>
      <c r="F488" s="22"/>
      <c r="G488" s="47"/>
    </row>
    <row r="489" spans="1:7" ht="24" customHeight="1" x14ac:dyDescent="0.4">
      <c r="A489" s="23"/>
      <c r="B489" s="23"/>
      <c r="C489" s="23"/>
      <c r="D489" s="23"/>
      <c r="E489" s="22"/>
      <c r="F489" s="22"/>
      <c r="G489" s="47"/>
    </row>
    <row r="490" spans="1:7" ht="24" customHeight="1" x14ac:dyDescent="0.4">
      <c r="A490" s="23"/>
      <c r="B490" s="23"/>
      <c r="C490" s="23"/>
      <c r="D490" s="23"/>
      <c r="E490" s="22"/>
      <c r="F490" s="22"/>
      <c r="G490" s="47"/>
    </row>
    <row r="491" spans="1:7" ht="24" customHeight="1" x14ac:dyDescent="0.4">
      <c r="A491" s="23"/>
      <c r="B491" s="23"/>
      <c r="C491" s="23"/>
      <c r="D491" s="23"/>
      <c r="E491" s="22"/>
      <c r="F491" s="22"/>
      <c r="G491" s="47"/>
    </row>
    <row r="492" spans="1:7" ht="24" customHeight="1" x14ac:dyDescent="0.4">
      <c r="A492" s="23"/>
      <c r="B492" s="23"/>
      <c r="C492" s="23"/>
      <c r="D492" s="23"/>
      <c r="E492" s="22"/>
      <c r="F492" s="22"/>
      <c r="G492" s="47"/>
    </row>
    <row r="493" spans="1:7" ht="24" customHeight="1" x14ac:dyDescent="0.4">
      <c r="A493" s="23"/>
      <c r="B493" s="23"/>
      <c r="C493" s="23"/>
      <c r="D493" s="23"/>
      <c r="E493" s="22"/>
      <c r="F493" s="22"/>
      <c r="G493" s="47"/>
    </row>
    <row r="494" spans="1:7" ht="24" customHeight="1" x14ac:dyDescent="0.4">
      <c r="A494" s="23"/>
      <c r="B494" s="23"/>
      <c r="C494" s="23"/>
      <c r="D494" s="23"/>
      <c r="E494" s="22"/>
      <c r="F494" s="22"/>
      <c r="G494" s="47"/>
    </row>
    <row r="495" spans="1:7" ht="24" customHeight="1" x14ac:dyDescent="0.4">
      <c r="A495" s="23"/>
      <c r="B495" s="23"/>
      <c r="C495" s="23"/>
      <c r="D495" s="23"/>
      <c r="E495" s="22"/>
      <c r="F495" s="22"/>
      <c r="G495" s="47"/>
    </row>
    <row r="496" spans="1:7" ht="24" customHeight="1" x14ac:dyDescent="0.4">
      <c r="A496" s="23"/>
      <c r="B496" s="23"/>
      <c r="C496" s="23"/>
      <c r="D496" s="23"/>
      <c r="E496" s="22"/>
      <c r="F496" s="22"/>
      <c r="G496" s="47"/>
    </row>
    <row r="497" spans="1:7" ht="24" customHeight="1" x14ac:dyDescent="0.4">
      <c r="A497" s="23"/>
      <c r="B497" s="23"/>
      <c r="C497" s="23"/>
      <c r="D497" s="23"/>
      <c r="E497" s="22"/>
      <c r="F497" s="22"/>
      <c r="G497" s="47"/>
    </row>
    <row r="498" spans="1:7" ht="24" customHeight="1" x14ac:dyDescent="0.4">
      <c r="A498" s="23"/>
      <c r="B498" s="23"/>
      <c r="C498" s="23"/>
      <c r="D498" s="23"/>
      <c r="E498" s="22"/>
      <c r="F498" s="22"/>
      <c r="G498" s="47"/>
    </row>
    <row r="499" spans="1:7" ht="24" customHeight="1" x14ac:dyDescent="0.4">
      <c r="A499" s="23"/>
      <c r="B499" s="23"/>
      <c r="C499" s="23"/>
      <c r="D499" s="23"/>
      <c r="E499" s="22"/>
      <c r="F499" s="22"/>
      <c r="G499" s="47"/>
    </row>
    <row r="500" spans="1:7" ht="24" customHeight="1" x14ac:dyDescent="0.4">
      <c r="A500" s="23"/>
      <c r="B500" s="23"/>
      <c r="C500" s="23"/>
      <c r="D500" s="23"/>
      <c r="E500" s="22"/>
      <c r="F500" s="22"/>
      <c r="G500" s="47"/>
    </row>
    <row r="501" spans="1:7" ht="24" customHeight="1" x14ac:dyDescent="0.4">
      <c r="A501" s="23"/>
      <c r="B501" s="23"/>
      <c r="C501" s="23"/>
      <c r="D501" s="23"/>
      <c r="E501" s="22"/>
      <c r="F501" s="22"/>
      <c r="G501" s="47"/>
    </row>
    <row r="502" spans="1:7" ht="24" customHeight="1" x14ac:dyDescent="0.4">
      <c r="A502" s="23"/>
      <c r="B502" s="23"/>
      <c r="C502" s="23"/>
      <c r="D502" s="23"/>
      <c r="E502" s="22"/>
      <c r="F502" s="22"/>
      <c r="G502" s="47"/>
    </row>
    <row r="503" spans="1:7" ht="24" customHeight="1" x14ac:dyDescent="0.4">
      <c r="A503" s="23"/>
      <c r="B503" s="23"/>
      <c r="C503" s="23"/>
      <c r="D503" s="23"/>
      <c r="E503" s="22"/>
      <c r="F503" s="22"/>
      <c r="G503" s="47"/>
    </row>
    <row r="504" spans="1:7" ht="24" customHeight="1" x14ac:dyDescent="0.4">
      <c r="A504" s="23"/>
      <c r="B504" s="23"/>
      <c r="C504" s="23"/>
      <c r="D504" s="23"/>
      <c r="E504" s="22"/>
      <c r="F504" s="22"/>
      <c r="G504" s="47"/>
    </row>
    <row r="505" spans="1:7" ht="24" customHeight="1" x14ac:dyDescent="0.4">
      <c r="A505" s="23"/>
      <c r="B505" s="23"/>
      <c r="C505" s="23"/>
      <c r="D505" s="23"/>
      <c r="E505" s="22"/>
      <c r="F505" s="22"/>
      <c r="G505" s="47"/>
    </row>
    <row r="506" spans="1:7" ht="24" customHeight="1" x14ac:dyDescent="0.4">
      <c r="A506" s="23"/>
      <c r="B506" s="23"/>
      <c r="C506" s="23"/>
      <c r="D506" s="23"/>
      <c r="E506" s="22"/>
      <c r="F506" s="22"/>
      <c r="G506" s="47"/>
    </row>
    <row r="507" spans="1:7" ht="24" customHeight="1" x14ac:dyDescent="0.4">
      <c r="A507" s="23"/>
      <c r="B507" s="23"/>
      <c r="C507" s="23"/>
      <c r="D507" s="23"/>
      <c r="E507" s="22"/>
      <c r="F507" s="22"/>
      <c r="G507" s="47"/>
    </row>
    <row r="508" spans="1:7" ht="24" customHeight="1" x14ac:dyDescent="0.4">
      <c r="A508" s="23"/>
      <c r="B508" s="23"/>
      <c r="C508" s="23"/>
      <c r="D508" s="23"/>
      <c r="E508" s="22"/>
      <c r="F508" s="22"/>
      <c r="G508" s="47"/>
    </row>
    <row r="509" spans="1:7" ht="24" customHeight="1" x14ac:dyDescent="0.4">
      <c r="A509" s="23"/>
      <c r="B509" s="23"/>
      <c r="C509" s="23"/>
      <c r="D509" s="23"/>
      <c r="E509" s="22"/>
      <c r="F509" s="22"/>
      <c r="G509" s="47"/>
    </row>
    <row r="510" spans="1:7" ht="24" customHeight="1" x14ac:dyDescent="0.4">
      <c r="A510" s="23"/>
      <c r="B510" s="23"/>
      <c r="C510" s="23"/>
      <c r="D510" s="23"/>
      <c r="E510" s="22"/>
      <c r="F510" s="22"/>
      <c r="G510" s="47"/>
    </row>
    <row r="511" spans="1:7" ht="24" customHeight="1" x14ac:dyDescent="0.4">
      <c r="A511" s="23"/>
      <c r="B511" s="23"/>
      <c r="C511" s="23"/>
      <c r="D511" s="23"/>
      <c r="E511" s="22"/>
      <c r="F511" s="22"/>
      <c r="G511" s="47"/>
    </row>
    <row r="512" spans="1:7" ht="24" customHeight="1" x14ac:dyDescent="0.4">
      <c r="A512" s="23"/>
      <c r="B512" s="23"/>
      <c r="C512" s="23"/>
      <c r="D512" s="23"/>
      <c r="E512" s="22"/>
      <c r="F512" s="22"/>
      <c r="G512" s="47"/>
    </row>
    <row r="513" spans="1:7" ht="24" customHeight="1" x14ac:dyDescent="0.4">
      <c r="A513" s="23"/>
      <c r="B513" s="23"/>
      <c r="C513" s="23"/>
      <c r="D513" s="23"/>
      <c r="E513" s="22"/>
      <c r="F513" s="22"/>
      <c r="G513" s="47"/>
    </row>
    <row r="514" spans="1:7" ht="24" customHeight="1" x14ac:dyDescent="0.4">
      <c r="A514" s="23"/>
      <c r="B514" s="23"/>
      <c r="C514" s="23"/>
      <c r="D514" s="23"/>
      <c r="E514" s="22"/>
      <c r="F514" s="22"/>
      <c r="G514" s="47"/>
    </row>
    <row r="515" spans="1:7" ht="24" customHeight="1" x14ac:dyDescent="0.4">
      <c r="A515" s="23"/>
      <c r="B515" s="23"/>
      <c r="C515" s="23"/>
      <c r="D515" s="23"/>
      <c r="E515" s="22"/>
      <c r="F515" s="22"/>
      <c r="G515" s="47"/>
    </row>
    <row r="516" spans="1:7" ht="24" customHeight="1" x14ac:dyDescent="0.4">
      <c r="A516" s="23"/>
      <c r="B516" s="23"/>
      <c r="C516" s="23"/>
      <c r="D516" s="23"/>
      <c r="E516" s="22"/>
      <c r="F516" s="22"/>
      <c r="G516" s="47"/>
    </row>
    <row r="517" spans="1:7" ht="24" customHeight="1" x14ac:dyDescent="0.4">
      <c r="A517" s="23"/>
      <c r="B517" s="23"/>
      <c r="C517" s="23"/>
      <c r="D517" s="23"/>
      <c r="E517" s="22"/>
      <c r="F517" s="22"/>
      <c r="G517" s="47"/>
    </row>
    <row r="518" spans="1:7" ht="24" customHeight="1" x14ac:dyDescent="0.4">
      <c r="A518" s="23"/>
      <c r="B518" s="23"/>
      <c r="C518" s="23"/>
      <c r="D518" s="23"/>
      <c r="E518" s="22"/>
      <c r="F518" s="22"/>
      <c r="G518" s="47"/>
    </row>
    <row r="519" spans="1:7" ht="24" customHeight="1" x14ac:dyDescent="0.4">
      <c r="A519" s="23"/>
      <c r="B519" s="23"/>
      <c r="C519" s="23"/>
      <c r="D519" s="23"/>
      <c r="E519" s="22"/>
      <c r="F519" s="22"/>
      <c r="G519" s="47"/>
    </row>
    <row r="520" spans="1:7" ht="24" customHeight="1" x14ac:dyDescent="0.4">
      <c r="A520" s="23"/>
      <c r="B520" s="23"/>
      <c r="C520" s="23"/>
      <c r="D520" s="23"/>
      <c r="E520" s="22"/>
      <c r="F520" s="22"/>
      <c r="G520" s="47"/>
    </row>
    <row r="521" spans="1:7" ht="24" customHeight="1" x14ac:dyDescent="0.4">
      <c r="A521" s="23"/>
      <c r="B521" s="23"/>
      <c r="C521" s="23"/>
      <c r="D521" s="23"/>
      <c r="E521" s="22"/>
      <c r="F521" s="22"/>
      <c r="G521" s="47"/>
    </row>
    <row r="522" spans="1:7" ht="24" customHeight="1" x14ac:dyDescent="0.4">
      <c r="A522" s="23"/>
      <c r="B522" s="23"/>
      <c r="C522" s="23"/>
      <c r="D522" s="23"/>
      <c r="E522" s="22"/>
      <c r="F522" s="22"/>
      <c r="G522" s="47"/>
    </row>
    <row r="523" spans="1:7" ht="24" customHeight="1" x14ac:dyDescent="0.4">
      <c r="A523" s="23"/>
      <c r="B523" s="23"/>
      <c r="C523" s="23"/>
      <c r="D523" s="23"/>
      <c r="E523" s="22"/>
      <c r="F523" s="22"/>
      <c r="G523" s="47"/>
    </row>
    <row r="524" spans="1:7" ht="24" customHeight="1" x14ac:dyDescent="0.4">
      <c r="A524" s="23"/>
      <c r="B524" s="23"/>
      <c r="C524" s="23"/>
      <c r="D524" s="23"/>
      <c r="E524" s="22"/>
      <c r="F524" s="22"/>
      <c r="G524" s="47"/>
    </row>
    <row r="525" spans="1:7" ht="24" customHeight="1" x14ac:dyDescent="0.4">
      <c r="A525" s="23"/>
      <c r="B525" s="23"/>
      <c r="C525" s="23"/>
      <c r="D525" s="23"/>
      <c r="E525" s="22"/>
      <c r="F525" s="22"/>
      <c r="G525" s="47"/>
    </row>
    <row r="526" spans="1:7" ht="24" customHeight="1" x14ac:dyDescent="0.4">
      <c r="A526" s="23"/>
      <c r="B526" s="23"/>
      <c r="C526" s="23"/>
      <c r="D526" s="23"/>
      <c r="E526" s="22"/>
      <c r="F526" s="22"/>
      <c r="G526" s="47"/>
    </row>
    <row r="527" spans="1:7" ht="24" customHeight="1" x14ac:dyDescent="0.4">
      <c r="A527" s="23"/>
      <c r="B527" s="23"/>
      <c r="C527" s="23"/>
      <c r="D527" s="23"/>
      <c r="E527" s="22"/>
      <c r="F527" s="22"/>
      <c r="G527" s="47"/>
    </row>
    <row r="528" spans="1:7" ht="24" customHeight="1" x14ac:dyDescent="0.4">
      <c r="A528" s="23"/>
      <c r="B528" s="23"/>
      <c r="C528" s="23"/>
      <c r="D528" s="23"/>
      <c r="E528" s="22"/>
      <c r="F528" s="22"/>
      <c r="G528" s="47"/>
    </row>
    <row r="529" spans="1:7" ht="24" customHeight="1" x14ac:dyDescent="0.4">
      <c r="A529" s="23"/>
      <c r="B529" s="23"/>
      <c r="C529" s="23"/>
      <c r="D529" s="23"/>
      <c r="E529" s="22"/>
      <c r="F529" s="22"/>
      <c r="G529" s="47"/>
    </row>
    <row r="530" spans="1:7" ht="24" customHeight="1" x14ac:dyDescent="0.4">
      <c r="A530" s="23"/>
      <c r="B530" s="23"/>
      <c r="C530" s="23"/>
      <c r="D530" s="23"/>
      <c r="E530" s="22"/>
      <c r="F530" s="22"/>
      <c r="G530" s="47"/>
    </row>
    <row r="531" spans="1:7" ht="24" customHeight="1" x14ac:dyDescent="0.4">
      <c r="A531" s="23"/>
      <c r="B531" s="23"/>
      <c r="C531" s="23"/>
      <c r="D531" s="23"/>
      <c r="E531" s="22"/>
      <c r="F531" s="22"/>
      <c r="G531" s="47"/>
    </row>
    <row r="532" spans="1:7" ht="24" customHeight="1" x14ac:dyDescent="0.4">
      <c r="A532" s="23"/>
      <c r="B532" s="23"/>
      <c r="C532" s="23"/>
      <c r="D532" s="23"/>
      <c r="E532" s="22"/>
      <c r="F532" s="22"/>
      <c r="G532" s="47"/>
    </row>
    <row r="533" spans="1:7" ht="24" customHeight="1" x14ac:dyDescent="0.4">
      <c r="A533" s="23"/>
      <c r="B533" s="23"/>
      <c r="C533" s="23"/>
      <c r="D533" s="23"/>
      <c r="E533" s="22"/>
      <c r="F533" s="22"/>
      <c r="G533" s="47"/>
    </row>
    <row r="534" spans="1:7" ht="24" customHeight="1" x14ac:dyDescent="0.4">
      <c r="A534" s="23"/>
      <c r="B534" s="23"/>
      <c r="C534" s="23"/>
      <c r="D534" s="23"/>
      <c r="E534" s="22"/>
      <c r="F534" s="22"/>
      <c r="G534" s="47"/>
    </row>
    <row r="535" spans="1:7" ht="24" customHeight="1" x14ac:dyDescent="0.4">
      <c r="A535" s="23"/>
      <c r="B535" s="23"/>
      <c r="C535" s="23"/>
      <c r="D535" s="23"/>
      <c r="E535" s="22"/>
      <c r="F535" s="22"/>
      <c r="G535" s="47"/>
    </row>
    <row r="536" spans="1:7" ht="24" customHeight="1" x14ac:dyDescent="0.4">
      <c r="A536" s="23"/>
      <c r="B536" s="23"/>
      <c r="C536" s="23"/>
      <c r="D536" s="23"/>
      <c r="E536" s="22"/>
      <c r="F536" s="22"/>
      <c r="G536" s="47"/>
    </row>
    <row r="537" spans="1:7" ht="24" customHeight="1" x14ac:dyDescent="0.4">
      <c r="A537" s="23"/>
      <c r="B537" s="23"/>
      <c r="C537" s="23"/>
      <c r="D537" s="23"/>
      <c r="E537" s="22"/>
      <c r="F537" s="22"/>
      <c r="G537" s="47"/>
    </row>
    <row r="538" spans="1:7" ht="24" customHeight="1" x14ac:dyDescent="0.4">
      <c r="A538" s="23"/>
      <c r="B538" s="23"/>
      <c r="C538" s="23"/>
      <c r="D538" s="23"/>
      <c r="E538" s="22"/>
      <c r="F538" s="22"/>
      <c r="G538" s="47"/>
    </row>
    <row r="539" spans="1:7" ht="24" customHeight="1" x14ac:dyDescent="0.4">
      <c r="A539" s="23"/>
      <c r="B539" s="23"/>
      <c r="C539" s="23"/>
      <c r="D539" s="23"/>
      <c r="E539" s="22"/>
      <c r="F539" s="22"/>
      <c r="G539" s="47"/>
    </row>
    <row r="540" spans="1:7" ht="24" customHeight="1" x14ac:dyDescent="0.4">
      <c r="A540" s="23"/>
      <c r="B540" s="23"/>
      <c r="C540" s="23"/>
      <c r="D540" s="23"/>
      <c r="E540" s="22"/>
      <c r="F540" s="22"/>
      <c r="G540" s="47"/>
    </row>
    <row r="541" spans="1:7" ht="24" customHeight="1" x14ac:dyDescent="0.4">
      <c r="A541" s="23"/>
      <c r="B541" s="23"/>
      <c r="C541" s="23"/>
      <c r="D541" s="23"/>
      <c r="E541" s="22"/>
      <c r="F541" s="22"/>
      <c r="G541" s="47"/>
    </row>
    <row r="542" spans="1:7" ht="24" customHeight="1" x14ac:dyDescent="0.4">
      <c r="A542" s="23"/>
      <c r="B542" s="23"/>
      <c r="C542" s="23"/>
      <c r="D542" s="23"/>
      <c r="E542" s="22"/>
      <c r="F542" s="22"/>
      <c r="G542" s="47"/>
    </row>
    <row r="543" spans="1:7" ht="24" customHeight="1" x14ac:dyDescent="0.4">
      <c r="A543" s="23"/>
      <c r="B543" s="23"/>
      <c r="C543" s="23"/>
      <c r="D543" s="23"/>
      <c r="E543" s="22"/>
      <c r="F543" s="22"/>
      <c r="G543" s="47"/>
    </row>
    <row r="544" spans="1:7" ht="24" customHeight="1" x14ac:dyDescent="0.4">
      <c r="A544" s="23"/>
      <c r="B544" s="23"/>
      <c r="C544" s="23"/>
      <c r="D544" s="23"/>
      <c r="E544" s="22"/>
      <c r="F544" s="22"/>
      <c r="G544" s="47"/>
    </row>
    <row r="545" spans="1:7" ht="24" customHeight="1" x14ac:dyDescent="0.4">
      <c r="A545" s="23"/>
      <c r="B545" s="23"/>
      <c r="C545" s="23"/>
      <c r="D545" s="23"/>
      <c r="E545" s="22"/>
      <c r="F545" s="22"/>
      <c r="G545" s="47"/>
    </row>
    <row r="546" spans="1:7" ht="24" customHeight="1" x14ac:dyDescent="0.4">
      <c r="A546" s="23"/>
      <c r="B546" s="23"/>
      <c r="C546" s="23"/>
      <c r="D546" s="23"/>
      <c r="E546" s="22"/>
      <c r="F546" s="22"/>
      <c r="G546" s="47"/>
    </row>
    <row r="547" spans="1:7" ht="24" customHeight="1" x14ac:dyDescent="0.4">
      <c r="A547" s="23"/>
      <c r="B547" s="23"/>
      <c r="C547" s="23"/>
      <c r="D547" s="23"/>
      <c r="E547" s="22"/>
      <c r="F547" s="22"/>
      <c r="G547" s="47"/>
    </row>
    <row r="548" spans="1:7" ht="24" customHeight="1" x14ac:dyDescent="0.4">
      <c r="A548" s="23"/>
      <c r="B548" s="23"/>
      <c r="C548" s="23"/>
      <c r="D548" s="23"/>
      <c r="E548" s="22"/>
      <c r="F548" s="22"/>
      <c r="G548" s="47"/>
    </row>
    <row r="549" spans="1:7" ht="24" customHeight="1" x14ac:dyDescent="0.4">
      <c r="A549" s="23"/>
      <c r="B549" s="23"/>
      <c r="C549" s="23"/>
      <c r="D549" s="23"/>
      <c r="E549" s="22"/>
      <c r="F549" s="22"/>
      <c r="G549" s="47"/>
    </row>
    <row r="550" spans="1:7" ht="24" customHeight="1" x14ac:dyDescent="0.4">
      <c r="A550" s="23"/>
      <c r="B550" s="23"/>
      <c r="C550" s="23"/>
      <c r="D550" s="23"/>
      <c r="E550" s="22"/>
      <c r="F550" s="22"/>
      <c r="G550" s="47"/>
    </row>
    <row r="551" spans="1:7" ht="24" customHeight="1" x14ac:dyDescent="0.4">
      <c r="A551" s="23"/>
      <c r="B551" s="23"/>
      <c r="C551" s="23"/>
      <c r="D551" s="23"/>
      <c r="E551" s="22"/>
      <c r="F551" s="22"/>
      <c r="G551" s="47"/>
    </row>
    <row r="552" spans="1:7" ht="24" customHeight="1" x14ac:dyDescent="0.4">
      <c r="A552" s="23"/>
      <c r="B552" s="23"/>
      <c r="C552" s="23"/>
      <c r="D552" s="23"/>
      <c r="E552" s="22"/>
      <c r="F552" s="22"/>
      <c r="G552" s="47"/>
    </row>
    <row r="553" spans="1:7" ht="24" customHeight="1" x14ac:dyDescent="0.4">
      <c r="A553" s="23"/>
      <c r="B553" s="23"/>
      <c r="C553" s="23"/>
      <c r="D553" s="23"/>
      <c r="E553" s="22"/>
      <c r="F553" s="22"/>
      <c r="G553" s="47"/>
    </row>
    <row r="554" spans="1:7" ht="24" customHeight="1" x14ac:dyDescent="0.4">
      <c r="A554" s="23"/>
      <c r="B554" s="23"/>
      <c r="C554" s="23"/>
      <c r="D554" s="23"/>
      <c r="E554" s="22"/>
      <c r="F554" s="22"/>
      <c r="G554" s="47"/>
    </row>
    <row r="555" spans="1:7" ht="24" customHeight="1" x14ac:dyDescent="0.4">
      <c r="A555" s="23"/>
      <c r="B555" s="23"/>
      <c r="C555" s="23"/>
      <c r="D555" s="23"/>
      <c r="E555" s="22"/>
      <c r="F555" s="22"/>
      <c r="G555" s="47"/>
    </row>
    <row r="556" spans="1:7" ht="24" customHeight="1" x14ac:dyDescent="0.4">
      <c r="A556" s="23"/>
      <c r="B556" s="23"/>
      <c r="C556" s="23"/>
      <c r="D556" s="23"/>
      <c r="E556" s="22"/>
      <c r="F556" s="22"/>
      <c r="G556" s="47"/>
    </row>
    <row r="557" spans="1:7" ht="24" customHeight="1" x14ac:dyDescent="0.4">
      <c r="A557" s="23"/>
      <c r="B557" s="23"/>
      <c r="C557" s="23"/>
      <c r="D557" s="23"/>
      <c r="E557" s="22"/>
      <c r="F557" s="22"/>
      <c r="G557" s="47"/>
    </row>
    <row r="558" spans="1:7" ht="24" customHeight="1" x14ac:dyDescent="0.4">
      <c r="A558" s="23"/>
      <c r="B558" s="23"/>
      <c r="C558" s="23"/>
      <c r="D558" s="23"/>
      <c r="E558" s="22"/>
      <c r="F558" s="22"/>
      <c r="G558" s="47"/>
    </row>
    <row r="559" spans="1:7" ht="24" customHeight="1" x14ac:dyDescent="0.4">
      <c r="A559" s="23"/>
      <c r="B559" s="23"/>
      <c r="C559" s="23"/>
      <c r="D559" s="23"/>
      <c r="E559" s="22"/>
      <c r="F559" s="22"/>
      <c r="G559" s="47"/>
    </row>
    <row r="560" spans="1:7" ht="24" customHeight="1" x14ac:dyDescent="0.4">
      <c r="A560" s="23"/>
      <c r="B560" s="23"/>
      <c r="C560" s="23"/>
      <c r="D560" s="23"/>
      <c r="E560" s="22"/>
      <c r="F560" s="22"/>
      <c r="G560" s="47"/>
    </row>
    <row r="561" spans="1:7" ht="24" customHeight="1" x14ac:dyDescent="0.4">
      <c r="A561" s="23"/>
      <c r="B561" s="23"/>
      <c r="C561" s="23"/>
      <c r="D561" s="23"/>
      <c r="E561" s="22"/>
      <c r="F561" s="22"/>
      <c r="G561" s="47"/>
    </row>
    <row r="562" spans="1:7" ht="24" customHeight="1" x14ac:dyDescent="0.4">
      <c r="A562" s="23"/>
      <c r="B562" s="23"/>
      <c r="C562" s="23"/>
      <c r="D562" s="23"/>
      <c r="E562" s="22"/>
      <c r="F562" s="22"/>
      <c r="G562" s="47"/>
    </row>
    <row r="563" spans="1:7" ht="24" customHeight="1" x14ac:dyDescent="0.4">
      <c r="A563" s="23"/>
      <c r="B563" s="23"/>
      <c r="C563" s="23"/>
      <c r="D563" s="23"/>
      <c r="E563" s="22"/>
      <c r="F563" s="22"/>
      <c r="G563" s="47"/>
    </row>
    <row r="564" spans="1:7" ht="24" customHeight="1" x14ac:dyDescent="0.4">
      <c r="A564" s="23"/>
      <c r="B564" s="23"/>
      <c r="C564" s="23"/>
      <c r="D564" s="23"/>
      <c r="E564" s="22"/>
      <c r="F564" s="22"/>
      <c r="G564" s="47"/>
    </row>
    <row r="565" spans="1:7" ht="24" customHeight="1" x14ac:dyDescent="0.4">
      <c r="A565" s="23"/>
      <c r="B565" s="23"/>
      <c r="C565" s="23"/>
      <c r="D565" s="23"/>
      <c r="E565" s="22"/>
      <c r="F565" s="22"/>
      <c r="G565" s="47"/>
    </row>
    <row r="566" spans="1:7" ht="24" customHeight="1" x14ac:dyDescent="0.4">
      <c r="A566" s="23"/>
      <c r="B566" s="23"/>
      <c r="C566" s="23"/>
      <c r="D566" s="23"/>
      <c r="E566" s="22"/>
      <c r="F566" s="22"/>
      <c r="G566" s="47"/>
    </row>
    <row r="567" spans="1:7" ht="24" customHeight="1" x14ac:dyDescent="0.4">
      <c r="A567" s="23"/>
      <c r="B567" s="23"/>
      <c r="C567" s="23"/>
      <c r="D567" s="23"/>
      <c r="E567" s="22"/>
      <c r="F567" s="22"/>
      <c r="G567" s="47"/>
    </row>
    <row r="568" spans="1:7" ht="24" customHeight="1" x14ac:dyDescent="0.4">
      <c r="A568" s="23"/>
      <c r="B568" s="23"/>
      <c r="C568" s="23"/>
      <c r="D568" s="23"/>
      <c r="E568" s="22"/>
      <c r="F568" s="22"/>
      <c r="G568" s="47"/>
    </row>
    <row r="569" spans="1:7" ht="24" customHeight="1" x14ac:dyDescent="0.4">
      <c r="A569" s="23"/>
      <c r="B569" s="23"/>
      <c r="C569" s="23"/>
      <c r="D569" s="23"/>
      <c r="E569" s="22"/>
      <c r="F569" s="22"/>
      <c r="G569" s="47"/>
    </row>
    <row r="570" spans="1:7" ht="24" customHeight="1" x14ac:dyDescent="0.4">
      <c r="A570" s="23"/>
      <c r="B570" s="23"/>
      <c r="C570" s="23"/>
      <c r="D570" s="23"/>
      <c r="E570" s="22"/>
      <c r="F570" s="22"/>
      <c r="G570" s="47"/>
    </row>
    <row r="571" spans="1:7" ht="24" customHeight="1" x14ac:dyDescent="0.4">
      <c r="A571" s="23"/>
      <c r="B571" s="23"/>
      <c r="C571" s="23"/>
      <c r="D571" s="23"/>
      <c r="E571" s="22"/>
      <c r="F571" s="22"/>
      <c r="G571" s="47"/>
    </row>
    <row r="572" spans="1:7" ht="24" customHeight="1" x14ac:dyDescent="0.4">
      <c r="A572" s="23"/>
      <c r="B572" s="23"/>
      <c r="C572" s="23"/>
      <c r="D572" s="23"/>
      <c r="E572" s="22"/>
      <c r="F572" s="22"/>
      <c r="G572" s="47"/>
    </row>
    <row r="573" spans="1:7" ht="24" customHeight="1" x14ac:dyDescent="0.4">
      <c r="A573" s="23"/>
      <c r="B573" s="23"/>
      <c r="C573" s="23"/>
      <c r="D573" s="23"/>
      <c r="E573" s="22"/>
      <c r="F573" s="22"/>
      <c r="G573" s="47"/>
    </row>
    <row r="574" spans="1:7" ht="24" customHeight="1" x14ac:dyDescent="0.4">
      <c r="A574" s="23"/>
      <c r="B574" s="23"/>
      <c r="C574" s="23"/>
      <c r="D574" s="23"/>
      <c r="E574" s="22"/>
      <c r="F574" s="22"/>
      <c r="G574" s="47"/>
    </row>
    <row r="575" spans="1:7" ht="24" customHeight="1" x14ac:dyDescent="0.4">
      <c r="A575" s="23"/>
      <c r="B575" s="23"/>
      <c r="C575" s="23"/>
      <c r="D575" s="23"/>
      <c r="E575" s="22"/>
      <c r="F575" s="22"/>
      <c r="G575" s="47"/>
    </row>
    <row r="576" spans="1:7" ht="24" customHeight="1" x14ac:dyDescent="0.4">
      <c r="A576" s="23"/>
      <c r="B576" s="23"/>
      <c r="C576" s="23"/>
      <c r="D576" s="23"/>
      <c r="E576" s="22"/>
      <c r="F576" s="22"/>
      <c r="G576" s="47"/>
    </row>
    <row r="577" spans="1:7" ht="24" customHeight="1" x14ac:dyDescent="0.4">
      <c r="A577" s="23"/>
      <c r="B577" s="23"/>
      <c r="C577" s="23"/>
      <c r="D577" s="23"/>
      <c r="E577" s="22"/>
      <c r="F577" s="22"/>
      <c r="G577" s="47"/>
    </row>
    <row r="578" spans="1:7" ht="24" customHeight="1" x14ac:dyDescent="0.4">
      <c r="A578" s="23"/>
      <c r="B578" s="23"/>
      <c r="C578" s="23"/>
      <c r="D578" s="23"/>
      <c r="E578" s="22"/>
      <c r="F578" s="22"/>
      <c r="G578" s="47"/>
    </row>
    <row r="579" spans="1:7" ht="24" customHeight="1" x14ac:dyDescent="0.4">
      <c r="A579" s="23"/>
      <c r="B579" s="23"/>
      <c r="C579" s="23"/>
      <c r="D579" s="23"/>
      <c r="E579" s="22"/>
      <c r="F579" s="22"/>
      <c r="G579" s="47"/>
    </row>
    <row r="580" spans="1:7" ht="24" customHeight="1" x14ac:dyDescent="0.4">
      <c r="A580" s="23"/>
      <c r="B580" s="23"/>
      <c r="C580" s="23"/>
      <c r="D580" s="23"/>
      <c r="E580" s="22"/>
      <c r="F580" s="22"/>
      <c r="G580" s="47"/>
    </row>
    <row r="581" spans="1:7" ht="24" customHeight="1" x14ac:dyDescent="0.4">
      <c r="A581" s="23"/>
      <c r="B581" s="23"/>
      <c r="C581" s="23"/>
      <c r="D581" s="23"/>
      <c r="E581" s="22"/>
      <c r="F581" s="22"/>
      <c r="G581" s="47"/>
    </row>
    <row r="582" spans="1:7" ht="24" customHeight="1" x14ac:dyDescent="0.4">
      <c r="A582" s="23"/>
      <c r="B582" s="23"/>
      <c r="C582" s="23"/>
      <c r="D582" s="23"/>
      <c r="E582" s="22"/>
      <c r="F582" s="22"/>
      <c r="G582" s="47"/>
    </row>
    <row r="583" spans="1:7" ht="24" customHeight="1" x14ac:dyDescent="0.4">
      <c r="A583" s="23"/>
      <c r="B583" s="23"/>
      <c r="C583" s="23"/>
      <c r="D583" s="23"/>
      <c r="E583" s="22"/>
      <c r="F583" s="22"/>
      <c r="G583" s="47"/>
    </row>
    <row r="584" spans="1:7" ht="24" customHeight="1" x14ac:dyDescent="0.4">
      <c r="A584" s="23"/>
      <c r="B584" s="23"/>
      <c r="C584" s="23"/>
      <c r="D584" s="23"/>
      <c r="E584" s="22"/>
      <c r="F584" s="22"/>
      <c r="G584" s="47"/>
    </row>
    <row r="585" spans="1:7" ht="24" customHeight="1" x14ac:dyDescent="0.4">
      <c r="A585" s="23"/>
      <c r="B585" s="23"/>
      <c r="C585" s="23"/>
      <c r="D585" s="23"/>
      <c r="E585" s="22"/>
      <c r="F585" s="22"/>
      <c r="G585" s="47"/>
    </row>
    <row r="586" spans="1:7" ht="24" customHeight="1" x14ac:dyDescent="0.4">
      <c r="A586" s="23"/>
      <c r="B586" s="23"/>
      <c r="C586" s="23"/>
      <c r="D586" s="23"/>
      <c r="E586" s="22"/>
      <c r="F586" s="22"/>
      <c r="G586" s="47"/>
    </row>
    <row r="587" spans="1:7" ht="24" customHeight="1" x14ac:dyDescent="0.4">
      <c r="A587" s="23"/>
      <c r="B587" s="23"/>
      <c r="C587" s="23"/>
      <c r="D587" s="23"/>
      <c r="E587" s="22"/>
      <c r="F587" s="22"/>
      <c r="G587" s="47"/>
    </row>
    <row r="588" spans="1:7" ht="24" customHeight="1" x14ac:dyDescent="0.4">
      <c r="A588" s="23"/>
      <c r="B588" s="23"/>
      <c r="C588" s="23"/>
      <c r="D588" s="23"/>
      <c r="E588" s="22"/>
      <c r="F588" s="22"/>
      <c r="G588" s="47"/>
    </row>
    <row r="589" spans="1:7" ht="24" customHeight="1" x14ac:dyDescent="0.4">
      <c r="A589" s="23"/>
      <c r="B589" s="23"/>
      <c r="C589" s="23"/>
      <c r="D589" s="23"/>
      <c r="E589" s="22"/>
      <c r="F589" s="22"/>
      <c r="G589" s="47"/>
    </row>
    <row r="590" spans="1:7" ht="24" customHeight="1" x14ac:dyDescent="0.4">
      <c r="A590" s="23"/>
      <c r="B590" s="23"/>
      <c r="C590" s="23"/>
      <c r="D590" s="23"/>
      <c r="E590" s="22"/>
      <c r="F590" s="22"/>
      <c r="G590" s="47"/>
    </row>
    <row r="591" spans="1:7" ht="24" customHeight="1" x14ac:dyDescent="0.4">
      <c r="A591" s="23"/>
      <c r="B591" s="23"/>
      <c r="C591" s="23"/>
      <c r="D591" s="23"/>
      <c r="E591" s="22"/>
      <c r="F591" s="22"/>
      <c r="G591" s="47"/>
    </row>
    <row r="592" spans="1:7" ht="24" customHeight="1" x14ac:dyDescent="0.4">
      <c r="A592" s="23"/>
      <c r="B592" s="23"/>
      <c r="C592" s="23"/>
      <c r="D592" s="23"/>
      <c r="E592" s="22"/>
      <c r="F592" s="22"/>
      <c r="G592" s="47"/>
    </row>
    <row r="593" spans="1:7" ht="24" customHeight="1" x14ac:dyDescent="0.4">
      <c r="A593" s="23"/>
      <c r="B593" s="23"/>
      <c r="C593" s="23"/>
      <c r="D593" s="23"/>
      <c r="E593" s="22"/>
      <c r="F593" s="22"/>
      <c r="G593" s="47"/>
    </row>
    <row r="594" spans="1:7" ht="24" customHeight="1" x14ac:dyDescent="0.4">
      <c r="A594" s="23"/>
      <c r="B594" s="23"/>
      <c r="C594" s="23"/>
      <c r="D594" s="23"/>
      <c r="E594" s="22"/>
      <c r="F594" s="22"/>
      <c r="G594" s="47"/>
    </row>
    <row r="595" spans="1:7" ht="24" customHeight="1" x14ac:dyDescent="0.4">
      <c r="A595" s="23"/>
      <c r="B595" s="23"/>
      <c r="C595" s="23"/>
      <c r="D595" s="23"/>
      <c r="E595" s="22"/>
      <c r="F595" s="22"/>
      <c r="G595" s="47"/>
    </row>
    <row r="596" spans="1:7" ht="24" customHeight="1" x14ac:dyDescent="0.4">
      <c r="A596" s="23"/>
      <c r="B596" s="23"/>
      <c r="C596" s="23"/>
      <c r="D596" s="23"/>
      <c r="E596" s="22"/>
      <c r="F596" s="22"/>
      <c r="G596" s="47"/>
    </row>
    <row r="597" spans="1:7" ht="24" customHeight="1" x14ac:dyDescent="0.4">
      <c r="A597" s="23"/>
      <c r="B597" s="23"/>
      <c r="C597" s="23"/>
      <c r="D597" s="23"/>
      <c r="E597" s="22"/>
      <c r="F597" s="22"/>
      <c r="G597" s="47"/>
    </row>
    <row r="598" spans="1:7" ht="24" customHeight="1" x14ac:dyDescent="0.4">
      <c r="A598" s="23"/>
      <c r="B598" s="23"/>
      <c r="C598" s="23"/>
      <c r="D598" s="23"/>
      <c r="E598" s="22"/>
      <c r="F598" s="22"/>
      <c r="G598" s="47"/>
    </row>
    <row r="599" spans="1:7" ht="24" customHeight="1" x14ac:dyDescent="0.4">
      <c r="A599" s="23"/>
      <c r="B599" s="23"/>
      <c r="C599" s="23"/>
      <c r="D599" s="23"/>
      <c r="E599" s="22"/>
      <c r="F599" s="22"/>
      <c r="G599" s="47"/>
    </row>
    <row r="600" spans="1:7" ht="24" customHeight="1" x14ac:dyDescent="0.4">
      <c r="A600" s="23"/>
      <c r="B600" s="23"/>
      <c r="C600" s="23"/>
      <c r="D600" s="23"/>
      <c r="E600" s="22"/>
      <c r="F600" s="22"/>
      <c r="G600" s="47"/>
    </row>
    <row r="601" spans="1:7" ht="24" customHeight="1" x14ac:dyDescent="0.4">
      <c r="A601" s="23"/>
      <c r="B601" s="23"/>
      <c r="C601" s="23"/>
      <c r="D601" s="23"/>
      <c r="E601" s="22"/>
      <c r="F601" s="22"/>
      <c r="G601" s="47"/>
    </row>
    <row r="602" spans="1:7" ht="24" customHeight="1" x14ac:dyDescent="0.4">
      <c r="A602" s="23"/>
      <c r="B602" s="23"/>
      <c r="C602" s="23"/>
      <c r="D602" s="23"/>
      <c r="E602" s="22"/>
      <c r="F602" s="22"/>
      <c r="G602" s="47"/>
    </row>
    <row r="603" spans="1:7" ht="24" customHeight="1" x14ac:dyDescent="0.4">
      <c r="A603" s="23"/>
      <c r="B603" s="23"/>
      <c r="C603" s="23"/>
      <c r="D603" s="23"/>
      <c r="E603" s="22"/>
      <c r="F603" s="22"/>
      <c r="G603" s="47"/>
    </row>
    <row r="604" spans="1:7" ht="24" customHeight="1" x14ac:dyDescent="0.4">
      <c r="A604" s="23"/>
      <c r="B604" s="23"/>
      <c r="C604" s="23"/>
      <c r="D604" s="23"/>
      <c r="E604" s="22"/>
      <c r="F604" s="22"/>
      <c r="G604" s="47"/>
    </row>
    <row r="605" spans="1:7" ht="24" customHeight="1" x14ac:dyDescent="0.4">
      <c r="A605" s="23"/>
      <c r="B605" s="23"/>
      <c r="C605" s="23"/>
      <c r="D605" s="23"/>
      <c r="E605" s="22"/>
      <c r="F605" s="22"/>
      <c r="G605" s="47"/>
    </row>
    <row r="606" spans="1:7" ht="24" customHeight="1" x14ac:dyDescent="0.4">
      <c r="A606" s="23"/>
      <c r="B606" s="23"/>
      <c r="C606" s="23"/>
      <c r="D606" s="23"/>
      <c r="E606" s="22"/>
      <c r="F606" s="22"/>
      <c r="G606" s="47"/>
    </row>
    <row r="607" spans="1:7" ht="24" customHeight="1" x14ac:dyDescent="0.4">
      <c r="A607" s="23"/>
      <c r="B607" s="23"/>
      <c r="C607" s="23"/>
      <c r="D607" s="23"/>
      <c r="E607" s="22"/>
      <c r="F607" s="22"/>
      <c r="G607" s="47"/>
    </row>
    <row r="608" spans="1:7" ht="24" customHeight="1" x14ac:dyDescent="0.4">
      <c r="A608" s="23"/>
      <c r="B608" s="23"/>
      <c r="C608" s="23"/>
      <c r="D608" s="23"/>
      <c r="E608" s="22"/>
      <c r="F608" s="22"/>
      <c r="G608" s="47"/>
    </row>
    <row r="609" spans="1:7" ht="24" customHeight="1" x14ac:dyDescent="0.4">
      <c r="A609" s="23"/>
      <c r="B609" s="23"/>
      <c r="C609" s="23"/>
      <c r="D609" s="23"/>
      <c r="E609" s="22"/>
      <c r="F609" s="22"/>
      <c r="G609" s="47"/>
    </row>
    <row r="610" spans="1:7" ht="24" customHeight="1" x14ac:dyDescent="0.4">
      <c r="A610" s="23"/>
      <c r="B610" s="23"/>
      <c r="C610" s="23"/>
      <c r="D610" s="23"/>
      <c r="E610" s="22"/>
      <c r="F610" s="22"/>
      <c r="G610" s="47"/>
    </row>
    <row r="611" spans="1:7" ht="24" customHeight="1" x14ac:dyDescent="0.4">
      <c r="A611" s="23"/>
      <c r="B611" s="23"/>
      <c r="C611" s="23"/>
      <c r="D611" s="23"/>
      <c r="E611" s="22"/>
      <c r="F611" s="22"/>
      <c r="G611" s="47"/>
    </row>
    <row r="612" spans="1:7" ht="24" customHeight="1" x14ac:dyDescent="0.4">
      <c r="A612" s="23"/>
      <c r="B612" s="23"/>
      <c r="C612" s="23"/>
      <c r="D612" s="23"/>
      <c r="E612" s="22"/>
      <c r="F612" s="22"/>
      <c r="G612" s="47"/>
    </row>
    <row r="613" spans="1:7" ht="24" customHeight="1" x14ac:dyDescent="0.4">
      <c r="A613" s="23"/>
      <c r="B613" s="23"/>
      <c r="C613" s="23"/>
      <c r="D613" s="23"/>
      <c r="E613" s="22"/>
      <c r="F613" s="22"/>
      <c r="G613" s="47"/>
    </row>
    <row r="614" spans="1:7" ht="24" customHeight="1" x14ac:dyDescent="0.4">
      <c r="A614" s="23"/>
      <c r="B614" s="23"/>
      <c r="C614" s="23"/>
      <c r="D614" s="23"/>
      <c r="E614" s="22"/>
      <c r="F614" s="22"/>
      <c r="G614" s="47"/>
    </row>
    <row r="615" spans="1:7" ht="24" customHeight="1" x14ac:dyDescent="0.4">
      <c r="A615" s="23"/>
      <c r="B615" s="23"/>
      <c r="C615" s="23"/>
      <c r="D615" s="23"/>
      <c r="E615" s="22"/>
      <c r="F615" s="22"/>
      <c r="G615" s="47"/>
    </row>
    <row r="616" spans="1:7" ht="24" customHeight="1" x14ac:dyDescent="0.4">
      <c r="A616" s="23"/>
      <c r="B616" s="23"/>
      <c r="C616" s="23"/>
      <c r="D616" s="23"/>
      <c r="E616" s="22"/>
      <c r="F616" s="22"/>
      <c r="G616" s="47"/>
    </row>
    <row r="617" spans="1:7" ht="24" customHeight="1" x14ac:dyDescent="0.4">
      <c r="A617" s="23"/>
      <c r="B617" s="23"/>
      <c r="C617" s="23"/>
      <c r="D617" s="23"/>
      <c r="E617" s="22"/>
      <c r="F617" s="22"/>
      <c r="G617" s="47"/>
    </row>
    <row r="618" spans="1:7" ht="24" customHeight="1" x14ac:dyDescent="0.4">
      <c r="A618" s="23"/>
      <c r="B618" s="23"/>
      <c r="C618" s="23"/>
      <c r="D618" s="23"/>
      <c r="E618" s="22"/>
      <c r="F618" s="22"/>
      <c r="G618" s="47"/>
    </row>
    <row r="619" spans="1:7" ht="24" customHeight="1" x14ac:dyDescent="0.4">
      <c r="A619" s="23"/>
      <c r="B619" s="23"/>
      <c r="C619" s="23"/>
      <c r="D619" s="23"/>
      <c r="E619" s="22"/>
      <c r="F619" s="22"/>
      <c r="G619" s="47"/>
    </row>
    <row r="620" spans="1:7" ht="24" customHeight="1" x14ac:dyDescent="0.4">
      <c r="A620" s="23"/>
      <c r="B620" s="23"/>
      <c r="C620" s="23"/>
      <c r="D620" s="23"/>
      <c r="E620" s="22"/>
      <c r="F620" s="22"/>
      <c r="G620" s="47"/>
    </row>
    <row r="621" spans="1:7" ht="24" customHeight="1" x14ac:dyDescent="0.4">
      <c r="A621" s="23"/>
      <c r="B621" s="23"/>
      <c r="C621" s="23"/>
      <c r="D621" s="23"/>
      <c r="E621" s="22"/>
      <c r="F621" s="22"/>
      <c r="G621" s="47"/>
    </row>
    <row r="622" spans="1:7" ht="24" customHeight="1" x14ac:dyDescent="0.4">
      <c r="A622" s="23"/>
      <c r="B622" s="23"/>
      <c r="C622" s="23"/>
      <c r="D622" s="23"/>
      <c r="E622" s="22"/>
      <c r="F622" s="22"/>
      <c r="G622" s="47"/>
    </row>
    <row r="623" spans="1:7" ht="24" customHeight="1" x14ac:dyDescent="0.4">
      <c r="A623" s="23"/>
      <c r="B623" s="23"/>
      <c r="C623" s="23"/>
      <c r="D623" s="23"/>
      <c r="E623" s="22"/>
      <c r="F623" s="22"/>
      <c r="G623" s="47"/>
    </row>
    <row r="624" spans="1:7" ht="24" customHeight="1" x14ac:dyDescent="0.4">
      <c r="A624" s="23"/>
      <c r="B624" s="23"/>
      <c r="C624" s="23"/>
      <c r="D624" s="23"/>
      <c r="E624" s="22"/>
      <c r="F624" s="22"/>
      <c r="G624" s="47"/>
    </row>
    <row r="625" spans="1:7" ht="24" customHeight="1" x14ac:dyDescent="0.4">
      <c r="A625" s="23"/>
      <c r="B625" s="23"/>
      <c r="C625" s="23"/>
      <c r="D625" s="23"/>
      <c r="E625" s="22"/>
      <c r="F625" s="22"/>
      <c r="G625" s="47"/>
    </row>
    <row r="626" spans="1:7" ht="24" customHeight="1" x14ac:dyDescent="0.4">
      <c r="A626" s="23"/>
      <c r="B626" s="23"/>
      <c r="C626" s="23"/>
      <c r="D626" s="23"/>
      <c r="E626" s="22"/>
      <c r="F626" s="22"/>
      <c r="G626" s="47"/>
    </row>
    <row r="627" spans="1:7" ht="24" customHeight="1" x14ac:dyDescent="0.4">
      <c r="A627" s="23"/>
      <c r="B627" s="23"/>
      <c r="C627" s="23"/>
      <c r="D627" s="23"/>
      <c r="E627" s="22"/>
      <c r="F627" s="22"/>
      <c r="G627" s="47"/>
    </row>
    <row r="628" spans="1:7" ht="24" customHeight="1" x14ac:dyDescent="0.4">
      <c r="A628" s="23"/>
      <c r="B628" s="23"/>
      <c r="C628" s="23"/>
      <c r="D628" s="23"/>
      <c r="E628" s="22"/>
      <c r="F628" s="22"/>
      <c r="G628" s="47"/>
    </row>
    <row r="629" spans="1:7" ht="24" customHeight="1" x14ac:dyDescent="0.4">
      <c r="A629" s="23"/>
      <c r="B629" s="23"/>
      <c r="C629" s="23"/>
      <c r="D629" s="23"/>
      <c r="E629" s="22"/>
      <c r="F629" s="22"/>
      <c r="G629" s="47"/>
    </row>
    <row r="630" spans="1:7" ht="24" customHeight="1" x14ac:dyDescent="0.4">
      <c r="A630" s="23"/>
      <c r="B630" s="23"/>
      <c r="C630" s="23"/>
      <c r="D630" s="23"/>
      <c r="E630" s="22"/>
      <c r="F630" s="22"/>
      <c r="G630" s="47"/>
    </row>
    <row r="631" spans="1:7" ht="24" customHeight="1" x14ac:dyDescent="0.4">
      <c r="A631" s="23"/>
      <c r="B631" s="23"/>
      <c r="C631" s="23"/>
      <c r="D631" s="23"/>
      <c r="E631" s="22"/>
      <c r="F631" s="22"/>
      <c r="G631" s="47"/>
    </row>
    <row r="632" spans="1:7" ht="24" customHeight="1" x14ac:dyDescent="0.4">
      <c r="A632" s="23"/>
      <c r="B632" s="23"/>
      <c r="C632" s="23"/>
      <c r="D632" s="23"/>
      <c r="E632" s="22"/>
      <c r="F632" s="22"/>
      <c r="G632" s="47"/>
    </row>
    <row r="633" spans="1:7" ht="24" customHeight="1" x14ac:dyDescent="0.4">
      <c r="A633" s="23"/>
      <c r="B633" s="23"/>
      <c r="C633" s="23"/>
      <c r="D633" s="23"/>
      <c r="E633" s="22"/>
      <c r="F633" s="22"/>
      <c r="G633" s="47"/>
    </row>
    <row r="634" spans="1:7" ht="24" customHeight="1" x14ac:dyDescent="0.4">
      <c r="A634" s="23"/>
      <c r="B634" s="23"/>
      <c r="C634" s="23"/>
      <c r="D634" s="23"/>
      <c r="E634" s="22"/>
      <c r="F634" s="22"/>
      <c r="G634" s="47"/>
    </row>
    <row r="635" spans="1:7" ht="24" customHeight="1" x14ac:dyDescent="0.4">
      <c r="A635" s="23"/>
      <c r="B635" s="23"/>
      <c r="C635" s="23"/>
      <c r="D635" s="23"/>
      <c r="E635" s="22"/>
      <c r="F635" s="22"/>
      <c r="G635" s="47"/>
    </row>
    <row r="636" spans="1:7" ht="24" customHeight="1" x14ac:dyDescent="0.4">
      <c r="A636" s="23"/>
      <c r="B636" s="23"/>
      <c r="C636" s="23"/>
      <c r="D636" s="23"/>
      <c r="E636" s="22"/>
      <c r="F636" s="22"/>
      <c r="G636" s="47"/>
    </row>
    <row r="637" spans="1:7" ht="24" customHeight="1" x14ac:dyDescent="0.4">
      <c r="A637" s="23"/>
      <c r="B637" s="23"/>
      <c r="C637" s="23"/>
      <c r="D637" s="23"/>
      <c r="E637" s="22"/>
      <c r="F637" s="22"/>
      <c r="G637" s="47"/>
    </row>
    <row r="638" spans="1:7" ht="24" customHeight="1" x14ac:dyDescent="0.4">
      <c r="A638" s="23"/>
      <c r="B638" s="23"/>
      <c r="C638" s="23"/>
      <c r="D638" s="23"/>
      <c r="E638" s="22"/>
      <c r="F638" s="22"/>
      <c r="G638" s="47"/>
    </row>
    <row r="639" spans="1:7" ht="24" customHeight="1" x14ac:dyDescent="0.4">
      <c r="A639" s="23"/>
      <c r="B639" s="23"/>
      <c r="C639" s="23"/>
      <c r="D639" s="23"/>
      <c r="E639" s="22"/>
      <c r="F639" s="22"/>
      <c r="G639" s="47"/>
    </row>
    <row r="640" spans="1:7" ht="24" customHeight="1" x14ac:dyDescent="0.4">
      <c r="A640" s="23"/>
      <c r="B640" s="23"/>
      <c r="C640" s="23"/>
      <c r="D640" s="23"/>
      <c r="E640" s="22"/>
      <c r="F640" s="22"/>
      <c r="G640" s="47"/>
    </row>
    <row r="641" spans="1:7" ht="24" customHeight="1" x14ac:dyDescent="0.4">
      <c r="A641" s="23"/>
      <c r="B641" s="23"/>
      <c r="C641" s="23"/>
      <c r="D641" s="23"/>
      <c r="E641" s="22"/>
      <c r="F641" s="22"/>
      <c r="G641" s="47"/>
    </row>
    <row r="642" spans="1:7" ht="24" customHeight="1" x14ac:dyDescent="0.4">
      <c r="A642" s="23"/>
      <c r="B642" s="23"/>
      <c r="C642" s="23"/>
      <c r="D642" s="23"/>
      <c r="E642" s="22"/>
      <c r="F642" s="22"/>
      <c r="G642" s="47"/>
    </row>
    <row r="643" spans="1:7" ht="24" customHeight="1" x14ac:dyDescent="0.4">
      <c r="A643" s="23"/>
      <c r="B643" s="23"/>
      <c r="C643" s="23"/>
      <c r="D643" s="23"/>
      <c r="E643" s="22"/>
      <c r="F643" s="22"/>
      <c r="G643" s="47"/>
    </row>
    <row r="644" spans="1:7" ht="24" customHeight="1" x14ac:dyDescent="0.4">
      <c r="A644" s="23"/>
      <c r="B644" s="23"/>
      <c r="C644" s="23"/>
      <c r="D644" s="23"/>
      <c r="E644" s="22"/>
      <c r="F644" s="22"/>
      <c r="G644" s="47"/>
    </row>
    <row r="645" spans="1:7" ht="24" customHeight="1" x14ac:dyDescent="0.4">
      <c r="A645" s="23"/>
      <c r="B645" s="23"/>
      <c r="C645" s="23"/>
      <c r="D645" s="23"/>
      <c r="E645" s="22"/>
      <c r="F645" s="22"/>
      <c r="G645" s="47"/>
    </row>
    <row r="646" spans="1:7" ht="24" customHeight="1" x14ac:dyDescent="0.4">
      <c r="A646" s="23"/>
      <c r="B646" s="23"/>
      <c r="C646" s="23"/>
      <c r="D646" s="23"/>
      <c r="E646" s="22"/>
      <c r="F646" s="22"/>
      <c r="G646" s="47"/>
    </row>
    <row r="647" spans="1:7" ht="24" customHeight="1" x14ac:dyDescent="0.4">
      <c r="A647" s="23"/>
      <c r="B647" s="23"/>
      <c r="C647" s="23"/>
      <c r="D647" s="23"/>
      <c r="E647" s="22"/>
      <c r="F647" s="22"/>
      <c r="G647" s="47"/>
    </row>
    <row r="648" spans="1:7" ht="24" customHeight="1" x14ac:dyDescent="0.4">
      <c r="A648" s="23"/>
      <c r="B648" s="23"/>
      <c r="C648" s="23"/>
      <c r="D648" s="23"/>
      <c r="E648" s="22"/>
      <c r="F648" s="22"/>
      <c r="G648" s="47"/>
    </row>
    <row r="649" spans="1:7" ht="24" customHeight="1" x14ac:dyDescent="0.4">
      <c r="A649" s="23"/>
      <c r="B649" s="23"/>
      <c r="C649" s="23"/>
      <c r="D649" s="23"/>
      <c r="E649" s="22"/>
      <c r="F649" s="22"/>
      <c r="G649" s="47"/>
    </row>
    <row r="650" spans="1:7" ht="24" customHeight="1" x14ac:dyDescent="0.4">
      <c r="A650" s="23"/>
      <c r="B650" s="23"/>
      <c r="C650" s="23"/>
      <c r="D650" s="23"/>
      <c r="E650" s="22"/>
      <c r="F650" s="22"/>
      <c r="G650" s="47"/>
    </row>
    <row r="651" spans="1:7" ht="24" customHeight="1" x14ac:dyDescent="0.4">
      <c r="A651" s="23"/>
      <c r="B651" s="23"/>
      <c r="C651" s="23"/>
      <c r="D651" s="23"/>
      <c r="E651" s="22"/>
      <c r="F651" s="22"/>
      <c r="G651" s="47"/>
    </row>
    <row r="652" spans="1:7" ht="24" customHeight="1" x14ac:dyDescent="0.4">
      <c r="A652" s="23"/>
      <c r="B652" s="23"/>
      <c r="C652" s="23"/>
      <c r="D652" s="23"/>
      <c r="E652" s="22"/>
      <c r="F652" s="22"/>
      <c r="G652" s="47"/>
    </row>
    <row r="653" spans="1:7" ht="24" customHeight="1" x14ac:dyDescent="0.4">
      <c r="A653" s="23"/>
      <c r="B653" s="23"/>
      <c r="C653" s="23"/>
      <c r="D653" s="23"/>
      <c r="E653" s="22"/>
      <c r="F653" s="22"/>
      <c r="G653" s="47"/>
    </row>
    <row r="654" spans="1:7" ht="24" customHeight="1" x14ac:dyDescent="0.4">
      <c r="A654" s="23"/>
      <c r="B654" s="23"/>
      <c r="C654" s="23"/>
      <c r="D654" s="23"/>
      <c r="E654" s="22"/>
      <c r="F654" s="22"/>
      <c r="G654" s="47"/>
    </row>
    <row r="655" spans="1:7" ht="24" customHeight="1" x14ac:dyDescent="0.4">
      <c r="A655" s="23"/>
      <c r="B655" s="23"/>
      <c r="C655" s="23"/>
      <c r="D655" s="23"/>
      <c r="E655" s="22"/>
      <c r="F655" s="22"/>
      <c r="G655" s="47"/>
    </row>
    <row r="656" spans="1:7" ht="24" customHeight="1" x14ac:dyDescent="0.4">
      <c r="A656" s="23"/>
      <c r="B656" s="23"/>
      <c r="C656" s="23"/>
      <c r="D656" s="23"/>
      <c r="E656" s="22"/>
      <c r="F656" s="22"/>
      <c r="G656" s="47"/>
    </row>
    <row r="657" spans="1:7" ht="24" customHeight="1" x14ac:dyDescent="0.4">
      <c r="A657" s="23"/>
      <c r="B657" s="23"/>
      <c r="C657" s="23"/>
      <c r="D657" s="23"/>
      <c r="E657" s="22"/>
      <c r="F657" s="22"/>
      <c r="G657" s="47"/>
    </row>
    <row r="658" spans="1:7" ht="24" customHeight="1" x14ac:dyDescent="0.4">
      <c r="A658" s="23"/>
      <c r="B658" s="23"/>
      <c r="C658" s="23"/>
      <c r="D658" s="23"/>
      <c r="E658" s="22"/>
      <c r="F658" s="22"/>
      <c r="G658" s="47"/>
    </row>
    <row r="659" spans="1:7" ht="24" customHeight="1" x14ac:dyDescent="0.4">
      <c r="A659" s="23"/>
      <c r="B659" s="23"/>
      <c r="C659" s="23"/>
      <c r="D659" s="23"/>
      <c r="E659" s="22"/>
      <c r="F659" s="22"/>
      <c r="G659" s="47"/>
    </row>
    <row r="660" spans="1:7" ht="24" customHeight="1" x14ac:dyDescent="0.4">
      <c r="A660" s="23"/>
      <c r="B660" s="23"/>
      <c r="C660" s="23"/>
      <c r="D660" s="23"/>
      <c r="E660" s="22"/>
      <c r="F660" s="22"/>
      <c r="G660" s="47"/>
    </row>
    <row r="661" spans="1:7" ht="24" customHeight="1" x14ac:dyDescent="0.4">
      <c r="A661" s="23"/>
      <c r="B661" s="23"/>
      <c r="C661" s="23"/>
      <c r="D661" s="23"/>
      <c r="E661" s="22"/>
      <c r="F661" s="22"/>
      <c r="G661" s="47"/>
    </row>
    <row r="662" spans="1:7" ht="24" customHeight="1" x14ac:dyDescent="0.4">
      <c r="A662" s="23"/>
      <c r="B662" s="23"/>
      <c r="C662" s="23"/>
      <c r="D662" s="23"/>
      <c r="E662" s="22"/>
      <c r="F662" s="22"/>
      <c r="G662" s="47"/>
    </row>
    <row r="663" spans="1:7" ht="24" customHeight="1" x14ac:dyDescent="0.4">
      <c r="A663" s="23"/>
      <c r="B663" s="23"/>
      <c r="C663" s="23"/>
      <c r="D663" s="23"/>
      <c r="E663" s="22"/>
      <c r="F663" s="22"/>
      <c r="G663" s="47"/>
    </row>
    <row r="664" spans="1:7" ht="24" customHeight="1" x14ac:dyDescent="0.4">
      <c r="A664" s="23"/>
      <c r="B664" s="23"/>
      <c r="C664" s="23"/>
      <c r="D664" s="23"/>
      <c r="E664" s="22"/>
      <c r="F664" s="22"/>
      <c r="G664" s="47"/>
    </row>
    <row r="665" spans="1:7" ht="24" customHeight="1" x14ac:dyDescent="0.4">
      <c r="A665" s="23"/>
      <c r="B665" s="23"/>
      <c r="C665" s="23"/>
      <c r="D665" s="23"/>
      <c r="E665" s="22"/>
      <c r="F665" s="22"/>
      <c r="G665" s="47"/>
    </row>
    <row r="666" spans="1:7" ht="24" customHeight="1" x14ac:dyDescent="0.4">
      <c r="A666" s="23"/>
      <c r="B666" s="23"/>
      <c r="C666" s="23"/>
      <c r="D666" s="23"/>
      <c r="E666" s="22"/>
      <c r="F666" s="22"/>
      <c r="G666" s="47"/>
    </row>
    <row r="667" spans="1:7" ht="24" customHeight="1" x14ac:dyDescent="0.4">
      <c r="A667" s="23"/>
      <c r="B667" s="23"/>
      <c r="C667" s="23"/>
      <c r="D667" s="23"/>
      <c r="E667" s="22"/>
      <c r="F667" s="22"/>
      <c r="G667" s="47"/>
    </row>
    <row r="668" spans="1:7" ht="24" customHeight="1" x14ac:dyDescent="0.4">
      <c r="A668" s="23"/>
      <c r="B668" s="23"/>
      <c r="C668" s="23"/>
      <c r="D668" s="23"/>
      <c r="E668" s="22"/>
      <c r="F668" s="22"/>
      <c r="G668" s="47"/>
    </row>
    <row r="669" spans="1:7" ht="24" customHeight="1" x14ac:dyDescent="0.4">
      <c r="A669" s="23"/>
      <c r="B669" s="23"/>
      <c r="C669" s="23"/>
      <c r="D669" s="23"/>
      <c r="E669" s="22"/>
      <c r="F669" s="22"/>
      <c r="G669" s="47"/>
    </row>
    <row r="670" spans="1:7" ht="24" customHeight="1" x14ac:dyDescent="0.4">
      <c r="A670" s="23"/>
      <c r="B670" s="23"/>
      <c r="C670" s="23"/>
      <c r="D670" s="23"/>
      <c r="E670" s="22"/>
      <c r="F670" s="22"/>
      <c r="G670" s="47"/>
    </row>
    <row r="671" spans="1:7" ht="24" customHeight="1" x14ac:dyDescent="0.4">
      <c r="A671" s="23"/>
      <c r="B671" s="23"/>
      <c r="C671" s="23"/>
      <c r="D671" s="23"/>
      <c r="E671" s="22"/>
      <c r="F671" s="22"/>
      <c r="G671" s="47"/>
    </row>
    <row r="672" spans="1:7" ht="24" customHeight="1" x14ac:dyDescent="0.4">
      <c r="A672" s="23"/>
      <c r="B672" s="23"/>
      <c r="C672" s="23"/>
      <c r="D672" s="23"/>
      <c r="E672" s="22"/>
      <c r="F672" s="22"/>
      <c r="G672" s="47"/>
    </row>
    <row r="673" spans="1:7" ht="24" customHeight="1" x14ac:dyDescent="0.4">
      <c r="A673" s="23"/>
      <c r="B673" s="23"/>
      <c r="C673" s="23"/>
      <c r="D673" s="23"/>
      <c r="E673" s="22"/>
      <c r="F673" s="22"/>
      <c r="G673" s="47"/>
    </row>
    <row r="674" spans="1:7" ht="24" customHeight="1" x14ac:dyDescent="0.4">
      <c r="A674" s="23"/>
      <c r="B674" s="23"/>
      <c r="C674" s="23"/>
      <c r="D674" s="23"/>
      <c r="E674" s="22"/>
      <c r="F674" s="22"/>
      <c r="G674" s="47"/>
    </row>
    <row r="675" spans="1:7" ht="24" customHeight="1" x14ac:dyDescent="0.4">
      <c r="A675" s="23"/>
      <c r="B675" s="23"/>
      <c r="C675" s="23"/>
      <c r="D675" s="23"/>
      <c r="E675" s="22"/>
      <c r="F675" s="22"/>
      <c r="G675" s="47"/>
    </row>
    <row r="676" spans="1:7" ht="24" customHeight="1" x14ac:dyDescent="0.4">
      <c r="A676" s="23"/>
      <c r="B676" s="23"/>
      <c r="C676" s="23"/>
      <c r="D676" s="23"/>
      <c r="E676" s="22"/>
      <c r="F676" s="22"/>
      <c r="G676" s="47"/>
    </row>
    <row r="677" spans="1:7" ht="24" customHeight="1" x14ac:dyDescent="0.4">
      <c r="A677" s="23"/>
      <c r="B677" s="23"/>
      <c r="C677" s="23"/>
      <c r="D677" s="23"/>
      <c r="E677" s="22"/>
      <c r="F677" s="22"/>
      <c r="G677" s="47"/>
    </row>
    <row r="678" spans="1:7" ht="24" customHeight="1" x14ac:dyDescent="0.4">
      <c r="A678" s="23"/>
      <c r="B678" s="23"/>
      <c r="C678" s="23"/>
      <c r="D678" s="23"/>
      <c r="E678" s="22"/>
      <c r="F678" s="22"/>
      <c r="G678" s="47"/>
    </row>
    <row r="679" spans="1:7" ht="24" customHeight="1" x14ac:dyDescent="0.4">
      <c r="A679" s="23"/>
      <c r="B679" s="23"/>
      <c r="C679" s="23"/>
      <c r="D679" s="23"/>
      <c r="E679" s="22"/>
      <c r="F679" s="22"/>
      <c r="G679" s="47"/>
    </row>
    <row r="680" spans="1:7" ht="24" customHeight="1" x14ac:dyDescent="0.4">
      <c r="A680" s="23"/>
      <c r="B680" s="23"/>
      <c r="C680" s="23"/>
      <c r="D680" s="23"/>
      <c r="E680" s="22"/>
      <c r="F680" s="22"/>
      <c r="G680" s="47"/>
    </row>
    <row r="681" spans="1:7" ht="24" customHeight="1" x14ac:dyDescent="0.4">
      <c r="A681" s="23"/>
      <c r="B681" s="23"/>
      <c r="C681" s="23"/>
      <c r="D681" s="23"/>
      <c r="E681" s="22"/>
      <c r="F681" s="22"/>
      <c r="G681" s="47"/>
    </row>
    <row r="682" spans="1:7" ht="24" customHeight="1" x14ac:dyDescent="0.4">
      <c r="A682" s="23"/>
      <c r="B682" s="23"/>
      <c r="C682" s="23"/>
      <c r="D682" s="23"/>
      <c r="E682" s="22"/>
      <c r="F682" s="22"/>
      <c r="G682" s="47"/>
    </row>
    <row r="683" spans="1:7" ht="24" customHeight="1" x14ac:dyDescent="0.4">
      <c r="A683" s="23"/>
      <c r="B683" s="23"/>
      <c r="C683" s="23"/>
      <c r="D683" s="23"/>
      <c r="E683" s="22"/>
      <c r="F683" s="22"/>
      <c r="G683" s="47"/>
    </row>
    <row r="684" spans="1:7" ht="24" customHeight="1" x14ac:dyDescent="0.4">
      <c r="A684" s="23"/>
      <c r="B684" s="23"/>
      <c r="C684" s="23"/>
      <c r="D684" s="23"/>
      <c r="E684" s="22"/>
      <c r="F684" s="22"/>
      <c r="G684" s="47"/>
    </row>
    <row r="685" spans="1:7" ht="24" customHeight="1" x14ac:dyDescent="0.4">
      <c r="A685" s="23"/>
      <c r="B685" s="23"/>
      <c r="C685" s="23"/>
      <c r="D685" s="23"/>
      <c r="E685" s="22"/>
      <c r="F685" s="22"/>
      <c r="G685" s="47"/>
    </row>
    <row r="686" spans="1:7" ht="24" customHeight="1" x14ac:dyDescent="0.4">
      <c r="A686" s="23"/>
      <c r="B686" s="23"/>
      <c r="C686" s="23"/>
      <c r="D686" s="23"/>
      <c r="E686" s="22"/>
      <c r="F686" s="22"/>
      <c r="G686" s="47"/>
    </row>
    <row r="687" spans="1:7" ht="24" customHeight="1" x14ac:dyDescent="0.4">
      <c r="A687" s="23"/>
      <c r="B687" s="23"/>
      <c r="C687" s="23"/>
      <c r="D687" s="23"/>
      <c r="E687" s="22"/>
      <c r="F687" s="22"/>
      <c r="G687" s="47"/>
    </row>
    <row r="688" spans="1:7" ht="24" customHeight="1" x14ac:dyDescent="0.4">
      <c r="A688" s="23"/>
      <c r="B688" s="23"/>
      <c r="C688" s="23"/>
      <c r="D688" s="23"/>
      <c r="E688" s="22"/>
      <c r="F688" s="22"/>
      <c r="G688" s="47"/>
    </row>
    <row r="689" spans="1:7" ht="24" customHeight="1" x14ac:dyDescent="0.4">
      <c r="A689" s="23"/>
      <c r="B689" s="23"/>
      <c r="C689" s="23"/>
      <c r="D689" s="23"/>
      <c r="E689" s="22"/>
      <c r="F689" s="22"/>
      <c r="G689" s="47"/>
    </row>
    <row r="690" spans="1:7" ht="24" customHeight="1" x14ac:dyDescent="0.4">
      <c r="A690" s="23"/>
      <c r="B690" s="23"/>
      <c r="C690" s="23"/>
      <c r="D690" s="23"/>
      <c r="E690" s="22"/>
      <c r="F690" s="22"/>
      <c r="G690" s="47"/>
    </row>
    <row r="691" spans="1:7" ht="24" customHeight="1" x14ac:dyDescent="0.4">
      <c r="A691" s="23"/>
      <c r="B691" s="23"/>
      <c r="C691" s="23"/>
      <c r="D691" s="23"/>
      <c r="E691" s="22"/>
      <c r="F691" s="22"/>
      <c r="G691" s="47"/>
    </row>
    <row r="692" spans="1:7" ht="24" customHeight="1" x14ac:dyDescent="0.4">
      <c r="A692" s="23"/>
      <c r="B692" s="23"/>
      <c r="C692" s="23"/>
      <c r="D692" s="23"/>
      <c r="E692" s="22"/>
      <c r="F692" s="22"/>
      <c r="G692" s="47"/>
    </row>
    <row r="693" spans="1:7" ht="24" customHeight="1" x14ac:dyDescent="0.4">
      <c r="A693" s="23"/>
      <c r="B693" s="23"/>
      <c r="C693" s="23"/>
      <c r="D693" s="23"/>
      <c r="E693" s="22"/>
      <c r="F693" s="22"/>
      <c r="G693" s="47"/>
    </row>
    <row r="694" spans="1:7" ht="24" customHeight="1" x14ac:dyDescent="0.4">
      <c r="A694" s="23"/>
      <c r="B694" s="23"/>
      <c r="C694" s="23"/>
      <c r="D694" s="23"/>
      <c r="E694" s="22"/>
      <c r="F694" s="22"/>
      <c r="G694" s="47"/>
    </row>
    <row r="695" spans="1:7" ht="24" customHeight="1" x14ac:dyDescent="0.4">
      <c r="A695" s="23"/>
      <c r="B695" s="23"/>
      <c r="C695" s="23"/>
      <c r="D695" s="23"/>
      <c r="E695" s="22"/>
      <c r="F695" s="22"/>
      <c r="G695" s="47"/>
    </row>
    <row r="696" spans="1:7" ht="24" customHeight="1" x14ac:dyDescent="0.4">
      <c r="A696" s="23"/>
      <c r="B696" s="23"/>
      <c r="C696" s="23"/>
      <c r="D696" s="23"/>
      <c r="E696" s="22"/>
      <c r="F696" s="22"/>
      <c r="G696" s="47"/>
    </row>
    <row r="697" spans="1:7" ht="24" customHeight="1" x14ac:dyDescent="0.4">
      <c r="A697" s="23"/>
      <c r="B697" s="23"/>
      <c r="C697" s="23"/>
      <c r="D697" s="23"/>
      <c r="E697" s="22"/>
      <c r="F697" s="22"/>
      <c r="G697" s="47"/>
    </row>
    <row r="698" spans="1:7" ht="24" customHeight="1" x14ac:dyDescent="0.4">
      <c r="A698" s="23"/>
      <c r="B698" s="23"/>
      <c r="C698" s="23"/>
      <c r="D698" s="23"/>
      <c r="E698" s="22"/>
      <c r="F698" s="22"/>
      <c r="G698" s="47"/>
    </row>
    <row r="699" spans="1:7" ht="24" customHeight="1" x14ac:dyDescent="0.4">
      <c r="A699" s="23"/>
      <c r="B699" s="23"/>
      <c r="C699" s="23"/>
      <c r="D699" s="23"/>
      <c r="E699" s="22"/>
      <c r="F699" s="22"/>
      <c r="G699" s="47"/>
    </row>
    <row r="700" spans="1:7" ht="24" customHeight="1" x14ac:dyDescent="0.4">
      <c r="A700" s="23"/>
      <c r="B700" s="23"/>
      <c r="C700" s="23"/>
      <c r="D700" s="23"/>
      <c r="E700" s="22"/>
      <c r="F700" s="22"/>
      <c r="G700" s="47"/>
    </row>
    <row r="701" spans="1:7" ht="24" customHeight="1" x14ac:dyDescent="0.4">
      <c r="A701" s="23"/>
      <c r="B701" s="23"/>
      <c r="C701" s="23"/>
      <c r="D701" s="23"/>
      <c r="E701" s="22"/>
      <c r="F701" s="22"/>
      <c r="G701" s="47"/>
    </row>
    <row r="702" spans="1:7" ht="24" customHeight="1" x14ac:dyDescent="0.4">
      <c r="A702" s="23"/>
      <c r="B702" s="23"/>
      <c r="C702" s="23"/>
      <c r="D702" s="23"/>
      <c r="E702" s="22"/>
      <c r="F702" s="22"/>
      <c r="G702" s="47"/>
    </row>
    <row r="703" spans="1:7" ht="24" customHeight="1" x14ac:dyDescent="0.4">
      <c r="A703" s="23"/>
      <c r="B703" s="23"/>
      <c r="C703" s="23"/>
      <c r="D703" s="23"/>
      <c r="E703" s="22"/>
      <c r="F703" s="22"/>
      <c r="G703" s="47"/>
    </row>
    <row r="704" spans="1:7" ht="24" customHeight="1" x14ac:dyDescent="0.4">
      <c r="A704" s="23"/>
      <c r="B704" s="23"/>
      <c r="C704" s="23"/>
      <c r="D704" s="23"/>
      <c r="E704" s="22"/>
      <c r="F704" s="22"/>
      <c r="G704" s="47"/>
    </row>
    <row r="705" spans="1:7" ht="24" customHeight="1" x14ac:dyDescent="0.4">
      <c r="A705" s="23"/>
      <c r="B705" s="23"/>
      <c r="C705" s="23"/>
      <c r="D705" s="23"/>
      <c r="E705" s="22"/>
      <c r="F705" s="22"/>
      <c r="G705" s="47"/>
    </row>
    <row r="706" spans="1:7" ht="24" customHeight="1" x14ac:dyDescent="0.4">
      <c r="A706" s="23"/>
      <c r="B706" s="23"/>
      <c r="C706" s="23"/>
      <c r="D706" s="23"/>
      <c r="E706" s="22"/>
      <c r="F706" s="22"/>
      <c r="G706" s="47"/>
    </row>
    <row r="707" spans="1:7" ht="24" customHeight="1" x14ac:dyDescent="0.4">
      <c r="A707" s="23"/>
      <c r="B707" s="23"/>
      <c r="C707" s="23"/>
      <c r="D707" s="23"/>
      <c r="E707" s="22"/>
      <c r="F707" s="22"/>
      <c r="G707" s="47"/>
    </row>
    <row r="708" spans="1:7" ht="24" customHeight="1" x14ac:dyDescent="0.4">
      <c r="A708" s="23"/>
      <c r="B708" s="23"/>
      <c r="C708" s="23"/>
      <c r="D708" s="23"/>
      <c r="E708" s="22"/>
      <c r="F708" s="22"/>
      <c r="G708" s="47"/>
    </row>
    <row r="709" spans="1:7" ht="24" customHeight="1" x14ac:dyDescent="0.4">
      <c r="A709" s="23"/>
      <c r="B709" s="23"/>
      <c r="C709" s="23"/>
      <c r="D709" s="23"/>
      <c r="E709" s="22"/>
      <c r="F709" s="22"/>
      <c r="G709" s="47"/>
    </row>
    <row r="710" spans="1:7" ht="24" customHeight="1" x14ac:dyDescent="0.4">
      <c r="A710" s="23"/>
      <c r="B710" s="23"/>
      <c r="C710" s="23"/>
      <c r="D710" s="23"/>
      <c r="E710" s="22"/>
      <c r="F710" s="22"/>
      <c r="G710" s="47"/>
    </row>
    <row r="711" spans="1:7" ht="24" customHeight="1" x14ac:dyDescent="0.4">
      <c r="A711" s="23"/>
      <c r="B711" s="23"/>
      <c r="C711" s="23"/>
      <c r="D711" s="23"/>
      <c r="E711" s="22"/>
      <c r="F711" s="22"/>
      <c r="G711" s="47"/>
    </row>
    <row r="712" spans="1:7" ht="24" customHeight="1" x14ac:dyDescent="0.4">
      <c r="A712" s="23"/>
      <c r="B712" s="23"/>
      <c r="C712" s="23"/>
      <c r="D712" s="23"/>
      <c r="E712" s="22"/>
      <c r="F712" s="22"/>
      <c r="G712" s="47"/>
    </row>
    <row r="713" spans="1:7" ht="24" customHeight="1" x14ac:dyDescent="0.4">
      <c r="A713" s="23"/>
      <c r="B713" s="23"/>
      <c r="C713" s="23"/>
      <c r="D713" s="23"/>
      <c r="E713" s="22"/>
      <c r="F713" s="22"/>
      <c r="G713" s="47"/>
    </row>
    <row r="714" spans="1:7" ht="24" customHeight="1" x14ac:dyDescent="0.4">
      <c r="A714" s="23"/>
      <c r="B714" s="23"/>
      <c r="C714" s="23"/>
      <c r="D714" s="23"/>
      <c r="E714" s="22"/>
      <c r="F714" s="22"/>
      <c r="G714" s="47"/>
    </row>
    <row r="715" spans="1:7" ht="24" customHeight="1" x14ac:dyDescent="0.4">
      <c r="A715" s="23"/>
      <c r="B715" s="23"/>
      <c r="C715" s="23"/>
      <c r="D715" s="23"/>
      <c r="E715" s="22"/>
      <c r="F715" s="22"/>
      <c r="G715" s="47"/>
    </row>
    <row r="716" spans="1:7" ht="24" customHeight="1" x14ac:dyDescent="0.4">
      <c r="A716" s="23"/>
      <c r="B716" s="23"/>
      <c r="C716" s="23"/>
      <c r="D716" s="23"/>
      <c r="E716" s="22"/>
      <c r="F716" s="22"/>
      <c r="G716" s="47"/>
    </row>
    <row r="717" spans="1:7" ht="24" customHeight="1" x14ac:dyDescent="0.4">
      <c r="A717" s="23"/>
      <c r="B717" s="23"/>
      <c r="C717" s="23"/>
      <c r="D717" s="23"/>
      <c r="E717" s="22"/>
      <c r="F717" s="22"/>
      <c r="G717" s="47"/>
    </row>
    <row r="718" spans="1:7" ht="24" customHeight="1" x14ac:dyDescent="0.4">
      <c r="A718" s="23"/>
      <c r="B718" s="23"/>
      <c r="C718" s="23"/>
      <c r="D718" s="23"/>
      <c r="E718" s="22"/>
      <c r="F718" s="22"/>
      <c r="G718" s="47"/>
    </row>
    <row r="719" spans="1:7" ht="24" customHeight="1" x14ac:dyDescent="0.4">
      <c r="A719" s="23"/>
      <c r="B719" s="23"/>
      <c r="C719" s="23"/>
      <c r="D719" s="23"/>
      <c r="E719" s="22"/>
      <c r="F719" s="22"/>
      <c r="G719" s="47"/>
    </row>
    <row r="720" spans="1:7" ht="24" customHeight="1" x14ac:dyDescent="0.4">
      <c r="A720" s="23"/>
      <c r="B720" s="23"/>
      <c r="C720" s="23"/>
      <c r="D720" s="23"/>
      <c r="E720" s="22"/>
      <c r="F720" s="22"/>
      <c r="G720" s="47"/>
    </row>
    <row r="721" spans="1:7" ht="24" customHeight="1" x14ac:dyDescent="0.4">
      <c r="A721" s="23"/>
      <c r="B721" s="23"/>
      <c r="C721" s="23"/>
      <c r="D721" s="23"/>
      <c r="E721" s="22"/>
      <c r="F721" s="22"/>
      <c r="G721" s="47"/>
    </row>
    <row r="722" spans="1:7" ht="24" customHeight="1" x14ac:dyDescent="0.4">
      <c r="A722" s="23"/>
      <c r="B722" s="23"/>
      <c r="C722" s="23"/>
      <c r="D722" s="23"/>
      <c r="E722" s="22"/>
      <c r="F722" s="22"/>
      <c r="G722" s="47"/>
    </row>
    <row r="723" spans="1:7" ht="24" customHeight="1" x14ac:dyDescent="0.4">
      <c r="A723" s="23"/>
      <c r="B723" s="23"/>
      <c r="C723" s="23"/>
      <c r="D723" s="23"/>
      <c r="E723" s="22"/>
      <c r="F723" s="22"/>
      <c r="G723" s="47"/>
    </row>
    <row r="724" spans="1:7" ht="24" customHeight="1" x14ac:dyDescent="0.4">
      <c r="A724" s="23"/>
      <c r="B724" s="23"/>
      <c r="C724" s="23"/>
      <c r="D724" s="23"/>
      <c r="E724" s="22"/>
      <c r="F724" s="22"/>
      <c r="G724" s="47"/>
    </row>
    <row r="725" spans="1:7" ht="24" customHeight="1" x14ac:dyDescent="0.4">
      <c r="A725" s="23"/>
      <c r="B725" s="23"/>
      <c r="C725" s="23"/>
      <c r="D725" s="23"/>
      <c r="E725" s="22"/>
      <c r="F725" s="22"/>
      <c r="G725" s="47"/>
    </row>
    <row r="726" spans="1:7" ht="24" customHeight="1" x14ac:dyDescent="0.4">
      <c r="A726" s="23"/>
      <c r="B726" s="23"/>
      <c r="C726" s="23"/>
      <c r="D726" s="23"/>
      <c r="E726" s="22"/>
      <c r="F726" s="22"/>
      <c r="G726" s="47"/>
    </row>
    <row r="727" spans="1:7" ht="24" customHeight="1" x14ac:dyDescent="0.4">
      <c r="A727" s="23"/>
      <c r="B727" s="23"/>
      <c r="C727" s="23"/>
      <c r="D727" s="23"/>
      <c r="E727" s="22"/>
      <c r="F727" s="22"/>
      <c r="G727" s="47"/>
    </row>
    <row r="728" spans="1:7" ht="24" customHeight="1" x14ac:dyDescent="0.4">
      <c r="A728" s="23"/>
      <c r="B728" s="23"/>
      <c r="C728" s="23"/>
      <c r="D728" s="23"/>
      <c r="E728" s="22"/>
      <c r="F728" s="22"/>
      <c r="G728" s="47"/>
    </row>
    <row r="729" spans="1:7" ht="24" customHeight="1" x14ac:dyDescent="0.4">
      <c r="A729" s="23"/>
      <c r="B729" s="23"/>
      <c r="C729" s="23"/>
      <c r="D729" s="23"/>
      <c r="E729" s="22"/>
      <c r="F729" s="22"/>
      <c r="G729" s="47"/>
    </row>
    <row r="730" spans="1:7" ht="24" customHeight="1" x14ac:dyDescent="0.4">
      <c r="A730" s="23"/>
      <c r="B730" s="23"/>
      <c r="C730" s="23"/>
      <c r="D730" s="23"/>
      <c r="E730" s="22"/>
      <c r="F730" s="22"/>
      <c r="G730" s="47"/>
    </row>
    <row r="731" spans="1:7" ht="24" customHeight="1" x14ac:dyDescent="0.4">
      <c r="A731" s="23"/>
      <c r="B731" s="23"/>
      <c r="C731" s="23"/>
      <c r="D731" s="23"/>
      <c r="E731" s="22"/>
      <c r="F731" s="22"/>
      <c r="G731" s="47"/>
    </row>
    <row r="732" spans="1:7" ht="24" customHeight="1" x14ac:dyDescent="0.4">
      <c r="A732" s="23"/>
      <c r="B732" s="23"/>
      <c r="C732" s="23"/>
      <c r="D732" s="23"/>
      <c r="E732" s="22"/>
      <c r="F732" s="22"/>
      <c r="G732" s="47"/>
    </row>
    <row r="733" spans="1:7" ht="24" customHeight="1" x14ac:dyDescent="0.4">
      <c r="A733" s="23"/>
      <c r="B733" s="23"/>
      <c r="C733" s="23"/>
      <c r="D733" s="23"/>
      <c r="E733" s="22"/>
      <c r="F733" s="22"/>
      <c r="G733" s="47"/>
    </row>
    <row r="734" spans="1:7" ht="24" customHeight="1" x14ac:dyDescent="0.4">
      <c r="A734" s="23"/>
      <c r="B734" s="23"/>
      <c r="C734" s="23"/>
      <c r="D734" s="23"/>
      <c r="E734" s="22"/>
      <c r="F734" s="22"/>
      <c r="G734" s="47"/>
    </row>
    <row r="735" spans="1:7" ht="24" customHeight="1" x14ac:dyDescent="0.4">
      <c r="A735" s="23"/>
      <c r="B735" s="23"/>
      <c r="C735" s="23"/>
      <c r="D735" s="23"/>
      <c r="E735" s="22"/>
      <c r="F735" s="22"/>
      <c r="G735" s="47"/>
    </row>
    <row r="736" spans="1:7" ht="24" customHeight="1" x14ac:dyDescent="0.4">
      <c r="A736" s="23"/>
      <c r="B736" s="23"/>
      <c r="C736" s="23"/>
      <c r="D736" s="23"/>
      <c r="E736" s="22"/>
      <c r="F736" s="22"/>
      <c r="G736" s="47"/>
    </row>
    <row r="737" spans="1:7" ht="24" customHeight="1" x14ac:dyDescent="0.4">
      <c r="A737" s="23"/>
      <c r="B737" s="23"/>
      <c r="C737" s="23"/>
      <c r="D737" s="23"/>
      <c r="E737" s="22"/>
      <c r="F737" s="22"/>
      <c r="G737" s="47"/>
    </row>
    <row r="738" spans="1:7" ht="24" customHeight="1" x14ac:dyDescent="0.4">
      <c r="A738" s="23"/>
      <c r="B738" s="23"/>
      <c r="C738" s="23"/>
      <c r="D738" s="23"/>
      <c r="E738" s="22"/>
      <c r="F738" s="22"/>
      <c r="G738" s="47"/>
    </row>
    <row r="739" spans="1:7" ht="24" customHeight="1" x14ac:dyDescent="0.4">
      <c r="A739" s="23"/>
      <c r="B739" s="23"/>
      <c r="C739" s="23"/>
      <c r="D739" s="23"/>
      <c r="E739" s="22"/>
      <c r="F739" s="22"/>
      <c r="G739" s="47"/>
    </row>
    <row r="740" spans="1:7" ht="24" customHeight="1" x14ac:dyDescent="0.4">
      <c r="A740" s="23"/>
      <c r="B740" s="23"/>
      <c r="C740" s="23"/>
      <c r="D740" s="23"/>
      <c r="E740" s="22"/>
      <c r="F740" s="22"/>
      <c r="G740" s="47"/>
    </row>
    <row r="741" spans="1:7" ht="24" customHeight="1" x14ac:dyDescent="0.4">
      <c r="A741" s="23"/>
      <c r="B741" s="23"/>
      <c r="C741" s="23"/>
      <c r="D741" s="23"/>
      <c r="E741" s="22"/>
      <c r="F741" s="22"/>
      <c r="G741" s="47"/>
    </row>
    <row r="742" spans="1:7" ht="24" customHeight="1" x14ac:dyDescent="0.4">
      <c r="A742" s="23"/>
      <c r="B742" s="23"/>
      <c r="C742" s="23"/>
      <c r="D742" s="23"/>
      <c r="E742" s="22"/>
      <c r="F742" s="22"/>
      <c r="G742" s="47"/>
    </row>
    <row r="743" spans="1:7" ht="24" customHeight="1" x14ac:dyDescent="0.4">
      <c r="A743" s="23"/>
      <c r="B743" s="23"/>
      <c r="C743" s="23"/>
      <c r="D743" s="23"/>
      <c r="E743" s="22"/>
      <c r="F743" s="22"/>
      <c r="G743" s="47"/>
    </row>
    <row r="744" spans="1:7" ht="24" customHeight="1" x14ac:dyDescent="0.4">
      <c r="A744" s="23"/>
      <c r="B744" s="23"/>
      <c r="C744" s="23"/>
      <c r="D744" s="23"/>
      <c r="E744" s="22"/>
      <c r="F744" s="22"/>
      <c r="G744" s="47"/>
    </row>
    <row r="745" spans="1:7" ht="24" customHeight="1" x14ac:dyDescent="0.4">
      <c r="A745" s="23"/>
      <c r="B745" s="23"/>
      <c r="C745" s="23"/>
      <c r="D745" s="23"/>
      <c r="E745" s="22"/>
      <c r="F745" s="22"/>
      <c r="G745" s="47"/>
    </row>
    <row r="746" spans="1:7" ht="24" customHeight="1" x14ac:dyDescent="0.4">
      <c r="A746" s="23"/>
      <c r="B746" s="23"/>
      <c r="C746" s="23"/>
      <c r="D746" s="23"/>
      <c r="E746" s="22"/>
      <c r="F746" s="22"/>
      <c r="G746" s="47"/>
    </row>
    <row r="747" spans="1:7" ht="24" customHeight="1" x14ac:dyDescent="0.4">
      <c r="A747" s="23"/>
      <c r="B747" s="23"/>
      <c r="C747" s="23"/>
      <c r="D747" s="23"/>
      <c r="E747" s="22"/>
      <c r="F747" s="22"/>
      <c r="G747" s="47"/>
    </row>
    <row r="748" spans="1:7" ht="24" customHeight="1" x14ac:dyDescent="0.4">
      <c r="A748" s="23"/>
      <c r="B748" s="23"/>
      <c r="C748" s="23"/>
      <c r="D748" s="23"/>
      <c r="E748" s="22"/>
      <c r="F748" s="22"/>
      <c r="G748" s="47"/>
    </row>
    <row r="749" spans="1:7" ht="24" customHeight="1" x14ac:dyDescent="0.4">
      <c r="A749" s="23"/>
      <c r="B749" s="23"/>
      <c r="C749" s="23"/>
      <c r="D749" s="23"/>
      <c r="E749" s="22"/>
      <c r="F749" s="22"/>
      <c r="G749" s="47"/>
    </row>
    <row r="750" spans="1:7" ht="24" customHeight="1" x14ac:dyDescent="0.4">
      <c r="A750" s="23"/>
      <c r="B750" s="23"/>
      <c r="C750" s="23"/>
      <c r="D750" s="23"/>
      <c r="E750" s="22"/>
      <c r="F750" s="22"/>
      <c r="G750" s="47"/>
    </row>
    <row r="751" spans="1:7" ht="24" customHeight="1" x14ac:dyDescent="0.4">
      <c r="A751" s="23"/>
      <c r="B751" s="23"/>
      <c r="C751" s="23"/>
      <c r="D751" s="23"/>
      <c r="E751" s="22"/>
      <c r="F751" s="22"/>
      <c r="G751" s="47"/>
    </row>
    <row r="752" spans="1:7" ht="24" customHeight="1" x14ac:dyDescent="0.4">
      <c r="A752" s="23"/>
      <c r="B752" s="23"/>
      <c r="C752" s="23"/>
      <c r="D752" s="23"/>
      <c r="E752" s="22"/>
      <c r="F752" s="22"/>
      <c r="G752" s="47"/>
    </row>
    <row r="753" spans="1:7" ht="24" customHeight="1" x14ac:dyDescent="0.4">
      <c r="A753" s="23"/>
      <c r="B753" s="23"/>
      <c r="C753" s="23"/>
      <c r="D753" s="23"/>
      <c r="E753" s="22"/>
      <c r="F753" s="22"/>
      <c r="G753" s="47"/>
    </row>
    <row r="754" spans="1:7" ht="24" customHeight="1" x14ac:dyDescent="0.4">
      <c r="A754" s="23"/>
      <c r="B754" s="23"/>
      <c r="C754" s="23"/>
      <c r="D754" s="23"/>
      <c r="E754" s="22"/>
      <c r="F754" s="22"/>
      <c r="G754" s="47"/>
    </row>
    <row r="755" spans="1:7" ht="24" customHeight="1" x14ac:dyDescent="0.4">
      <c r="A755" s="23"/>
      <c r="B755" s="23"/>
      <c r="C755" s="23"/>
      <c r="D755" s="23"/>
      <c r="E755" s="22"/>
      <c r="F755" s="22"/>
      <c r="G755" s="47"/>
    </row>
    <row r="756" spans="1:7" ht="24" customHeight="1" x14ac:dyDescent="0.4">
      <c r="A756" s="23"/>
      <c r="B756" s="23"/>
      <c r="C756" s="23"/>
      <c r="D756" s="23"/>
      <c r="E756" s="22"/>
      <c r="F756" s="22"/>
      <c r="G756" s="47"/>
    </row>
    <row r="757" spans="1:7" ht="24" customHeight="1" x14ac:dyDescent="0.4">
      <c r="A757" s="23"/>
      <c r="B757" s="23"/>
      <c r="C757" s="23"/>
      <c r="D757" s="23"/>
      <c r="E757" s="22"/>
      <c r="F757" s="22"/>
      <c r="G757" s="47"/>
    </row>
    <row r="758" spans="1:7" ht="24" customHeight="1" x14ac:dyDescent="0.4">
      <c r="A758" s="23"/>
      <c r="B758" s="23"/>
      <c r="C758" s="23"/>
      <c r="D758" s="23"/>
      <c r="E758" s="22"/>
      <c r="F758" s="22"/>
      <c r="G758" s="47"/>
    </row>
    <row r="759" spans="1:7" ht="24" customHeight="1" x14ac:dyDescent="0.4">
      <c r="A759" s="23"/>
      <c r="B759" s="23"/>
      <c r="C759" s="23"/>
      <c r="D759" s="23"/>
      <c r="E759" s="22"/>
      <c r="F759" s="22"/>
      <c r="G759" s="47"/>
    </row>
    <row r="760" spans="1:7" ht="24" customHeight="1" x14ac:dyDescent="0.4">
      <c r="A760" s="23"/>
      <c r="B760" s="23"/>
      <c r="C760" s="23"/>
      <c r="D760" s="23"/>
      <c r="E760" s="22"/>
      <c r="F760" s="22"/>
      <c r="G760" s="47"/>
    </row>
    <row r="761" spans="1:7" ht="24" customHeight="1" x14ac:dyDescent="0.4">
      <c r="A761" s="23"/>
      <c r="B761" s="23"/>
      <c r="C761" s="23"/>
      <c r="D761" s="23"/>
      <c r="E761" s="22"/>
      <c r="F761" s="22"/>
      <c r="G761" s="47"/>
    </row>
    <row r="762" spans="1:7" ht="24" customHeight="1" x14ac:dyDescent="0.4">
      <c r="A762" s="23"/>
      <c r="B762" s="23"/>
      <c r="C762" s="23"/>
      <c r="D762" s="23"/>
      <c r="E762" s="22"/>
      <c r="F762" s="22"/>
      <c r="G762" s="47"/>
    </row>
    <row r="763" spans="1:7" ht="24" customHeight="1" x14ac:dyDescent="0.4">
      <c r="A763" s="23"/>
      <c r="B763" s="23"/>
      <c r="C763" s="23"/>
      <c r="D763" s="23"/>
      <c r="E763" s="22"/>
      <c r="F763" s="22"/>
      <c r="G763" s="47"/>
    </row>
    <row r="764" spans="1:7" ht="24" customHeight="1" x14ac:dyDescent="0.4">
      <c r="A764" s="23"/>
      <c r="B764" s="23"/>
      <c r="C764" s="23"/>
      <c r="D764" s="23"/>
      <c r="E764" s="22"/>
      <c r="F764" s="22"/>
      <c r="G764" s="47"/>
    </row>
    <row r="765" spans="1:7" ht="24" customHeight="1" x14ac:dyDescent="0.4">
      <c r="A765" s="23"/>
      <c r="B765" s="23"/>
      <c r="C765" s="23"/>
      <c r="D765" s="23"/>
      <c r="E765" s="22"/>
      <c r="F765" s="22"/>
      <c r="G765" s="47"/>
    </row>
    <row r="766" spans="1:7" ht="24" customHeight="1" x14ac:dyDescent="0.4">
      <c r="A766" s="23"/>
      <c r="B766" s="23"/>
      <c r="C766" s="23"/>
      <c r="D766" s="23"/>
      <c r="E766" s="22"/>
      <c r="F766" s="22"/>
      <c r="G766" s="47"/>
    </row>
    <row r="767" spans="1:7" ht="24" customHeight="1" x14ac:dyDescent="0.4">
      <c r="A767" s="23"/>
      <c r="B767" s="23"/>
      <c r="C767" s="23"/>
      <c r="D767" s="23"/>
      <c r="E767" s="22"/>
      <c r="F767" s="22"/>
      <c r="G767" s="47"/>
    </row>
    <row r="768" spans="1:7" ht="24" customHeight="1" x14ac:dyDescent="0.4">
      <c r="A768" s="23"/>
      <c r="B768" s="23"/>
      <c r="C768" s="23"/>
      <c r="D768" s="23"/>
      <c r="E768" s="22"/>
      <c r="F768" s="22"/>
      <c r="G768" s="47"/>
    </row>
    <row r="769" spans="1:7" ht="24" customHeight="1" x14ac:dyDescent="0.4">
      <c r="A769" s="23"/>
      <c r="B769" s="23"/>
      <c r="C769" s="23"/>
      <c r="D769" s="23"/>
      <c r="E769" s="22"/>
      <c r="F769" s="22"/>
      <c r="G769" s="47"/>
    </row>
    <row r="770" spans="1:7" ht="24" customHeight="1" x14ac:dyDescent="0.4">
      <c r="A770" s="23"/>
      <c r="B770" s="23"/>
      <c r="C770" s="23"/>
      <c r="D770" s="23"/>
      <c r="E770" s="22"/>
      <c r="F770" s="22"/>
      <c r="G770" s="47"/>
    </row>
    <row r="771" spans="1:7" ht="24" customHeight="1" x14ac:dyDescent="0.4">
      <c r="A771" s="23"/>
      <c r="B771" s="23"/>
      <c r="C771" s="23"/>
      <c r="D771" s="23"/>
      <c r="E771" s="22"/>
      <c r="F771" s="22"/>
      <c r="G771" s="47"/>
    </row>
    <row r="772" spans="1:7" ht="24" customHeight="1" x14ac:dyDescent="0.4">
      <c r="A772" s="23"/>
      <c r="B772" s="23"/>
      <c r="C772" s="23"/>
      <c r="D772" s="23"/>
      <c r="E772" s="22"/>
      <c r="F772" s="22"/>
      <c r="G772" s="47"/>
    </row>
    <row r="773" spans="1:7" ht="24" customHeight="1" x14ac:dyDescent="0.4">
      <c r="A773" s="23"/>
      <c r="B773" s="23"/>
      <c r="C773" s="23"/>
      <c r="D773" s="23"/>
      <c r="E773" s="22"/>
      <c r="F773" s="22"/>
      <c r="G773" s="47"/>
    </row>
    <row r="774" spans="1:7" ht="24" customHeight="1" x14ac:dyDescent="0.4">
      <c r="A774" s="23"/>
      <c r="B774" s="23"/>
      <c r="C774" s="23"/>
      <c r="D774" s="23"/>
      <c r="E774" s="22"/>
      <c r="F774" s="22"/>
      <c r="G774" s="47"/>
    </row>
    <row r="775" spans="1:7" ht="24" customHeight="1" x14ac:dyDescent="0.4">
      <c r="A775" s="23"/>
      <c r="B775" s="23"/>
      <c r="C775" s="23"/>
      <c r="D775" s="23"/>
      <c r="E775" s="22"/>
      <c r="F775" s="22"/>
      <c r="G775" s="47"/>
    </row>
    <row r="776" spans="1:7" ht="24" customHeight="1" x14ac:dyDescent="0.4">
      <c r="A776" s="23"/>
      <c r="B776" s="23"/>
      <c r="C776" s="23"/>
      <c r="D776" s="23"/>
      <c r="E776" s="22"/>
      <c r="F776" s="22"/>
      <c r="G776" s="47"/>
    </row>
    <row r="777" spans="1:7" ht="24" customHeight="1" x14ac:dyDescent="0.4">
      <c r="A777" s="23"/>
      <c r="B777" s="23"/>
      <c r="C777" s="23"/>
      <c r="D777" s="23"/>
      <c r="E777" s="22"/>
      <c r="F777" s="22"/>
      <c r="G777" s="47"/>
    </row>
    <row r="778" spans="1:7" ht="24" customHeight="1" x14ac:dyDescent="0.4">
      <c r="A778" s="23"/>
      <c r="B778" s="23"/>
      <c r="C778" s="23"/>
      <c r="D778" s="23"/>
      <c r="E778" s="22"/>
      <c r="F778" s="22"/>
      <c r="G778" s="47"/>
    </row>
    <row r="779" spans="1:7" ht="24" customHeight="1" x14ac:dyDescent="0.4">
      <c r="A779" s="23"/>
      <c r="B779" s="23"/>
      <c r="C779" s="23"/>
      <c r="D779" s="23"/>
      <c r="E779" s="22"/>
      <c r="F779" s="22"/>
      <c r="G779" s="47"/>
    </row>
    <row r="780" spans="1:7" ht="24" customHeight="1" x14ac:dyDescent="0.4">
      <c r="A780" s="23"/>
      <c r="B780" s="23"/>
      <c r="C780" s="23"/>
      <c r="D780" s="23"/>
      <c r="E780" s="22"/>
      <c r="F780" s="22"/>
      <c r="G780" s="47"/>
    </row>
    <row r="781" spans="1:7" ht="24" customHeight="1" x14ac:dyDescent="0.4">
      <c r="A781" s="23"/>
      <c r="B781" s="23"/>
      <c r="C781" s="23"/>
      <c r="D781" s="23"/>
      <c r="E781" s="22"/>
      <c r="F781" s="22"/>
      <c r="G781" s="47"/>
    </row>
    <row r="782" spans="1:7" ht="24" customHeight="1" x14ac:dyDescent="0.4">
      <c r="A782" s="23"/>
      <c r="B782" s="23"/>
      <c r="C782" s="23"/>
      <c r="D782" s="23"/>
      <c r="E782" s="22"/>
      <c r="F782" s="22"/>
      <c r="G782" s="47"/>
    </row>
    <row r="783" spans="1:7" ht="24" customHeight="1" x14ac:dyDescent="0.4">
      <c r="A783" s="23"/>
      <c r="B783" s="23"/>
      <c r="C783" s="23"/>
      <c r="D783" s="23"/>
      <c r="E783" s="22"/>
      <c r="F783" s="22"/>
      <c r="G783" s="47"/>
    </row>
    <row r="784" spans="1:7" ht="24" customHeight="1" x14ac:dyDescent="0.4">
      <c r="A784" s="23"/>
      <c r="B784" s="23"/>
      <c r="C784" s="23"/>
      <c r="D784" s="23"/>
      <c r="E784" s="22"/>
      <c r="F784" s="22"/>
      <c r="G784" s="47"/>
    </row>
    <row r="785" spans="1:7" ht="24" customHeight="1" x14ac:dyDescent="0.4">
      <c r="A785" s="23"/>
      <c r="B785" s="23"/>
      <c r="C785" s="23"/>
      <c r="D785" s="23"/>
      <c r="E785" s="22"/>
      <c r="F785" s="22"/>
      <c r="G785" s="47"/>
    </row>
    <row r="786" spans="1:7" ht="24" customHeight="1" x14ac:dyDescent="0.4">
      <c r="A786" s="23"/>
      <c r="B786" s="23"/>
      <c r="C786" s="23"/>
      <c r="D786" s="23"/>
      <c r="E786" s="22"/>
      <c r="F786" s="22"/>
      <c r="G786" s="47"/>
    </row>
    <row r="787" spans="1:7" ht="24" customHeight="1" x14ac:dyDescent="0.4">
      <c r="A787" s="23"/>
      <c r="B787" s="23"/>
      <c r="C787" s="23"/>
      <c r="D787" s="23"/>
      <c r="E787" s="22"/>
      <c r="F787" s="22"/>
      <c r="G787" s="47"/>
    </row>
    <row r="788" spans="1:7" ht="24" customHeight="1" x14ac:dyDescent="0.4">
      <c r="A788" s="23"/>
      <c r="B788" s="23"/>
      <c r="C788" s="23"/>
      <c r="D788" s="23"/>
      <c r="E788" s="22"/>
      <c r="F788" s="22"/>
      <c r="G788" s="47"/>
    </row>
    <row r="789" spans="1:7" ht="24" customHeight="1" x14ac:dyDescent="0.4">
      <c r="A789" s="23"/>
      <c r="B789" s="23"/>
      <c r="C789" s="23"/>
      <c r="D789" s="23"/>
      <c r="E789" s="22"/>
      <c r="F789" s="22"/>
      <c r="G789" s="47"/>
    </row>
    <row r="790" spans="1:7" ht="24" customHeight="1" x14ac:dyDescent="0.4">
      <c r="A790" s="23"/>
      <c r="B790" s="23"/>
      <c r="C790" s="23"/>
      <c r="D790" s="23"/>
      <c r="E790" s="22"/>
      <c r="F790" s="22"/>
      <c r="G790" s="47"/>
    </row>
    <row r="791" spans="1:7" ht="24" customHeight="1" x14ac:dyDescent="0.4">
      <c r="A791" s="23"/>
      <c r="B791" s="23"/>
      <c r="C791" s="23"/>
      <c r="D791" s="23"/>
      <c r="E791" s="22"/>
      <c r="F791" s="22"/>
      <c r="G791" s="47"/>
    </row>
    <row r="792" spans="1:7" ht="24" customHeight="1" x14ac:dyDescent="0.4">
      <c r="A792" s="23"/>
      <c r="B792" s="23"/>
      <c r="C792" s="23"/>
      <c r="D792" s="23"/>
      <c r="E792" s="22"/>
      <c r="F792" s="22"/>
      <c r="G792" s="47"/>
    </row>
    <row r="793" spans="1:7" ht="24" customHeight="1" x14ac:dyDescent="0.4">
      <c r="A793" s="23"/>
      <c r="B793" s="23"/>
      <c r="C793" s="23"/>
      <c r="D793" s="23"/>
      <c r="E793" s="22"/>
      <c r="F793" s="22"/>
      <c r="G793" s="47"/>
    </row>
    <row r="794" spans="1:7" ht="24" customHeight="1" x14ac:dyDescent="0.4">
      <c r="A794" s="23"/>
      <c r="B794" s="23"/>
      <c r="C794" s="23"/>
      <c r="D794" s="23"/>
      <c r="E794" s="22"/>
      <c r="F794" s="22"/>
      <c r="G794" s="47"/>
    </row>
    <row r="795" spans="1:7" ht="24" customHeight="1" x14ac:dyDescent="0.4">
      <c r="A795" s="23"/>
      <c r="B795" s="23"/>
      <c r="C795" s="23"/>
      <c r="D795" s="23"/>
      <c r="E795" s="22"/>
      <c r="F795" s="22"/>
      <c r="G795" s="47"/>
    </row>
    <row r="796" spans="1:7" ht="24" customHeight="1" x14ac:dyDescent="0.4">
      <c r="A796" s="23"/>
      <c r="B796" s="23"/>
      <c r="C796" s="23"/>
      <c r="D796" s="23"/>
      <c r="E796" s="22"/>
      <c r="F796" s="22"/>
      <c r="G796" s="47"/>
    </row>
    <row r="797" spans="1:7" ht="24" customHeight="1" x14ac:dyDescent="0.4">
      <c r="A797" s="23"/>
      <c r="B797" s="23"/>
      <c r="C797" s="23"/>
      <c r="D797" s="23"/>
      <c r="E797" s="22"/>
      <c r="F797" s="22"/>
      <c r="G797" s="47"/>
    </row>
    <row r="798" spans="1:7" ht="24" customHeight="1" x14ac:dyDescent="0.4">
      <c r="A798" s="23"/>
      <c r="B798" s="23"/>
      <c r="C798" s="23"/>
      <c r="D798" s="23"/>
      <c r="E798" s="22"/>
      <c r="F798" s="22"/>
      <c r="G798" s="47"/>
    </row>
    <row r="799" spans="1:7" ht="24" customHeight="1" x14ac:dyDescent="0.4">
      <c r="A799" s="23"/>
      <c r="B799" s="23"/>
      <c r="C799" s="23"/>
      <c r="D799" s="23"/>
      <c r="E799" s="22"/>
      <c r="F799" s="22"/>
      <c r="G799" s="47"/>
    </row>
    <row r="800" spans="1:7" ht="24" customHeight="1" x14ac:dyDescent="0.4">
      <c r="A800" s="23"/>
      <c r="B800" s="23"/>
      <c r="C800" s="23"/>
      <c r="D800" s="23"/>
      <c r="E800" s="22"/>
      <c r="F800" s="22"/>
      <c r="G800" s="47"/>
    </row>
    <row r="801" spans="1:7" ht="24" customHeight="1" x14ac:dyDescent="0.4">
      <c r="A801" s="23"/>
      <c r="B801" s="23"/>
      <c r="C801" s="23"/>
      <c r="D801" s="23"/>
      <c r="E801" s="22"/>
      <c r="F801" s="22"/>
      <c r="G801" s="47"/>
    </row>
    <row r="802" spans="1:7" ht="24" customHeight="1" x14ac:dyDescent="0.4">
      <c r="A802" s="23"/>
      <c r="B802" s="23"/>
      <c r="C802" s="23"/>
      <c r="D802" s="23"/>
      <c r="E802" s="22"/>
      <c r="F802" s="22"/>
      <c r="G802" s="47"/>
    </row>
    <row r="803" spans="1:7" ht="24" customHeight="1" x14ac:dyDescent="0.4">
      <c r="A803" s="23"/>
      <c r="B803" s="23"/>
      <c r="C803" s="23"/>
      <c r="D803" s="23"/>
      <c r="E803" s="22"/>
      <c r="F803" s="22"/>
      <c r="G803" s="47"/>
    </row>
    <row r="804" spans="1:7" ht="24" customHeight="1" x14ac:dyDescent="0.4">
      <c r="A804" s="23"/>
      <c r="B804" s="23"/>
      <c r="C804" s="23"/>
      <c r="D804" s="23"/>
      <c r="E804" s="22"/>
      <c r="F804" s="22"/>
      <c r="G804" s="47"/>
    </row>
    <row r="805" spans="1:7" ht="24" customHeight="1" x14ac:dyDescent="0.4">
      <c r="A805" s="23"/>
      <c r="B805" s="23"/>
      <c r="C805" s="23"/>
      <c r="D805" s="23"/>
      <c r="E805" s="22"/>
      <c r="F805" s="22"/>
      <c r="G805" s="47"/>
    </row>
    <row r="806" spans="1:7" ht="24" customHeight="1" x14ac:dyDescent="0.4">
      <c r="A806" s="23"/>
      <c r="B806" s="23"/>
      <c r="C806" s="23"/>
      <c r="D806" s="23"/>
      <c r="E806" s="22"/>
      <c r="F806" s="22"/>
      <c r="G806" s="47"/>
    </row>
    <row r="807" spans="1:7" ht="24" customHeight="1" x14ac:dyDescent="0.4">
      <c r="A807" s="23"/>
      <c r="B807" s="23"/>
      <c r="C807" s="23"/>
      <c r="D807" s="23"/>
      <c r="E807" s="22"/>
      <c r="F807" s="22"/>
      <c r="G807" s="47"/>
    </row>
    <row r="808" spans="1:7" ht="24" customHeight="1" x14ac:dyDescent="0.4">
      <c r="A808" s="23"/>
      <c r="B808" s="23"/>
      <c r="C808" s="23"/>
      <c r="D808" s="23"/>
      <c r="E808" s="22"/>
      <c r="F808" s="22"/>
      <c r="G808" s="47"/>
    </row>
    <row r="809" spans="1:7" ht="24" customHeight="1" x14ac:dyDescent="0.4">
      <c r="A809" s="23"/>
      <c r="B809" s="23"/>
      <c r="C809" s="23"/>
      <c r="D809" s="23"/>
      <c r="E809" s="22"/>
      <c r="F809" s="22"/>
      <c r="G809" s="47"/>
    </row>
    <row r="810" spans="1:7" ht="24" customHeight="1" x14ac:dyDescent="0.4">
      <c r="A810" s="23"/>
      <c r="B810" s="23"/>
      <c r="C810" s="23"/>
      <c r="D810" s="23"/>
      <c r="E810" s="22"/>
      <c r="F810" s="22"/>
      <c r="G810" s="47"/>
    </row>
    <row r="811" spans="1:7" ht="24" customHeight="1" x14ac:dyDescent="0.4">
      <c r="A811" s="23"/>
      <c r="B811" s="23"/>
      <c r="C811" s="23"/>
      <c r="D811" s="23"/>
      <c r="E811" s="22"/>
      <c r="F811" s="22"/>
      <c r="G811" s="47"/>
    </row>
    <row r="812" spans="1:7" ht="24" customHeight="1" x14ac:dyDescent="0.4">
      <c r="A812" s="23"/>
      <c r="B812" s="23"/>
      <c r="C812" s="23"/>
      <c r="D812" s="23"/>
      <c r="E812" s="22"/>
      <c r="F812" s="22"/>
      <c r="G812" s="47"/>
    </row>
    <row r="813" spans="1:7" ht="24" customHeight="1" x14ac:dyDescent="0.4">
      <c r="A813" s="23"/>
      <c r="B813" s="23"/>
      <c r="C813" s="23"/>
      <c r="D813" s="23"/>
      <c r="E813" s="22"/>
      <c r="F813" s="22"/>
      <c r="G813" s="47"/>
    </row>
    <row r="814" spans="1:7" ht="24" customHeight="1" x14ac:dyDescent="0.4">
      <c r="A814" s="23"/>
      <c r="B814" s="23"/>
      <c r="C814" s="23"/>
      <c r="D814" s="23"/>
      <c r="E814" s="22"/>
      <c r="F814" s="22"/>
      <c r="G814" s="47"/>
    </row>
    <row r="815" spans="1:7" ht="24" customHeight="1" x14ac:dyDescent="0.4">
      <c r="A815" s="23"/>
      <c r="B815" s="23"/>
      <c r="C815" s="23"/>
      <c r="D815" s="23"/>
      <c r="E815" s="22"/>
      <c r="F815" s="22"/>
      <c r="G815" s="47"/>
    </row>
    <row r="816" spans="1:7" ht="24" customHeight="1" x14ac:dyDescent="0.4">
      <c r="A816" s="23"/>
      <c r="B816" s="23"/>
      <c r="C816" s="23"/>
      <c r="D816" s="23"/>
      <c r="E816" s="22"/>
      <c r="F816" s="22"/>
      <c r="G816" s="47"/>
    </row>
    <row r="817" spans="1:7" ht="24" customHeight="1" x14ac:dyDescent="0.4">
      <c r="A817" s="23"/>
      <c r="B817" s="23"/>
      <c r="C817" s="23"/>
      <c r="D817" s="23"/>
      <c r="E817" s="22"/>
      <c r="F817" s="22"/>
      <c r="G817" s="47"/>
    </row>
    <row r="818" spans="1:7" ht="24" customHeight="1" x14ac:dyDescent="0.4">
      <c r="A818" s="23"/>
      <c r="B818" s="23"/>
      <c r="C818" s="23"/>
      <c r="D818" s="23"/>
      <c r="E818" s="22"/>
      <c r="F818" s="22"/>
      <c r="G818" s="47"/>
    </row>
    <row r="819" spans="1:7" ht="24" customHeight="1" x14ac:dyDescent="0.4">
      <c r="A819" s="23"/>
      <c r="B819" s="23"/>
      <c r="C819" s="23"/>
      <c r="D819" s="23"/>
      <c r="E819" s="22"/>
      <c r="F819" s="22"/>
      <c r="G819" s="47"/>
    </row>
    <row r="820" spans="1:7" ht="24" customHeight="1" x14ac:dyDescent="0.4">
      <c r="A820" s="23"/>
      <c r="B820" s="23"/>
      <c r="C820" s="23"/>
      <c r="D820" s="23"/>
      <c r="E820" s="22"/>
      <c r="F820" s="22"/>
      <c r="G820" s="47"/>
    </row>
    <row r="821" spans="1:7" ht="24" customHeight="1" x14ac:dyDescent="0.4">
      <c r="A821" s="23"/>
      <c r="B821" s="23"/>
      <c r="C821" s="23"/>
      <c r="D821" s="23"/>
      <c r="E821" s="22"/>
      <c r="F821" s="22"/>
      <c r="G821" s="47"/>
    </row>
    <row r="822" spans="1:7" ht="24" customHeight="1" x14ac:dyDescent="0.4">
      <c r="A822" s="23"/>
      <c r="B822" s="23"/>
      <c r="C822" s="23"/>
      <c r="D822" s="23"/>
      <c r="E822" s="22"/>
      <c r="F822" s="22"/>
      <c r="G822" s="47"/>
    </row>
    <row r="823" spans="1:7" ht="24" customHeight="1" x14ac:dyDescent="0.4">
      <c r="A823" s="23"/>
      <c r="B823" s="23"/>
      <c r="C823" s="23"/>
      <c r="D823" s="23"/>
      <c r="E823" s="22"/>
      <c r="F823" s="22"/>
      <c r="G823" s="47"/>
    </row>
    <row r="824" spans="1:7" ht="24" customHeight="1" x14ac:dyDescent="0.4">
      <c r="A824" s="23"/>
      <c r="B824" s="23"/>
      <c r="C824" s="23"/>
      <c r="D824" s="23"/>
      <c r="E824" s="22"/>
      <c r="F824" s="22"/>
      <c r="G824" s="47"/>
    </row>
    <row r="825" spans="1:7" ht="24" customHeight="1" x14ac:dyDescent="0.4">
      <c r="A825" s="23"/>
      <c r="B825" s="23"/>
      <c r="C825" s="23"/>
      <c r="D825" s="23"/>
      <c r="E825" s="22"/>
      <c r="F825" s="22"/>
      <c r="G825" s="47"/>
    </row>
    <row r="826" spans="1:7" ht="24" customHeight="1" x14ac:dyDescent="0.4">
      <c r="A826" s="23"/>
      <c r="B826" s="23"/>
      <c r="C826" s="23"/>
      <c r="D826" s="23"/>
      <c r="E826" s="22"/>
      <c r="F826" s="22"/>
      <c r="G826" s="47"/>
    </row>
    <row r="827" spans="1:7" ht="24" customHeight="1" x14ac:dyDescent="0.4">
      <c r="A827" s="23"/>
      <c r="B827" s="23"/>
      <c r="C827" s="23"/>
      <c r="D827" s="23"/>
      <c r="E827" s="22"/>
      <c r="F827" s="22"/>
      <c r="G827" s="47"/>
    </row>
    <row r="828" spans="1:7" ht="24" customHeight="1" x14ac:dyDescent="0.4">
      <c r="A828" s="23"/>
      <c r="B828" s="23"/>
      <c r="C828" s="23"/>
      <c r="D828" s="23"/>
      <c r="E828" s="22"/>
      <c r="F828" s="22"/>
      <c r="G828" s="47"/>
    </row>
    <row r="829" spans="1:7" ht="24" customHeight="1" x14ac:dyDescent="0.4">
      <c r="A829" s="23"/>
      <c r="B829" s="23"/>
      <c r="C829" s="23"/>
      <c r="D829" s="23"/>
      <c r="E829" s="22"/>
      <c r="F829" s="22"/>
      <c r="G829" s="47"/>
    </row>
    <row r="830" spans="1:7" ht="24" customHeight="1" x14ac:dyDescent="0.4">
      <c r="A830" s="23"/>
      <c r="B830" s="23"/>
      <c r="C830" s="23"/>
      <c r="D830" s="23"/>
      <c r="E830" s="22"/>
      <c r="F830" s="22"/>
      <c r="G830" s="47"/>
    </row>
    <row r="831" spans="1:7" ht="24" customHeight="1" x14ac:dyDescent="0.4">
      <c r="A831" s="23"/>
      <c r="B831" s="23"/>
      <c r="C831" s="23"/>
      <c r="D831" s="23"/>
      <c r="E831" s="22"/>
      <c r="F831" s="22"/>
      <c r="G831" s="47"/>
    </row>
    <row r="832" spans="1:7" ht="24" customHeight="1" x14ac:dyDescent="0.4">
      <c r="A832" s="23"/>
      <c r="B832" s="23"/>
      <c r="C832" s="23"/>
      <c r="D832" s="23"/>
      <c r="E832" s="22"/>
      <c r="F832" s="22"/>
      <c r="G832" s="47"/>
    </row>
    <row r="833" spans="1:7" ht="24" customHeight="1" x14ac:dyDescent="0.4">
      <c r="A833" s="23"/>
      <c r="B833" s="23"/>
      <c r="C833" s="23"/>
      <c r="D833" s="23"/>
      <c r="E833" s="22"/>
      <c r="F833" s="22"/>
      <c r="G833" s="47"/>
    </row>
    <row r="834" spans="1:7" ht="24" customHeight="1" x14ac:dyDescent="0.4">
      <c r="A834" s="23"/>
      <c r="B834" s="23"/>
      <c r="C834" s="23"/>
      <c r="D834" s="23"/>
      <c r="E834" s="22"/>
      <c r="F834" s="22"/>
      <c r="G834" s="47"/>
    </row>
    <row r="835" spans="1:7" ht="24" customHeight="1" x14ac:dyDescent="0.4">
      <c r="A835" s="23"/>
      <c r="B835" s="23"/>
      <c r="C835" s="23"/>
      <c r="D835" s="23"/>
      <c r="E835" s="22"/>
      <c r="F835" s="22"/>
      <c r="G835" s="47"/>
    </row>
    <row r="836" spans="1:7" ht="24" customHeight="1" x14ac:dyDescent="0.4">
      <c r="A836" s="23"/>
      <c r="B836" s="23"/>
      <c r="C836" s="23"/>
      <c r="D836" s="23"/>
      <c r="E836" s="22"/>
      <c r="F836" s="22"/>
      <c r="G836" s="47"/>
    </row>
    <row r="837" spans="1:7" ht="24" customHeight="1" x14ac:dyDescent="0.4">
      <c r="A837" s="23"/>
      <c r="B837" s="23"/>
      <c r="C837" s="23"/>
      <c r="D837" s="23"/>
      <c r="E837" s="22"/>
      <c r="F837" s="22"/>
      <c r="G837" s="47"/>
    </row>
    <row r="838" spans="1:7" ht="24" customHeight="1" x14ac:dyDescent="0.4">
      <c r="A838" s="23"/>
      <c r="B838" s="23"/>
      <c r="C838" s="23"/>
      <c r="D838" s="23"/>
      <c r="E838" s="22"/>
      <c r="F838" s="22"/>
      <c r="G838" s="47"/>
    </row>
    <row r="839" spans="1:7" ht="24" customHeight="1" x14ac:dyDescent="0.4">
      <c r="A839" s="23"/>
      <c r="B839" s="23"/>
      <c r="C839" s="23"/>
      <c r="D839" s="23"/>
      <c r="E839" s="22"/>
      <c r="F839" s="22"/>
      <c r="G839" s="47"/>
    </row>
    <row r="840" spans="1:7" ht="24" customHeight="1" x14ac:dyDescent="0.4">
      <c r="A840" s="23"/>
      <c r="B840" s="23"/>
      <c r="C840" s="23"/>
      <c r="D840" s="23"/>
      <c r="E840" s="22"/>
      <c r="F840" s="22"/>
      <c r="G840" s="47"/>
    </row>
    <row r="841" spans="1:7" ht="24" customHeight="1" x14ac:dyDescent="0.4">
      <c r="A841" s="23"/>
      <c r="B841" s="23"/>
      <c r="C841" s="23"/>
      <c r="D841" s="23"/>
      <c r="E841" s="22"/>
      <c r="F841" s="22"/>
      <c r="G841" s="47"/>
    </row>
    <row r="842" spans="1:7" ht="24" customHeight="1" x14ac:dyDescent="0.4">
      <c r="A842" s="23"/>
      <c r="B842" s="23"/>
      <c r="C842" s="23"/>
      <c r="D842" s="23"/>
      <c r="E842" s="22"/>
      <c r="F842" s="22"/>
      <c r="G842" s="47"/>
    </row>
    <row r="843" spans="1:7" ht="24" customHeight="1" x14ac:dyDescent="0.4">
      <c r="A843" s="23"/>
      <c r="B843" s="23"/>
      <c r="C843" s="23"/>
      <c r="D843" s="23"/>
      <c r="E843" s="22"/>
      <c r="F843" s="22"/>
      <c r="G843" s="47"/>
    </row>
    <row r="844" spans="1:7" ht="24" customHeight="1" x14ac:dyDescent="0.4">
      <c r="A844" s="23"/>
      <c r="B844" s="23"/>
      <c r="C844" s="23"/>
      <c r="D844" s="23"/>
      <c r="E844" s="22"/>
      <c r="F844" s="22"/>
      <c r="G844" s="47"/>
    </row>
    <row r="845" spans="1:7" ht="24" customHeight="1" x14ac:dyDescent="0.4">
      <c r="A845" s="23"/>
      <c r="B845" s="23"/>
      <c r="C845" s="23"/>
      <c r="D845" s="23"/>
      <c r="E845" s="22"/>
      <c r="F845" s="22"/>
      <c r="G845" s="47"/>
    </row>
    <row r="846" spans="1:7" ht="24" customHeight="1" x14ac:dyDescent="0.4">
      <c r="A846" s="23"/>
      <c r="B846" s="23"/>
      <c r="C846" s="23"/>
      <c r="D846" s="23"/>
      <c r="E846" s="22"/>
      <c r="F846" s="22"/>
      <c r="G846" s="47"/>
    </row>
    <row r="847" spans="1:7" ht="24" customHeight="1" x14ac:dyDescent="0.4">
      <c r="A847" s="23"/>
      <c r="B847" s="23"/>
      <c r="C847" s="23"/>
      <c r="D847" s="23"/>
      <c r="E847" s="22"/>
      <c r="F847" s="22"/>
      <c r="G847" s="47"/>
    </row>
    <row r="848" spans="1:7" ht="24" customHeight="1" x14ac:dyDescent="0.4">
      <c r="A848" s="23"/>
      <c r="B848" s="23"/>
      <c r="C848" s="23"/>
      <c r="D848" s="23"/>
      <c r="E848" s="22"/>
      <c r="F848" s="22"/>
      <c r="G848" s="47"/>
    </row>
    <row r="849" spans="1:7" ht="24" customHeight="1" x14ac:dyDescent="0.4">
      <c r="A849" s="23"/>
      <c r="B849" s="23"/>
      <c r="C849" s="23"/>
      <c r="D849" s="23"/>
      <c r="E849" s="22"/>
      <c r="F849" s="22"/>
      <c r="G849" s="47"/>
    </row>
    <row r="850" spans="1:7" ht="24" customHeight="1" x14ac:dyDescent="0.4">
      <c r="A850" s="23"/>
      <c r="B850" s="23"/>
      <c r="C850" s="23"/>
      <c r="D850" s="23"/>
      <c r="E850" s="22"/>
      <c r="F850" s="22"/>
      <c r="G850" s="47"/>
    </row>
    <row r="851" spans="1:7" ht="24" customHeight="1" x14ac:dyDescent="0.4">
      <c r="A851" s="23"/>
      <c r="B851" s="23"/>
      <c r="C851" s="23"/>
      <c r="D851" s="23"/>
      <c r="E851" s="22"/>
      <c r="F851" s="22"/>
      <c r="G851" s="47"/>
    </row>
    <row r="852" spans="1:7" ht="24" customHeight="1" x14ac:dyDescent="0.4">
      <c r="A852" s="23"/>
      <c r="B852" s="23"/>
      <c r="C852" s="23"/>
      <c r="D852" s="23"/>
      <c r="E852" s="22"/>
      <c r="F852" s="22"/>
      <c r="G852" s="47"/>
    </row>
    <row r="853" spans="1:7" ht="24" customHeight="1" x14ac:dyDescent="0.4">
      <c r="A853" s="23"/>
      <c r="B853" s="23"/>
      <c r="C853" s="23"/>
      <c r="D853" s="23"/>
      <c r="E853" s="22"/>
      <c r="F853" s="22"/>
      <c r="G853" s="47"/>
    </row>
    <row r="854" spans="1:7" ht="24" customHeight="1" x14ac:dyDescent="0.4">
      <c r="A854" s="23"/>
      <c r="B854" s="23"/>
      <c r="C854" s="23"/>
      <c r="D854" s="23"/>
      <c r="E854" s="22"/>
      <c r="F854" s="22"/>
      <c r="G854" s="47"/>
    </row>
    <row r="855" spans="1:7" ht="24" customHeight="1" x14ac:dyDescent="0.4">
      <c r="A855" s="23"/>
      <c r="B855" s="23"/>
      <c r="C855" s="23"/>
      <c r="D855" s="23"/>
      <c r="E855" s="22"/>
      <c r="F855" s="22"/>
      <c r="G855" s="47"/>
    </row>
    <row r="856" spans="1:7" ht="24" customHeight="1" x14ac:dyDescent="0.4">
      <c r="A856" s="23"/>
      <c r="B856" s="23"/>
      <c r="C856" s="23"/>
      <c r="D856" s="23"/>
      <c r="E856" s="22"/>
      <c r="F856" s="22"/>
      <c r="G856" s="47"/>
    </row>
    <row r="857" spans="1:7" ht="24" customHeight="1" x14ac:dyDescent="0.4">
      <c r="A857" s="23"/>
      <c r="B857" s="23"/>
      <c r="C857" s="23"/>
      <c r="D857" s="23"/>
      <c r="E857" s="22"/>
      <c r="F857" s="22"/>
      <c r="G857" s="47"/>
    </row>
    <row r="858" spans="1:7" ht="24" customHeight="1" x14ac:dyDescent="0.4">
      <c r="A858" s="23"/>
      <c r="B858" s="23"/>
      <c r="C858" s="23"/>
      <c r="D858" s="23"/>
      <c r="E858" s="22"/>
      <c r="F858" s="22"/>
      <c r="G858" s="47"/>
    </row>
    <row r="859" spans="1:7" ht="24" customHeight="1" x14ac:dyDescent="0.4">
      <c r="A859" s="23"/>
      <c r="B859" s="23"/>
      <c r="C859" s="23"/>
      <c r="D859" s="23"/>
      <c r="E859" s="22"/>
      <c r="F859" s="22"/>
      <c r="G859" s="47"/>
    </row>
    <row r="860" spans="1:7" ht="24" customHeight="1" x14ac:dyDescent="0.4">
      <c r="A860" s="23"/>
      <c r="B860" s="23"/>
      <c r="C860" s="23"/>
      <c r="D860" s="23"/>
      <c r="E860" s="22"/>
      <c r="F860" s="22"/>
      <c r="G860" s="47"/>
    </row>
    <row r="861" spans="1:7" ht="24" customHeight="1" x14ac:dyDescent="0.4">
      <c r="A861" s="23"/>
      <c r="B861" s="23"/>
      <c r="C861" s="23"/>
      <c r="D861" s="23"/>
      <c r="E861" s="22"/>
      <c r="F861" s="22"/>
      <c r="G861" s="47"/>
    </row>
    <row r="862" spans="1:7" ht="24" customHeight="1" x14ac:dyDescent="0.4">
      <c r="A862" s="23"/>
      <c r="B862" s="23"/>
      <c r="C862" s="23"/>
      <c r="D862" s="23"/>
      <c r="E862" s="22"/>
      <c r="F862" s="22"/>
      <c r="G862" s="47"/>
    </row>
    <row r="863" spans="1:7" ht="24" customHeight="1" x14ac:dyDescent="0.4">
      <c r="A863" s="23"/>
      <c r="B863" s="23"/>
      <c r="C863" s="23"/>
      <c r="D863" s="23"/>
      <c r="E863" s="22"/>
      <c r="F863" s="22"/>
      <c r="G863" s="47"/>
    </row>
    <row r="864" spans="1:7" ht="24" customHeight="1" x14ac:dyDescent="0.4">
      <c r="A864" s="23"/>
      <c r="B864" s="23"/>
      <c r="C864" s="23"/>
      <c r="D864" s="23"/>
      <c r="E864" s="22"/>
      <c r="F864" s="22"/>
      <c r="G864" s="47"/>
    </row>
    <row r="865" spans="1:7" ht="24" customHeight="1" x14ac:dyDescent="0.4">
      <c r="A865" s="23"/>
      <c r="B865" s="23"/>
      <c r="C865" s="23"/>
      <c r="D865" s="23"/>
      <c r="E865" s="22"/>
      <c r="F865" s="22"/>
      <c r="G865" s="47"/>
    </row>
    <row r="866" spans="1:7" ht="24" customHeight="1" x14ac:dyDescent="0.4">
      <c r="A866" s="23"/>
      <c r="B866" s="23"/>
      <c r="C866" s="23"/>
      <c r="D866" s="23"/>
      <c r="E866" s="22"/>
      <c r="F866" s="22"/>
      <c r="G866" s="47"/>
    </row>
    <row r="867" spans="1:7" ht="24" customHeight="1" x14ac:dyDescent="0.4">
      <c r="A867" s="23"/>
      <c r="B867" s="23"/>
      <c r="C867" s="23"/>
      <c r="D867" s="23"/>
      <c r="E867" s="22"/>
      <c r="F867" s="22"/>
      <c r="G867" s="47"/>
    </row>
    <row r="868" spans="1:7" ht="24" customHeight="1" x14ac:dyDescent="0.4">
      <c r="A868" s="23"/>
      <c r="B868" s="23"/>
      <c r="C868" s="23"/>
      <c r="D868" s="23"/>
      <c r="E868" s="22"/>
      <c r="F868" s="22"/>
      <c r="G868" s="47"/>
    </row>
    <row r="869" spans="1:7" ht="24" customHeight="1" x14ac:dyDescent="0.4">
      <c r="A869" s="23"/>
      <c r="B869" s="23"/>
      <c r="C869" s="23"/>
      <c r="D869" s="23"/>
      <c r="E869" s="22"/>
      <c r="F869" s="22"/>
      <c r="G869" s="47"/>
    </row>
    <row r="870" spans="1:7" ht="24" customHeight="1" x14ac:dyDescent="0.4">
      <c r="A870" s="23"/>
      <c r="B870" s="23"/>
      <c r="C870" s="23"/>
      <c r="D870" s="23"/>
      <c r="E870" s="22"/>
      <c r="F870" s="22"/>
      <c r="G870" s="47"/>
    </row>
    <row r="871" spans="1:7" ht="24" customHeight="1" x14ac:dyDescent="0.4">
      <c r="A871" s="23"/>
      <c r="B871" s="23"/>
      <c r="C871" s="23"/>
      <c r="D871" s="23"/>
      <c r="E871" s="22"/>
      <c r="F871" s="22"/>
      <c r="G871" s="47"/>
    </row>
    <row r="872" spans="1:7" ht="24" customHeight="1" x14ac:dyDescent="0.4">
      <c r="A872" s="23"/>
      <c r="B872" s="23"/>
      <c r="C872" s="23"/>
      <c r="D872" s="23"/>
      <c r="E872" s="22"/>
      <c r="F872" s="22"/>
      <c r="G872" s="47"/>
    </row>
    <row r="873" spans="1:7" ht="24" customHeight="1" x14ac:dyDescent="0.4">
      <c r="A873" s="23"/>
      <c r="B873" s="23"/>
      <c r="C873" s="23"/>
      <c r="D873" s="23"/>
      <c r="E873" s="22"/>
      <c r="F873" s="22"/>
      <c r="G873" s="47"/>
    </row>
    <row r="874" spans="1:7" ht="24" customHeight="1" x14ac:dyDescent="0.4">
      <c r="A874" s="23"/>
      <c r="B874" s="23"/>
      <c r="C874" s="23"/>
      <c r="D874" s="23"/>
      <c r="E874" s="22"/>
      <c r="F874" s="22"/>
      <c r="G874" s="47"/>
    </row>
    <row r="875" spans="1:7" ht="24" customHeight="1" x14ac:dyDescent="0.4">
      <c r="A875" s="23"/>
      <c r="B875" s="23"/>
      <c r="C875" s="23"/>
      <c r="D875" s="23"/>
      <c r="E875" s="22"/>
      <c r="F875" s="22"/>
      <c r="G875" s="47"/>
    </row>
    <row r="876" spans="1:7" ht="24" customHeight="1" x14ac:dyDescent="0.4">
      <c r="A876" s="23"/>
      <c r="B876" s="23"/>
      <c r="C876" s="23"/>
      <c r="D876" s="23"/>
      <c r="E876" s="22"/>
      <c r="F876" s="22"/>
      <c r="G876" s="47"/>
    </row>
    <row r="877" spans="1:7" ht="24" customHeight="1" x14ac:dyDescent="0.4">
      <c r="A877" s="23"/>
      <c r="B877" s="23"/>
      <c r="C877" s="23"/>
      <c r="D877" s="23"/>
      <c r="E877" s="22"/>
      <c r="F877" s="22"/>
      <c r="G877" s="47"/>
    </row>
    <row r="878" spans="1:7" ht="24" customHeight="1" x14ac:dyDescent="0.4">
      <c r="A878" s="23"/>
      <c r="B878" s="23"/>
      <c r="C878" s="23"/>
      <c r="D878" s="23"/>
      <c r="E878" s="22"/>
      <c r="F878" s="22"/>
      <c r="G878" s="47"/>
    </row>
    <row r="879" spans="1:7" ht="24" customHeight="1" x14ac:dyDescent="0.4">
      <c r="A879" s="23"/>
      <c r="B879" s="23"/>
      <c r="C879" s="23"/>
      <c r="D879" s="23"/>
      <c r="E879" s="22"/>
      <c r="F879" s="22"/>
      <c r="G879" s="47"/>
    </row>
    <row r="880" spans="1:7" ht="24" customHeight="1" x14ac:dyDescent="0.4">
      <c r="A880" s="23"/>
      <c r="B880" s="23"/>
      <c r="C880" s="23"/>
      <c r="D880" s="23"/>
      <c r="E880" s="22"/>
      <c r="F880" s="22"/>
      <c r="G880" s="47"/>
    </row>
    <row r="881" spans="1:7" ht="24" customHeight="1" x14ac:dyDescent="0.4">
      <c r="A881" s="23"/>
      <c r="B881" s="23"/>
      <c r="C881" s="23"/>
      <c r="D881" s="23"/>
      <c r="E881" s="22"/>
      <c r="F881" s="22"/>
      <c r="G881" s="47"/>
    </row>
    <row r="882" spans="1:7" ht="24" customHeight="1" x14ac:dyDescent="0.4">
      <c r="A882" s="23"/>
      <c r="B882" s="23"/>
      <c r="C882" s="23"/>
      <c r="D882" s="23"/>
      <c r="E882" s="22"/>
      <c r="F882" s="22"/>
      <c r="G882" s="47"/>
    </row>
    <row r="883" spans="1:7" ht="24" customHeight="1" x14ac:dyDescent="0.4">
      <c r="A883" s="23"/>
      <c r="B883" s="23"/>
      <c r="C883" s="23"/>
      <c r="D883" s="23"/>
      <c r="E883" s="22"/>
      <c r="F883" s="22"/>
      <c r="G883" s="47"/>
    </row>
    <row r="884" spans="1:7" ht="24" customHeight="1" x14ac:dyDescent="0.4">
      <c r="A884" s="23"/>
      <c r="B884" s="23"/>
      <c r="C884" s="23"/>
      <c r="D884" s="23"/>
      <c r="E884" s="22"/>
      <c r="F884" s="22"/>
      <c r="G884" s="47"/>
    </row>
    <row r="885" spans="1:7" ht="24" customHeight="1" x14ac:dyDescent="0.4">
      <c r="A885" s="23"/>
      <c r="B885" s="23"/>
      <c r="C885" s="23"/>
      <c r="D885" s="23"/>
      <c r="E885" s="22"/>
      <c r="F885" s="22"/>
      <c r="G885" s="47"/>
    </row>
    <row r="886" spans="1:7" ht="24" customHeight="1" x14ac:dyDescent="0.4">
      <c r="A886" s="23"/>
      <c r="B886" s="23"/>
      <c r="C886" s="23"/>
      <c r="D886" s="23"/>
      <c r="E886" s="22"/>
      <c r="F886" s="22"/>
      <c r="G886" s="47"/>
    </row>
    <row r="887" spans="1:7" ht="24" customHeight="1" x14ac:dyDescent="0.4">
      <c r="A887" s="23"/>
      <c r="B887" s="23"/>
      <c r="C887" s="23"/>
      <c r="D887" s="23"/>
      <c r="E887" s="22"/>
      <c r="F887" s="22"/>
      <c r="G887" s="47"/>
    </row>
    <row r="888" spans="1:7" ht="24" customHeight="1" x14ac:dyDescent="0.4">
      <c r="A888" s="23"/>
      <c r="B888" s="23"/>
      <c r="C888" s="23"/>
      <c r="D888" s="23"/>
      <c r="E888" s="22"/>
      <c r="F888" s="22"/>
      <c r="G888" s="47"/>
    </row>
    <row r="889" spans="1:7" ht="24" customHeight="1" x14ac:dyDescent="0.4">
      <c r="A889" s="23"/>
      <c r="B889" s="23"/>
      <c r="C889" s="23"/>
      <c r="D889" s="23"/>
      <c r="E889" s="22"/>
      <c r="F889" s="22"/>
      <c r="G889" s="47"/>
    </row>
    <row r="890" spans="1:7" ht="24" customHeight="1" x14ac:dyDescent="0.4">
      <c r="A890" s="23"/>
      <c r="B890" s="23"/>
      <c r="C890" s="23"/>
      <c r="D890" s="23"/>
      <c r="E890" s="22"/>
      <c r="F890" s="22"/>
      <c r="G890" s="47"/>
    </row>
    <row r="891" spans="1:7" ht="24" customHeight="1" x14ac:dyDescent="0.4">
      <c r="A891" s="23"/>
      <c r="B891" s="23"/>
      <c r="C891" s="23"/>
      <c r="D891" s="23"/>
      <c r="E891" s="22"/>
      <c r="F891" s="22"/>
      <c r="G891" s="47"/>
    </row>
    <row r="892" spans="1:7" ht="24" customHeight="1" x14ac:dyDescent="0.4">
      <c r="A892" s="23"/>
      <c r="B892" s="23"/>
      <c r="C892" s="23"/>
      <c r="D892" s="23"/>
      <c r="E892" s="22"/>
      <c r="F892" s="22"/>
      <c r="G892" s="47"/>
    </row>
    <row r="893" spans="1:7" ht="24" customHeight="1" x14ac:dyDescent="0.4">
      <c r="A893" s="23"/>
      <c r="B893" s="23"/>
      <c r="C893" s="23"/>
      <c r="D893" s="23"/>
      <c r="E893" s="22"/>
      <c r="F893" s="22"/>
      <c r="G893" s="47"/>
    </row>
    <row r="894" spans="1:7" ht="24" customHeight="1" x14ac:dyDescent="0.4">
      <c r="A894" s="23"/>
      <c r="B894" s="23"/>
      <c r="C894" s="23"/>
      <c r="D894" s="23"/>
      <c r="E894" s="22"/>
      <c r="F894" s="22"/>
      <c r="G894" s="47"/>
    </row>
    <row r="895" spans="1:7" ht="24" customHeight="1" x14ac:dyDescent="0.4">
      <c r="A895" s="23"/>
      <c r="B895" s="23"/>
      <c r="C895" s="23"/>
      <c r="D895" s="23"/>
      <c r="E895" s="22"/>
      <c r="F895" s="22"/>
      <c r="G895" s="47"/>
    </row>
    <row r="896" spans="1:7" ht="24" customHeight="1" x14ac:dyDescent="0.4">
      <c r="A896" s="23"/>
      <c r="B896" s="23"/>
      <c r="C896" s="23"/>
      <c r="D896" s="23"/>
      <c r="E896" s="22"/>
      <c r="F896" s="22"/>
      <c r="G896" s="47"/>
    </row>
    <row r="897" spans="1:7" ht="24" customHeight="1" x14ac:dyDescent="0.4">
      <c r="A897" s="23"/>
      <c r="B897" s="23"/>
      <c r="C897" s="23"/>
      <c r="D897" s="23"/>
      <c r="E897" s="22"/>
      <c r="F897" s="22"/>
      <c r="G897" s="47"/>
    </row>
    <row r="898" spans="1:7" ht="24" customHeight="1" x14ac:dyDescent="0.4">
      <c r="A898" s="23"/>
      <c r="B898" s="23"/>
      <c r="C898" s="23"/>
      <c r="D898" s="23"/>
      <c r="E898" s="22"/>
      <c r="F898" s="22"/>
      <c r="G898" s="47"/>
    </row>
    <row r="899" spans="1:7" ht="24" customHeight="1" x14ac:dyDescent="0.4">
      <c r="A899" s="23"/>
      <c r="B899" s="23"/>
      <c r="C899" s="23"/>
      <c r="D899" s="23"/>
      <c r="E899" s="22"/>
      <c r="F899" s="22"/>
      <c r="G899" s="47"/>
    </row>
    <row r="900" spans="1:7" ht="24" customHeight="1" x14ac:dyDescent="0.4">
      <c r="A900" s="23"/>
      <c r="B900" s="23"/>
      <c r="C900" s="23"/>
      <c r="D900" s="23"/>
      <c r="E900" s="22"/>
      <c r="F900" s="22"/>
      <c r="G900" s="47"/>
    </row>
    <row r="901" spans="1:7" ht="24" customHeight="1" x14ac:dyDescent="0.4">
      <c r="A901" s="23"/>
      <c r="B901" s="23"/>
      <c r="C901" s="23"/>
      <c r="D901" s="23"/>
      <c r="E901" s="22"/>
      <c r="F901" s="22"/>
      <c r="G901" s="47"/>
    </row>
    <row r="902" spans="1:7" ht="24" customHeight="1" x14ac:dyDescent="0.4">
      <c r="A902" s="23"/>
      <c r="B902" s="23"/>
      <c r="C902" s="23"/>
      <c r="D902" s="23"/>
      <c r="E902" s="22"/>
      <c r="F902" s="22"/>
      <c r="G902" s="47"/>
    </row>
    <row r="903" spans="1:7" ht="24" customHeight="1" x14ac:dyDescent="0.4">
      <c r="A903" s="23"/>
      <c r="B903" s="23"/>
      <c r="C903" s="23"/>
      <c r="D903" s="23"/>
      <c r="E903" s="22"/>
      <c r="F903" s="22"/>
      <c r="G903" s="47"/>
    </row>
    <row r="904" spans="1:7" ht="24" customHeight="1" x14ac:dyDescent="0.4">
      <c r="A904" s="23"/>
      <c r="B904" s="23"/>
      <c r="C904" s="23"/>
      <c r="D904" s="23"/>
      <c r="E904" s="22"/>
      <c r="F904" s="22"/>
      <c r="G904" s="47"/>
    </row>
    <row r="905" spans="1:7" ht="24" customHeight="1" x14ac:dyDescent="0.4">
      <c r="A905" s="23"/>
      <c r="B905" s="23"/>
      <c r="C905" s="23"/>
      <c r="D905" s="23"/>
      <c r="E905" s="22"/>
      <c r="F905" s="22"/>
      <c r="G905" s="47"/>
    </row>
    <row r="906" spans="1:7" ht="24" customHeight="1" x14ac:dyDescent="0.4">
      <c r="A906" s="23"/>
      <c r="B906" s="23"/>
      <c r="C906" s="23"/>
      <c r="D906" s="23"/>
      <c r="E906" s="22"/>
      <c r="F906" s="22"/>
      <c r="G906" s="47"/>
    </row>
    <row r="907" spans="1:7" ht="24" customHeight="1" x14ac:dyDescent="0.4">
      <c r="A907" s="23"/>
      <c r="B907" s="23"/>
      <c r="C907" s="23"/>
      <c r="D907" s="23"/>
      <c r="E907" s="22"/>
      <c r="F907" s="22"/>
      <c r="G907" s="47"/>
    </row>
    <row r="908" spans="1:7" ht="24" customHeight="1" x14ac:dyDescent="0.4">
      <c r="A908" s="23"/>
      <c r="B908" s="23"/>
      <c r="C908" s="23"/>
      <c r="D908" s="23"/>
      <c r="E908" s="22"/>
      <c r="F908" s="22"/>
      <c r="G908" s="47"/>
    </row>
    <row r="909" spans="1:7" ht="24" customHeight="1" x14ac:dyDescent="0.4">
      <c r="A909" s="23"/>
      <c r="B909" s="23"/>
      <c r="C909" s="23"/>
      <c r="D909" s="23"/>
      <c r="E909" s="22"/>
      <c r="F909" s="22"/>
      <c r="G909" s="47"/>
    </row>
    <row r="910" spans="1:7" ht="24" customHeight="1" x14ac:dyDescent="0.4">
      <c r="A910" s="23"/>
      <c r="B910" s="23"/>
      <c r="C910" s="23"/>
      <c r="D910" s="23"/>
      <c r="E910" s="22"/>
      <c r="F910" s="22"/>
      <c r="G910" s="47"/>
    </row>
    <row r="911" spans="1:7" ht="24" customHeight="1" x14ac:dyDescent="0.4">
      <c r="A911" s="23"/>
      <c r="B911" s="23"/>
      <c r="C911" s="23"/>
      <c r="D911" s="23"/>
      <c r="E911" s="22"/>
      <c r="F911" s="22"/>
      <c r="G911" s="47"/>
    </row>
    <row r="912" spans="1:7" ht="24" customHeight="1" x14ac:dyDescent="0.4">
      <c r="A912" s="23"/>
      <c r="B912" s="23"/>
      <c r="C912" s="23"/>
      <c r="D912" s="23"/>
      <c r="E912" s="22"/>
      <c r="F912" s="22"/>
      <c r="G912" s="47"/>
    </row>
    <row r="913" spans="1:7" ht="24" customHeight="1" x14ac:dyDescent="0.4">
      <c r="A913" s="23"/>
      <c r="B913" s="23"/>
      <c r="C913" s="23"/>
      <c r="D913" s="23"/>
      <c r="E913" s="22"/>
      <c r="F913" s="22"/>
      <c r="G913" s="47"/>
    </row>
    <row r="914" spans="1:7" ht="24" customHeight="1" x14ac:dyDescent="0.4">
      <c r="A914" s="23"/>
      <c r="B914" s="23"/>
      <c r="C914" s="23"/>
      <c r="D914" s="23"/>
      <c r="E914" s="22"/>
      <c r="F914" s="22"/>
      <c r="G914" s="47"/>
    </row>
    <row r="915" spans="1:7" ht="24" customHeight="1" x14ac:dyDescent="0.4">
      <c r="A915" s="23"/>
      <c r="B915" s="23"/>
      <c r="C915" s="23"/>
      <c r="D915" s="23"/>
      <c r="E915" s="22"/>
      <c r="F915" s="22"/>
      <c r="G915" s="47"/>
    </row>
    <row r="916" spans="1:7" ht="24" customHeight="1" x14ac:dyDescent="0.4">
      <c r="A916" s="23"/>
      <c r="B916" s="23"/>
      <c r="C916" s="23"/>
      <c r="D916" s="23"/>
      <c r="E916" s="22"/>
      <c r="F916" s="22"/>
      <c r="G916" s="47"/>
    </row>
    <row r="917" spans="1:7" ht="24" customHeight="1" x14ac:dyDescent="0.4">
      <c r="A917" s="23"/>
      <c r="B917" s="23"/>
      <c r="C917" s="23"/>
      <c r="D917" s="23"/>
      <c r="E917" s="22"/>
      <c r="F917" s="22"/>
      <c r="G917" s="47"/>
    </row>
    <row r="918" spans="1:7" ht="24" customHeight="1" x14ac:dyDescent="0.4">
      <c r="A918" s="23"/>
      <c r="B918" s="23"/>
      <c r="C918" s="23"/>
      <c r="D918" s="23"/>
      <c r="E918" s="22"/>
      <c r="F918" s="22"/>
      <c r="G918" s="47"/>
    </row>
    <row r="919" spans="1:7" ht="24" customHeight="1" x14ac:dyDescent="0.4">
      <c r="A919" s="23"/>
      <c r="B919" s="23"/>
      <c r="C919" s="23"/>
      <c r="D919" s="23"/>
      <c r="E919" s="22"/>
      <c r="F919" s="22"/>
      <c r="G919" s="47"/>
    </row>
    <row r="920" spans="1:7" ht="24" customHeight="1" x14ac:dyDescent="0.4">
      <c r="A920" s="23"/>
      <c r="B920" s="23"/>
      <c r="C920" s="23"/>
      <c r="D920" s="23"/>
      <c r="E920" s="22"/>
      <c r="F920" s="22"/>
      <c r="G920" s="47"/>
    </row>
    <row r="921" spans="1:7" ht="24" customHeight="1" x14ac:dyDescent="0.4">
      <c r="A921" s="23"/>
      <c r="B921" s="23"/>
      <c r="C921" s="23"/>
      <c r="D921" s="23"/>
      <c r="E921" s="22"/>
      <c r="F921" s="22"/>
      <c r="G921" s="47"/>
    </row>
    <row r="922" spans="1:7" ht="24" customHeight="1" x14ac:dyDescent="0.4">
      <c r="A922" s="23"/>
      <c r="B922" s="23"/>
      <c r="C922" s="23"/>
      <c r="D922" s="23"/>
      <c r="E922" s="22"/>
      <c r="F922" s="22"/>
      <c r="G922" s="47"/>
    </row>
    <row r="923" spans="1:7" ht="24" customHeight="1" x14ac:dyDescent="0.4">
      <c r="A923" s="23"/>
      <c r="B923" s="23"/>
      <c r="C923" s="23"/>
      <c r="D923" s="23"/>
      <c r="E923" s="22"/>
      <c r="F923" s="22"/>
      <c r="G923" s="47"/>
    </row>
    <row r="924" spans="1:7" ht="24" customHeight="1" x14ac:dyDescent="0.4">
      <c r="A924" s="23"/>
      <c r="B924" s="23"/>
      <c r="C924" s="23"/>
      <c r="D924" s="23"/>
      <c r="E924" s="22"/>
      <c r="F924" s="22"/>
      <c r="G924" s="47"/>
    </row>
    <row r="925" spans="1:7" ht="24" customHeight="1" x14ac:dyDescent="0.4">
      <c r="A925" s="23"/>
      <c r="B925" s="23"/>
      <c r="C925" s="23"/>
      <c r="D925" s="23"/>
      <c r="E925" s="22"/>
      <c r="F925" s="22"/>
      <c r="G925" s="47"/>
    </row>
    <row r="926" spans="1:7" ht="24" customHeight="1" x14ac:dyDescent="0.4">
      <c r="A926" s="23"/>
      <c r="B926" s="23"/>
      <c r="C926" s="23"/>
      <c r="D926" s="23"/>
      <c r="E926" s="22"/>
      <c r="F926" s="22"/>
      <c r="G926" s="47"/>
    </row>
    <row r="927" spans="1:7" ht="24" customHeight="1" x14ac:dyDescent="0.4">
      <c r="A927" s="23"/>
      <c r="B927" s="23"/>
      <c r="C927" s="23"/>
      <c r="D927" s="23"/>
      <c r="E927" s="22"/>
      <c r="F927" s="22"/>
      <c r="G927" s="47"/>
    </row>
    <row r="928" spans="1:7" ht="24" customHeight="1" x14ac:dyDescent="0.4">
      <c r="A928" s="23"/>
      <c r="B928" s="23"/>
      <c r="C928" s="23"/>
      <c r="D928" s="23"/>
      <c r="E928" s="22"/>
      <c r="F928" s="22"/>
      <c r="G928" s="47"/>
    </row>
    <row r="929" spans="1:7" ht="24" customHeight="1" x14ac:dyDescent="0.4">
      <c r="A929" s="23"/>
      <c r="B929" s="23"/>
      <c r="C929" s="23"/>
      <c r="D929" s="23"/>
      <c r="E929" s="22"/>
      <c r="F929" s="22"/>
      <c r="G929" s="47"/>
    </row>
    <row r="930" spans="1:7" ht="24" customHeight="1" x14ac:dyDescent="0.4">
      <c r="A930" s="23"/>
      <c r="B930" s="23"/>
      <c r="C930" s="23"/>
      <c r="D930" s="23"/>
      <c r="E930" s="22"/>
      <c r="F930" s="22"/>
      <c r="G930" s="47"/>
    </row>
    <row r="931" spans="1:7" ht="24" customHeight="1" x14ac:dyDescent="0.4">
      <c r="A931" s="23"/>
      <c r="B931" s="23"/>
      <c r="C931" s="23"/>
      <c r="D931" s="23"/>
      <c r="E931" s="22"/>
      <c r="F931" s="22"/>
      <c r="G931" s="47"/>
    </row>
    <row r="932" spans="1:7" ht="24" customHeight="1" x14ac:dyDescent="0.4">
      <c r="A932" s="23"/>
      <c r="B932" s="23"/>
      <c r="C932" s="23"/>
      <c r="D932" s="23"/>
      <c r="E932" s="22"/>
      <c r="F932" s="22"/>
      <c r="G932" s="47"/>
    </row>
    <row r="933" spans="1:7" ht="24" customHeight="1" x14ac:dyDescent="0.4">
      <c r="A933" s="23"/>
      <c r="B933" s="23"/>
      <c r="C933" s="23"/>
      <c r="D933" s="23"/>
      <c r="E933" s="22"/>
      <c r="F933" s="22"/>
      <c r="G933" s="47"/>
    </row>
    <row r="934" spans="1:7" ht="24" customHeight="1" x14ac:dyDescent="0.4">
      <c r="A934" s="23"/>
      <c r="B934" s="23"/>
      <c r="C934" s="23"/>
      <c r="D934" s="23"/>
      <c r="E934" s="22"/>
      <c r="F934" s="22"/>
      <c r="G934" s="47"/>
    </row>
    <row r="935" spans="1:7" ht="24" customHeight="1" x14ac:dyDescent="0.4">
      <c r="A935" s="23"/>
      <c r="B935" s="23"/>
      <c r="C935" s="23"/>
      <c r="D935" s="23"/>
      <c r="E935" s="22"/>
      <c r="F935" s="22"/>
      <c r="G935" s="47"/>
    </row>
    <row r="936" spans="1:7" ht="24" customHeight="1" x14ac:dyDescent="0.4">
      <c r="A936" s="23"/>
      <c r="B936" s="23"/>
      <c r="C936" s="23"/>
      <c r="D936" s="23"/>
      <c r="E936" s="22"/>
      <c r="F936" s="22"/>
      <c r="G936" s="47"/>
    </row>
    <row r="937" spans="1:7" ht="24" customHeight="1" x14ac:dyDescent="0.4">
      <c r="A937" s="23"/>
      <c r="B937" s="23"/>
      <c r="C937" s="23"/>
      <c r="D937" s="23"/>
      <c r="E937" s="22"/>
      <c r="F937" s="22"/>
      <c r="G937" s="47"/>
    </row>
    <row r="938" spans="1:7" ht="24" customHeight="1" x14ac:dyDescent="0.4">
      <c r="A938" s="23"/>
      <c r="B938" s="23"/>
      <c r="C938" s="23"/>
      <c r="D938" s="23"/>
      <c r="E938" s="22"/>
      <c r="F938" s="22"/>
      <c r="G938" s="47"/>
    </row>
    <row r="939" spans="1:7" ht="24" customHeight="1" x14ac:dyDescent="0.4">
      <c r="A939" s="23"/>
      <c r="B939" s="23"/>
      <c r="C939" s="23"/>
      <c r="D939" s="23"/>
      <c r="E939" s="22"/>
      <c r="F939" s="22"/>
      <c r="G939" s="47"/>
    </row>
    <row r="940" spans="1:7" ht="24" customHeight="1" x14ac:dyDescent="0.4">
      <c r="A940" s="23"/>
      <c r="B940" s="23"/>
      <c r="C940" s="23"/>
      <c r="D940" s="23"/>
      <c r="E940" s="22"/>
      <c r="F940" s="22"/>
      <c r="G940" s="47"/>
    </row>
    <row r="941" spans="1:7" ht="24" customHeight="1" x14ac:dyDescent="0.4">
      <c r="A941" s="23"/>
      <c r="B941" s="23"/>
      <c r="C941" s="23"/>
      <c r="D941" s="23"/>
      <c r="E941" s="22"/>
      <c r="F941" s="22"/>
      <c r="G941" s="47"/>
    </row>
    <row r="942" spans="1:7" ht="24" customHeight="1" x14ac:dyDescent="0.4">
      <c r="A942" s="23"/>
      <c r="B942" s="23"/>
      <c r="C942" s="23"/>
      <c r="D942" s="23"/>
      <c r="E942" s="22"/>
      <c r="F942" s="22"/>
      <c r="G942" s="47"/>
    </row>
    <row r="943" spans="1:7" ht="24" customHeight="1" x14ac:dyDescent="0.4">
      <c r="A943" s="23"/>
      <c r="B943" s="23"/>
      <c r="C943" s="23"/>
      <c r="D943" s="23"/>
      <c r="E943" s="22"/>
      <c r="F943" s="22"/>
      <c r="G943" s="47"/>
    </row>
    <row r="944" spans="1:7" ht="24" customHeight="1" x14ac:dyDescent="0.4">
      <c r="A944" s="23"/>
      <c r="B944" s="23"/>
      <c r="C944" s="23"/>
      <c r="D944" s="23"/>
      <c r="E944" s="22"/>
      <c r="F944" s="22"/>
      <c r="G944" s="47"/>
    </row>
    <row r="945" spans="1:7" ht="24" customHeight="1" x14ac:dyDescent="0.4">
      <c r="A945" s="23"/>
      <c r="B945" s="23"/>
      <c r="C945" s="23"/>
      <c r="D945" s="23"/>
      <c r="E945" s="22"/>
      <c r="F945" s="22"/>
      <c r="G945" s="47"/>
    </row>
    <row r="946" spans="1:7" ht="24" customHeight="1" x14ac:dyDescent="0.4">
      <c r="A946" s="23"/>
      <c r="B946" s="23"/>
      <c r="C946" s="23"/>
      <c r="D946" s="23"/>
      <c r="E946" s="22"/>
      <c r="F946" s="22"/>
      <c r="G946" s="47"/>
    </row>
    <row r="947" spans="1:7" ht="24" customHeight="1" x14ac:dyDescent="0.4">
      <c r="A947" s="23"/>
      <c r="B947" s="23"/>
      <c r="C947" s="23"/>
      <c r="D947" s="23"/>
      <c r="E947" s="22"/>
      <c r="F947" s="22"/>
      <c r="G947" s="47"/>
    </row>
    <row r="948" spans="1:7" ht="24" customHeight="1" x14ac:dyDescent="0.4">
      <c r="A948" s="23"/>
      <c r="B948" s="23"/>
      <c r="C948" s="23"/>
      <c r="D948" s="23"/>
      <c r="E948" s="22"/>
      <c r="F948" s="22"/>
      <c r="G948" s="47"/>
    </row>
    <row r="949" spans="1:7" ht="24" customHeight="1" x14ac:dyDescent="0.4">
      <c r="A949" s="23"/>
      <c r="B949" s="23"/>
      <c r="C949" s="23"/>
      <c r="D949" s="23"/>
      <c r="E949" s="22"/>
      <c r="F949" s="22"/>
      <c r="G949" s="47"/>
    </row>
    <row r="950" spans="1:7" ht="24" customHeight="1" x14ac:dyDescent="0.4">
      <c r="A950" s="23"/>
      <c r="B950" s="23"/>
      <c r="C950" s="23"/>
      <c r="D950" s="23"/>
      <c r="E950" s="22"/>
      <c r="F950" s="22"/>
      <c r="G950" s="47"/>
    </row>
    <row r="951" spans="1:7" ht="24" customHeight="1" x14ac:dyDescent="0.4">
      <c r="A951" s="23"/>
      <c r="B951" s="23"/>
      <c r="C951" s="23"/>
      <c r="D951" s="23"/>
      <c r="E951" s="22"/>
      <c r="F951" s="22"/>
      <c r="G951" s="47"/>
    </row>
    <row r="952" spans="1:7" ht="24" customHeight="1" x14ac:dyDescent="0.4">
      <c r="A952" s="23"/>
      <c r="B952" s="23"/>
      <c r="C952" s="23"/>
      <c r="D952" s="23"/>
      <c r="E952" s="22"/>
      <c r="F952" s="22"/>
      <c r="G952" s="47"/>
    </row>
    <row r="953" spans="1:7" ht="24" customHeight="1" x14ac:dyDescent="0.4">
      <c r="A953" s="23"/>
      <c r="B953" s="23"/>
      <c r="C953" s="23"/>
      <c r="D953" s="23"/>
      <c r="E953" s="22"/>
      <c r="F953" s="22"/>
      <c r="G953" s="47"/>
    </row>
    <row r="954" spans="1:7" ht="24" customHeight="1" x14ac:dyDescent="0.4">
      <c r="A954" s="23"/>
      <c r="B954" s="23"/>
      <c r="C954" s="23"/>
      <c r="D954" s="23"/>
      <c r="E954" s="22"/>
      <c r="F954" s="22"/>
      <c r="G954" s="47"/>
    </row>
    <row r="955" spans="1:7" ht="24" customHeight="1" x14ac:dyDescent="0.4">
      <c r="A955" s="23"/>
      <c r="B955" s="23"/>
      <c r="C955" s="23"/>
      <c r="D955" s="23"/>
      <c r="E955" s="22"/>
      <c r="F955" s="22"/>
      <c r="G955" s="47"/>
    </row>
    <row r="956" spans="1:7" ht="24" customHeight="1" x14ac:dyDescent="0.4">
      <c r="A956" s="23"/>
      <c r="B956" s="23"/>
      <c r="C956" s="23"/>
      <c r="D956" s="23"/>
      <c r="E956" s="22"/>
      <c r="F956" s="22"/>
      <c r="G956" s="47"/>
    </row>
    <row r="957" spans="1:7" ht="24" customHeight="1" x14ac:dyDescent="0.4">
      <c r="A957" s="23"/>
      <c r="B957" s="23"/>
      <c r="C957" s="23"/>
      <c r="D957" s="23"/>
      <c r="E957" s="22"/>
      <c r="F957" s="22"/>
      <c r="G957" s="47"/>
    </row>
    <row r="958" spans="1:7" ht="24" customHeight="1" x14ac:dyDescent="0.4">
      <c r="A958" s="23"/>
      <c r="B958" s="23"/>
      <c r="C958" s="23"/>
      <c r="D958" s="23"/>
      <c r="E958" s="22"/>
      <c r="F958" s="22"/>
      <c r="G958" s="47"/>
    </row>
    <row r="959" spans="1:7" ht="24" customHeight="1" x14ac:dyDescent="0.4">
      <c r="A959" s="23"/>
      <c r="B959" s="23"/>
      <c r="C959" s="23"/>
      <c r="D959" s="23"/>
      <c r="E959" s="22"/>
      <c r="F959" s="22"/>
      <c r="G959" s="47"/>
    </row>
    <row r="960" spans="1:7" ht="24" customHeight="1" x14ac:dyDescent="0.4">
      <c r="A960" s="23"/>
      <c r="B960" s="23"/>
      <c r="C960" s="23"/>
      <c r="D960" s="23"/>
      <c r="E960" s="22"/>
      <c r="F960" s="22"/>
      <c r="G960" s="47"/>
    </row>
    <row r="961" spans="1:7" ht="24" customHeight="1" x14ac:dyDescent="0.4">
      <c r="A961" s="23"/>
      <c r="B961" s="23"/>
      <c r="C961" s="23"/>
      <c r="D961" s="23"/>
      <c r="E961" s="22"/>
      <c r="F961" s="22"/>
      <c r="G961" s="47"/>
    </row>
    <row r="962" spans="1:7" ht="24" customHeight="1" x14ac:dyDescent="0.4">
      <c r="A962" s="23"/>
      <c r="B962" s="23"/>
      <c r="C962" s="23"/>
      <c r="D962" s="23"/>
      <c r="E962" s="22"/>
      <c r="F962" s="22"/>
      <c r="G962" s="47"/>
    </row>
    <row r="963" spans="1:7" ht="24" customHeight="1" x14ac:dyDescent="0.4">
      <c r="A963" s="23"/>
      <c r="B963" s="23"/>
      <c r="C963" s="23"/>
      <c r="D963" s="23"/>
      <c r="E963" s="22"/>
      <c r="F963" s="22"/>
      <c r="G963" s="47"/>
    </row>
    <row r="964" spans="1:7" ht="24" customHeight="1" x14ac:dyDescent="0.4">
      <c r="A964" s="23"/>
      <c r="B964" s="23"/>
      <c r="C964" s="23"/>
      <c r="D964" s="23"/>
      <c r="E964" s="22"/>
      <c r="F964" s="22"/>
      <c r="G964" s="47"/>
    </row>
    <row r="965" spans="1:7" ht="24" customHeight="1" x14ac:dyDescent="0.4">
      <c r="A965" s="23"/>
      <c r="B965" s="23"/>
      <c r="C965" s="23"/>
      <c r="D965" s="23"/>
      <c r="E965" s="22"/>
      <c r="F965" s="22"/>
      <c r="G965" s="47"/>
    </row>
    <row r="966" spans="1:7" ht="24" customHeight="1" x14ac:dyDescent="0.4">
      <c r="A966" s="23"/>
      <c r="B966" s="23"/>
      <c r="C966" s="23"/>
      <c r="D966" s="23"/>
      <c r="E966" s="22"/>
      <c r="F966" s="22"/>
      <c r="G966" s="47"/>
    </row>
    <row r="967" spans="1:7" ht="24" customHeight="1" x14ac:dyDescent="0.4">
      <c r="A967" s="23"/>
      <c r="B967" s="23"/>
      <c r="C967" s="23"/>
      <c r="D967" s="23"/>
      <c r="E967" s="22"/>
      <c r="F967" s="22"/>
      <c r="G967" s="47"/>
    </row>
    <row r="968" spans="1:7" ht="24" customHeight="1" x14ac:dyDescent="0.4">
      <c r="A968" s="23"/>
      <c r="B968" s="23"/>
      <c r="C968" s="23"/>
      <c r="D968" s="23"/>
      <c r="E968" s="22"/>
      <c r="F968" s="22"/>
      <c r="G968" s="47"/>
    </row>
    <row r="969" spans="1:7" ht="24" customHeight="1" x14ac:dyDescent="0.4">
      <c r="A969" s="23"/>
      <c r="B969" s="23"/>
      <c r="C969" s="23"/>
      <c r="D969" s="23"/>
      <c r="E969" s="22"/>
      <c r="F969" s="22"/>
      <c r="G969" s="47"/>
    </row>
    <row r="970" spans="1:7" ht="24" customHeight="1" x14ac:dyDescent="0.4">
      <c r="A970" s="23"/>
      <c r="B970" s="23"/>
      <c r="C970" s="23"/>
      <c r="D970" s="23"/>
      <c r="E970" s="22"/>
      <c r="F970" s="22"/>
      <c r="G970" s="47"/>
    </row>
    <row r="971" spans="1:7" ht="24" customHeight="1" x14ac:dyDescent="0.4">
      <c r="A971" s="23"/>
      <c r="B971" s="23"/>
      <c r="C971" s="23"/>
      <c r="D971" s="23"/>
      <c r="E971" s="22"/>
      <c r="F971" s="22"/>
      <c r="G971" s="47"/>
    </row>
    <row r="972" spans="1:7" ht="24" customHeight="1" x14ac:dyDescent="0.4">
      <c r="A972" s="23"/>
      <c r="B972" s="23"/>
      <c r="C972" s="23"/>
      <c r="D972" s="23"/>
      <c r="E972" s="22"/>
      <c r="F972" s="22"/>
      <c r="G972" s="47"/>
    </row>
    <row r="973" spans="1:7" ht="24" customHeight="1" x14ac:dyDescent="0.4">
      <c r="A973" s="23"/>
      <c r="B973" s="23"/>
      <c r="C973" s="23"/>
      <c r="D973" s="23"/>
      <c r="E973" s="22"/>
      <c r="F973" s="22"/>
      <c r="G973" s="47"/>
    </row>
    <row r="974" spans="1:7" ht="24" customHeight="1" x14ac:dyDescent="0.4">
      <c r="A974" s="23"/>
      <c r="B974" s="23"/>
      <c r="C974" s="23"/>
      <c r="D974" s="23"/>
      <c r="E974" s="22"/>
      <c r="F974" s="22"/>
      <c r="G974" s="47"/>
    </row>
    <row r="975" spans="1:7" ht="24" customHeight="1" x14ac:dyDescent="0.4">
      <c r="A975" s="23"/>
      <c r="B975" s="23"/>
      <c r="C975" s="23"/>
      <c r="D975" s="23"/>
      <c r="E975" s="22"/>
      <c r="F975" s="22"/>
      <c r="G975" s="47"/>
    </row>
    <row r="976" spans="1:7" ht="24" customHeight="1" x14ac:dyDescent="0.4">
      <c r="A976" s="23"/>
      <c r="B976" s="23"/>
      <c r="C976" s="23"/>
      <c r="D976" s="23"/>
      <c r="E976" s="22"/>
      <c r="F976" s="22"/>
      <c r="G976" s="47"/>
    </row>
    <row r="977" spans="1:7" ht="24" customHeight="1" x14ac:dyDescent="0.4">
      <c r="A977" s="23"/>
      <c r="B977" s="23"/>
      <c r="C977" s="23"/>
      <c r="D977" s="23"/>
      <c r="E977" s="22"/>
      <c r="F977" s="22"/>
      <c r="G977" s="47"/>
    </row>
    <row r="978" spans="1:7" ht="24" customHeight="1" x14ac:dyDescent="0.4">
      <c r="A978" s="23"/>
      <c r="B978" s="23"/>
      <c r="C978" s="23"/>
      <c r="D978" s="23"/>
      <c r="E978" s="22"/>
      <c r="F978" s="22"/>
      <c r="G978" s="47"/>
    </row>
    <row r="979" spans="1:7" ht="24" customHeight="1" x14ac:dyDescent="0.4">
      <c r="A979" s="23"/>
      <c r="B979" s="23"/>
      <c r="C979" s="23"/>
      <c r="D979" s="23"/>
      <c r="E979" s="22"/>
      <c r="F979" s="22"/>
      <c r="G979" s="47"/>
    </row>
    <row r="980" spans="1:7" ht="24" customHeight="1" x14ac:dyDescent="0.4">
      <c r="A980" s="23"/>
      <c r="B980" s="23"/>
      <c r="C980" s="23"/>
      <c r="D980" s="23"/>
      <c r="E980" s="22"/>
      <c r="F980" s="22"/>
      <c r="G980" s="47"/>
    </row>
    <row r="981" spans="1:7" ht="24" customHeight="1" x14ac:dyDescent="0.4">
      <c r="A981" s="23"/>
      <c r="B981" s="23"/>
      <c r="C981" s="23"/>
      <c r="D981" s="23"/>
      <c r="E981" s="22"/>
      <c r="F981" s="22"/>
      <c r="G981" s="47"/>
    </row>
    <row r="982" spans="1:7" ht="24" customHeight="1" x14ac:dyDescent="0.4">
      <c r="A982" s="23"/>
      <c r="B982" s="23"/>
      <c r="C982" s="23"/>
      <c r="D982" s="23"/>
      <c r="E982" s="22"/>
      <c r="F982" s="22"/>
      <c r="G982" s="47"/>
    </row>
    <row r="983" spans="1:7" ht="24" customHeight="1" x14ac:dyDescent="0.4">
      <c r="A983" s="23"/>
      <c r="B983" s="23"/>
      <c r="C983" s="23"/>
      <c r="D983" s="23"/>
      <c r="E983" s="22"/>
      <c r="F983" s="22"/>
      <c r="G983" s="47"/>
    </row>
    <row r="984" spans="1:7" ht="24" customHeight="1" x14ac:dyDescent="0.4">
      <c r="A984" s="23"/>
      <c r="B984" s="23"/>
      <c r="C984" s="23"/>
      <c r="D984" s="23"/>
      <c r="E984" s="22"/>
      <c r="F984" s="22"/>
      <c r="G984" s="47"/>
    </row>
    <row r="985" spans="1:7" ht="24" customHeight="1" x14ac:dyDescent="0.4">
      <c r="A985" s="23"/>
      <c r="B985" s="23"/>
      <c r="C985" s="23"/>
      <c r="D985" s="23"/>
      <c r="E985" s="22"/>
      <c r="F985" s="22"/>
      <c r="G985" s="47"/>
    </row>
    <row r="986" spans="1:7" ht="24" customHeight="1" x14ac:dyDescent="0.4">
      <c r="A986" s="23"/>
      <c r="B986" s="23"/>
      <c r="C986" s="23"/>
      <c r="D986" s="23"/>
      <c r="E986" s="22"/>
      <c r="F986" s="22"/>
      <c r="G986" s="47"/>
    </row>
    <row r="987" spans="1:7" ht="24" customHeight="1" x14ac:dyDescent="0.4">
      <c r="A987" s="23"/>
      <c r="B987" s="23"/>
      <c r="C987" s="23"/>
      <c r="D987" s="23"/>
      <c r="E987" s="22"/>
      <c r="F987" s="22"/>
      <c r="G987" s="47"/>
    </row>
    <row r="988" spans="1:7" ht="24" customHeight="1" x14ac:dyDescent="0.4">
      <c r="A988" s="23"/>
      <c r="B988" s="23"/>
      <c r="C988" s="23"/>
      <c r="D988" s="23"/>
      <c r="E988" s="22"/>
      <c r="F988" s="22"/>
      <c r="G988" s="47"/>
    </row>
    <row r="989" spans="1:7" ht="24" customHeight="1" x14ac:dyDescent="0.4">
      <c r="A989" s="23"/>
      <c r="B989" s="23"/>
      <c r="C989" s="23"/>
      <c r="D989" s="23"/>
      <c r="E989" s="22"/>
      <c r="F989" s="22"/>
      <c r="G989" s="47"/>
    </row>
    <row r="990" spans="1:7" ht="24" customHeight="1" x14ac:dyDescent="0.4">
      <c r="A990" s="23"/>
      <c r="B990" s="23"/>
      <c r="C990" s="23"/>
      <c r="D990" s="23"/>
      <c r="E990" s="22"/>
      <c r="F990" s="22"/>
      <c r="G990" s="47"/>
    </row>
    <row r="991" spans="1:7" ht="24" customHeight="1" x14ac:dyDescent="0.4">
      <c r="A991" s="23"/>
      <c r="B991" s="23"/>
      <c r="C991" s="23"/>
      <c r="D991" s="23"/>
      <c r="E991" s="22"/>
      <c r="F991" s="22"/>
      <c r="G991" s="47"/>
    </row>
    <row r="992" spans="1:7" ht="24" customHeight="1" x14ac:dyDescent="0.4">
      <c r="A992" s="23"/>
      <c r="B992" s="23"/>
      <c r="C992" s="23"/>
      <c r="D992" s="23"/>
      <c r="E992" s="22"/>
      <c r="F992" s="22"/>
      <c r="G992" s="47"/>
    </row>
    <row r="993" spans="1:7" ht="24" customHeight="1" x14ac:dyDescent="0.4">
      <c r="A993" s="23"/>
      <c r="B993" s="23"/>
      <c r="C993" s="23"/>
      <c r="D993" s="23"/>
      <c r="E993" s="22"/>
      <c r="F993" s="22"/>
      <c r="G993" s="47"/>
    </row>
    <row r="994" spans="1:7" ht="24" customHeight="1" x14ac:dyDescent="0.4">
      <c r="A994" s="23"/>
      <c r="B994" s="23"/>
      <c r="C994" s="23"/>
      <c r="D994" s="23"/>
      <c r="E994" s="22"/>
      <c r="F994" s="22"/>
      <c r="G994" s="47"/>
    </row>
    <row r="995" spans="1:7" ht="24" customHeight="1" x14ac:dyDescent="0.4">
      <c r="A995" s="23"/>
      <c r="B995" s="23"/>
      <c r="C995" s="23"/>
      <c r="D995" s="23"/>
      <c r="E995" s="22"/>
      <c r="F995" s="22"/>
      <c r="G995" s="47"/>
    </row>
    <row r="996" spans="1:7" ht="24" customHeight="1" x14ac:dyDescent="0.4">
      <c r="A996" s="23"/>
      <c r="B996" s="23"/>
      <c r="C996" s="23"/>
      <c r="D996" s="23"/>
      <c r="E996" s="22"/>
      <c r="F996" s="22"/>
      <c r="G996" s="47"/>
    </row>
    <row r="997" spans="1:7" ht="24" customHeight="1" x14ac:dyDescent="0.4">
      <c r="A997" s="23"/>
      <c r="B997" s="23"/>
      <c r="C997" s="23"/>
      <c r="D997" s="23"/>
      <c r="E997" s="22"/>
      <c r="F997" s="22"/>
      <c r="G997" s="47"/>
    </row>
    <row r="998" spans="1:7" ht="24" customHeight="1" x14ac:dyDescent="0.4">
      <c r="A998" s="23"/>
      <c r="B998" s="23"/>
      <c r="C998" s="23"/>
      <c r="D998" s="23"/>
      <c r="E998" s="22"/>
      <c r="F998" s="22"/>
      <c r="G998" s="47"/>
    </row>
    <row r="999" spans="1:7" ht="24" customHeight="1" x14ac:dyDescent="0.4">
      <c r="A999" s="23"/>
      <c r="B999" s="23"/>
      <c r="C999" s="23"/>
      <c r="D999" s="23"/>
      <c r="E999" s="22"/>
      <c r="F999" s="22"/>
      <c r="G999" s="47"/>
    </row>
    <row r="1000" spans="1:7" ht="24" customHeight="1" x14ac:dyDescent="0.4">
      <c r="A1000" s="23"/>
      <c r="B1000" s="23"/>
      <c r="C1000" s="23"/>
      <c r="D1000" s="23"/>
      <c r="E1000" s="22"/>
      <c r="F1000" s="22"/>
      <c r="G1000" s="47"/>
    </row>
    <row r="1001" spans="1:7" ht="24" customHeight="1" x14ac:dyDescent="0.4">
      <c r="A1001" s="23"/>
      <c r="B1001" s="23"/>
      <c r="C1001" s="23"/>
      <c r="D1001" s="23"/>
      <c r="E1001" s="22"/>
      <c r="F1001" s="22"/>
      <c r="G1001" s="47"/>
    </row>
    <row r="1002" spans="1:7" ht="24" customHeight="1" x14ac:dyDescent="0.4">
      <c r="A1002" s="23"/>
      <c r="B1002" s="23"/>
      <c r="C1002" s="23"/>
      <c r="D1002" s="23"/>
      <c r="E1002" s="22"/>
      <c r="F1002" s="22"/>
      <c r="G1002" s="47"/>
    </row>
    <row r="1003" spans="1:7" ht="24" customHeight="1" x14ac:dyDescent="0.4">
      <c r="A1003" s="23"/>
      <c r="B1003" s="23"/>
      <c r="C1003" s="23"/>
      <c r="D1003" s="23"/>
      <c r="E1003" s="22"/>
      <c r="F1003" s="22"/>
      <c r="G1003" s="47"/>
    </row>
    <row r="1004" spans="1:7" ht="24" customHeight="1" x14ac:dyDescent="0.4">
      <c r="A1004" s="23"/>
      <c r="B1004" s="23"/>
      <c r="C1004" s="23"/>
      <c r="D1004" s="23"/>
      <c r="E1004" s="22"/>
      <c r="F1004" s="22"/>
      <c r="G1004" s="47"/>
    </row>
    <row r="1005" spans="1:7" ht="24" customHeight="1" x14ac:dyDescent="0.4">
      <c r="A1005" s="23"/>
      <c r="B1005" s="23"/>
      <c r="C1005" s="23"/>
      <c r="D1005" s="23"/>
      <c r="E1005" s="22"/>
      <c r="F1005" s="22"/>
      <c r="G1005" s="47"/>
    </row>
    <row r="1006" spans="1:7" ht="24" customHeight="1" x14ac:dyDescent="0.4">
      <c r="A1006" s="23"/>
      <c r="B1006" s="23"/>
      <c r="C1006" s="23"/>
      <c r="D1006" s="23"/>
      <c r="E1006" s="22"/>
      <c r="F1006" s="22"/>
      <c r="G1006" s="47"/>
    </row>
    <row r="1007" spans="1:7" ht="24" customHeight="1" x14ac:dyDescent="0.4">
      <c r="A1007" s="23"/>
      <c r="B1007" s="23"/>
      <c r="C1007" s="23"/>
      <c r="D1007" s="23"/>
      <c r="E1007" s="22"/>
      <c r="F1007" s="22"/>
      <c r="G1007" s="47"/>
    </row>
    <row r="1008" spans="1:7" ht="24" customHeight="1" x14ac:dyDescent="0.4">
      <c r="A1008" s="23"/>
      <c r="B1008" s="23"/>
      <c r="C1008" s="23"/>
      <c r="D1008" s="23"/>
      <c r="E1008" s="22"/>
      <c r="F1008" s="22"/>
      <c r="G1008" s="47"/>
    </row>
    <row r="1009" spans="1:7" ht="24" customHeight="1" x14ac:dyDescent="0.4">
      <c r="A1009" s="23"/>
      <c r="B1009" s="23"/>
      <c r="C1009" s="23"/>
      <c r="D1009" s="23"/>
      <c r="E1009" s="22"/>
      <c r="F1009" s="22"/>
      <c r="G1009" s="47"/>
    </row>
    <row r="1010" spans="1:7" ht="24" customHeight="1" x14ac:dyDescent="0.4">
      <c r="A1010" s="23"/>
      <c r="B1010" s="23"/>
      <c r="C1010" s="23"/>
      <c r="D1010" s="23"/>
      <c r="E1010" s="22"/>
      <c r="F1010" s="22"/>
      <c r="G1010" s="47"/>
    </row>
    <row r="1011" spans="1:7" ht="24" customHeight="1" x14ac:dyDescent="0.4">
      <c r="A1011" s="23"/>
      <c r="B1011" s="23"/>
      <c r="C1011" s="23"/>
      <c r="D1011" s="23"/>
      <c r="E1011" s="22"/>
      <c r="F1011" s="22"/>
      <c r="G1011" s="47"/>
    </row>
    <row r="1012" spans="1:7" ht="24" customHeight="1" x14ac:dyDescent="0.4">
      <c r="A1012" s="23"/>
      <c r="B1012" s="23"/>
      <c r="C1012" s="23"/>
      <c r="D1012" s="23"/>
      <c r="E1012" s="22"/>
      <c r="F1012" s="22"/>
      <c r="G1012" s="47"/>
    </row>
    <row r="1013" spans="1:7" ht="24" customHeight="1" x14ac:dyDescent="0.4">
      <c r="A1013" s="23"/>
      <c r="B1013" s="23"/>
      <c r="C1013" s="23"/>
      <c r="D1013" s="23"/>
      <c r="E1013" s="22"/>
      <c r="F1013" s="22"/>
      <c r="G1013" s="47"/>
    </row>
    <row r="1014" spans="1:7" ht="24" customHeight="1" x14ac:dyDescent="0.4">
      <c r="A1014" s="23"/>
      <c r="B1014" s="23"/>
      <c r="C1014" s="23"/>
      <c r="D1014" s="23"/>
      <c r="E1014" s="22"/>
      <c r="F1014" s="22"/>
      <c r="G1014" s="47"/>
    </row>
    <row r="1015" spans="1:7" ht="24" customHeight="1" x14ac:dyDescent="0.4">
      <c r="A1015" s="23"/>
      <c r="B1015" s="23"/>
      <c r="C1015" s="23"/>
      <c r="D1015" s="23"/>
      <c r="E1015" s="22"/>
      <c r="F1015" s="22"/>
      <c r="G1015" s="47"/>
    </row>
    <row r="1016" spans="1:7" ht="24" customHeight="1" x14ac:dyDescent="0.4">
      <c r="A1016" s="23"/>
      <c r="B1016" s="23"/>
      <c r="C1016" s="23"/>
      <c r="D1016" s="23"/>
      <c r="E1016" s="22"/>
      <c r="F1016" s="22"/>
      <c r="G1016" s="47"/>
    </row>
    <row r="1017" spans="1:7" ht="24" customHeight="1" x14ac:dyDescent="0.4">
      <c r="A1017" s="23"/>
      <c r="B1017" s="23"/>
      <c r="C1017" s="23"/>
      <c r="D1017" s="23"/>
      <c r="E1017" s="22"/>
      <c r="F1017" s="22"/>
      <c r="G1017" s="47"/>
    </row>
    <row r="1018" spans="1:7" ht="24" customHeight="1" x14ac:dyDescent="0.4">
      <c r="A1018" s="23"/>
      <c r="B1018" s="23"/>
      <c r="C1018" s="23"/>
      <c r="D1018" s="23"/>
      <c r="E1018" s="22"/>
      <c r="F1018" s="22"/>
      <c r="G1018" s="47"/>
    </row>
    <row r="1019" spans="1:7" ht="24" customHeight="1" x14ac:dyDescent="0.4">
      <c r="A1019" s="23"/>
      <c r="B1019" s="23"/>
      <c r="C1019" s="23"/>
      <c r="D1019" s="23"/>
      <c r="E1019" s="22"/>
      <c r="F1019" s="22"/>
      <c r="G1019" s="47"/>
    </row>
    <row r="1020" spans="1:7" ht="24" customHeight="1" x14ac:dyDescent="0.4">
      <c r="A1020" s="23"/>
      <c r="B1020" s="23"/>
      <c r="C1020" s="23"/>
      <c r="D1020" s="23"/>
      <c r="E1020" s="22"/>
      <c r="F1020" s="22"/>
      <c r="G1020" s="47"/>
    </row>
    <row r="1021" spans="1:7" ht="24" customHeight="1" x14ac:dyDescent="0.4">
      <c r="A1021" s="23"/>
      <c r="B1021" s="23"/>
      <c r="C1021" s="23"/>
      <c r="D1021" s="23"/>
      <c r="E1021" s="22"/>
      <c r="F1021" s="22"/>
      <c r="G1021" s="47"/>
    </row>
    <row r="1022" spans="1:7" ht="24" customHeight="1" x14ac:dyDescent="0.4">
      <c r="A1022" s="23"/>
      <c r="B1022" s="23"/>
      <c r="C1022" s="23"/>
      <c r="D1022" s="23"/>
      <c r="E1022" s="22"/>
      <c r="F1022" s="22"/>
      <c r="G1022" s="47"/>
    </row>
    <row r="1023" spans="1:7" ht="24" customHeight="1" x14ac:dyDescent="0.4">
      <c r="A1023" s="23"/>
      <c r="B1023" s="23"/>
      <c r="C1023" s="23"/>
      <c r="D1023" s="23"/>
      <c r="E1023" s="22"/>
      <c r="F1023" s="22"/>
      <c r="G1023" s="47"/>
    </row>
    <row r="1024" spans="1:7" ht="24" customHeight="1" x14ac:dyDescent="0.4">
      <c r="A1024" s="23"/>
      <c r="B1024" s="23"/>
      <c r="C1024" s="23"/>
      <c r="D1024" s="23"/>
      <c r="E1024" s="22"/>
      <c r="F1024" s="22"/>
      <c r="G1024" s="47"/>
    </row>
    <row r="1025" spans="1:7" ht="24" customHeight="1" x14ac:dyDescent="0.4">
      <c r="A1025" s="23"/>
      <c r="B1025" s="23"/>
      <c r="C1025" s="23"/>
      <c r="D1025" s="23"/>
      <c r="E1025" s="22"/>
      <c r="F1025" s="22"/>
      <c r="G1025" s="47"/>
    </row>
    <row r="1026" spans="1:7" ht="24" customHeight="1" x14ac:dyDescent="0.4">
      <c r="A1026" s="23"/>
      <c r="B1026" s="23"/>
      <c r="C1026" s="23"/>
      <c r="D1026" s="23"/>
      <c r="E1026" s="22"/>
      <c r="F1026" s="22"/>
      <c r="G1026" s="47"/>
    </row>
    <row r="1027" spans="1:7" ht="24" customHeight="1" x14ac:dyDescent="0.4">
      <c r="A1027" s="23"/>
      <c r="B1027" s="23"/>
      <c r="C1027" s="23"/>
      <c r="D1027" s="23"/>
      <c r="E1027" s="22"/>
      <c r="F1027" s="22"/>
      <c r="G1027" s="47"/>
    </row>
    <row r="1028" spans="1:7" ht="24" customHeight="1" x14ac:dyDescent="0.4">
      <c r="A1028" s="23"/>
      <c r="B1028" s="23"/>
      <c r="C1028" s="23"/>
      <c r="D1028" s="23"/>
      <c r="E1028" s="22"/>
      <c r="F1028" s="22"/>
      <c r="G1028" s="47"/>
    </row>
    <row r="1029" spans="1:7" ht="24" customHeight="1" x14ac:dyDescent="0.4">
      <c r="A1029" s="23"/>
      <c r="B1029" s="23"/>
      <c r="C1029" s="23"/>
      <c r="D1029" s="23"/>
      <c r="E1029" s="22"/>
      <c r="F1029" s="22"/>
      <c r="G1029" s="47"/>
    </row>
    <row r="1030" spans="1:7" ht="24" customHeight="1" x14ac:dyDescent="0.4">
      <c r="A1030" s="23"/>
      <c r="B1030" s="23"/>
      <c r="C1030" s="23"/>
      <c r="D1030" s="23"/>
      <c r="E1030" s="22"/>
      <c r="F1030" s="22"/>
      <c r="G1030" s="47"/>
    </row>
    <row r="1031" spans="1:7" ht="24" customHeight="1" x14ac:dyDescent="0.4">
      <c r="A1031" s="23"/>
      <c r="B1031" s="23"/>
      <c r="C1031" s="23"/>
      <c r="D1031" s="23"/>
      <c r="E1031" s="22"/>
      <c r="F1031" s="22"/>
      <c r="G1031" s="47"/>
    </row>
    <row r="1032" spans="1:7" ht="24" customHeight="1" x14ac:dyDescent="0.4">
      <c r="A1032" s="23"/>
      <c r="B1032" s="23"/>
      <c r="C1032" s="23"/>
      <c r="D1032" s="23"/>
      <c r="E1032" s="22"/>
      <c r="F1032" s="22"/>
      <c r="G1032" s="47"/>
    </row>
    <row r="1033" spans="1:7" ht="24" customHeight="1" x14ac:dyDescent="0.4">
      <c r="A1033" s="23"/>
      <c r="B1033" s="23"/>
      <c r="C1033" s="23"/>
      <c r="D1033" s="23"/>
      <c r="E1033" s="22"/>
      <c r="F1033" s="22"/>
      <c r="G1033" s="47"/>
    </row>
    <row r="1034" spans="1:7" ht="24" customHeight="1" x14ac:dyDescent="0.4">
      <c r="A1034" s="23"/>
      <c r="B1034" s="23"/>
      <c r="C1034" s="23"/>
      <c r="D1034" s="23"/>
      <c r="E1034" s="22"/>
      <c r="F1034" s="22"/>
      <c r="G1034" s="47"/>
    </row>
    <row r="1035" spans="1:7" ht="24" customHeight="1" x14ac:dyDescent="0.4">
      <c r="A1035" s="23"/>
      <c r="B1035" s="23"/>
      <c r="C1035" s="23"/>
      <c r="D1035" s="23"/>
      <c r="E1035" s="22"/>
      <c r="F1035" s="22"/>
      <c r="G1035" s="47"/>
    </row>
    <row r="1036" spans="1:7" ht="24" customHeight="1" x14ac:dyDescent="0.4">
      <c r="A1036" s="23"/>
      <c r="B1036" s="23"/>
      <c r="C1036" s="23"/>
      <c r="D1036" s="23"/>
      <c r="E1036" s="22"/>
      <c r="F1036" s="22"/>
      <c r="G1036" s="47"/>
    </row>
    <row r="1037" spans="1:7" ht="24" customHeight="1" x14ac:dyDescent="0.4">
      <c r="A1037" s="23"/>
      <c r="B1037" s="23"/>
      <c r="C1037" s="23"/>
      <c r="D1037" s="23"/>
      <c r="E1037" s="22"/>
      <c r="F1037" s="22"/>
      <c r="G1037" s="47"/>
    </row>
    <row r="1038" spans="1:7" ht="24" customHeight="1" x14ac:dyDescent="0.4">
      <c r="A1038" s="23"/>
      <c r="B1038" s="23"/>
      <c r="C1038" s="23"/>
      <c r="D1038" s="23"/>
      <c r="E1038" s="22"/>
      <c r="F1038" s="22"/>
      <c r="G1038" s="47"/>
    </row>
    <row r="1039" spans="1:7" ht="24" customHeight="1" x14ac:dyDescent="0.4">
      <c r="A1039" s="23"/>
      <c r="B1039" s="23"/>
      <c r="C1039" s="23"/>
      <c r="D1039" s="23"/>
      <c r="E1039" s="22"/>
      <c r="F1039" s="22"/>
      <c r="G1039" s="47"/>
    </row>
    <row r="1040" spans="1:7" ht="24" customHeight="1" x14ac:dyDescent="0.4">
      <c r="A1040" s="19"/>
      <c r="B1040" s="19"/>
      <c r="C1040" s="19"/>
      <c r="D1040" s="19"/>
      <c r="E1040" s="18"/>
      <c r="F1040" s="18"/>
      <c r="G1040" s="21"/>
    </row>
    <row r="1041" spans="1:7" ht="24" customHeight="1" x14ac:dyDescent="0.4">
      <c r="A1041" s="19"/>
      <c r="B1041" s="19"/>
      <c r="C1041" s="19"/>
      <c r="D1041" s="19"/>
      <c r="E1041" s="18"/>
      <c r="F1041" s="18"/>
      <c r="G1041" s="21"/>
    </row>
    <row r="1042" spans="1:7" ht="24" customHeight="1" x14ac:dyDescent="0.4">
      <c r="A1042" s="19"/>
      <c r="B1042" s="19"/>
      <c r="C1042" s="19"/>
      <c r="D1042" s="19"/>
      <c r="E1042" s="18"/>
      <c r="F1042" s="18"/>
      <c r="G1042" s="21"/>
    </row>
    <row r="1043" spans="1:7" ht="24" customHeight="1" x14ac:dyDescent="0.4">
      <c r="A1043" s="19"/>
      <c r="B1043" s="19"/>
      <c r="C1043" s="19"/>
      <c r="D1043" s="19"/>
      <c r="E1043" s="18"/>
      <c r="F1043" s="18"/>
      <c r="G1043" s="21"/>
    </row>
    <row r="1044" spans="1:7" ht="24" customHeight="1" x14ac:dyDescent="0.4">
      <c r="A1044" s="19"/>
      <c r="B1044" s="19"/>
      <c r="C1044" s="19"/>
      <c r="D1044" s="19"/>
      <c r="E1044" s="18"/>
      <c r="F1044" s="18"/>
      <c r="G1044" s="21"/>
    </row>
    <row r="1045" spans="1:7" ht="24" customHeight="1" x14ac:dyDescent="0.4">
      <c r="A1045" s="19"/>
      <c r="B1045" s="19"/>
      <c r="C1045" s="19"/>
      <c r="D1045" s="19"/>
      <c r="E1045" s="18"/>
      <c r="F1045" s="18"/>
      <c r="G1045" s="21"/>
    </row>
    <row r="1046" spans="1:7" ht="24" customHeight="1" x14ac:dyDescent="0.4">
      <c r="A1046" s="19"/>
      <c r="B1046" s="19"/>
      <c r="C1046" s="19"/>
      <c r="D1046" s="19"/>
      <c r="E1046" s="18"/>
      <c r="F1046" s="18"/>
      <c r="G1046" s="21"/>
    </row>
    <row r="1047" spans="1:7" ht="24" customHeight="1" x14ac:dyDescent="0.4">
      <c r="A1047" s="19"/>
      <c r="B1047" s="19"/>
      <c r="C1047" s="19"/>
      <c r="D1047" s="19"/>
      <c r="E1047" s="18"/>
      <c r="F1047" s="18"/>
      <c r="G1047" s="21"/>
    </row>
    <row r="1048" spans="1:7" ht="24" customHeight="1" x14ac:dyDescent="0.4">
      <c r="A1048" s="19"/>
      <c r="B1048" s="19"/>
      <c r="C1048" s="19"/>
      <c r="D1048" s="19"/>
      <c r="E1048" s="18"/>
      <c r="F1048" s="18"/>
      <c r="G1048" s="21"/>
    </row>
    <row r="1049" spans="1:7" ht="24" customHeight="1" x14ac:dyDescent="0.4">
      <c r="A1049" s="19"/>
      <c r="B1049" s="19"/>
      <c r="C1049" s="19"/>
      <c r="D1049" s="19"/>
      <c r="E1049" s="18"/>
      <c r="F1049" s="18"/>
      <c r="G1049" s="21"/>
    </row>
    <row r="1050" spans="1:7" ht="24" customHeight="1" x14ac:dyDescent="0.4">
      <c r="A1050" s="19"/>
      <c r="B1050" s="19"/>
      <c r="C1050" s="19"/>
      <c r="D1050" s="19"/>
      <c r="E1050" s="18"/>
      <c r="F1050" s="18"/>
      <c r="G1050" s="21"/>
    </row>
    <row r="1051" spans="1:7" ht="24" customHeight="1" x14ac:dyDescent="0.4">
      <c r="A1051" s="19"/>
      <c r="B1051" s="19"/>
      <c r="C1051" s="19"/>
      <c r="D1051" s="19"/>
      <c r="E1051" s="18"/>
      <c r="F1051" s="18"/>
      <c r="G1051" s="21"/>
    </row>
    <row r="1052" spans="1:7" ht="24" customHeight="1" x14ac:dyDescent="0.4">
      <c r="A1052" s="19"/>
      <c r="B1052" s="19"/>
      <c r="C1052" s="19"/>
      <c r="D1052" s="19"/>
      <c r="E1052" s="18"/>
      <c r="F1052" s="18"/>
      <c r="G1052" s="21"/>
    </row>
    <row r="1053" spans="1:7" ht="24" customHeight="1" x14ac:dyDescent="0.4">
      <c r="A1053" s="19"/>
      <c r="B1053" s="19"/>
      <c r="C1053" s="19"/>
      <c r="D1053" s="19"/>
      <c r="E1053" s="18"/>
      <c r="F1053" s="18"/>
      <c r="G1053" s="21"/>
    </row>
    <row r="1054" spans="1:7" ht="24" customHeight="1" x14ac:dyDescent="0.4">
      <c r="A1054" s="19"/>
      <c r="B1054" s="19"/>
      <c r="C1054" s="19"/>
      <c r="D1054" s="19"/>
      <c r="E1054" s="18"/>
      <c r="F1054" s="18"/>
      <c r="G1054" s="21"/>
    </row>
    <row r="1055" spans="1:7" ht="24" customHeight="1" x14ac:dyDescent="0.4">
      <c r="A1055" s="19"/>
      <c r="B1055" s="19"/>
      <c r="C1055" s="19"/>
      <c r="D1055" s="19"/>
      <c r="E1055" s="18"/>
      <c r="F1055" s="18"/>
      <c r="G1055" s="21"/>
    </row>
    <row r="1056" spans="1:7" ht="24" customHeight="1" x14ac:dyDescent="0.4">
      <c r="A1056" s="19"/>
      <c r="B1056" s="19"/>
      <c r="C1056" s="19"/>
      <c r="D1056" s="19"/>
      <c r="E1056" s="18"/>
      <c r="F1056" s="18"/>
      <c r="G1056" s="21"/>
    </row>
    <row r="1057" spans="1:7" ht="24" customHeight="1" x14ac:dyDescent="0.4">
      <c r="A1057" s="19"/>
      <c r="B1057" s="19"/>
      <c r="C1057" s="19"/>
      <c r="D1057" s="19"/>
      <c r="E1057" s="18"/>
      <c r="F1057" s="18"/>
      <c r="G1057" s="21"/>
    </row>
    <row r="1058" spans="1:7" ht="24" customHeight="1" x14ac:dyDescent="0.4">
      <c r="A1058" s="19"/>
      <c r="B1058" s="19"/>
      <c r="C1058" s="19"/>
      <c r="D1058" s="19"/>
      <c r="E1058" s="18"/>
      <c r="F1058" s="18"/>
      <c r="G1058" s="21"/>
    </row>
    <row r="1059" spans="1:7" ht="24" customHeight="1" x14ac:dyDescent="0.4">
      <c r="A1059" s="19"/>
      <c r="B1059" s="19"/>
      <c r="C1059" s="19"/>
      <c r="D1059" s="19"/>
      <c r="E1059" s="18"/>
      <c r="F1059" s="18"/>
      <c r="G1059" s="21"/>
    </row>
    <row r="1060" spans="1:7" ht="24" customHeight="1" x14ac:dyDescent="0.4">
      <c r="A1060" s="19"/>
      <c r="B1060" s="19"/>
      <c r="C1060" s="19"/>
      <c r="D1060" s="19"/>
      <c r="E1060" s="18"/>
      <c r="F1060" s="18"/>
      <c r="G1060" s="21"/>
    </row>
    <row r="1061" spans="1:7" ht="24" customHeight="1" x14ac:dyDescent="0.4">
      <c r="A1061" s="19"/>
      <c r="B1061" s="19"/>
      <c r="C1061" s="19"/>
      <c r="D1061" s="19"/>
      <c r="E1061" s="18"/>
      <c r="F1061" s="18"/>
      <c r="G1061" s="21"/>
    </row>
    <row r="1062" spans="1:7" ht="24" customHeight="1" x14ac:dyDescent="0.4">
      <c r="A1062" s="19"/>
      <c r="B1062" s="19"/>
      <c r="C1062" s="19"/>
      <c r="D1062" s="19"/>
      <c r="E1062" s="18"/>
      <c r="F1062" s="18"/>
      <c r="G1062" s="21"/>
    </row>
    <row r="1063" spans="1:7" ht="24" customHeight="1" x14ac:dyDescent="0.4">
      <c r="A1063" s="19"/>
      <c r="B1063" s="19"/>
      <c r="C1063" s="19"/>
      <c r="D1063" s="19"/>
      <c r="E1063" s="18"/>
      <c r="F1063" s="18"/>
      <c r="G1063" s="21"/>
    </row>
    <row r="1064" spans="1:7" ht="24" customHeight="1" x14ac:dyDescent="0.4">
      <c r="A1064" s="19"/>
      <c r="B1064" s="19"/>
      <c r="C1064" s="19"/>
      <c r="D1064" s="19"/>
      <c r="E1064" s="18"/>
      <c r="F1064" s="18"/>
      <c r="G1064" s="21"/>
    </row>
    <row r="1065" spans="1:7" ht="24" customHeight="1" x14ac:dyDescent="0.4">
      <c r="A1065" s="19"/>
      <c r="B1065" s="19"/>
      <c r="C1065" s="19"/>
      <c r="D1065" s="19"/>
      <c r="E1065" s="18"/>
      <c r="F1065" s="18"/>
      <c r="G1065" s="21"/>
    </row>
    <row r="1066" spans="1:7" ht="24" customHeight="1" x14ac:dyDescent="0.4">
      <c r="A1066" s="19"/>
      <c r="B1066" s="19"/>
      <c r="C1066" s="19"/>
      <c r="D1066" s="19"/>
      <c r="E1066" s="18"/>
      <c r="F1066" s="18"/>
      <c r="G1066" s="21"/>
    </row>
    <row r="1067" spans="1:7" ht="24" customHeight="1" x14ac:dyDescent="0.4">
      <c r="A1067" s="19"/>
      <c r="B1067" s="19"/>
      <c r="C1067" s="19"/>
      <c r="D1067" s="19"/>
      <c r="E1067" s="18"/>
      <c r="F1067" s="18"/>
      <c r="G1067" s="21"/>
    </row>
    <row r="1068" spans="1:7" ht="24" customHeight="1" x14ac:dyDescent="0.4">
      <c r="A1068" s="19"/>
      <c r="B1068" s="19"/>
      <c r="C1068" s="19"/>
      <c r="D1068" s="19"/>
      <c r="E1068" s="18"/>
      <c r="F1068" s="18"/>
      <c r="G1068" s="21"/>
    </row>
    <row r="1069" spans="1:7" ht="24" customHeight="1" x14ac:dyDescent="0.4">
      <c r="A1069" s="19"/>
      <c r="B1069" s="19"/>
      <c r="C1069" s="19"/>
      <c r="D1069" s="19"/>
      <c r="E1069" s="18"/>
      <c r="F1069" s="18"/>
      <c r="G1069" s="21"/>
    </row>
    <row r="1070" spans="1:7" ht="24" customHeight="1" x14ac:dyDescent="0.4">
      <c r="A1070" s="19"/>
      <c r="B1070" s="19"/>
      <c r="C1070" s="19"/>
      <c r="D1070" s="19"/>
      <c r="E1070" s="18"/>
      <c r="F1070" s="18"/>
      <c r="G1070" s="21"/>
    </row>
    <row r="1071" spans="1:7" ht="24" customHeight="1" x14ac:dyDescent="0.4">
      <c r="A1071" s="19"/>
      <c r="B1071" s="19"/>
      <c r="C1071" s="19"/>
      <c r="D1071" s="19"/>
      <c r="E1071" s="18"/>
      <c r="F1071" s="18"/>
      <c r="G1071" s="21"/>
    </row>
    <row r="1072" spans="1:7" ht="24" customHeight="1" x14ac:dyDescent="0.4">
      <c r="A1072" s="19"/>
      <c r="B1072" s="19"/>
      <c r="C1072" s="19"/>
      <c r="D1072" s="19"/>
      <c r="E1072" s="18"/>
      <c r="F1072" s="18"/>
      <c r="G1072" s="21"/>
    </row>
    <row r="1073" spans="1:7" ht="24" customHeight="1" x14ac:dyDescent="0.4">
      <c r="A1073" s="19"/>
      <c r="B1073" s="19"/>
      <c r="C1073" s="19"/>
      <c r="D1073" s="19"/>
      <c r="E1073" s="18"/>
      <c r="F1073" s="18"/>
      <c r="G1073" s="21"/>
    </row>
    <row r="1074" spans="1:7" ht="24" customHeight="1" x14ac:dyDescent="0.4">
      <c r="A1074" s="19"/>
      <c r="B1074" s="19"/>
      <c r="C1074" s="19"/>
      <c r="D1074" s="19"/>
      <c r="E1074" s="18"/>
      <c r="F1074" s="18"/>
      <c r="G1074" s="21"/>
    </row>
    <row r="1075" spans="1:7" ht="24" customHeight="1" x14ac:dyDescent="0.4">
      <c r="A1075" s="19"/>
      <c r="B1075" s="19"/>
      <c r="C1075" s="19"/>
      <c r="D1075" s="19"/>
      <c r="E1075" s="18"/>
      <c r="F1075" s="18"/>
      <c r="G1075" s="21"/>
    </row>
    <row r="1076" spans="1:7" ht="24" customHeight="1" x14ac:dyDescent="0.4">
      <c r="A1076" s="19"/>
      <c r="B1076" s="19"/>
      <c r="C1076" s="19"/>
      <c r="D1076" s="19"/>
      <c r="E1076" s="18"/>
      <c r="F1076" s="18"/>
      <c r="G1076" s="21"/>
    </row>
    <row r="1077" spans="1:7" ht="24" customHeight="1" x14ac:dyDescent="0.4">
      <c r="A1077" s="19"/>
      <c r="B1077" s="19"/>
      <c r="C1077" s="19"/>
      <c r="D1077" s="19"/>
      <c r="E1077" s="18"/>
      <c r="F1077" s="18"/>
      <c r="G1077" s="21"/>
    </row>
    <row r="1078" spans="1:7" ht="24" customHeight="1" x14ac:dyDescent="0.4">
      <c r="A1078" s="19"/>
      <c r="B1078" s="19"/>
      <c r="C1078" s="19"/>
      <c r="D1078" s="19"/>
      <c r="E1078" s="18"/>
      <c r="F1078" s="18"/>
      <c r="G1078" s="21"/>
    </row>
    <row r="1079" spans="1:7" ht="24" customHeight="1" x14ac:dyDescent="0.4">
      <c r="A1079" s="19"/>
      <c r="B1079" s="19"/>
      <c r="C1079" s="19"/>
      <c r="D1079" s="19"/>
      <c r="E1079" s="18"/>
      <c r="F1079" s="18"/>
      <c r="G1079" s="21"/>
    </row>
    <row r="1080" spans="1:7" ht="24" customHeight="1" x14ac:dyDescent="0.4">
      <c r="A1080" s="19"/>
      <c r="B1080" s="19"/>
      <c r="C1080" s="19"/>
      <c r="D1080" s="19"/>
      <c r="E1080" s="18"/>
      <c r="F1080" s="18"/>
      <c r="G1080" s="21"/>
    </row>
    <row r="1081" spans="1:7" ht="24" customHeight="1" x14ac:dyDescent="0.4">
      <c r="A1081" s="19"/>
      <c r="B1081" s="19"/>
      <c r="C1081" s="19"/>
      <c r="D1081" s="19"/>
      <c r="E1081" s="18"/>
      <c r="F1081" s="18"/>
      <c r="G1081" s="21"/>
    </row>
  </sheetData>
  <pageMargins left="0.70866141732283472" right="0.70866141732283472" top="0.19685039370078741" bottom="0.19685039370078741" header="0.31496062992125984" footer="0.31496062992125984"/>
  <pageSetup fitToHeight="0" orientation="landscape" r:id="rId1"/>
  <rowBreaks count="10" manualBreakCount="10">
    <brk id="45" max="16383" man="1"/>
    <brk id="113" max="16383" man="1"/>
    <brk id="134" max="16383" man="1"/>
    <brk id="155" max="16383" man="1"/>
    <brk id="200" max="16383" man="1"/>
    <brk id="244" max="16383" man="1"/>
    <brk id="264" max="16383" man="1"/>
    <brk id="307" max="16383" man="1"/>
    <brk id="329" max="16383" man="1"/>
    <brk id="372" max="16383" man="1"/>
  </row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D03FA-864A-41F5-BE7A-ACE6AF2331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helper</vt:lpstr>
      <vt:lpstr>Individual Results</vt:lpstr>
      <vt:lpstr>Division Export</vt:lpstr>
      <vt:lpstr>TeamPoints</vt:lpstr>
      <vt:lpstr>For Print</vt:lpstr>
      <vt:lpstr>Attendance</vt:lpstr>
      <vt:lpstr>EnduroPrint</vt:lpstr>
      <vt:lpstr>'For Print'!Print_Area</vt:lpstr>
      <vt:lpstr>EnduroPrint!Print_Titles</vt:lpstr>
    </vt:vector>
  </TitlesOfParts>
  <Company>North Vancouver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Ahoy</dc:creator>
  <cp:lastModifiedBy>Michelle Ahoy</cp:lastModifiedBy>
  <cp:lastPrinted>2026-05-06T15:22:31Z</cp:lastPrinted>
  <dcterms:created xsi:type="dcterms:W3CDTF">2026-04-06T23:28:35Z</dcterms:created>
  <dcterms:modified xsi:type="dcterms:W3CDTF">2026-05-12T20:59:31Z</dcterms:modified>
</cp:coreProperties>
</file>