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92CDFD2E-028F-462D-9461-05BED795B823}" xr6:coauthVersionLast="47" xr6:coauthVersionMax="47" xr10:uidLastSave="{00000000-0000-0000-0000-000000000000}"/>
  <bookViews>
    <workbookView xWindow="-108" yWindow="-108" windowWidth="23256" windowHeight="13896" tabRatio="762" firstSheet="1" activeTab="1" xr2:uid="{E4CCCC36-747C-4C6A-A938-400850181E6F}"/>
  </bookViews>
  <sheets>
    <sheet name="helper" sheetId="1" r:id="rId1"/>
    <sheet name="Individual Results" sheetId="2" r:id="rId2"/>
    <sheet name="Sheet2" sheetId="13" r:id="rId3"/>
    <sheet name="Division Export" sheetId="7" r:id="rId4"/>
    <sheet name="TeamPoints" sheetId="4" r:id="rId5"/>
    <sheet name="For Print" sheetId="5" r:id="rId6"/>
    <sheet name="Attendance" sheetId="10" r:id="rId7"/>
    <sheet name="EnduroPrint" sheetId="11" r:id="rId8"/>
  </sheets>
  <definedNames>
    <definedName name="_xlnm.Print_Area" localSheetId="5">'For Print'!$A$3:$G$103</definedName>
    <definedName name="_xlnm.Print_Titles" localSheetId="7">EnduroPrint!$1:$1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7" i="2" l="1"/>
  <c r="K77" i="2"/>
  <c r="M77" i="2"/>
  <c r="O77" i="2"/>
  <c r="Q77" i="2"/>
  <c r="S77" i="2"/>
  <c r="B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A2" i="13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191" i="13"/>
  <c r="A192" i="13"/>
  <c r="A193" i="13"/>
  <c r="A194" i="13"/>
  <c r="A195" i="13"/>
  <c r="A196" i="13"/>
  <c r="A197" i="13"/>
  <c r="A198" i="13"/>
  <c r="A199" i="13"/>
  <c r="A200" i="13"/>
  <c r="A201" i="13"/>
  <c r="A202" i="13"/>
  <c r="A203" i="13"/>
  <c r="A204" i="13"/>
  <c r="A205" i="13"/>
  <c r="A206" i="13"/>
  <c r="A207" i="13"/>
  <c r="A208" i="13"/>
  <c r="A209" i="13"/>
  <c r="A210" i="13"/>
  <c r="A211" i="13"/>
  <c r="A212" i="13"/>
  <c r="A213" i="13"/>
  <c r="A214" i="13"/>
  <c r="A215" i="13"/>
  <c r="A216" i="13"/>
  <c r="A217" i="13"/>
  <c r="A218" i="13"/>
  <c r="A219" i="13"/>
  <c r="A220" i="13"/>
  <c r="A221" i="13"/>
  <c r="A222" i="13"/>
  <c r="A223" i="13"/>
  <c r="A224" i="13"/>
  <c r="A225" i="13"/>
  <c r="A226" i="13"/>
  <c r="A227" i="13"/>
  <c r="A228" i="13"/>
  <c r="A229" i="13"/>
  <c r="A230" i="13"/>
  <c r="A231" i="13"/>
  <c r="A232" i="13"/>
  <c r="A233" i="13"/>
  <c r="A234" i="13"/>
  <c r="A235" i="13"/>
  <c r="A236" i="13"/>
  <c r="A237" i="13"/>
  <c r="A238" i="13"/>
  <c r="A239" i="13"/>
  <c r="A240" i="13"/>
  <c r="A241" i="13"/>
  <c r="A242" i="13"/>
  <c r="A243" i="13"/>
  <c r="A244" i="13"/>
  <c r="A245" i="13"/>
  <c r="A246" i="13"/>
  <c r="A247" i="13"/>
  <c r="A248" i="13"/>
  <c r="A249" i="13"/>
  <c r="A250" i="13"/>
  <c r="A251" i="13"/>
  <c r="A252" i="13"/>
  <c r="A253" i="13"/>
  <c r="A254" i="13"/>
  <c r="A255" i="13"/>
  <c r="A256" i="13"/>
  <c r="A257" i="13"/>
  <c r="A258" i="13"/>
  <c r="A259" i="13"/>
  <c r="A260" i="13"/>
  <c r="A261" i="13"/>
  <c r="A262" i="13"/>
  <c r="A263" i="13"/>
  <c r="A264" i="13"/>
  <c r="A265" i="13"/>
  <c r="A266" i="13"/>
  <c r="A267" i="13"/>
  <c r="A268" i="13"/>
  <c r="A269" i="13"/>
  <c r="A270" i="13"/>
  <c r="A271" i="13"/>
  <c r="A272" i="13"/>
  <c r="A273" i="13"/>
  <c r="A274" i="13"/>
  <c r="A275" i="13"/>
  <c r="A276" i="13"/>
  <c r="A277" i="13"/>
  <c r="A278" i="13"/>
  <c r="A279" i="13"/>
  <c r="A280" i="13"/>
  <c r="A281" i="13"/>
  <c r="A282" i="13"/>
  <c r="A283" i="13"/>
  <c r="A284" i="13"/>
  <c r="A285" i="13"/>
  <c r="A286" i="13"/>
  <c r="A287" i="13"/>
  <c r="A288" i="13"/>
  <c r="A289" i="13"/>
  <c r="A290" i="13"/>
  <c r="A291" i="13"/>
  <c r="A292" i="13"/>
  <c r="A293" i="13"/>
  <c r="A294" i="13"/>
  <c r="A295" i="13"/>
  <c r="A296" i="13"/>
  <c r="A297" i="13"/>
  <c r="A298" i="13"/>
  <c r="A299" i="13"/>
  <c r="A300" i="13"/>
  <c r="A301" i="13"/>
  <c r="A302" i="13"/>
  <c r="A303" i="13"/>
  <c r="A304" i="13"/>
  <c r="A305" i="13"/>
  <c r="A306" i="13"/>
  <c r="A307" i="13"/>
  <c r="A308" i="13"/>
  <c r="A309" i="13"/>
  <c r="A310" i="13"/>
  <c r="A311" i="13"/>
  <c r="A312" i="13"/>
  <c r="A313" i="13"/>
  <c r="A314" i="13"/>
  <c r="A315" i="13"/>
  <c r="A316" i="13"/>
  <c r="A317" i="13"/>
  <c r="A318" i="13"/>
  <c r="A319" i="13"/>
  <c r="A320" i="13"/>
  <c r="A321" i="13"/>
  <c r="A322" i="13"/>
  <c r="A323" i="13"/>
  <c r="A324" i="13"/>
  <c r="A325" i="13"/>
  <c r="A326" i="13"/>
  <c r="A327" i="13"/>
  <c r="A328" i="13"/>
  <c r="A329" i="13"/>
  <c r="A330" i="13"/>
  <c r="A331" i="13"/>
  <c r="A332" i="13"/>
  <c r="A333" i="13"/>
  <c r="A334" i="13"/>
  <c r="A335" i="13"/>
  <c r="A336" i="13"/>
  <c r="A337" i="13"/>
  <c r="A338" i="13"/>
  <c r="A339" i="13"/>
  <c r="A340" i="13"/>
  <c r="A341" i="13"/>
  <c r="A342" i="13"/>
  <c r="A343" i="13"/>
  <c r="A344" i="13"/>
  <c r="A345" i="13"/>
  <c r="A346" i="13"/>
  <c r="A347" i="13"/>
  <c r="A348" i="13"/>
  <c r="A349" i="13"/>
  <c r="A350" i="13"/>
  <c r="A351" i="13"/>
  <c r="M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299" i="13"/>
  <c r="M300" i="13"/>
  <c r="M301" i="13"/>
  <c r="M302" i="13"/>
  <c r="M303" i="13"/>
  <c r="M304" i="13"/>
  <c r="M305" i="13"/>
  <c r="M306" i="13"/>
  <c r="M307" i="13"/>
  <c r="M308" i="13"/>
  <c r="M309" i="13"/>
  <c r="M310" i="13"/>
  <c r="M311" i="13"/>
  <c r="M312" i="13"/>
  <c r="M313" i="13"/>
  <c r="M314" i="13"/>
  <c r="M315" i="13"/>
  <c r="M316" i="13"/>
  <c r="M317" i="13"/>
  <c r="M318" i="13"/>
  <c r="M319" i="13"/>
  <c r="M320" i="13"/>
  <c r="M321" i="13"/>
  <c r="M322" i="13"/>
  <c r="M323" i="13"/>
  <c r="M324" i="13"/>
  <c r="M325" i="13"/>
  <c r="M326" i="13"/>
  <c r="M327" i="13"/>
  <c r="M328" i="13"/>
  <c r="M329" i="13"/>
  <c r="M330" i="13"/>
  <c r="M331" i="13"/>
  <c r="M332" i="13"/>
  <c r="M333" i="13"/>
  <c r="M334" i="13"/>
  <c r="M335" i="13"/>
  <c r="M336" i="13"/>
  <c r="M337" i="13"/>
  <c r="M338" i="13"/>
  <c r="M339" i="13"/>
  <c r="M340" i="13"/>
  <c r="M341" i="13"/>
  <c r="M342" i="13"/>
  <c r="M343" i="13"/>
  <c r="M344" i="13"/>
  <c r="M345" i="13"/>
  <c r="M346" i="13"/>
  <c r="M347" i="13"/>
  <c r="M348" i="13"/>
  <c r="M349" i="13"/>
  <c r="M350" i="13"/>
  <c r="M351" i="13"/>
  <c r="J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L93" i="13"/>
  <c r="L94" i="13"/>
  <c r="L95" i="13"/>
  <c r="L107" i="13"/>
  <c r="L108" i="13"/>
  <c r="L128" i="13"/>
  <c r="L129" i="13"/>
  <c r="L130" i="13"/>
  <c r="L139" i="13"/>
  <c r="L140" i="13"/>
  <c r="L141" i="13"/>
  <c r="L142" i="13"/>
  <c r="L192" i="13"/>
  <c r="L193" i="13"/>
  <c r="L197" i="13"/>
  <c r="L198" i="13"/>
  <c r="L199" i="13"/>
  <c r="L236" i="13"/>
  <c r="L237" i="13"/>
  <c r="L262" i="13"/>
  <c r="L263" i="13"/>
  <c r="L264" i="13"/>
  <c r="L265" i="13"/>
  <c r="L273" i="13"/>
  <c r="L274" i="13"/>
  <c r="L288" i="13"/>
  <c r="L289" i="13"/>
  <c r="L290" i="13"/>
  <c r="L291" i="13"/>
  <c r="L307" i="13"/>
  <c r="L308" i="13"/>
  <c r="L314" i="13"/>
  <c r="L315" i="13"/>
  <c r="L316" i="13"/>
  <c r="L317" i="13"/>
  <c r="L116" i="13"/>
  <c r="L117" i="13"/>
  <c r="L118" i="13"/>
  <c r="L96" i="13"/>
  <c r="L119" i="13"/>
  <c r="L87" i="13"/>
  <c r="L97" i="13"/>
  <c r="L120" i="13"/>
  <c r="L200" i="13"/>
  <c r="L201" i="13"/>
  <c r="L202" i="13"/>
  <c r="L242" i="13"/>
  <c r="L275" i="13"/>
  <c r="L276" i="13"/>
  <c r="L131" i="13"/>
  <c r="L2" i="13"/>
  <c r="L3" i="13"/>
  <c r="L4" i="13"/>
  <c r="L5" i="13"/>
  <c r="L6" i="13"/>
  <c r="L7" i="13"/>
  <c r="L8" i="13"/>
  <c r="L9" i="13"/>
  <c r="L10" i="13"/>
  <c r="L11" i="13"/>
  <c r="L51" i="13"/>
  <c r="L70" i="13"/>
  <c r="L71" i="13"/>
  <c r="L109" i="13"/>
  <c r="L110" i="13"/>
  <c r="L111" i="13"/>
  <c r="L112" i="13"/>
  <c r="L133" i="13"/>
  <c r="L143" i="13"/>
  <c r="L144" i="13"/>
  <c r="L145" i="13"/>
  <c r="L146" i="13"/>
  <c r="L194" i="13"/>
  <c r="L203" i="13"/>
  <c r="L204" i="13"/>
  <c r="L205" i="13"/>
  <c r="L206" i="13"/>
  <c r="L207" i="13"/>
  <c r="L243" i="13"/>
  <c r="L244" i="13"/>
  <c r="L245" i="13"/>
  <c r="L246" i="13"/>
  <c r="L247" i="13"/>
  <c r="L248" i="13"/>
  <c r="L249" i="13"/>
  <c r="L250" i="13"/>
  <c r="L251" i="13"/>
  <c r="L252" i="13"/>
  <c r="L266" i="13"/>
  <c r="L267" i="13"/>
  <c r="L253" i="13"/>
  <c r="L277" i="13"/>
  <c r="L278" i="13"/>
  <c r="L292" i="13"/>
  <c r="L293" i="13"/>
  <c r="L294" i="13"/>
  <c r="L295" i="13"/>
  <c r="L296" i="13"/>
  <c r="L309" i="13"/>
  <c r="L310" i="13"/>
  <c r="L342" i="13"/>
  <c r="L343" i="13"/>
  <c r="L344" i="13"/>
  <c r="L121" i="13"/>
  <c r="L122" i="13"/>
  <c r="L123" i="13"/>
  <c r="L254" i="13"/>
  <c r="L124" i="13"/>
  <c r="L12" i="13"/>
  <c r="L88" i="13"/>
  <c r="L311" i="13"/>
  <c r="L13" i="13"/>
  <c r="L14" i="13"/>
  <c r="L15" i="13"/>
  <c r="L16" i="13"/>
  <c r="L17" i="13"/>
  <c r="L18" i="13"/>
  <c r="L255" i="13"/>
  <c r="L132" i="13"/>
  <c r="L168" i="13"/>
  <c r="L169" i="13"/>
  <c r="L170" i="13"/>
  <c r="L208" i="13"/>
  <c r="L209" i="13"/>
  <c r="L210" i="13"/>
  <c r="L211" i="13"/>
  <c r="L279" i="13"/>
  <c r="L318" i="13"/>
  <c r="L319" i="13"/>
  <c r="L320" i="13"/>
  <c r="L345" i="13"/>
  <c r="L61" i="13"/>
  <c r="L72" i="13"/>
  <c r="L73" i="13"/>
  <c r="L74" i="13"/>
  <c r="L75" i="13"/>
  <c r="L147" i="13"/>
  <c r="L148" i="13"/>
  <c r="L171" i="13"/>
  <c r="L172" i="13"/>
  <c r="L212" i="13"/>
  <c r="L213" i="13"/>
  <c r="L214" i="13"/>
  <c r="L215" i="13"/>
  <c r="L280" i="13"/>
  <c r="L297" i="13"/>
  <c r="L321" i="13"/>
  <c r="L322" i="13"/>
  <c r="L323" i="13"/>
  <c r="L346" i="13"/>
  <c r="L347" i="13"/>
  <c r="L98" i="13"/>
  <c r="L19" i="13"/>
  <c r="L348" i="13"/>
  <c r="L20" i="13"/>
  <c r="L21" i="13"/>
  <c r="L22" i="13"/>
  <c r="L23" i="13"/>
  <c r="L52" i="13"/>
  <c r="L53" i="13"/>
  <c r="L62" i="13"/>
  <c r="L63" i="13"/>
  <c r="L76" i="13"/>
  <c r="L77" i="13"/>
  <c r="L89" i="13"/>
  <c r="L99" i="13"/>
  <c r="L100" i="13"/>
  <c r="L101" i="13"/>
  <c r="L102" i="13"/>
  <c r="L24" i="13"/>
  <c r="L113" i="13"/>
  <c r="L216" i="13"/>
  <c r="L217" i="13"/>
  <c r="L218" i="13"/>
  <c r="L54" i="13"/>
  <c r="L256" i="13"/>
  <c r="L324" i="13"/>
  <c r="L325" i="13"/>
  <c r="L326" i="13"/>
  <c r="L327" i="13"/>
  <c r="L328" i="13"/>
  <c r="L125" i="13"/>
  <c r="L126" i="13"/>
  <c r="L127" i="13"/>
  <c r="L25" i="13"/>
  <c r="L26" i="13"/>
  <c r="L27" i="13"/>
  <c r="L28" i="13"/>
  <c r="L103" i="13"/>
  <c r="L29" i="13"/>
  <c r="L30" i="13"/>
  <c r="L31" i="13"/>
  <c r="L32" i="13"/>
  <c r="L33" i="13"/>
  <c r="L34" i="13"/>
  <c r="L35" i="13"/>
  <c r="L36" i="13"/>
  <c r="L37" i="13"/>
  <c r="L55" i="13"/>
  <c r="L56" i="13"/>
  <c r="L57" i="13"/>
  <c r="L58" i="13"/>
  <c r="L64" i="13"/>
  <c r="L65" i="13"/>
  <c r="L78" i="13"/>
  <c r="L104" i="13"/>
  <c r="L38" i="13"/>
  <c r="L134" i="13"/>
  <c r="L135" i="13"/>
  <c r="L136" i="13"/>
  <c r="L149" i="13"/>
  <c r="L150" i="13"/>
  <c r="L151" i="13"/>
  <c r="L152" i="13"/>
  <c r="L153" i="13"/>
  <c r="L154" i="13"/>
  <c r="L155" i="13"/>
  <c r="L173" i="13"/>
  <c r="L174" i="13"/>
  <c r="L175" i="13"/>
  <c r="L176" i="13"/>
  <c r="L177" i="13"/>
  <c r="L178" i="13"/>
  <c r="L179" i="13"/>
  <c r="L195" i="13"/>
  <c r="L196" i="13"/>
  <c r="L219" i="13"/>
  <c r="L220" i="13"/>
  <c r="L221" i="13"/>
  <c r="L222" i="13"/>
  <c r="L223" i="13"/>
  <c r="L224" i="13"/>
  <c r="L238" i="13"/>
  <c r="L257" i="13"/>
  <c r="L258" i="13"/>
  <c r="L268" i="13"/>
  <c r="L298" i="13"/>
  <c r="L329" i="13"/>
  <c r="L330" i="13"/>
  <c r="L331" i="13"/>
  <c r="L332" i="13"/>
  <c r="L333" i="13"/>
  <c r="L39" i="13"/>
  <c r="L334" i="13"/>
  <c r="L335" i="13"/>
  <c r="L336" i="13"/>
  <c r="L349" i="13"/>
  <c r="L156" i="13"/>
  <c r="L259" i="13"/>
  <c r="L40" i="13"/>
  <c r="L90" i="13"/>
  <c r="L91" i="13"/>
  <c r="L312" i="13"/>
  <c r="L41" i="13"/>
  <c r="L42" i="13"/>
  <c r="L43" i="13"/>
  <c r="L44" i="13"/>
  <c r="L45" i="13"/>
  <c r="L46" i="13"/>
  <c r="L47" i="13"/>
  <c r="L48" i="13"/>
  <c r="L49" i="13"/>
  <c r="L59" i="13"/>
  <c r="L60" i="13"/>
  <c r="L66" i="13"/>
  <c r="L67" i="13"/>
  <c r="L68" i="13"/>
  <c r="L69" i="13"/>
  <c r="L79" i="13"/>
  <c r="L80" i="13"/>
  <c r="L81" i="13"/>
  <c r="L82" i="13"/>
  <c r="L83" i="13"/>
  <c r="L84" i="13"/>
  <c r="L85" i="13"/>
  <c r="L92" i="13"/>
  <c r="L105" i="13"/>
  <c r="L106" i="13"/>
  <c r="L114" i="13"/>
  <c r="L115" i="13"/>
  <c r="L137" i="13"/>
  <c r="L138" i="13"/>
  <c r="L157" i="13"/>
  <c r="L158" i="13"/>
  <c r="L159" i="13"/>
  <c r="L160" i="13"/>
  <c r="L161" i="13"/>
  <c r="L162" i="13"/>
  <c r="L163" i="13"/>
  <c r="L164" i="13"/>
  <c r="L165" i="13"/>
  <c r="L166" i="13"/>
  <c r="L167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225" i="13"/>
  <c r="L226" i="13"/>
  <c r="L227" i="13"/>
  <c r="L228" i="13"/>
  <c r="L229" i="13"/>
  <c r="L230" i="13"/>
  <c r="L231" i="13"/>
  <c r="L232" i="13"/>
  <c r="L233" i="13"/>
  <c r="L234" i="13"/>
  <c r="L235" i="13"/>
  <c r="L239" i="13"/>
  <c r="L240" i="13"/>
  <c r="L241" i="13"/>
  <c r="L260" i="13"/>
  <c r="L269" i="13"/>
  <c r="L270" i="13"/>
  <c r="L271" i="13"/>
  <c r="L272" i="13"/>
  <c r="L281" i="13"/>
  <c r="L282" i="13"/>
  <c r="L283" i="13"/>
  <c r="L284" i="13"/>
  <c r="L285" i="13"/>
  <c r="L286" i="13"/>
  <c r="L287" i="13"/>
  <c r="L299" i="13"/>
  <c r="L300" i="13"/>
  <c r="L301" i="13"/>
  <c r="L302" i="13"/>
  <c r="L303" i="13"/>
  <c r="L304" i="13"/>
  <c r="L305" i="13"/>
  <c r="L306" i="13"/>
  <c r="L313" i="13"/>
  <c r="L337" i="13"/>
  <c r="L338" i="13"/>
  <c r="L339" i="13"/>
  <c r="L340" i="13"/>
  <c r="L350" i="13"/>
  <c r="L351" i="13"/>
  <c r="L86" i="13"/>
  <c r="L50" i="13"/>
  <c r="L261" i="13"/>
  <c r="L341" i="13"/>
  <c r="K93" i="13"/>
  <c r="K94" i="13"/>
  <c r="K95" i="13"/>
  <c r="K107" i="13"/>
  <c r="K108" i="13"/>
  <c r="K128" i="13"/>
  <c r="K129" i="13"/>
  <c r="K130" i="13"/>
  <c r="K139" i="13"/>
  <c r="K140" i="13"/>
  <c r="K141" i="13"/>
  <c r="K142" i="13"/>
  <c r="K192" i="13"/>
  <c r="K193" i="13"/>
  <c r="K197" i="13"/>
  <c r="K198" i="13"/>
  <c r="K199" i="13"/>
  <c r="K236" i="13"/>
  <c r="K237" i="13"/>
  <c r="K262" i="13"/>
  <c r="K263" i="13"/>
  <c r="K264" i="13"/>
  <c r="K265" i="13"/>
  <c r="K273" i="13"/>
  <c r="K274" i="13"/>
  <c r="K288" i="13"/>
  <c r="K289" i="13"/>
  <c r="K290" i="13"/>
  <c r="K291" i="13"/>
  <c r="K307" i="13"/>
  <c r="K308" i="13"/>
  <c r="K314" i="13"/>
  <c r="K315" i="13"/>
  <c r="K316" i="13"/>
  <c r="K317" i="13"/>
  <c r="K116" i="13"/>
  <c r="K117" i="13"/>
  <c r="K118" i="13"/>
  <c r="K96" i="13"/>
  <c r="K119" i="13"/>
  <c r="K87" i="13"/>
  <c r="K97" i="13"/>
  <c r="K120" i="13"/>
  <c r="K200" i="13"/>
  <c r="K201" i="13"/>
  <c r="K202" i="13"/>
  <c r="K242" i="13"/>
  <c r="K275" i="13"/>
  <c r="K276" i="13"/>
  <c r="K131" i="13"/>
  <c r="K2" i="13"/>
  <c r="K3" i="13"/>
  <c r="K4" i="13"/>
  <c r="K5" i="13"/>
  <c r="K6" i="13"/>
  <c r="K7" i="13"/>
  <c r="K8" i="13"/>
  <c r="K9" i="13"/>
  <c r="K10" i="13"/>
  <c r="K11" i="13"/>
  <c r="K51" i="13"/>
  <c r="K70" i="13"/>
  <c r="K71" i="13"/>
  <c r="K109" i="13"/>
  <c r="K110" i="13"/>
  <c r="K111" i="13"/>
  <c r="K112" i="13"/>
  <c r="K133" i="13"/>
  <c r="K143" i="13"/>
  <c r="K144" i="13"/>
  <c r="K145" i="13"/>
  <c r="K146" i="13"/>
  <c r="K194" i="13"/>
  <c r="K203" i="13"/>
  <c r="K204" i="13"/>
  <c r="K205" i="13"/>
  <c r="K206" i="13"/>
  <c r="K207" i="13"/>
  <c r="K243" i="13"/>
  <c r="K244" i="13"/>
  <c r="K245" i="13"/>
  <c r="K246" i="13"/>
  <c r="K247" i="13"/>
  <c r="K248" i="13"/>
  <c r="K249" i="13"/>
  <c r="K250" i="13"/>
  <c r="K251" i="13"/>
  <c r="K252" i="13"/>
  <c r="K266" i="13"/>
  <c r="K267" i="13"/>
  <c r="K253" i="13"/>
  <c r="K277" i="13"/>
  <c r="K278" i="13"/>
  <c r="K292" i="13"/>
  <c r="K293" i="13"/>
  <c r="K294" i="13"/>
  <c r="K295" i="13"/>
  <c r="K296" i="13"/>
  <c r="K309" i="13"/>
  <c r="K310" i="13"/>
  <c r="K342" i="13"/>
  <c r="K343" i="13"/>
  <c r="K344" i="13"/>
  <c r="K121" i="13"/>
  <c r="K122" i="13"/>
  <c r="K123" i="13"/>
  <c r="K254" i="13"/>
  <c r="K124" i="13"/>
  <c r="K12" i="13"/>
  <c r="K88" i="13"/>
  <c r="K311" i="13"/>
  <c r="K13" i="13"/>
  <c r="K14" i="13"/>
  <c r="K15" i="13"/>
  <c r="K16" i="13"/>
  <c r="K17" i="13"/>
  <c r="K18" i="13"/>
  <c r="K255" i="13"/>
  <c r="K132" i="13"/>
  <c r="K168" i="13"/>
  <c r="K169" i="13"/>
  <c r="K170" i="13"/>
  <c r="K208" i="13"/>
  <c r="K209" i="13"/>
  <c r="K210" i="13"/>
  <c r="K211" i="13"/>
  <c r="K279" i="13"/>
  <c r="K318" i="13"/>
  <c r="K319" i="13"/>
  <c r="K320" i="13"/>
  <c r="K345" i="13"/>
  <c r="K61" i="13"/>
  <c r="K72" i="13"/>
  <c r="K73" i="13"/>
  <c r="K74" i="13"/>
  <c r="K75" i="13"/>
  <c r="K147" i="13"/>
  <c r="K148" i="13"/>
  <c r="K171" i="13"/>
  <c r="K172" i="13"/>
  <c r="K212" i="13"/>
  <c r="K213" i="13"/>
  <c r="K214" i="13"/>
  <c r="K215" i="13"/>
  <c r="K280" i="13"/>
  <c r="K297" i="13"/>
  <c r="K321" i="13"/>
  <c r="K322" i="13"/>
  <c r="K323" i="13"/>
  <c r="K346" i="13"/>
  <c r="K347" i="13"/>
  <c r="K98" i="13"/>
  <c r="K19" i="13"/>
  <c r="K348" i="13"/>
  <c r="K20" i="13"/>
  <c r="K21" i="13"/>
  <c r="K22" i="13"/>
  <c r="K23" i="13"/>
  <c r="K52" i="13"/>
  <c r="K53" i="13"/>
  <c r="K62" i="13"/>
  <c r="K63" i="13"/>
  <c r="K76" i="13"/>
  <c r="K77" i="13"/>
  <c r="K89" i="13"/>
  <c r="K99" i="13"/>
  <c r="K100" i="13"/>
  <c r="K101" i="13"/>
  <c r="K102" i="13"/>
  <c r="K24" i="13"/>
  <c r="K113" i="13"/>
  <c r="K216" i="13"/>
  <c r="K217" i="13"/>
  <c r="K218" i="13"/>
  <c r="K54" i="13"/>
  <c r="K256" i="13"/>
  <c r="K324" i="13"/>
  <c r="K325" i="13"/>
  <c r="K326" i="13"/>
  <c r="K327" i="13"/>
  <c r="K328" i="13"/>
  <c r="K125" i="13"/>
  <c r="K126" i="13"/>
  <c r="K127" i="13"/>
  <c r="K25" i="13"/>
  <c r="K26" i="13"/>
  <c r="K27" i="13"/>
  <c r="K28" i="13"/>
  <c r="K103" i="13"/>
  <c r="K29" i="13"/>
  <c r="K30" i="13"/>
  <c r="K31" i="13"/>
  <c r="K32" i="13"/>
  <c r="K33" i="13"/>
  <c r="K34" i="13"/>
  <c r="K35" i="13"/>
  <c r="K36" i="13"/>
  <c r="K37" i="13"/>
  <c r="K55" i="13"/>
  <c r="K56" i="13"/>
  <c r="K57" i="13"/>
  <c r="K58" i="13"/>
  <c r="K64" i="13"/>
  <c r="K65" i="13"/>
  <c r="K78" i="13"/>
  <c r="K104" i="13"/>
  <c r="K38" i="13"/>
  <c r="K134" i="13"/>
  <c r="K135" i="13"/>
  <c r="K136" i="13"/>
  <c r="K149" i="13"/>
  <c r="K150" i="13"/>
  <c r="K151" i="13"/>
  <c r="K152" i="13"/>
  <c r="K153" i="13"/>
  <c r="K154" i="13"/>
  <c r="K155" i="13"/>
  <c r="K173" i="13"/>
  <c r="K174" i="13"/>
  <c r="K175" i="13"/>
  <c r="K176" i="13"/>
  <c r="K177" i="13"/>
  <c r="K178" i="13"/>
  <c r="K179" i="13"/>
  <c r="K195" i="13"/>
  <c r="K196" i="13"/>
  <c r="K219" i="13"/>
  <c r="K220" i="13"/>
  <c r="K221" i="13"/>
  <c r="K222" i="13"/>
  <c r="K223" i="13"/>
  <c r="K224" i="13"/>
  <c r="K238" i="13"/>
  <c r="K257" i="13"/>
  <c r="K258" i="13"/>
  <c r="K268" i="13"/>
  <c r="K298" i="13"/>
  <c r="K329" i="13"/>
  <c r="K330" i="13"/>
  <c r="K331" i="13"/>
  <c r="K332" i="13"/>
  <c r="K333" i="13"/>
  <c r="K39" i="13"/>
  <c r="K334" i="13"/>
  <c r="K335" i="13"/>
  <c r="K336" i="13"/>
  <c r="K349" i="13"/>
  <c r="K156" i="13"/>
  <c r="K259" i="13"/>
  <c r="K40" i="13"/>
  <c r="K90" i="13"/>
  <c r="K91" i="13"/>
  <c r="K312" i="13"/>
  <c r="K41" i="13"/>
  <c r="K42" i="13"/>
  <c r="K43" i="13"/>
  <c r="K44" i="13"/>
  <c r="K45" i="13"/>
  <c r="K46" i="13"/>
  <c r="K47" i="13"/>
  <c r="K48" i="13"/>
  <c r="K49" i="13"/>
  <c r="K59" i="13"/>
  <c r="K60" i="13"/>
  <c r="K66" i="13"/>
  <c r="K67" i="13"/>
  <c r="K68" i="13"/>
  <c r="K69" i="13"/>
  <c r="K79" i="13"/>
  <c r="K80" i="13"/>
  <c r="K81" i="13"/>
  <c r="K82" i="13"/>
  <c r="K83" i="13"/>
  <c r="K84" i="13"/>
  <c r="K85" i="13"/>
  <c r="K92" i="13"/>
  <c r="K105" i="13"/>
  <c r="K106" i="13"/>
  <c r="K114" i="13"/>
  <c r="K115" i="13"/>
  <c r="K137" i="13"/>
  <c r="K138" i="13"/>
  <c r="K157" i="13"/>
  <c r="K158" i="13"/>
  <c r="K159" i="13"/>
  <c r="K160" i="13"/>
  <c r="K161" i="13"/>
  <c r="K162" i="13"/>
  <c r="K163" i="13"/>
  <c r="K164" i="13"/>
  <c r="K165" i="13"/>
  <c r="K166" i="13"/>
  <c r="K167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225" i="13"/>
  <c r="K226" i="13"/>
  <c r="K227" i="13"/>
  <c r="K228" i="13"/>
  <c r="K229" i="13"/>
  <c r="K230" i="13"/>
  <c r="K231" i="13"/>
  <c r="K232" i="13"/>
  <c r="K233" i="13"/>
  <c r="K234" i="13"/>
  <c r="K235" i="13"/>
  <c r="K239" i="13"/>
  <c r="K240" i="13"/>
  <c r="K241" i="13"/>
  <c r="K260" i="13"/>
  <c r="K269" i="13"/>
  <c r="K270" i="13"/>
  <c r="K271" i="13"/>
  <c r="K272" i="13"/>
  <c r="K281" i="13"/>
  <c r="K282" i="13"/>
  <c r="K283" i="13"/>
  <c r="K284" i="13"/>
  <c r="K285" i="13"/>
  <c r="K286" i="13"/>
  <c r="K287" i="13"/>
  <c r="K299" i="13"/>
  <c r="K300" i="13"/>
  <c r="K301" i="13"/>
  <c r="K302" i="13"/>
  <c r="K303" i="13"/>
  <c r="K304" i="13"/>
  <c r="K305" i="13"/>
  <c r="K306" i="13"/>
  <c r="K313" i="13"/>
  <c r="K337" i="13"/>
  <c r="K338" i="13"/>
  <c r="K339" i="13"/>
  <c r="K340" i="13"/>
  <c r="K350" i="13"/>
  <c r="K351" i="13"/>
  <c r="K86" i="13"/>
  <c r="K50" i="13"/>
  <c r="K261" i="13"/>
  <c r="K341" i="13"/>
  <c r="I42" i="2"/>
  <c r="K42" i="2"/>
  <c r="M42" i="2"/>
  <c r="O42" i="2"/>
  <c r="Q42" i="2"/>
  <c r="S42" i="2"/>
  <c r="E9" i="10"/>
  <c r="E8" i="10"/>
  <c r="E7" i="10"/>
  <c r="E6" i="10"/>
  <c r="E5" i="10"/>
  <c r="E4" i="10"/>
  <c r="I44" i="2"/>
  <c r="K44" i="2"/>
  <c r="M44" i="2"/>
  <c r="O44" i="2"/>
  <c r="Q44" i="2"/>
  <c r="S44" i="2"/>
  <c r="I109" i="2"/>
  <c r="K109" i="2"/>
  <c r="M109" i="2"/>
  <c r="O109" i="2"/>
  <c r="Q109" i="2"/>
  <c r="S109" i="2"/>
  <c r="I41" i="2"/>
  <c r="K41" i="2"/>
  <c r="M41" i="2"/>
  <c r="O41" i="2"/>
  <c r="Q41" i="2"/>
  <c r="S41" i="2"/>
  <c r="U77" i="2" l="1"/>
  <c r="T77" i="2"/>
  <c r="V77" i="2" s="1"/>
  <c r="P6" i="13"/>
  <c r="P5" i="13"/>
  <c r="P4" i="13"/>
  <c r="P3" i="13"/>
  <c r="T42" i="2"/>
  <c r="V42" i="2" s="1"/>
  <c r="U42" i="2"/>
  <c r="U44" i="2"/>
  <c r="T44" i="2"/>
  <c r="V44" i="2" s="1"/>
  <c r="T109" i="2"/>
  <c r="V109" i="2" s="1"/>
  <c r="U109" i="2"/>
  <c r="U41" i="2"/>
  <c r="T41" i="2"/>
  <c r="V41" i="2" s="1"/>
  <c r="I361" i="2"/>
  <c r="K361" i="2"/>
  <c r="M361" i="2"/>
  <c r="O361" i="2"/>
  <c r="Q361" i="2"/>
  <c r="S361" i="2"/>
  <c r="I227" i="2"/>
  <c r="K227" i="2"/>
  <c r="M227" i="2"/>
  <c r="O227" i="2"/>
  <c r="Q227" i="2"/>
  <c r="S227" i="2"/>
  <c r="I12" i="2"/>
  <c r="K12" i="2"/>
  <c r="M12" i="2"/>
  <c r="O12" i="2"/>
  <c r="Q12" i="2"/>
  <c r="S12" i="2"/>
  <c r="I40" i="2"/>
  <c r="K40" i="2"/>
  <c r="M40" i="2"/>
  <c r="O40" i="2"/>
  <c r="Q40" i="2"/>
  <c r="S40" i="2"/>
  <c r="I224" i="2"/>
  <c r="K224" i="2"/>
  <c r="M224" i="2"/>
  <c r="O224" i="2"/>
  <c r="Q224" i="2"/>
  <c r="S224" i="2"/>
  <c r="T361" i="2" l="1"/>
  <c r="V361" i="2" s="1"/>
  <c r="U361" i="2"/>
  <c r="T227" i="2"/>
  <c r="V227" i="2" s="1"/>
  <c r="U227" i="2"/>
  <c r="U12" i="2"/>
  <c r="T12" i="2"/>
  <c r="V12" i="2" s="1"/>
  <c r="T40" i="2"/>
  <c r="V40" i="2" s="1"/>
  <c r="U40" i="2"/>
  <c r="T224" i="2"/>
  <c r="V224" i="2" s="1"/>
  <c r="U224" i="2"/>
  <c r="I249" i="2"/>
  <c r="K249" i="2"/>
  <c r="M249" i="2"/>
  <c r="O249" i="2"/>
  <c r="Q249" i="2"/>
  <c r="S249" i="2"/>
  <c r="I112" i="2"/>
  <c r="K112" i="2"/>
  <c r="M112" i="2"/>
  <c r="O112" i="2"/>
  <c r="Q112" i="2"/>
  <c r="S112" i="2"/>
  <c r="I363" i="2"/>
  <c r="K363" i="2"/>
  <c r="M363" i="2"/>
  <c r="O363" i="2"/>
  <c r="Q363" i="2"/>
  <c r="S363" i="2"/>
  <c r="I93" i="2"/>
  <c r="K93" i="2"/>
  <c r="M93" i="2"/>
  <c r="O93" i="2"/>
  <c r="Q93" i="2"/>
  <c r="S93" i="2"/>
  <c r="T112" i="2" l="1"/>
  <c r="V112" i="2" s="1"/>
  <c r="U112" i="2"/>
  <c r="U249" i="2"/>
  <c r="T249" i="2"/>
  <c r="V249" i="2" s="1"/>
  <c r="T363" i="2"/>
  <c r="V363" i="2" s="1"/>
  <c r="U363" i="2"/>
  <c r="T93" i="2"/>
  <c r="V93" i="2" s="1"/>
  <c r="U93" i="2"/>
  <c r="I175" i="2" l="1"/>
  <c r="K175" i="2"/>
  <c r="M175" i="2"/>
  <c r="O175" i="2"/>
  <c r="Q175" i="2"/>
  <c r="S175" i="2"/>
  <c r="B3" i="10"/>
  <c r="B4" i="10"/>
  <c r="B5" i="10"/>
  <c r="B6" i="10"/>
  <c r="B7" i="10"/>
  <c r="B8" i="10"/>
  <c r="B9" i="10"/>
  <c r="B2" i="10"/>
  <c r="C10" i="10"/>
  <c r="I360" i="2"/>
  <c r="K360" i="2"/>
  <c r="M360" i="2"/>
  <c r="O360" i="2"/>
  <c r="Q360" i="2"/>
  <c r="S360" i="2"/>
  <c r="I254" i="2"/>
  <c r="K254" i="2"/>
  <c r="M254" i="2"/>
  <c r="O254" i="2"/>
  <c r="Q254" i="2"/>
  <c r="S254" i="2"/>
  <c r="I266" i="2"/>
  <c r="K266" i="2"/>
  <c r="M266" i="2"/>
  <c r="O266" i="2"/>
  <c r="Q266" i="2"/>
  <c r="S266" i="2"/>
  <c r="I209" i="2"/>
  <c r="K209" i="2"/>
  <c r="M209" i="2"/>
  <c r="O209" i="2"/>
  <c r="Q209" i="2"/>
  <c r="S209" i="2"/>
  <c r="I56" i="2"/>
  <c r="K56" i="2"/>
  <c r="M56" i="2"/>
  <c r="O56" i="2"/>
  <c r="Q56" i="2"/>
  <c r="S56" i="2"/>
  <c r="I89" i="2"/>
  <c r="K89" i="2"/>
  <c r="M89" i="2"/>
  <c r="O89" i="2"/>
  <c r="Q89" i="2"/>
  <c r="S89" i="2"/>
  <c r="I39" i="2"/>
  <c r="K39" i="2"/>
  <c r="M39" i="2"/>
  <c r="O39" i="2"/>
  <c r="Q39" i="2"/>
  <c r="S39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I265" i="2"/>
  <c r="K265" i="2"/>
  <c r="M265" i="2"/>
  <c r="O265" i="2"/>
  <c r="Q265" i="2"/>
  <c r="S265" i="2"/>
  <c r="I157" i="2"/>
  <c r="K157" i="2"/>
  <c r="M157" i="2"/>
  <c r="O157" i="2"/>
  <c r="Q157" i="2"/>
  <c r="S157" i="2"/>
  <c r="U175" i="2" l="1"/>
  <c r="T175" i="2"/>
  <c r="V175" i="2" s="1"/>
  <c r="B10" i="10"/>
  <c r="C11" i="10" s="1"/>
  <c r="T360" i="2"/>
  <c r="V360" i="2" s="1"/>
  <c r="U360" i="2"/>
  <c r="T254" i="2"/>
  <c r="V254" i="2" s="1"/>
  <c r="T209" i="2"/>
  <c r="V209" i="2" s="1"/>
  <c r="U266" i="2"/>
  <c r="U254" i="2"/>
  <c r="T266" i="2"/>
  <c r="V266" i="2" s="1"/>
  <c r="U209" i="2"/>
  <c r="T89" i="2"/>
  <c r="V89" i="2" s="1"/>
  <c r="T56" i="2"/>
  <c r="V56" i="2" s="1"/>
  <c r="U56" i="2"/>
  <c r="U89" i="2"/>
  <c r="T39" i="2"/>
  <c r="V39" i="2" s="1"/>
  <c r="U39" i="2"/>
  <c r="T265" i="2"/>
  <c r="V265" i="2" s="1"/>
  <c r="U265" i="2"/>
  <c r="C24" i="1"/>
  <c r="T157" i="2"/>
  <c r="V157" i="2" s="1"/>
  <c r="U157" i="2"/>
  <c r="I219" i="2" l="1"/>
  <c r="K219" i="2"/>
  <c r="M219" i="2"/>
  <c r="O219" i="2"/>
  <c r="Q219" i="2"/>
  <c r="S219" i="2"/>
  <c r="I242" i="2"/>
  <c r="K242" i="2"/>
  <c r="M242" i="2"/>
  <c r="O242" i="2"/>
  <c r="Q242" i="2"/>
  <c r="S242" i="2"/>
  <c r="K201" i="2"/>
  <c r="M201" i="2"/>
  <c r="O201" i="2"/>
  <c r="Q201" i="2"/>
  <c r="S201" i="2"/>
  <c r="U242" i="2" l="1"/>
  <c r="U201" i="2"/>
  <c r="U219" i="2"/>
  <c r="T219" i="2"/>
  <c r="V219" i="2" s="1"/>
  <c r="T242" i="2"/>
  <c r="V242" i="2" s="1"/>
  <c r="T201" i="2"/>
  <c r="V201" i="2" s="1"/>
  <c r="I362" i="2" l="1"/>
  <c r="K362" i="2"/>
  <c r="M362" i="2"/>
  <c r="O362" i="2"/>
  <c r="Q362" i="2"/>
  <c r="S362" i="2"/>
  <c r="K184" i="2"/>
  <c r="K181" i="2"/>
  <c r="K178" i="2"/>
  <c r="K162" i="2"/>
  <c r="K164" i="2"/>
  <c r="S174" i="2"/>
  <c r="S158" i="2"/>
  <c r="S160" i="2"/>
  <c r="S178" i="2"/>
  <c r="S161" i="2"/>
  <c r="S180" i="2"/>
  <c r="S181" i="2"/>
  <c r="S162" i="2"/>
  <c r="S164" i="2"/>
  <c r="S184" i="2"/>
  <c r="S252" i="2"/>
  <c r="S225" i="2"/>
  <c r="S222" i="2"/>
  <c r="S218" i="2"/>
  <c r="S212" i="2"/>
  <c r="S208" i="2"/>
  <c r="S241" i="2"/>
  <c r="S130" i="2"/>
  <c r="S127" i="2"/>
  <c r="S131" i="2"/>
  <c r="S132" i="2"/>
  <c r="S123" i="2"/>
  <c r="S126" i="2"/>
  <c r="S87" i="2"/>
  <c r="S95" i="2"/>
  <c r="S64" i="2"/>
  <c r="S60" i="2"/>
  <c r="S72" i="2"/>
  <c r="S61" i="2"/>
  <c r="S102" i="2"/>
  <c r="S90" i="2"/>
  <c r="S192" i="2"/>
  <c r="S193" i="2"/>
  <c r="S185" i="2"/>
  <c r="S199" i="2"/>
  <c r="S200" i="2"/>
  <c r="S267" i="2"/>
  <c r="S268" i="2"/>
  <c r="S269" i="2"/>
  <c r="S270" i="2"/>
  <c r="S273" i="2"/>
  <c r="S274" i="2"/>
  <c r="S275" i="2"/>
  <c r="S165" i="2"/>
  <c r="S166" i="2"/>
  <c r="S216" i="2"/>
  <c r="S245" i="2"/>
  <c r="S236" i="2"/>
  <c r="S232" i="2"/>
  <c r="S94" i="2"/>
  <c r="S196" i="2"/>
  <c r="S276" i="2"/>
  <c r="S277" i="2"/>
  <c r="S251" i="2"/>
  <c r="S278" i="2"/>
  <c r="S279" i="2"/>
  <c r="S280" i="2"/>
  <c r="S281" i="2"/>
  <c r="S150" i="2"/>
  <c r="S169" i="2"/>
  <c r="S170" i="2"/>
  <c r="S359" i="2"/>
  <c r="S247" i="2"/>
  <c r="S86" i="2"/>
  <c r="S98" i="2"/>
  <c r="S282" i="2"/>
  <c r="S285" i="2"/>
  <c r="S286" i="2"/>
  <c r="S287" i="2"/>
  <c r="S288" i="2"/>
  <c r="S147" i="2"/>
  <c r="S148" i="2"/>
  <c r="S149" i="2"/>
  <c r="S151" i="2"/>
  <c r="S171" i="2"/>
  <c r="S99" i="2"/>
  <c r="S289" i="2"/>
  <c r="S172" i="2"/>
  <c r="S173" i="2"/>
  <c r="S4" i="2"/>
  <c r="S176" i="2"/>
  <c r="S43" i="2"/>
  <c r="S253" i="2"/>
  <c r="S190" i="2"/>
  <c r="S290" i="2"/>
  <c r="S291" i="2"/>
  <c r="S5" i="2"/>
  <c r="S6" i="2"/>
  <c r="S68" i="2"/>
  <c r="S80" i="2"/>
  <c r="S63" i="2"/>
  <c r="S62" i="2"/>
  <c r="S292" i="2"/>
  <c r="S59" i="2"/>
  <c r="S55" i="2"/>
  <c r="S54" i="2"/>
  <c r="S183" i="2"/>
  <c r="S182" i="2"/>
  <c r="S198" i="2"/>
  <c r="S37" i="2"/>
  <c r="S38" i="2"/>
  <c r="S7" i="2"/>
  <c r="S8" i="2"/>
  <c r="S9" i="2"/>
  <c r="S133" i="2"/>
  <c r="S239" i="2"/>
  <c r="S240" i="2"/>
  <c r="S248" i="2"/>
  <c r="S103" i="2"/>
  <c r="S294" i="2"/>
  <c r="S295" i="2"/>
  <c r="S10" i="2"/>
  <c r="S11" i="2"/>
  <c r="S364" i="2"/>
  <c r="S13" i="2"/>
  <c r="S214" i="2"/>
  <c r="S238" i="2"/>
  <c r="S205" i="2"/>
  <c r="S237" i="2"/>
  <c r="S226" i="2"/>
  <c r="S215" i="2"/>
  <c r="S53" i="2"/>
  <c r="S67" i="2"/>
  <c r="S100" i="2"/>
  <c r="S96" i="2"/>
  <c r="S296" i="2"/>
  <c r="S297" i="2"/>
  <c r="S298" i="2"/>
  <c r="S299" i="2"/>
  <c r="S300" i="2"/>
  <c r="S301" i="2"/>
  <c r="S302" i="2"/>
  <c r="S303" i="2"/>
  <c r="S304" i="2"/>
  <c r="S138" i="2"/>
  <c r="S255" i="2"/>
  <c r="S246" i="2"/>
  <c r="S202" i="2"/>
  <c r="S256" i="2"/>
  <c r="S210" i="2"/>
  <c r="S233" i="2"/>
  <c r="S211" i="2"/>
  <c r="S124" i="2"/>
  <c r="S122" i="2"/>
  <c r="S117" i="2"/>
  <c r="S307" i="2"/>
  <c r="S310" i="2"/>
  <c r="S311" i="2"/>
  <c r="S312" i="2"/>
  <c r="S313" i="2"/>
  <c r="S314" i="2"/>
  <c r="S315" i="2"/>
  <c r="S316" i="2"/>
  <c r="S317" i="2"/>
  <c r="S318" i="2"/>
  <c r="S152" i="2"/>
  <c r="S153" i="2"/>
  <c r="S14" i="2"/>
  <c r="S15" i="2"/>
  <c r="S257" i="2"/>
  <c r="S16" i="2"/>
  <c r="S17" i="2"/>
  <c r="S18" i="2"/>
  <c r="S45" i="2"/>
  <c r="S46" i="2"/>
  <c r="S47" i="2"/>
  <c r="S259" i="2"/>
  <c r="S260" i="2"/>
  <c r="S206" i="2"/>
  <c r="S217" i="2"/>
  <c r="S207" i="2"/>
  <c r="S261" i="2"/>
  <c r="S118" i="2"/>
  <c r="S134" i="2"/>
  <c r="S52" i="2"/>
  <c r="S91" i="2"/>
  <c r="S66" i="2"/>
  <c r="S195" i="2"/>
  <c r="S191" i="2"/>
  <c r="S194" i="2"/>
  <c r="S319" i="2"/>
  <c r="S320" i="2"/>
  <c r="S321" i="2"/>
  <c r="S322" i="2"/>
  <c r="S323" i="2"/>
  <c r="S324" i="2"/>
  <c r="S326" i="2"/>
  <c r="S327" i="2"/>
  <c r="S328" i="2"/>
  <c r="S329" i="2"/>
  <c r="S154" i="2"/>
  <c r="S143" i="2"/>
  <c r="S144" i="2"/>
  <c r="S142" i="2"/>
  <c r="S19" i="2"/>
  <c r="S20" i="2"/>
  <c r="S235" i="2"/>
  <c r="S330" i="2"/>
  <c r="S331" i="2"/>
  <c r="S332" i="2"/>
  <c r="S48" i="2"/>
  <c r="S119" i="2"/>
  <c r="S85" i="2"/>
  <c r="S92" i="2"/>
  <c r="S75" i="2"/>
  <c r="S84" i="2"/>
  <c r="S106" i="2"/>
  <c r="S71" i="2"/>
  <c r="S107" i="2"/>
  <c r="S108" i="2"/>
  <c r="S76" i="2"/>
  <c r="S69" i="2"/>
  <c r="S187" i="2"/>
  <c r="S333" i="2"/>
  <c r="S21" i="2"/>
  <c r="S23" i="2"/>
  <c r="S24" i="2"/>
  <c r="S111" i="2"/>
  <c r="S79" i="2"/>
  <c r="S334" i="2"/>
  <c r="S335" i="2"/>
  <c r="S336" i="2"/>
  <c r="S337" i="2"/>
  <c r="S25" i="2"/>
  <c r="S26" i="2"/>
  <c r="S49" i="2"/>
  <c r="S50" i="2"/>
  <c r="S128" i="2"/>
  <c r="S113" i="2"/>
  <c r="S70" i="2"/>
  <c r="S338" i="2"/>
  <c r="S339" i="2"/>
  <c r="S340" i="2"/>
  <c r="S341" i="2"/>
  <c r="S342" i="2"/>
  <c r="S343" i="2"/>
  <c r="S344" i="2"/>
  <c r="S155" i="2"/>
  <c r="S27" i="2"/>
  <c r="S28" i="2"/>
  <c r="S29" i="2"/>
  <c r="S30" i="2"/>
  <c r="S81" i="2"/>
  <c r="S82" i="2"/>
  <c r="S74" i="2"/>
  <c r="S101" i="2"/>
  <c r="S78" i="2"/>
  <c r="S345" i="2"/>
  <c r="S346" i="2"/>
  <c r="S347" i="2"/>
  <c r="S348" i="2"/>
  <c r="S349" i="2"/>
  <c r="S350" i="2"/>
  <c r="S351" i="2"/>
  <c r="S145" i="2"/>
  <c r="S32" i="2"/>
  <c r="S97" i="2"/>
  <c r="S88" i="2"/>
  <c r="S352" i="2"/>
  <c r="S33" i="2"/>
  <c r="S34" i="2"/>
  <c r="S35" i="2"/>
  <c r="S36" i="2"/>
  <c r="S203" i="2"/>
  <c r="S228" i="2"/>
  <c r="S262" i="2"/>
  <c r="S229" i="2"/>
  <c r="S234" i="2"/>
  <c r="S243" i="2"/>
  <c r="S121" i="2"/>
  <c r="S135" i="2"/>
  <c r="S136" i="2"/>
  <c r="S186" i="2"/>
  <c r="S189" i="2"/>
  <c r="S177" i="2"/>
  <c r="S197" i="2"/>
  <c r="S188" i="2"/>
  <c r="S353" i="2"/>
  <c r="S354" i="2"/>
  <c r="S355" i="2"/>
  <c r="S356" i="2"/>
  <c r="S140" i="2"/>
  <c r="S159" i="2"/>
  <c r="S264" i="2"/>
  <c r="S125" i="2"/>
  <c r="S114" i="2"/>
  <c r="S115" i="2"/>
  <c r="S116" i="2"/>
  <c r="S357" i="2"/>
  <c r="S358" i="2"/>
  <c r="S137" i="2"/>
  <c r="S139" i="2"/>
  <c r="Q174" i="2"/>
  <c r="Q158" i="2"/>
  <c r="Q160" i="2"/>
  <c r="Q178" i="2"/>
  <c r="Q161" i="2"/>
  <c r="Q180" i="2"/>
  <c r="Q181" i="2"/>
  <c r="Q162" i="2"/>
  <c r="Q164" i="2"/>
  <c r="Q184" i="2"/>
  <c r="Q252" i="2"/>
  <c r="Q225" i="2"/>
  <c r="Q222" i="2"/>
  <c r="Q213" i="2"/>
  <c r="Q244" i="2"/>
  <c r="Q218" i="2"/>
  <c r="Q212" i="2"/>
  <c r="Q208" i="2"/>
  <c r="Q241" i="2"/>
  <c r="Q130" i="2"/>
  <c r="Q127" i="2"/>
  <c r="Q131" i="2"/>
  <c r="Q132" i="2"/>
  <c r="Q123" i="2"/>
  <c r="Q126" i="2"/>
  <c r="Q87" i="2"/>
  <c r="Q95" i="2"/>
  <c r="Q64" i="2"/>
  <c r="Q60" i="2"/>
  <c r="Q83" i="2"/>
  <c r="Q57" i="2"/>
  <c r="Q73" i="2"/>
  <c r="Q72" i="2"/>
  <c r="Q61" i="2"/>
  <c r="Q102" i="2"/>
  <c r="Q90" i="2"/>
  <c r="Q192" i="2"/>
  <c r="Q193" i="2"/>
  <c r="Q185" i="2"/>
  <c r="Q199" i="2"/>
  <c r="Q200" i="2"/>
  <c r="Q267" i="2"/>
  <c r="Q268" i="2"/>
  <c r="Q269" i="2"/>
  <c r="Q270" i="2"/>
  <c r="Q271" i="2"/>
  <c r="Q272" i="2"/>
  <c r="Q273" i="2"/>
  <c r="Q274" i="2"/>
  <c r="Q275" i="2"/>
  <c r="Q166" i="2"/>
  <c r="Q216" i="2"/>
  <c r="Q245" i="2"/>
  <c r="Q236" i="2"/>
  <c r="Q232" i="2"/>
  <c r="Q94" i="2"/>
  <c r="Q196" i="2"/>
  <c r="Q276" i="2"/>
  <c r="Q277" i="2"/>
  <c r="Q167" i="2"/>
  <c r="Q168" i="2"/>
  <c r="Q230" i="2"/>
  <c r="Q251" i="2"/>
  <c r="Q278" i="2"/>
  <c r="Q279" i="2"/>
  <c r="Q281" i="2"/>
  <c r="Q150" i="2"/>
  <c r="Q169" i="2"/>
  <c r="Q170" i="2"/>
  <c r="Q359" i="2"/>
  <c r="Q247" i="2"/>
  <c r="Q86" i="2"/>
  <c r="Q98" i="2"/>
  <c r="Q282" i="2"/>
  <c r="Q283" i="2"/>
  <c r="Q284" i="2"/>
  <c r="Q285" i="2"/>
  <c r="Q286" i="2"/>
  <c r="Q147" i="2"/>
  <c r="Q148" i="2"/>
  <c r="Q149" i="2"/>
  <c r="Q151" i="2"/>
  <c r="Q171" i="2"/>
  <c r="Q99" i="2"/>
  <c r="Q289" i="2"/>
  <c r="Q172" i="2"/>
  <c r="Q173" i="2"/>
  <c r="Q4" i="2"/>
  <c r="Q2" i="2"/>
  <c r="Q3" i="2"/>
  <c r="Q176" i="2"/>
  <c r="Q190" i="2"/>
  <c r="Q291" i="2"/>
  <c r="Q5" i="2"/>
  <c r="Q6" i="2"/>
  <c r="Q68" i="2"/>
  <c r="Q80" i="2"/>
  <c r="Q63" i="2"/>
  <c r="Q62" i="2"/>
  <c r="Q179" i="2"/>
  <c r="Q292" i="2"/>
  <c r="Q293" i="2"/>
  <c r="Q58" i="2"/>
  <c r="Q59" i="2"/>
  <c r="Q55" i="2"/>
  <c r="Q54" i="2"/>
  <c r="Q183" i="2"/>
  <c r="Q182" i="2"/>
  <c r="Q198" i="2"/>
  <c r="Q37" i="2"/>
  <c r="Q38" i="2"/>
  <c r="Q7" i="2"/>
  <c r="Q8" i="2"/>
  <c r="Q9" i="2"/>
  <c r="Q51" i="2"/>
  <c r="Q133" i="2"/>
  <c r="Q239" i="2"/>
  <c r="Q240" i="2"/>
  <c r="Q248" i="2"/>
  <c r="Q294" i="2"/>
  <c r="Q295" i="2"/>
  <c r="Q10" i="2"/>
  <c r="Q11" i="2"/>
  <c r="Q364" i="2"/>
  <c r="Q13" i="2"/>
  <c r="Q214" i="2"/>
  <c r="Q238" i="2"/>
  <c r="Q205" i="2"/>
  <c r="Q237" i="2"/>
  <c r="Q204" i="2"/>
  <c r="Q226" i="2"/>
  <c r="Q215" i="2"/>
  <c r="Q53" i="2"/>
  <c r="Q67" i="2"/>
  <c r="Q100" i="2"/>
  <c r="Q296" i="2"/>
  <c r="Q297" i="2"/>
  <c r="Q298" i="2"/>
  <c r="Q299" i="2"/>
  <c r="Q300" i="2"/>
  <c r="Q301" i="2"/>
  <c r="Q302" i="2"/>
  <c r="Q303" i="2"/>
  <c r="Q304" i="2"/>
  <c r="Q305" i="2"/>
  <c r="Q306" i="2"/>
  <c r="Q163" i="2"/>
  <c r="Q141" i="2"/>
  <c r="Q138" i="2"/>
  <c r="Q255" i="2"/>
  <c r="Q246" i="2"/>
  <c r="Q202" i="2"/>
  <c r="Q256" i="2"/>
  <c r="Q210" i="2"/>
  <c r="Q233" i="2"/>
  <c r="Q211" i="2"/>
  <c r="Q124" i="2"/>
  <c r="Q122" i="2"/>
  <c r="Q117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152" i="2"/>
  <c r="Q153" i="2"/>
  <c r="Q14" i="2"/>
  <c r="Q15" i="2"/>
  <c r="Q257" i="2"/>
  <c r="Q258" i="2"/>
  <c r="Q104" i="2"/>
  <c r="Q16" i="2"/>
  <c r="Q17" i="2"/>
  <c r="Q45" i="2"/>
  <c r="Q46" i="2"/>
  <c r="Q47" i="2"/>
  <c r="Q259" i="2"/>
  <c r="Q260" i="2"/>
  <c r="Q206" i="2"/>
  <c r="Q217" i="2"/>
  <c r="Q207" i="2"/>
  <c r="Q261" i="2"/>
  <c r="Q118" i="2"/>
  <c r="Q134" i="2"/>
  <c r="Q129" i="2"/>
  <c r="Q120" i="2"/>
  <c r="Q65" i="2"/>
  <c r="Q105" i="2"/>
  <c r="Q52" i="2"/>
  <c r="Q91" i="2"/>
  <c r="Q66" i="2"/>
  <c r="Q195" i="2"/>
  <c r="Q191" i="2"/>
  <c r="Q194" i="2"/>
  <c r="Q319" i="2"/>
  <c r="Q320" i="2"/>
  <c r="Q321" i="2"/>
  <c r="Q322" i="2"/>
  <c r="Q323" i="2"/>
  <c r="Q324" i="2"/>
  <c r="Q325" i="2"/>
  <c r="Q326" i="2"/>
  <c r="Q327" i="2"/>
  <c r="Q328" i="2"/>
  <c r="Q329" i="2"/>
  <c r="Q154" i="2"/>
  <c r="Q143" i="2"/>
  <c r="Q144" i="2"/>
  <c r="Q142" i="2"/>
  <c r="Q19" i="2"/>
  <c r="Q20" i="2"/>
  <c r="Q235" i="2"/>
  <c r="Q330" i="2"/>
  <c r="Q331" i="2"/>
  <c r="Q332" i="2"/>
  <c r="Q48" i="2"/>
  <c r="Q223" i="2"/>
  <c r="Q221" i="2"/>
  <c r="Q119" i="2"/>
  <c r="Q85" i="2"/>
  <c r="Q106" i="2"/>
  <c r="Q71" i="2"/>
  <c r="Q107" i="2"/>
  <c r="Q108" i="2"/>
  <c r="Q76" i="2"/>
  <c r="Q69" i="2"/>
  <c r="Q187" i="2"/>
  <c r="Q333" i="2"/>
  <c r="Q21" i="2"/>
  <c r="Q22" i="2"/>
  <c r="Q23" i="2"/>
  <c r="Q24" i="2"/>
  <c r="Q250" i="2"/>
  <c r="Q79" i="2"/>
  <c r="Q334" i="2"/>
  <c r="Q335" i="2"/>
  <c r="Q336" i="2"/>
  <c r="Q337" i="2"/>
  <c r="Q25" i="2"/>
  <c r="Q26" i="2"/>
  <c r="Q49" i="2"/>
  <c r="Q50" i="2"/>
  <c r="Q128" i="2"/>
  <c r="Q110" i="2"/>
  <c r="Q113" i="2"/>
  <c r="Q70" i="2"/>
  <c r="Q338" i="2"/>
  <c r="Q339" i="2"/>
  <c r="Q340" i="2"/>
  <c r="Q341" i="2"/>
  <c r="Q342" i="2"/>
  <c r="Q343" i="2"/>
  <c r="Q344" i="2"/>
  <c r="Q155" i="2"/>
  <c r="Q27" i="2"/>
  <c r="Q28" i="2"/>
  <c r="Q29" i="2"/>
  <c r="Q30" i="2"/>
  <c r="Q365" i="2"/>
  <c r="Q231" i="2"/>
  <c r="Q81" i="2"/>
  <c r="Q82" i="2"/>
  <c r="Q74" i="2"/>
  <c r="Q101" i="2"/>
  <c r="Q78" i="2"/>
  <c r="Q345" i="2"/>
  <c r="Q346" i="2"/>
  <c r="Q347" i="2"/>
  <c r="Q348" i="2"/>
  <c r="Q349" i="2"/>
  <c r="Q350" i="2"/>
  <c r="Q351" i="2"/>
  <c r="Q145" i="2"/>
  <c r="Q31" i="2"/>
  <c r="Q32" i="2"/>
  <c r="Q97" i="2"/>
  <c r="Q88" i="2"/>
  <c r="Q33" i="2"/>
  <c r="Q34" i="2"/>
  <c r="Q35" i="2"/>
  <c r="Q36" i="2"/>
  <c r="Q203" i="2"/>
  <c r="Q228" i="2"/>
  <c r="Q262" i="2"/>
  <c r="Q229" i="2"/>
  <c r="Q234" i="2"/>
  <c r="Q263" i="2"/>
  <c r="Q220" i="2"/>
  <c r="Q243" i="2"/>
  <c r="Q121" i="2"/>
  <c r="Q135" i="2"/>
  <c r="Q136" i="2"/>
  <c r="Q186" i="2"/>
  <c r="Q189" i="2"/>
  <c r="Q177" i="2"/>
  <c r="Q197" i="2"/>
  <c r="Q188" i="2"/>
  <c r="Q353" i="2"/>
  <c r="Q354" i="2"/>
  <c r="Q355" i="2"/>
  <c r="Q356" i="2"/>
  <c r="Q140" i="2"/>
  <c r="Q146" i="2"/>
  <c r="Q156" i="2"/>
  <c r="Q159" i="2"/>
  <c r="Q264" i="2"/>
  <c r="Q125" i="2"/>
  <c r="Q114" i="2"/>
  <c r="Q115" i="2"/>
  <c r="Q116" i="2"/>
  <c r="Q357" i="2"/>
  <c r="Q358" i="2"/>
  <c r="Q137" i="2"/>
  <c r="Q139" i="2"/>
  <c r="O174" i="2"/>
  <c r="O158" i="2"/>
  <c r="O160" i="2"/>
  <c r="O178" i="2"/>
  <c r="O161" i="2"/>
  <c r="O180" i="2"/>
  <c r="O181" i="2"/>
  <c r="O162" i="2"/>
  <c r="O164" i="2"/>
  <c r="O184" i="2"/>
  <c r="O252" i="2"/>
  <c r="O225" i="2"/>
  <c r="O222" i="2"/>
  <c r="O213" i="2"/>
  <c r="O244" i="2"/>
  <c r="O218" i="2"/>
  <c r="O212" i="2"/>
  <c r="O208" i="2"/>
  <c r="O241" i="2"/>
  <c r="O130" i="2"/>
  <c r="O127" i="2"/>
  <c r="O131" i="2"/>
  <c r="O132" i="2"/>
  <c r="O123" i="2"/>
  <c r="O126" i="2"/>
  <c r="O87" i="2"/>
  <c r="O95" i="2"/>
  <c r="O64" i="2"/>
  <c r="O60" i="2"/>
  <c r="O83" i="2"/>
  <c r="O57" i="2"/>
  <c r="O73" i="2"/>
  <c r="O72" i="2"/>
  <c r="O61" i="2"/>
  <c r="O102" i="2"/>
  <c r="O90" i="2"/>
  <c r="O192" i="2"/>
  <c r="O185" i="2"/>
  <c r="O199" i="2"/>
  <c r="O200" i="2"/>
  <c r="O267" i="2"/>
  <c r="O268" i="2"/>
  <c r="O269" i="2"/>
  <c r="O270" i="2"/>
  <c r="O271" i="2"/>
  <c r="O272" i="2"/>
  <c r="O273" i="2"/>
  <c r="O274" i="2"/>
  <c r="O275" i="2"/>
  <c r="O165" i="2"/>
  <c r="O166" i="2"/>
  <c r="O232" i="2"/>
  <c r="O94" i="2"/>
  <c r="O196" i="2"/>
  <c r="O276" i="2"/>
  <c r="O277" i="2"/>
  <c r="O167" i="2"/>
  <c r="O168" i="2"/>
  <c r="O230" i="2"/>
  <c r="O251" i="2"/>
  <c r="O278" i="2"/>
  <c r="O279" i="2"/>
  <c r="O280" i="2"/>
  <c r="O281" i="2"/>
  <c r="O169" i="2"/>
  <c r="O170" i="2"/>
  <c r="O359" i="2"/>
  <c r="O247" i="2"/>
  <c r="O86" i="2"/>
  <c r="O98" i="2"/>
  <c r="O282" i="2"/>
  <c r="O283" i="2"/>
  <c r="O284" i="2"/>
  <c r="O285" i="2"/>
  <c r="O286" i="2"/>
  <c r="O287" i="2"/>
  <c r="O288" i="2"/>
  <c r="O147" i="2"/>
  <c r="O148" i="2"/>
  <c r="O149" i="2"/>
  <c r="O151" i="2"/>
  <c r="O171" i="2"/>
  <c r="O99" i="2"/>
  <c r="O289" i="2"/>
  <c r="O172" i="2"/>
  <c r="O173" i="2"/>
  <c r="O4" i="2"/>
  <c r="O2" i="2"/>
  <c r="O3" i="2"/>
  <c r="O176" i="2"/>
  <c r="O43" i="2"/>
  <c r="O253" i="2"/>
  <c r="O190" i="2"/>
  <c r="O290" i="2"/>
  <c r="O291" i="2"/>
  <c r="O5" i="2"/>
  <c r="O6" i="2"/>
  <c r="O68" i="2"/>
  <c r="O80" i="2"/>
  <c r="O63" i="2"/>
  <c r="O62" i="2"/>
  <c r="O179" i="2"/>
  <c r="O292" i="2"/>
  <c r="O293" i="2"/>
  <c r="O58" i="2"/>
  <c r="O59" i="2"/>
  <c r="O55" i="2"/>
  <c r="O54" i="2"/>
  <c r="O183" i="2"/>
  <c r="O198" i="2"/>
  <c r="O37" i="2"/>
  <c r="O38" i="2"/>
  <c r="O7" i="2"/>
  <c r="O8" i="2"/>
  <c r="O9" i="2"/>
  <c r="O51" i="2"/>
  <c r="O133" i="2"/>
  <c r="O239" i="2"/>
  <c r="O240" i="2"/>
  <c r="O248" i="2"/>
  <c r="O103" i="2"/>
  <c r="O294" i="2"/>
  <c r="O295" i="2"/>
  <c r="O10" i="2"/>
  <c r="O11" i="2"/>
  <c r="O364" i="2"/>
  <c r="O13" i="2"/>
  <c r="O214" i="2"/>
  <c r="O238" i="2"/>
  <c r="O205" i="2"/>
  <c r="O237" i="2"/>
  <c r="O204" i="2"/>
  <c r="O226" i="2"/>
  <c r="O215" i="2"/>
  <c r="O53" i="2"/>
  <c r="O67" i="2"/>
  <c r="O100" i="2"/>
  <c r="O96" i="2"/>
  <c r="O296" i="2"/>
  <c r="O297" i="2"/>
  <c r="O298" i="2"/>
  <c r="O300" i="2"/>
  <c r="O301" i="2"/>
  <c r="O302" i="2"/>
  <c r="O303" i="2"/>
  <c r="O304" i="2"/>
  <c r="O305" i="2"/>
  <c r="O306" i="2"/>
  <c r="O163" i="2"/>
  <c r="O141" i="2"/>
  <c r="O138" i="2"/>
  <c r="O255" i="2"/>
  <c r="O246" i="2"/>
  <c r="O202" i="2"/>
  <c r="O256" i="2"/>
  <c r="O210" i="2"/>
  <c r="O233" i="2"/>
  <c r="O211" i="2"/>
  <c r="O124" i="2"/>
  <c r="O122" i="2"/>
  <c r="O117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152" i="2"/>
  <c r="O153" i="2"/>
  <c r="O14" i="2"/>
  <c r="O15" i="2"/>
  <c r="O257" i="2"/>
  <c r="O258" i="2"/>
  <c r="O104" i="2"/>
  <c r="O16" i="2"/>
  <c r="O17" i="2"/>
  <c r="O18" i="2"/>
  <c r="O45" i="2"/>
  <c r="O46" i="2"/>
  <c r="O47" i="2"/>
  <c r="O259" i="2"/>
  <c r="O260" i="2"/>
  <c r="O217" i="2"/>
  <c r="O207" i="2"/>
  <c r="O261" i="2"/>
  <c r="O118" i="2"/>
  <c r="O134" i="2"/>
  <c r="O129" i="2"/>
  <c r="O120" i="2"/>
  <c r="O65" i="2"/>
  <c r="O105" i="2"/>
  <c r="O52" i="2"/>
  <c r="O91" i="2"/>
  <c r="O66" i="2"/>
  <c r="O195" i="2"/>
  <c r="O191" i="2"/>
  <c r="O194" i="2"/>
  <c r="O319" i="2"/>
  <c r="O320" i="2"/>
  <c r="O321" i="2"/>
  <c r="O322" i="2"/>
  <c r="O323" i="2"/>
  <c r="O324" i="2"/>
  <c r="O325" i="2"/>
  <c r="O326" i="2"/>
  <c r="O327" i="2"/>
  <c r="O328" i="2"/>
  <c r="O329" i="2"/>
  <c r="O154" i="2"/>
  <c r="O143" i="2"/>
  <c r="O144" i="2"/>
  <c r="O142" i="2"/>
  <c r="O19" i="2"/>
  <c r="O20" i="2"/>
  <c r="O235" i="2"/>
  <c r="O330" i="2"/>
  <c r="O331" i="2"/>
  <c r="O332" i="2"/>
  <c r="O48" i="2"/>
  <c r="O223" i="2"/>
  <c r="O221" i="2"/>
  <c r="O119" i="2"/>
  <c r="O85" i="2"/>
  <c r="O92" i="2"/>
  <c r="O75" i="2"/>
  <c r="O84" i="2"/>
  <c r="O106" i="2"/>
  <c r="O71" i="2"/>
  <c r="O107" i="2"/>
  <c r="O108" i="2"/>
  <c r="O76" i="2"/>
  <c r="O69" i="2"/>
  <c r="O187" i="2"/>
  <c r="O333" i="2"/>
  <c r="O21" i="2"/>
  <c r="O22" i="2"/>
  <c r="O23" i="2"/>
  <c r="O24" i="2"/>
  <c r="O250" i="2"/>
  <c r="O111" i="2"/>
  <c r="O79" i="2"/>
  <c r="O334" i="2"/>
  <c r="O335" i="2"/>
  <c r="O336" i="2"/>
  <c r="O337" i="2"/>
  <c r="O25" i="2"/>
  <c r="O26" i="2"/>
  <c r="O49" i="2"/>
  <c r="O50" i="2"/>
  <c r="O128" i="2"/>
  <c r="O110" i="2"/>
  <c r="O113" i="2"/>
  <c r="O70" i="2"/>
  <c r="O338" i="2"/>
  <c r="O339" i="2"/>
  <c r="O340" i="2"/>
  <c r="O341" i="2"/>
  <c r="O342" i="2"/>
  <c r="O343" i="2"/>
  <c r="O344" i="2"/>
  <c r="O155" i="2"/>
  <c r="O27" i="2"/>
  <c r="O28" i="2"/>
  <c r="O29" i="2"/>
  <c r="O30" i="2"/>
  <c r="O365" i="2"/>
  <c r="O231" i="2"/>
  <c r="O81" i="2"/>
  <c r="O82" i="2"/>
  <c r="O74" i="2"/>
  <c r="O101" i="2"/>
  <c r="O78" i="2"/>
  <c r="O345" i="2"/>
  <c r="O346" i="2"/>
  <c r="O347" i="2"/>
  <c r="O348" i="2"/>
  <c r="O349" i="2"/>
  <c r="O350" i="2"/>
  <c r="O351" i="2"/>
  <c r="O145" i="2"/>
  <c r="O31" i="2"/>
  <c r="O32" i="2"/>
  <c r="O97" i="2"/>
  <c r="O88" i="2"/>
  <c r="O352" i="2"/>
  <c r="O33" i="2"/>
  <c r="O34" i="2"/>
  <c r="O35" i="2"/>
  <c r="O36" i="2"/>
  <c r="O203" i="2"/>
  <c r="O228" i="2"/>
  <c r="O262" i="2"/>
  <c r="O229" i="2"/>
  <c r="O234" i="2"/>
  <c r="O263" i="2"/>
  <c r="O220" i="2"/>
  <c r="O243" i="2"/>
  <c r="O121" i="2"/>
  <c r="O135" i="2"/>
  <c r="O136" i="2"/>
  <c r="O186" i="2"/>
  <c r="O189" i="2"/>
  <c r="O177" i="2"/>
  <c r="O197" i="2"/>
  <c r="O188" i="2"/>
  <c r="O353" i="2"/>
  <c r="O354" i="2"/>
  <c r="O355" i="2"/>
  <c r="O356" i="2"/>
  <c r="O140" i="2"/>
  <c r="O146" i="2"/>
  <c r="O156" i="2"/>
  <c r="O159" i="2"/>
  <c r="O264" i="2"/>
  <c r="O125" i="2"/>
  <c r="O114" i="2"/>
  <c r="O115" i="2"/>
  <c r="O116" i="2"/>
  <c r="O357" i="2"/>
  <c r="O358" i="2"/>
  <c r="O137" i="2"/>
  <c r="O139" i="2"/>
  <c r="M174" i="2"/>
  <c r="M158" i="2"/>
  <c r="M160" i="2"/>
  <c r="M178" i="2"/>
  <c r="M161" i="2"/>
  <c r="M180" i="2"/>
  <c r="M181" i="2"/>
  <c r="M162" i="2"/>
  <c r="M164" i="2"/>
  <c r="M184" i="2"/>
  <c r="M252" i="2"/>
  <c r="M225" i="2"/>
  <c r="M222" i="2"/>
  <c r="M213" i="2"/>
  <c r="M244" i="2"/>
  <c r="M218" i="2"/>
  <c r="M212" i="2"/>
  <c r="M208" i="2"/>
  <c r="M241" i="2"/>
  <c r="M130" i="2"/>
  <c r="M127" i="2"/>
  <c r="M131" i="2"/>
  <c r="M132" i="2"/>
  <c r="M123" i="2"/>
  <c r="M126" i="2"/>
  <c r="M87" i="2"/>
  <c r="M95" i="2"/>
  <c r="M64" i="2"/>
  <c r="M60" i="2"/>
  <c r="M83" i="2"/>
  <c r="M57" i="2"/>
  <c r="M73" i="2"/>
  <c r="M72" i="2"/>
  <c r="M61" i="2"/>
  <c r="M102" i="2"/>
  <c r="M90" i="2"/>
  <c r="M192" i="2"/>
  <c r="M193" i="2"/>
  <c r="M185" i="2"/>
  <c r="M199" i="2"/>
  <c r="M200" i="2"/>
  <c r="M267" i="2"/>
  <c r="M268" i="2"/>
  <c r="M269" i="2"/>
  <c r="M270" i="2"/>
  <c r="M271" i="2"/>
  <c r="M272" i="2"/>
  <c r="M273" i="2"/>
  <c r="M274" i="2"/>
  <c r="M275" i="2"/>
  <c r="M165" i="2"/>
  <c r="M166" i="2"/>
  <c r="M216" i="2"/>
  <c r="M245" i="2"/>
  <c r="M236" i="2"/>
  <c r="M232" i="2"/>
  <c r="M94" i="2"/>
  <c r="M196" i="2"/>
  <c r="M276" i="2"/>
  <c r="M277" i="2"/>
  <c r="M167" i="2"/>
  <c r="M168" i="2"/>
  <c r="M230" i="2"/>
  <c r="M251" i="2"/>
  <c r="M278" i="2"/>
  <c r="M279" i="2"/>
  <c r="M280" i="2"/>
  <c r="M281" i="2"/>
  <c r="M150" i="2"/>
  <c r="M169" i="2"/>
  <c r="M170" i="2"/>
  <c r="M359" i="2"/>
  <c r="M247" i="2"/>
  <c r="M86" i="2"/>
  <c r="M98" i="2"/>
  <c r="M282" i="2"/>
  <c r="M283" i="2"/>
  <c r="M284" i="2"/>
  <c r="M285" i="2"/>
  <c r="M286" i="2"/>
  <c r="M287" i="2"/>
  <c r="M288" i="2"/>
  <c r="M147" i="2"/>
  <c r="M148" i="2"/>
  <c r="M149" i="2"/>
  <c r="M151" i="2"/>
  <c r="M171" i="2"/>
  <c r="M99" i="2"/>
  <c r="M289" i="2"/>
  <c r="M172" i="2"/>
  <c r="M173" i="2"/>
  <c r="M4" i="2"/>
  <c r="M2" i="2"/>
  <c r="M3" i="2"/>
  <c r="M176" i="2"/>
  <c r="M43" i="2"/>
  <c r="M253" i="2"/>
  <c r="M190" i="2"/>
  <c r="M290" i="2"/>
  <c r="M291" i="2"/>
  <c r="M5" i="2"/>
  <c r="M6" i="2"/>
  <c r="M68" i="2"/>
  <c r="M80" i="2"/>
  <c r="M63" i="2"/>
  <c r="M62" i="2"/>
  <c r="M179" i="2"/>
  <c r="M292" i="2"/>
  <c r="M293" i="2"/>
  <c r="M58" i="2"/>
  <c r="M59" i="2"/>
  <c r="M55" i="2"/>
  <c r="M54" i="2"/>
  <c r="M183" i="2"/>
  <c r="M182" i="2"/>
  <c r="M198" i="2"/>
  <c r="M37" i="2"/>
  <c r="M38" i="2"/>
  <c r="M7" i="2"/>
  <c r="M8" i="2"/>
  <c r="M9" i="2"/>
  <c r="M51" i="2"/>
  <c r="M133" i="2"/>
  <c r="M239" i="2"/>
  <c r="M240" i="2"/>
  <c r="M248" i="2"/>
  <c r="M103" i="2"/>
  <c r="M294" i="2"/>
  <c r="M295" i="2"/>
  <c r="M10" i="2"/>
  <c r="M11" i="2"/>
  <c r="M364" i="2"/>
  <c r="M13" i="2"/>
  <c r="M214" i="2"/>
  <c r="M238" i="2"/>
  <c r="M205" i="2"/>
  <c r="M237" i="2"/>
  <c r="M204" i="2"/>
  <c r="M226" i="2"/>
  <c r="M215" i="2"/>
  <c r="M53" i="2"/>
  <c r="M67" i="2"/>
  <c r="M100" i="2"/>
  <c r="M96" i="2"/>
  <c r="M296" i="2"/>
  <c r="M297" i="2"/>
  <c r="M298" i="2"/>
  <c r="M299" i="2"/>
  <c r="M300" i="2"/>
  <c r="M301" i="2"/>
  <c r="M302" i="2"/>
  <c r="M303" i="2"/>
  <c r="M304" i="2"/>
  <c r="M305" i="2"/>
  <c r="M306" i="2"/>
  <c r="M163" i="2"/>
  <c r="M141" i="2"/>
  <c r="M138" i="2"/>
  <c r="M255" i="2"/>
  <c r="M246" i="2"/>
  <c r="M202" i="2"/>
  <c r="M256" i="2"/>
  <c r="M210" i="2"/>
  <c r="M233" i="2"/>
  <c r="M211" i="2"/>
  <c r="M124" i="2"/>
  <c r="M122" i="2"/>
  <c r="M117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152" i="2"/>
  <c r="M153" i="2"/>
  <c r="M14" i="2"/>
  <c r="M15" i="2"/>
  <c r="M257" i="2"/>
  <c r="M258" i="2"/>
  <c r="M104" i="2"/>
  <c r="M16" i="2"/>
  <c r="M17" i="2"/>
  <c r="M18" i="2"/>
  <c r="M45" i="2"/>
  <c r="M46" i="2"/>
  <c r="M47" i="2"/>
  <c r="M259" i="2"/>
  <c r="M260" i="2"/>
  <c r="M206" i="2"/>
  <c r="M217" i="2"/>
  <c r="M207" i="2"/>
  <c r="M261" i="2"/>
  <c r="M118" i="2"/>
  <c r="M134" i="2"/>
  <c r="M129" i="2"/>
  <c r="M120" i="2"/>
  <c r="M65" i="2"/>
  <c r="M105" i="2"/>
  <c r="M52" i="2"/>
  <c r="M91" i="2"/>
  <c r="M66" i="2"/>
  <c r="M195" i="2"/>
  <c r="M191" i="2"/>
  <c r="M194" i="2"/>
  <c r="M319" i="2"/>
  <c r="M320" i="2"/>
  <c r="M321" i="2"/>
  <c r="M322" i="2"/>
  <c r="M323" i="2"/>
  <c r="M324" i="2"/>
  <c r="M325" i="2"/>
  <c r="M326" i="2"/>
  <c r="M327" i="2"/>
  <c r="M328" i="2"/>
  <c r="M329" i="2"/>
  <c r="M154" i="2"/>
  <c r="M143" i="2"/>
  <c r="M144" i="2"/>
  <c r="M142" i="2"/>
  <c r="M19" i="2"/>
  <c r="M20" i="2"/>
  <c r="M235" i="2"/>
  <c r="M330" i="2"/>
  <c r="M331" i="2"/>
  <c r="M332" i="2"/>
  <c r="M48" i="2"/>
  <c r="M223" i="2"/>
  <c r="M221" i="2"/>
  <c r="M119" i="2"/>
  <c r="M85" i="2"/>
  <c r="M92" i="2"/>
  <c r="M75" i="2"/>
  <c r="M84" i="2"/>
  <c r="M106" i="2"/>
  <c r="M71" i="2"/>
  <c r="M107" i="2"/>
  <c r="M108" i="2"/>
  <c r="M76" i="2"/>
  <c r="M69" i="2"/>
  <c r="M187" i="2"/>
  <c r="M333" i="2"/>
  <c r="M21" i="2"/>
  <c r="M22" i="2"/>
  <c r="M23" i="2"/>
  <c r="M24" i="2"/>
  <c r="M250" i="2"/>
  <c r="M111" i="2"/>
  <c r="M79" i="2"/>
  <c r="M334" i="2"/>
  <c r="M335" i="2"/>
  <c r="M336" i="2"/>
  <c r="M337" i="2"/>
  <c r="M25" i="2"/>
  <c r="M26" i="2"/>
  <c r="M49" i="2"/>
  <c r="M50" i="2"/>
  <c r="M128" i="2"/>
  <c r="M110" i="2"/>
  <c r="M113" i="2"/>
  <c r="M70" i="2"/>
  <c r="M338" i="2"/>
  <c r="M339" i="2"/>
  <c r="M340" i="2"/>
  <c r="M341" i="2"/>
  <c r="M342" i="2"/>
  <c r="M343" i="2"/>
  <c r="M344" i="2"/>
  <c r="M155" i="2"/>
  <c r="M27" i="2"/>
  <c r="M28" i="2"/>
  <c r="M29" i="2"/>
  <c r="M30" i="2"/>
  <c r="M365" i="2"/>
  <c r="M231" i="2"/>
  <c r="M81" i="2"/>
  <c r="M82" i="2"/>
  <c r="M74" i="2"/>
  <c r="M101" i="2"/>
  <c r="M78" i="2"/>
  <c r="M345" i="2"/>
  <c r="M346" i="2"/>
  <c r="M347" i="2"/>
  <c r="M348" i="2"/>
  <c r="M349" i="2"/>
  <c r="M350" i="2"/>
  <c r="M351" i="2"/>
  <c r="M145" i="2"/>
  <c r="M31" i="2"/>
  <c r="M32" i="2"/>
  <c r="M97" i="2"/>
  <c r="M88" i="2"/>
  <c r="M352" i="2"/>
  <c r="M33" i="2"/>
  <c r="M34" i="2"/>
  <c r="M35" i="2"/>
  <c r="M36" i="2"/>
  <c r="M203" i="2"/>
  <c r="M228" i="2"/>
  <c r="M262" i="2"/>
  <c r="M229" i="2"/>
  <c r="M234" i="2"/>
  <c r="M263" i="2"/>
  <c r="M220" i="2"/>
  <c r="M243" i="2"/>
  <c r="M121" i="2"/>
  <c r="M135" i="2"/>
  <c r="M136" i="2"/>
  <c r="M186" i="2"/>
  <c r="M189" i="2"/>
  <c r="M177" i="2"/>
  <c r="M197" i="2"/>
  <c r="M188" i="2"/>
  <c r="M353" i="2"/>
  <c r="M354" i="2"/>
  <c r="M355" i="2"/>
  <c r="M356" i="2"/>
  <c r="M140" i="2"/>
  <c r="M146" i="2"/>
  <c r="M156" i="2"/>
  <c r="M159" i="2"/>
  <c r="M264" i="2"/>
  <c r="M125" i="2"/>
  <c r="M114" i="2"/>
  <c r="M115" i="2"/>
  <c r="M116" i="2"/>
  <c r="M357" i="2"/>
  <c r="M358" i="2"/>
  <c r="M137" i="2"/>
  <c r="M139" i="2"/>
  <c r="S167" i="2"/>
  <c r="S168" i="2"/>
  <c r="S2" i="2"/>
  <c r="S3" i="2"/>
  <c r="S58" i="2"/>
  <c r="S22" i="2"/>
  <c r="S365" i="2"/>
  <c r="S31" i="2"/>
  <c r="S51" i="2"/>
  <c r="S213" i="2"/>
  <c r="S244" i="2"/>
  <c r="S230" i="2"/>
  <c r="S204" i="2"/>
  <c r="S258" i="2"/>
  <c r="S223" i="2"/>
  <c r="S221" i="2"/>
  <c r="S250" i="2"/>
  <c r="S231" i="2"/>
  <c r="S263" i="2"/>
  <c r="S220" i="2"/>
  <c r="S129" i="2"/>
  <c r="S120" i="2"/>
  <c r="S83" i="2"/>
  <c r="S57" i="2"/>
  <c r="S73" i="2"/>
  <c r="S104" i="2"/>
  <c r="S65" i="2"/>
  <c r="S105" i="2"/>
  <c r="S110" i="2"/>
  <c r="S179" i="2"/>
  <c r="S271" i="2"/>
  <c r="S272" i="2"/>
  <c r="S283" i="2"/>
  <c r="S284" i="2"/>
  <c r="S293" i="2"/>
  <c r="S305" i="2"/>
  <c r="S306" i="2"/>
  <c r="S308" i="2"/>
  <c r="S309" i="2"/>
  <c r="S325" i="2"/>
  <c r="S163" i="2"/>
  <c r="S141" i="2"/>
  <c r="S146" i="2"/>
  <c r="S156" i="2"/>
  <c r="Q165" i="2"/>
  <c r="Q18" i="2"/>
  <c r="Q43" i="2"/>
  <c r="Q253" i="2"/>
  <c r="Q103" i="2"/>
  <c r="Q96" i="2"/>
  <c r="Q92" i="2"/>
  <c r="Q75" i="2"/>
  <c r="Q84" i="2"/>
  <c r="Q111" i="2"/>
  <c r="Q280" i="2"/>
  <c r="Q287" i="2"/>
  <c r="Q288" i="2"/>
  <c r="Q290" i="2"/>
  <c r="Q352" i="2"/>
  <c r="O182" i="2"/>
  <c r="O216" i="2"/>
  <c r="O245" i="2"/>
  <c r="O236" i="2"/>
  <c r="O206" i="2"/>
  <c r="O193" i="2"/>
  <c r="O299" i="2"/>
  <c r="O150" i="2"/>
  <c r="K174" i="2"/>
  <c r="K158" i="2"/>
  <c r="K160" i="2"/>
  <c r="K161" i="2"/>
  <c r="K180" i="2"/>
  <c r="K165" i="2"/>
  <c r="K166" i="2"/>
  <c r="K167" i="2"/>
  <c r="K168" i="2"/>
  <c r="K169" i="2"/>
  <c r="K170" i="2"/>
  <c r="K171" i="2"/>
  <c r="K99" i="2"/>
  <c r="K172" i="2"/>
  <c r="K173" i="2"/>
  <c r="K4" i="2"/>
  <c r="K2" i="2"/>
  <c r="K3" i="2"/>
  <c r="K5" i="2"/>
  <c r="K6" i="2"/>
  <c r="K58" i="2"/>
  <c r="K59" i="2"/>
  <c r="K55" i="2"/>
  <c r="K54" i="2"/>
  <c r="K7" i="2"/>
  <c r="K8" i="2"/>
  <c r="K9" i="2"/>
  <c r="K10" i="2"/>
  <c r="K11" i="2"/>
  <c r="K364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65" i="2"/>
  <c r="K31" i="2"/>
  <c r="K32" i="2"/>
  <c r="K33" i="2"/>
  <c r="K34" i="2"/>
  <c r="K35" i="2"/>
  <c r="K36" i="2"/>
  <c r="K159" i="2"/>
  <c r="K176" i="2"/>
  <c r="K43" i="2"/>
  <c r="K183" i="2"/>
  <c r="K182" i="2"/>
  <c r="K198" i="2"/>
  <c r="K51" i="2"/>
  <c r="K45" i="2"/>
  <c r="K46" i="2"/>
  <c r="K47" i="2"/>
  <c r="K48" i="2"/>
  <c r="K49" i="2"/>
  <c r="K50" i="2"/>
  <c r="K252" i="2"/>
  <c r="K225" i="2"/>
  <c r="K222" i="2"/>
  <c r="K213" i="2"/>
  <c r="K244" i="2"/>
  <c r="K218" i="2"/>
  <c r="K212" i="2"/>
  <c r="K208" i="2"/>
  <c r="K241" i="2"/>
  <c r="K216" i="2"/>
  <c r="K245" i="2"/>
  <c r="K236" i="2"/>
  <c r="K232" i="2"/>
  <c r="K230" i="2"/>
  <c r="K251" i="2"/>
  <c r="K359" i="2"/>
  <c r="K247" i="2"/>
  <c r="K253" i="2"/>
  <c r="K239" i="2"/>
  <c r="K240" i="2"/>
  <c r="K248" i="2"/>
  <c r="K214" i="2"/>
  <c r="K238" i="2"/>
  <c r="K205" i="2"/>
  <c r="K237" i="2"/>
  <c r="K204" i="2"/>
  <c r="K226" i="2"/>
  <c r="K215" i="2"/>
  <c r="K255" i="2"/>
  <c r="K246" i="2"/>
  <c r="K202" i="2"/>
  <c r="K256" i="2"/>
  <c r="K210" i="2"/>
  <c r="K233" i="2"/>
  <c r="K211" i="2"/>
  <c r="K257" i="2"/>
  <c r="K258" i="2"/>
  <c r="K259" i="2"/>
  <c r="K260" i="2"/>
  <c r="K206" i="2"/>
  <c r="K217" i="2"/>
  <c r="K207" i="2"/>
  <c r="K261" i="2"/>
  <c r="K235" i="2"/>
  <c r="K223" i="2"/>
  <c r="K221" i="2"/>
  <c r="K250" i="2"/>
  <c r="K231" i="2"/>
  <c r="K203" i="2"/>
  <c r="K228" i="2"/>
  <c r="K262" i="2"/>
  <c r="K229" i="2"/>
  <c r="K234" i="2"/>
  <c r="K263" i="2"/>
  <c r="K220" i="2"/>
  <c r="K243" i="2"/>
  <c r="K264" i="2"/>
  <c r="K130" i="2"/>
  <c r="K127" i="2"/>
  <c r="K131" i="2"/>
  <c r="K132" i="2"/>
  <c r="K123" i="2"/>
  <c r="K126" i="2"/>
  <c r="K133" i="2"/>
  <c r="K124" i="2"/>
  <c r="K122" i="2"/>
  <c r="K117" i="2"/>
  <c r="K118" i="2"/>
  <c r="K134" i="2"/>
  <c r="K129" i="2"/>
  <c r="K120" i="2"/>
  <c r="K119" i="2"/>
  <c r="K128" i="2"/>
  <c r="K121" i="2"/>
  <c r="K135" i="2"/>
  <c r="K136" i="2"/>
  <c r="K125" i="2"/>
  <c r="K87" i="2"/>
  <c r="K95" i="2"/>
  <c r="K64" i="2"/>
  <c r="K60" i="2"/>
  <c r="K83" i="2"/>
  <c r="K57" i="2"/>
  <c r="K73" i="2"/>
  <c r="K72" i="2"/>
  <c r="K61" i="2"/>
  <c r="K102" i="2"/>
  <c r="K90" i="2"/>
  <c r="K94" i="2"/>
  <c r="K86" i="2"/>
  <c r="K98" i="2"/>
  <c r="K68" i="2"/>
  <c r="K80" i="2"/>
  <c r="K63" i="2"/>
  <c r="K62" i="2"/>
  <c r="K37" i="2"/>
  <c r="K38" i="2"/>
  <c r="K103" i="2"/>
  <c r="K53" i="2"/>
  <c r="K67" i="2"/>
  <c r="K100" i="2"/>
  <c r="K96" i="2"/>
  <c r="K104" i="2"/>
  <c r="K65" i="2"/>
  <c r="K105" i="2"/>
  <c r="K52" i="2"/>
  <c r="K91" i="2"/>
  <c r="K66" i="2"/>
  <c r="K85" i="2"/>
  <c r="K92" i="2"/>
  <c r="K75" i="2"/>
  <c r="K84" i="2"/>
  <c r="K106" i="2"/>
  <c r="K71" i="2"/>
  <c r="K107" i="2"/>
  <c r="K108" i="2"/>
  <c r="K76" i="2"/>
  <c r="K69" i="2"/>
  <c r="K111" i="2"/>
  <c r="K79" i="2"/>
  <c r="K110" i="2"/>
  <c r="K113" i="2"/>
  <c r="K70" i="2"/>
  <c r="K81" i="2"/>
  <c r="K82" i="2"/>
  <c r="K74" i="2"/>
  <c r="K101" i="2"/>
  <c r="K78" i="2"/>
  <c r="K97" i="2"/>
  <c r="K88" i="2"/>
  <c r="K114" i="2"/>
  <c r="K115" i="2"/>
  <c r="K116" i="2"/>
  <c r="K192" i="2"/>
  <c r="K193" i="2"/>
  <c r="K185" i="2"/>
  <c r="K199" i="2"/>
  <c r="K200" i="2"/>
  <c r="K196" i="2"/>
  <c r="K190" i="2"/>
  <c r="K179" i="2"/>
  <c r="K195" i="2"/>
  <c r="K191" i="2"/>
  <c r="K194" i="2"/>
  <c r="K187" i="2"/>
  <c r="K186" i="2"/>
  <c r="K189" i="2"/>
  <c r="K177" i="2"/>
  <c r="K197" i="2"/>
  <c r="K188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150" i="2"/>
  <c r="K147" i="2"/>
  <c r="K148" i="2"/>
  <c r="K149" i="2"/>
  <c r="K151" i="2"/>
  <c r="K163" i="2"/>
  <c r="K141" i="2"/>
  <c r="K138" i="2"/>
  <c r="K152" i="2"/>
  <c r="K153" i="2"/>
  <c r="K154" i="2"/>
  <c r="K143" i="2"/>
  <c r="K144" i="2"/>
  <c r="K142" i="2"/>
  <c r="K155" i="2"/>
  <c r="K145" i="2"/>
  <c r="K140" i="2"/>
  <c r="K146" i="2"/>
  <c r="K156" i="2"/>
  <c r="K137" i="2"/>
  <c r="K139" i="2"/>
  <c r="I174" i="2"/>
  <c r="I158" i="2"/>
  <c r="I160" i="2"/>
  <c r="I178" i="2"/>
  <c r="I161" i="2"/>
  <c r="I180" i="2"/>
  <c r="I181" i="2"/>
  <c r="I162" i="2"/>
  <c r="I164" i="2"/>
  <c r="I184" i="2"/>
  <c r="I165" i="2"/>
  <c r="I166" i="2"/>
  <c r="I167" i="2"/>
  <c r="I168" i="2"/>
  <c r="I169" i="2"/>
  <c r="I170" i="2"/>
  <c r="I171" i="2"/>
  <c r="I99" i="2"/>
  <c r="I172" i="2"/>
  <c r="I173" i="2"/>
  <c r="I4" i="2"/>
  <c r="I2" i="2"/>
  <c r="I3" i="2"/>
  <c r="I5" i="2"/>
  <c r="I6" i="2"/>
  <c r="I58" i="2"/>
  <c r="I59" i="2"/>
  <c r="I55" i="2"/>
  <c r="I54" i="2"/>
  <c r="I7" i="2"/>
  <c r="I8" i="2"/>
  <c r="I9" i="2"/>
  <c r="I10" i="2"/>
  <c r="I11" i="2"/>
  <c r="I364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159" i="2"/>
  <c r="I176" i="2"/>
  <c r="I43" i="2"/>
  <c r="I183" i="2"/>
  <c r="I182" i="2"/>
  <c r="I198" i="2"/>
  <c r="I51" i="2"/>
  <c r="I45" i="2"/>
  <c r="I46" i="2"/>
  <c r="I47" i="2"/>
  <c r="I48" i="2"/>
  <c r="I49" i="2"/>
  <c r="I50" i="2"/>
  <c r="I252" i="2"/>
  <c r="I225" i="2"/>
  <c r="I222" i="2"/>
  <c r="I213" i="2"/>
  <c r="I244" i="2"/>
  <c r="I218" i="2"/>
  <c r="I212" i="2"/>
  <c r="I208" i="2"/>
  <c r="I241" i="2"/>
  <c r="I216" i="2"/>
  <c r="I245" i="2"/>
  <c r="I236" i="2"/>
  <c r="I232" i="2"/>
  <c r="I230" i="2"/>
  <c r="I251" i="2"/>
  <c r="I359" i="2"/>
  <c r="I247" i="2"/>
  <c r="I253" i="2"/>
  <c r="I239" i="2"/>
  <c r="I240" i="2"/>
  <c r="I248" i="2"/>
  <c r="I214" i="2"/>
  <c r="I238" i="2"/>
  <c r="I205" i="2"/>
  <c r="I237" i="2"/>
  <c r="I204" i="2"/>
  <c r="I226" i="2"/>
  <c r="I215" i="2"/>
  <c r="I255" i="2"/>
  <c r="I246" i="2"/>
  <c r="I202" i="2"/>
  <c r="I256" i="2"/>
  <c r="I210" i="2"/>
  <c r="I233" i="2"/>
  <c r="I211" i="2"/>
  <c r="I257" i="2"/>
  <c r="I258" i="2"/>
  <c r="I259" i="2"/>
  <c r="I260" i="2"/>
  <c r="I206" i="2"/>
  <c r="I217" i="2"/>
  <c r="I207" i="2"/>
  <c r="I261" i="2"/>
  <c r="I235" i="2"/>
  <c r="I223" i="2"/>
  <c r="I221" i="2"/>
  <c r="I250" i="2"/>
  <c r="I231" i="2"/>
  <c r="I203" i="2"/>
  <c r="I228" i="2"/>
  <c r="I262" i="2"/>
  <c r="I229" i="2"/>
  <c r="I234" i="2"/>
  <c r="I263" i="2"/>
  <c r="I220" i="2"/>
  <c r="I243" i="2"/>
  <c r="I264" i="2"/>
  <c r="I130" i="2"/>
  <c r="I127" i="2"/>
  <c r="I131" i="2"/>
  <c r="I132" i="2"/>
  <c r="I123" i="2"/>
  <c r="I126" i="2"/>
  <c r="I133" i="2"/>
  <c r="I124" i="2"/>
  <c r="I122" i="2"/>
  <c r="I117" i="2"/>
  <c r="I118" i="2"/>
  <c r="I134" i="2"/>
  <c r="I129" i="2"/>
  <c r="I120" i="2"/>
  <c r="I119" i="2"/>
  <c r="I128" i="2"/>
  <c r="I121" i="2"/>
  <c r="I135" i="2"/>
  <c r="I136" i="2"/>
  <c r="I125" i="2"/>
  <c r="I87" i="2"/>
  <c r="I95" i="2"/>
  <c r="I64" i="2"/>
  <c r="I60" i="2"/>
  <c r="I83" i="2"/>
  <c r="I57" i="2"/>
  <c r="I73" i="2"/>
  <c r="I72" i="2"/>
  <c r="I61" i="2"/>
  <c r="I102" i="2"/>
  <c r="I90" i="2"/>
  <c r="I94" i="2"/>
  <c r="I86" i="2"/>
  <c r="I98" i="2"/>
  <c r="I68" i="2"/>
  <c r="I80" i="2"/>
  <c r="I63" i="2"/>
  <c r="I62" i="2"/>
  <c r="I37" i="2"/>
  <c r="I38" i="2"/>
  <c r="I103" i="2"/>
  <c r="I53" i="2"/>
  <c r="I67" i="2"/>
  <c r="I100" i="2"/>
  <c r="I96" i="2"/>
  <c r="I104" i="2"/>
  <c r="I65" i="2"/>
  <c r="I105" i="2"/>
  <c r="I52" i="2"/>
  <c r="I91" i="2"/>
  <c r="I66" i="2"/>
  <c r="I85" i="2"/>
  <c r="I92" i="2"/>
  <c r="I75" i="2"/>
  <c r="I84" i="2"/>
  <c r="I106" i="2"/>
  <c r="I71" i="2"/>
  <c r="I107" i="2"/>
  <c r="I108" i="2"/>
  <c r="I76" i="2"/>
  <c r="I69" i="2"/>
  <c r="I111" i="2"/>
  <c r="I79" i="2"/>
  <c r="I110" i="2"/>
  <c r="I113" i="2"/>
  <c r="I70" i="2"/>
  <c r="I81" i="2"/>
  <c r="I82" i="2"/>
  <c r="I74" i="2"/>
  <c r="I101" i="2"/>
  <c r="I78" i="2"/>
  <c r="I97" i="2"/>
  <c r="I88" i="2"/>
  <c r="I114" i="2"/>
  <c r="I115" i="2"/>
  <c r="I116" i="2"/>
  <c r="I192" i="2"/>
  <c r="I193" i="2"/>
  <c r="I185" i="2"/>
  <c r="I199" i="2"/>
  <c r="I200" i="2"/>
  <c r="I196" i="2"/>
  <c r="I190" i="2"/>
  <c r="I179" i="2"/>
  <c r="I195" i="2"/>
  <c r="I191" i="2"/>
  <c r="I194" i="2"/>
  <c r="I187" i="2"/>
  <c r="I186" i="2"/>
  <c r="I189" i="2"/>
  <c r="I177" i="2"/>
  <c r="I197" i="2"/>
  <c r="I188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150" i="2"/>
  <c r="I147" i="2"/>
  <c r="I148" i="2"/>
  <c r="I149" i="2"/>
  <c r="I151" i="2"/>
  <c r="I163" i="2"/>
  <c r="I141" i="2"/>
  <c r="I138" i="2"/>
  <c r="I152" i="2"/>
  <c r="I153" i="2"/>
  <c r="I154" i="2"/>
  <c r="I143" i="2"/>
  <c r="I144" i="2"/>
  <c r="I142" i="2"/>
  <c r="I155" i="2"/>
  <c r="I145" i="2"/>
  <c r="I140" i="2"/>
  <c r="I146" i="2"/>
  <c r="I156" i="2"/>
  <c r="I137" i="2"/>
  <c r="I139" i="2"/>
  <c r="H24" i="4" l="1" a="1"/>
  <c r="H24" i="4" s="1"/>
  <c r="D24" i="4" a="1"/>
  <c r="D24" i="4" s="1"/>
  <c r="F24" i="4" a="1"/>
  <c r="F24" i="4" s="1"/>
  <c r="G24" i="4" a="1"/>
  <c r="G24" i="4" s="1"/>
  <c r="E24" i="4" a="1"/>
  <c r="E24" i="4" s="1"/>
  <c r="C24" i="4" a="1"/>
  <c r="C24" i="4" s="1"/>
  <c r="D12" i="4" a="1"/>
  <c r="D12" i="4" s="1"/>
  <c r="D22" i="4" a="1"/>
  <c r="D22" i="4" s="1"/>
  <c r="D41" i="4" a="1"/>
  <c r="D41" i="4" s="1"/>
  <c r="D36" i="4" a="1"/>
  <c r="D36" i="4" s="1"/>
  <c r="D2" i="4" a="1"/>
  <c r="D2" i="4" s="1"/>
  <c r="D44" i="4" a="1"/>
  <c r="D44" i="4" s="1"/>
  <c r="D46" i="4" a="1"/>
  <c r="D46" i="4" s="1"/>
  <c r="D25" i="4" a="1"/>
  <c r="D25" i="4" s="1"/>
  <c r="D13" i="4" a="1"/>
  <c r="D13" i="4" s="1"/>
  <c r="D26" i="4" a="1"/>
  <c r="D26" i="4" s="1"/>
  <c r="D40" i="4" a="1"/>
  <c r="D40" i="4" s="1"/>
  <c r="D15" i="4" a="1"/>
  <c r="D15" i="4" s="1"/>
  <c r="D29" i="4" a="1"/>
  <c r="D29" i="4" s="1"/>
  <c r="D48" i="4" a="1"/>
  <c r="D48" i="4" s="1"/>
  <c r="D45" i="4" a="1"/>
  <c r="D45" i="4" s="1"/>
  <c r="D16" i="4" a="1"/>
  <c r="D16" i="4" s="1"/>
  <c r="D7" i="4" a="1"/>
  <c r="D7" i="4" s="1"/>
  <c r="D37" i="4" a="1"/>
  <c r="D37" i="4" s="1"/>
  <c r="D14" i="4" a="1"/>
  <c r="D14" i="4" s="1"/>
  <c r="D30" i="4" a="1"/>
  <c r="D30" i="4" s="1"/>
  <c r="D47" i="4" a="1"/>
  <c r="D47" i="4" s="1"/>
  <c r="D35" i="4" a="1"/>
  <c r="D35" i="4" s="1"/>
  <c r="D43" i="4" a="1"/>
  <c r="D43" i="4" s="1"/>
  <c r="D34" i="4" a="1"/>
  <c r="D34" i="4" s="1"/>
  <c r="D38" i="4" a="1"/>
  <c r="D38" i="4" s="1"/>
  <c r="D11" i="4" a="1"/>
  <c r="D11" i="4" s="1"/>
  <c r="D4" i="4" a="1"/>
  <c r="D4" i="4" s="1"/>
  <c r="D17" i="4" a="1"/>
  <c r="D17" i="4" s="1"/>
  <c r="D18" i="4" a="1"/>
  <c r="D18" i="4" s="1"/>
  <c r="D42" i="4" a="1"/>
  <c r="D42" i="4" s="1"/>
  <c r="D21" i="4" a="1"/>
  <c r="D21" i="4" s="1"/>
  <c r="D28" i="4" a="1"/>
  <c r="D28" i="4" s="1"/>
  <c r="D31" i="4" a="1"/>
  <c r="D31" i="4" s="1"/>
  <c r="D3" i="4" a="1"/>
  <c r="D3" i="4" s="1"/>
  <c r="D10" i="4" a="1"/>
  <c r="D10" i="4" s="1"/>
  <c r="D20" i="4" a="1"/>
  <c r="D20" i="4" s="1"/>
  <c r="D5" i="4" a="1"/>
  <c r="D5" i="4" s="1"/>
  <c r="D39" i="4" a="1"/>
  <c r="D39" i="4" s="1"/>
  <c r="D6" i="4" a="1"/>
  <c r="D6" i="4" s="1"/>
  <c r="D32" i="4" a="1"/>
  <c r="D32" i="4" s="1"/>
  <c r="D19" i="4" a="1"/>
  <c r="D19" i="4" s="1"/>
  <c r="D33" i="4" a="1"/>
  <c r="D33" i="4" s="1"/>
  <c r="D8" i="4" a="1"/>
  <c r="D8" i="4" s="1"/>
  <c r="D27" i="4" a="1"/>
  <c r="D27" i="4" s="1"/>
  <c r="D23" i="4" a="1"/>
  <c r="D23" i="4" s="1"/>
  <c r="D9" i="4" a="1"/>
  <c r="D9" i="4" s="1"/>
  <c r="E8" i="4" a="1"/>
  <c r="E8" i="4" s="1"/>
  <c r="E28" i="4" a="1"/>
  <c r="E28" i="4" s="1"/>
  <c r="E39" i="4" a="1"/>
  <c r="E39" i="4" s="1"/>
  <c r="E43" i="4" a="1"/>
  <c r="E43" i="4" s="1"/>
  <c r="E21" i="4" a="1"/>
  <c r="E21" i="4" s="1"/>
  <c r="E19" i="4" a="1"/>
  <c r="E19" i="4" s="1"/>
  <c r="E9" i="4" a="1"/>
  <c r="E9" i="4" s="1"/>
  <c r="E25" i="4" a="1"/>
  <c r="E25" i="4" s="1"/>
  <c r="E38" i="4" a="1"/>
  <c r="E38" i="4" s="1"/>
  <c r="E12" i="4" a="1"/>
  <c r="E12" i="4" s="1"/>
  <c r="E22" i="4" a="1"/>
  <c r="E22" i="4" s="1"/>
  <c r="E41" i="4" a="1"/>
  <c r="E41" i="4" s="1"/>
  <c r="E18" i="4" a="1"/>
  <c r="E18" i="4" s="1"/>
  <c r="E33" i="4" a="1"/>
  <c r="E33" i="4" s="1"/>
  <c r="E13" i="4" a="1"/>
  <c r="E13" i="4" s="1"/>
  <c r="E26" i="4" a="1"/>
  <c r="E26" i="4" s="1"/>
  <c r="E40" i="4" a="1"/>
  <c r="E40" i="4" s="1"/>
  <c r="E29" i="4" a="1"/>
  <c r="E29" i="4" s="1"/>
  <c r="E11" i="4" a="1"/>
  <c r="E11" i="4" s="1"/>
  <c r="E45" i="4" a="1"/>
  <c r="E45" i="4" s="1"/>
  <c r="E34" i="4" a="1"/>
  <c r="E34" i="4" s="1"/>
  <c r="E16" i="4" a="1"/>
  <c r="E16" i="4" s="1"/>
  <c r="E2" i="4" a="1"/>
  <c r="E2" i="4" s="1"/>
  <c r="E15" i="4" a="1"/>
  <c r="E15" i="4" s="1"/>
  <c r="E48" i="4" a="1"/>
  <c r="E48" i="4" s="1"/>
  <c r="E35" i="4" a="1"/>
  <c r="E35" i="4" s="1"/>
  <c r="E31" i="4" a="1"/>
  <c r="E31" i="4" s="1"/>
  <c r="E17" i="4" a="1"/>
  <c r="E17" i="4" s="1"/>
  <c r="E10" i="4" a="1"/>
  <c r="E10" i="4" s="1"/>
  <c r="E14" i="4" a="1"/>
  <c r="E14" i="4" s="1"/>
  <c r="E30" i="4" a="1"/>
  <c r="E30" i="4" s="1"/>
  <c r="E47" i="4" a="1"/>
  <c r="E47" i="4" s="1"/>
  <c r="E42" i="4" a="1"/>
  <c r="E42" i="4" s="1"/>
  <c r="E4" i="4" a="1"/>
  <c r="E4" i="4" s="1"/>
  <c r="E3" i="4" a="1"/>
  <c r="E3" i="4" s="1"/>
  <c r="E5" i="4" a="1"/>
  <c r="E5" i="4" s="1"/>
  <c r="E23" i="4" a="1"/>
  <c r="E23" i="4" s="1"/>
  <c r="E7" i="4" a="1"/>
  <c r="E7" i="4" s="1"/>
  <c r="E27" i="4" a="1"/>
  <c r="E27" i="4" s="1"/>
  <c r="E6" i="4" a="1"/>
  <c r="E6" i="4" s="1"/>
  <c r="E32" i="4" a="1"/>
  <c r="E32" i="4" s="1"/>
  <c r="E20" i="4" a="1"/>
  <c r="E20" i="4" s="1"/>
  <c r="E36" i="4" a="1"/>
  <c r="E36" i="4" s="1"/>
  <c r="E37" i="4" a="1"/>
  <c r="E37" i="4" s="1"/>
  <c r="E44" i="4" a="1"/>
  <c r="E44" i="4" s="1"/>
  <c r="E46" i="4" a="1"/>
  <c r="E46" i="4" s="1"/>
  <c r="F4" i="4" a="1"/>
  <c r="F4" i="4" s="1"/>
  <c r="G2" i="4" a="1"/>
  <c r="G2" i="4" s="1"/>
  <c r="F12" i="4" a="1"/>
  <c r="F12" i="4" s="1"/>
  <c r="F11" i="4" a="1"/>
  <c r="F11" i="4" s="1"/>
  <c r="G17" i="4" a="1"/>
  <c r="G17" i="4" s="1"/>
  <c r="F23" i="4" a="1"/>
  <c r="F23" i="4" s="1"/>
  <c r="F22" i="4" a="1"/>
  <c r="F22" i="4" s="1"/>
  <c r="F46" i="4" a="1"/>
  <c r="F46" i="4" s="1"/>
  <c r="G40" i="4" a="1"/>
  <c r="G40" i="4" s="1"/>
  <c r="G45" i="4" a="1"/>
  <c r="G45" i="4" s="1"/>
  <c r="F38" i="4" a="1"/>
  <c r="F38" i="4" s="1"/>
  <c r="G37" i="4" a="1"/>
  <c r="G37" i="4" s="1"/>
  <c r="F44" i="4" a="1"/>
  <c r="F44" i="4" s="1"/>
  <c r="G4" i="4" a="1"/>
  <c r="G4" i="4" s="1"/>
  <c r="G12" i="4" a="1"/>
  <c r="G12" i="4" s="1"/>
  <c r="G23" i="4" a="1"/>
  <c r="G23" i="4" s="1"/>
  <c r="G22" i="4" a="1"/>
  <c r="G22" i="4" s="1"/>
  <c r="F35" i="4" a="1"/>
  <c r="F35" i="4" s="1"/>
  <c r="F36" i="4" a="1"/>
  <c r="F36" i="4" s="1"/>
  <c r="G46" i="4" a="1"/>
  <c r="G46" i="4" s="1"/>
  <c r="F2" i="4" a="1"/>
  <c r="F2" i="4" s="1"/>
  <c r="G11" i="4" a="1"/>
  <c r="G11" i="4" s="1"/>
  <c r="G35" i="4" a="1"/>
  <c r="G35" i="4" s="1"/>
  <c r="G36" i="4" a="1"/>
  <c r="G36" i="4" s="1"/>
  <c r="F48" i="4" a="1"/>
  <c r="F48" i="4" s="1"/>
  <c r="F19" i="4" a="1"/>
  <c r="F19" i="4" s="1"/>
  <c r="F21" i="4" a="1"/>
  <c r="F21" i="4" s="1"/>
  <c r="G15" i="4" a="1"/>
  <c r="G15" i="4" s="1"/>
  <c r="F7" i="4" a="1"/>
  <c r="F7" i="4" s="1"/>
  <c r="F41" i="4" a="1"/>
  <c r="F41" i="4" s="1"/>
  <c r="F3" i="4" a="1"/>
  <c r="F3" i="4" s="1"/>
  <c r="F13" i="4" a="1"/>
  <c r="F13" i="4" s="1"/>
  <c r="G48" i="4" a="1"/>
  <c r="G48" i="4" s="1"/>
  <c r="G6" i="4" a="1"/>
  <c r="G6" i="4" s="1"/>
  <c r="G5" i="4" a="1"/>
  <c r="G5" i="4" s="1"/>
  <c r="G43" i="4" a="1"/>
  <c r="G43" i="4" s="1"/>
  <c r="F30" i="4" a="1"/>
  <c r="F30" i="4" s="1"/>
  <c r="G44" i="4" a="1"/>
  <c r="G44" i="4" s="1"/>
  <c r="G30" i="4" a="1"/>
  <c r="G30" i="4" s="1"/>
  <c r="G3" i="4" a="1"/>
  <c r="G3" i="4" s="1"/>
  <c r="F5" i="4" a="1"/>
  <c r="F5" i="4" s="1"/>
  <c r="F16" i="4" a="1"/>
  <c r="F16" i="4" s="1"/>
  <c r="F27" i="4" a="1"/>
  <c r="F27" i="4" s="1"/>
  <c r="F26" i="4" a="1"/>
  <c r="F26" i="4" s="1"/>
  <c r="F31" i="4" a="1"/>
  <c r="F31" i="4" s="1"/>
  <c r="F39" i="4" a="1"/>
  <c r="F39" i="4" s="1"/>
  <c r="F6" i="4" a="1"/>
  <c r="F6" i="4" s="1"/>
  <c r="G39" i="4" a="1"/>
  <c r="G39" i="4" s="1"/>
  <c r="F28" i="4" a="1"/>
  <c r="F28" i="4" s="1"/>
  <c r="F43" i="4" a="1"/>
  <c r="F43" i="4" s="1"/>
  <c r="G38" i="4" a="1"/>
  <c r="G38" i="4" s="1"/>
  <c r="G14" i="4" a="1"/>
  <c r="G14" i="4" s="1"/>
  <c r="G13" i="4" a="1"/>
  <c r="G13" i="4" s="1"/>
  <c r="G16" i="4" a="1"/>
  <c r="G16" i="4" s="1"/>
  <c r="G27" i="4" a="1"/>
  <c r="G27" i="4" s="1"/>
  <c r="G26" i="4" a="1"/>
  <c r="G26" i="4" s="1"/>
  <c r="F33" i="4" a="1"/>
  <c r="F33" i="4" s="1"/>
  <c r="F47" i="4" a="1"/>
  <c r="F47" i="4" s="1"/>
  <c r="F18" i="4" a="1"/>
  <c r="F18" i="4" s="1"/>
  <c r="G31" i="4" a="1"/>
  <c r="G31" i="4" s="1"/>
  <c r="F15" i="4" a="1"/>
  <c r="F15" i="4" s="1"/>
  <c r="F34" i="4" a="1"/>
  <c r="F34" i="4" s="1"/>
  <c r="G33" i="4" a="1"/>
  <c r="G33" i="4" s="1"/>
  <c r="G18" i="4" a="1"/>
  <c r="G18" i="4" s="1"/>
  <c r="G28" i="4" a="1"/>
  <c r="G28" i="4" s="1"/>
  <c r="G25" i="4" a="1"/>
  <c r="G25" i="4" s="1"/>
  <c r="G7" i="4" a="1"/>
  <c r="G7" i="4" s="1"/>
  <c r="F10" i="4" a="1"/>
  <c r="F10" i="4" s="1"/>
  <c r="F29" i="4" a="1"/>
  <c r="F29" i="4" s="1"/>
  <c r="G47" i="4" a="1"/>
  <c r="G47" i="4" s="1"/>
  <c r="F8" i="4" a="1"/>
  <c r="F8" i="4" s="1"/>
  <c r="F37" i="4" a="1"/>
  <c r="F37" i="4" s="1"/>
  <c r="G19" i="4" a="1"/>
  <c r="G19" i="4" s="1"/>
  <c r="G21" i="4" a="1"/>
  <c r="G21" i="4" s="1"/>
  <c r="G34" i="4" a="1"/>
  <c r="G34" i="4" s="1"/>
  <c r="G20" i="4" a="1"/>
  <c r="G20" i="4" s="1"/>
  <c r="G32" i="4" a="1"/>
  <c r="G32" i="4" s="1"/>
  <c r="G10" i="4" a="1"/>
  <c r="G10" i="4" s="1"/>
  <c r="G8" i="4" a="1"/>
  <c r="G8" i="4" s="1"/>
  <c r="G29" i="4" a="1"/>
  <c r="G29" i="4" s="1"/>
  <c r="F14" i="4" a="1"/>
  <c r="F14" i="4" s="1"/>
  <c r="F42" i="4" a="1"/>
  <c r="F42" i="4" s="1"/>
  <c r="F17" i="4" a="1"/>
  <c r="F17" i="4" s="1"/>
  <c r="G42" i="4" a="1"/>
  <c r="G42" i="4" s="1"/>
  <c r="F32" i="4" a="1"/>
  <c r="F32" i="4" s="1"/>
  <c r="F45" i="4" a="1"/>
  <c r="F45" i="4" s="1"/>
  <c r="F20" i="4" a="1"/>
  <c r="F20" i="4" s="1"/>
  <c r="F25" i="4" a="1"/>
  <c r="F25" i="4" s="1"/>
  <c r="F9" i="4" a="1"/>
  <c r="F9" i="4" s="1"/>
  <c r="G41" i="4" a="1"/>
  <c r="G41" i="4" s="1"/>
  <c r="G9" i="4" a="1"/>
  <c r="G9" i="4" s="1"/>
  <c r="F40" i="4" a="1"/>
  <c r="F40" i="4" s="1"/>
  <c r="H30" i="4" a="1"/>
  <c r="H30" i="4" s="1"/>
  <c r="H32" i="4" a="1"/>
  <c r="H32" i="4" s="1"/>
  <c r="H33" i="4" a="1"/>
  <c r="H33" i="4" s="1"/>
  <c r="H43" i="4" a="1"/>
  <c r="H43" i="4" s="1"/>
  <c r="H34" i="4" a="1"/>
  <c r="H34" i="4" s="1"/>
  <c r="H25" i="4" a="1"/>
  <c r="H25" i="4" s="1"/>
  <c r="H20" i="4" a="1"/>
  <c r="H20" i="4" s="1"/>
  <c r="H40" i="4" a="1"/>
  <c r="H40" i="4" s="1"/>
  <c r="H45" i="4" a="1"/>
  <c r="H45" i="4" s="1"/>
  <c r="H41" i="4" a="1"/>
  <c r="H41" i="4" s="1"/>
  <c r="H4" i="4" a="1"/>
  <c r="H4" i="4" s="1"/>
  <c r="H2" i="4" a="1"/>
  <c r="H2" i="4" s="1"/>
  <c r="H12" i="4" a="1"/>
  <c r="H12" i="4" s="1"/>
  <c r="H17" i="4" a="1"/>
  <c r="H17" i="4" s="1"/>
  <c r="H23" i="4" a="1"/>
  <c r="H23" i="4" s="1"/>
  <c r="H46" i="4" a="1"/>
  <c r="H46" i="4" s="1"/>
  <c r="H6" i="4" a="1"/>
  <c r="H6" i="4" s="1"/>
  <c r="H27" i="4" a="1"/>
  <c r="H27" i="4" s="1"/>
  <c r="H7" i="4" a="1"/>
  <c r="H7" i="4" s="1"/>
  <c r="H42" i="4" a="1"/>
  <c r="H42" i="4" s="1"/>
  <c r="H9" i="4" a="1"/>
  <c r="H9" i="4" s="1"/>
  <c r="H22" i="4" a="1"/>
  <c r="H22" i="4" s="1"/>
  <c r="H35" i="4" a="1"/>
  <c r="H35" i="4" s="1"/>
  <c r="H26" i="4" a="1"/>
  <c r="H26" i="4" s="1"/>
  <c r="H39" i="4" a="1"/>
  <c r="H39" i="4" s="1"/>
  <c r="H11" i="4" a="1"/>
  <c r="H11" i="4" s="1"/>
  <c r="H36" i="4" a="1"/>
  <c r="H36" i="4" s="1"/>
  <c r="H48" i="4" a="1"/>
  <c r="H48" i="4" s="1"/>
  <c r="H16" i="4" a="1"/>
  <c r="H16" i="4" s="1"/>
  <c r="H21" i="4" a="1"/>
  <c r="H21" i="4" s="1"/>
  <c r="H3" i="4" a="1"/>
  <c r="H3" i="4" s="1"/>
  <c r="H13" i="4" a="1"/>
  <c r="H13" i="4" s="1"/>
  <c r="H14" i="4" a="1"/>
  <c r="H14" i="4" s="1"/>
  <c r="H19" i="4" a="1"/>
  <c r="H19" i="4" s="1"/>
  <c r="H5" i="4" a="1"/>
  <c r="H5" i="4" s="1"/>
  <c r="H18" i="4" a="1"/>
  <c r="H18" i="4" s="1"/>
  <c r="H31" i="4" a="1"/>
  <c r="H31" i="4" s="1"/>
  <c r="H47" i="4" a="1"/>
  <c r="H47" i="4" s="1"/>
  <c r="H28" i="4" a="1"/>
  <c r="H28" i="4" s="1"/>
  <c r="H44" i="4" a="1"/>
  <c r="H44" i="4" s="1"/>
  <c r="H10" i="4" a="1"/>
  <c r="H10" i="4" s="1"/>
  <c r="H8" i="4" a="1"/>
  <c r="H8" i="4" s="1"/>
  <c r="H15" i="4" a="1"/>
  <c r="H15" i="4" s="1"/>
  <c r="H29" i="4" a="1"/>
  <c r="H29" i="4" s="1"/>
  <c r="H37" i="4" a="1"/>
  <c r="H37" i="4" s="1"/>
  <c r="H38" i="4" a="1"/>
  <c r="H38" i="4" s="1"/>
  <c r="C15" i="4" a="1"/>
  <c r="C15" i="4" s="1"/>
  <c r="C29" i="4" a="1"/>
  <c r="C29" i="4" s="1"/>
  <c r="C48" i="4" a="1"/>
  <c r="C48" i="4" s="1"/>
  <c r="C36" i="4" a="1"/>
  <c r="C36" i="4" s="1"/>
  <c r="C7" i="4" a="1"/>
  <c r="C7" i="4" s="1"/>
  <c r="C14" i="4" a="1"/>
  <c r="C14" i="4" s="1"/>
  <c r="C30" i="4" a="1"/>
  <c r="C30" i="4" s="1"/>
  <c r="C47" i="4" a="1"/>
  <c r="C47" i="4" s="1"/>
  <c r="C13" i="4" a="1"/>
  <c r="C13" i="4" s="1"/>
  <c r="C35" i="4" a="1"/>
  <c r="C35" i="4" s="1"/>
  <c r="C43" i="4" a="1"/>
  <c r="C43" i="4" s="1"/>
  <c r="C17" i="4" a="1"/>
  <c r="C17" i="4" s="1"/>
  <c r="C10" i="4" a="1"/>
  <c r="C10" i="4" s="1"/>
  <c r="C23" i="4" a="1"/>
  <c r="C23" i="4" s="1"/>
  <c r="C38" i="4" a="1"/>
  <c r="C38" i="4" s="1"/>
  <c r="C26" i="4" a="1"/>
  <c r="C26" i="4" s="1"/>
  <c r="C11" i="4" a="1"/>
  <c r="C11" i="4" s="1"/>
  <c r="C42" i="4" a="1"/>
  <c r="C42" i="4" s="1"/>
  <c r="C32" i="4" a="1"/>
  <c r="C32" i="4" s="1"/>
  <c r="C33" i="4" a="1"/>
  <c r="C33" i="4" s="1"/>
  <c r="C20" i="4" a="1"/>
  <c r="C20" i="4" s="1"/>
  <c r="C46" i="4" a="1"/>
  <c r="C46" i="4" s="1"/>
  <c r="C18" i="4" a="1"/>
  <c r="C18" i="4" s="1"/>
  <c r="C31" i="4" a="1"/>
  <c r="C31" i="4" s="1"/>
  <c r="C45" i="4" a="1"/>
  <c r="C45" i="4" s="1"/>
  <c r="C19" i="4" a="1"/>
  <c r="C19" i="4" s="1"/>
  <c r="C27" i="4" a="1"/>
  <c r="C27" i="4" s="1"/>
  <c r="C8" i="4" a="1"/>
  <c r="C8" i="4" s="1"/>
  <c r="C4" i="4" a="1"/>
  <c r="C4" i="4" s="1"/>
  <c r="C21" i="4" a="1"/>
  <c r="C21" i="4" s="1"/>
  <c r="C34" i="4" a="1"/>
  <c r="C34" i="4" s="1"/>
  <c r="C6" i="4" a="1"/>
  <c r="C6" i="4" s="1"/>
  <c r="C3" i="4" a="1"/>
  <c r="C3" i="4" s="1"/>
  <c r="C16" i="4" a="1"/>
  <c r="C16" i="4" s="1"/>
  <c r="C2" i="4" a="1"/>
  <c r="C2" i="4" s="1"/>
  <c r="C9" i="4" a="1"/>
  <c r="C9" i="4" s="1"/>
  <c r="C40" i="4" a="1"/>
  <c r="C40" i="4" s="1"/>
  <c r="C5" i="4" a="1"/>
  <c r="C5" i="4" s="1"/>
  <c r="C12" i="4" a="1"/>
  <c r="C12" i="4" s="1"/>
  <c r="C37" i="4" a="1"/>
  <c r="C37" i="4" s="1"/>
  <c r="C44" i="4" a="1"/>
  <c r="C44" i="4" s="1"/>
  <c r="C25" i="4" a="1"/>
  <c r="C25" i="4" s="1"/>
  <c r="C28" i="4" a="1"/>
  <c r="C28" i="4" s="1"/>
  <c r="C39" i="4" a="1"/>
  <c r="C39" i="4" s="1"/>
  <c r="C41" i="4" a="1"/>
  <c r="C41" i="4" s="1"/>
  <c r="C22" i="4" a="1"/>
  <c r="C22" i="4" s="1"/>
  <c r="D3" i="10"/>
  <c r="D9" i="10"/>
  <c r="D4" i="10"/>
  <c r="D5" i="10"/>
  <c r="D8" i="10"/>
  <c r="D2" i="10"/>
  <c r="D7" i="10"/>
  <c r="E3" i="10"/>
  <c r="E2" i="10"/>
  <c r="D6" i="10"/>
  <c r="T362" i="2"/>
  <c r="V362" i="2" s="1"/>
  <c r="U362" i="2"/>
  <c r="U204" i="2"/>
  <c r="U220" i="2"/>
  <c r="U226" i="2"/>
  <c r="T163" i="2"/>
  <c r="V163" i="2" s="1"/>
  <c r="T284" i="2"/>
  <c r="V284" i="2" s="1"/>
  <c r="T365" i="2"/>
  <c r="V365" i="2" s="1"/>
  <c r="T243" i="2"/>
  <c r="V243" i="2" s="1"/>
  <c r="T65" i="2"/>
  <c r="V65" i="2" s="1"/>
  <c r="T16" i="2"/>
  <c r="V16" i="2" s="1"/>
  <c r="U312" i="2"/>
  <c r="U264" i="2"/>
  <c r="T250" i="2"/>
  <c r="V250" i="2" s="1"/>
  <c r="T311" i="2"/>
  <c r="V311" i="2" s="1"/>
  <c r="T286" i="2"/>
  <c r="V286" i="2" s="1"/>
  <c r="U129" i="2"/>
  <c r="T283" i="2"/>
  <c r="V283" i="2" s="1"/>
  <c r="U28" i="2"/>
  <c r="T320" i="2"/>
  <c r="V320" i="2" s="1"/>
  <c r="T140" i="2"/>
  <c r="V140" i="2" s="1"/>
  <c r="U4" i="2"/>
  <c r="T331" i="2"/>
  <c r="V331" i="2" s="1"/>
  <c r="T238" i="2"/>
  <c r="V238" i="2" s="1"/>
  <c r="T172" i="2"/>
  <c r="V172" i="2" s="1"/>
  <c r="U145" i="2"/>
  <c r="T29" i="2"/>
  <c r="V29" i="2" s="1"/>
  <c r="U8" i="2"/>
  <c r="T144" i="2"/>
  <c r="V144" i="2" s="1"/>
  <c r="T302" i="2"/>
  <c r="V302" i="2" s="1"/>
  <c r="T221" i="2"/>
  <c r="V221" i="2" s="1"/>
  <c r="U324" i="2"/>
  <c r="U237" i="2"/>
  <c r="U173" i="2"/>
  <c r="T114" i="2"/>
  <c r="V114" i="2" s="1"/>
  <c r="T27" i="2"/>
  <c r="V27" i="2" s="1"/>
  <c r="T155" i="2"/>
  <c r="V155" i="2" s="1"/>
  <c r="U197" i="2"/>
  <c r="T343" i="2"/>
  <c r="V343" i="2" s="1"/>
  <c r="T151" i="2"/>
  <c r="V151" i="2" s="1"/>
  <c r="T189" i="2"/>
  <c r="V189" i="2" s="1"/>
  <c r="U315" i="2"/>
  <c r="T295" i="2"/>
  <c r="V295" i="2" s="1"/>
  <c r="T190" i="2"/>
  <c r="V190" i="2" s="1"/>
  <c r="U321" i="2"/>
  <c r="U163" i="2"/>
  <c r="T188" i="2"/>
  <c r="V188" i="2" s="1"/>
  <c r="T108" i="2"/>
  <c r="V108" i="2" s="1"/>
  <c r="T319" i="2"/>
  <c r="V319" i="2" s="1"/>
  <c r="T19" i="2"/>
  <c r="V19" i="2" s="1"/>
  <c r="T260" i="2"/>
  <c r="V260" i="2" s="1"/>
  <c r="U291" i="2"/>
  <c r="T116" i="2"/>
  <c r="V116" i="2" s="1"/>
  <c r="U106" i="2"/>
  <c r="U79" i="2"/>
  <c r="T279" i="2"/>
  <c r="V279" i="2" s="1"/>
  <c r="U76" i="2"/>
  <c r="U59" i="2"/>
  <c r="U288" i="2"/>
  <c r="T91" i="2"/>
  <c r="V91" i="2" s="1"/>
  <c r="T18" i="2"/>
  <c r="V18" i="2" s="1"/>
  <c r="U287" i="2"/>
  <c r="U58" i="2"/>
  <c r="T204" i="2"/>
  <c r="V204" i="2" s="1"/>
  <c r="T110" i="2"/>
  <c r="V110" i="2" s="1"/>
  <c r="U154" i="2"/>
  <c r="U103" i="2"/>
  <c r="T136" i="2"/>
  <c r="V136" i="2" s="1"/>
  <c r="T251" i="2"/>
  <c r="V251" i="2" s="1"/>
  <c r="U143" i="2"/>
  <c r="U342" i="2"/>
  <c r="U326" i="2"/>
  <c r="U294" i="2"/>
  <c r="U278" i="2"/>
  <c r="U186" i="2"/>
  <c r="U107" i="2"/>
  <c r="U73" i="2"/>
  <c r="U259" i="2"/>
  <c r="U10" i="2"/>
  <c r="U341" i="2"/>
  <c r="T149" i="2"/>
  <c r="V149" i="2" s="1"/>
  <c r="T92" i="2"/>
  <c r="V92" i="2" s="1"/>
  <c r="U23" i="2"/>
  <c r="T148" i="2"/>
  <c r="V148" i="2" s="1"/>
  <c r="U202" i="2"/>
  <c r="T131" i="2"/>
  <c r="V131" i="2" s="1"/>
  <c r="U337" i="2"/>
  <c r="T156" i="2"/>
  <c r="V156" i="2" s="1"/>
  <c r="U256" i="2"/>
  <c r="U250" i="2"/>
  <c r="U336" i="2"/>
  <c r="U85" i="2"/>
  <c r="U335" i="2"/>
  <c r="T152" i="2"/>
  <c r="V152" i="2" s="1"/>
  <c r="T137" i="2"/>
  <c r="V137" i="2" s="1"/>
  <c r="U117" i="2"/>
  <c r="U320" i="2"/>
  <c r="T315" i="2"/>
  <c r="V315" i="2" s="1"/>
  <c r="T79" i="2"/>
  <c r="V79" i="2" s="1"/>
  <c r="U236" i="2"/>
  <c r="T3" i="2"/>
  <c r="V3" i="2" s="1"/>
  <c r="T291" i="2"/>
  <c r="V291" i="2" s="1"/>
  <c r="T124" i="2"/>
  <c r="V124" i="2" s="1"/>
  <c r="T349" i="2"/>
  <c r="V349" i="2" s="1"/>
  <c r="U118" i="2"/>
  <c r="T348" i="2"/>
  <c r="V348" i="2" s="1"/>
  <c r="T317" i="2"/>
  <c r="V317" i="2" s="1"/>
  <c r="T285" i="2"/>
  <c r="V285" i="2" s="1"/>
  <c r="U9" i="2"/>
  <c r="U20" i="2"/>
  <c r="U151" i="2"/>
  <c r="U80" i="2"/>
  <c r="U19" i="2"/>
  <c r="U331" i="2"/>
  <c r="U283" i="2"/>
  <c r="U94" i="2"/>
  <c r="T47" i="2"/>
  <c r="V47" i="2" s="1"/>
  <c r="T332" i="2"/>
  <c r="V332" i="2" s="1"/>
  <c r="T316" i="2"/>
  <c r="V316" i="2" s="1"/>
  <c r="T86" i="2"/>
  <c r="V86" i="2" s="1"/>
  <c r="T130" i="2"/>
  <c r="V130" i="2" s="1"/>
  <c r="U142" i="2"/>
  <c r="U344" i="2"/>
  <c r="U296" i="2"/>
  <c r="U280" i="2"/>
  <c r="U61" i="2"/>
  <c r="U206" i="2"/>
  <c r="U241" i="2"/>
  <c r="U267" i="2"/>
  <c r="U319" i="2"/>
  <c r="U71" i="2"/>
  <c r="U188" i="2"/>
  <c r="T37" i="2"/>
  <c r="V37" i="2" s="1"/>
  <c r="U297" i="2"/>
  <c r="U325" i="2"/>
  <c r="T200" i="2"/>
  <c r="V200" i="2" s="1"/>
  <c r="U193" i="2"/>
  <c r="T281" i="2"/>
  <c r="V281" i="2" s="1"/>
  <c r="U171" i="2"/>
  <c r="T264" i="2"/>
  <c r="V264" i="2" s="1"/>
  <c r="T33" i="2"/>
  <c r="V33" i="2" s="1"/>
  <c r="U140" i="2"/>
  <c r="U310" i="2"/>
  <c r="T339" i="2"/>
  <c r="V339" i="2" s="1"/>
  <c r="T101" i="2"/>
  <c r="V101" i="2" s="1"/>
  <c r="T334" i="2"/>
  <c r="V334" i="2" s="1"/>
  <c r="T270" i="2"/>
  <c r="V270" i="2" s="1"/>
  <c r="T68" i="2"/>
  <c r="V68" i="2" s="1"/>
  <c r="U234" i="2"/>
  <c r="U26" i="2"/>
  <c r="T321" i="2"/>
  <c r="V321" i="2" s="1"/>
  <c r="U25" i="2"/>
  <c r="U190" i="2"/>
  <c r="U303" i="2"/>
  <c r="T150" i="2"/>
  <c r="V150" i="2" s="1"/>
  <c r="T267" i="2"/>
  <c r="V267" i="2" s="1"/>
  <c r="T226" i="2"/>
  <c r="V226" i="2" s="1"/>
  <c r="T345" i="2"/>
  <c r="V345" i="2" s="1"/>
  <c r="T197" i="2"/>
  <c r="V197" i="2" s="1"/>
  <c r="T45" i="2"/>
  <c r="V45" i="2" s="1"/>
  <c r="T4" i="2"/>
  <c r="V4" i="2" s="1"/>
  <c r="U187" i="2"/>
  <c r="T198" i="2"/>
  <c r="V198" i="2" s="1"/>
  <c r="U88" i="2"/>
  <c r="T353" i="2"/>
  <c r="V353" i="2" s="1"/>
  <c r="T191" i="2"/>
  <c r="V191" i="2" s="1"/>
  <c r="T211" i="2"/>
  <c r="V211" i="2" s="1"/>
  <c r="T318" i="2"/>
  <c r="V318" i="2" s="1"/>
  <c r="T246" i="2"/>
  <c r="V246" i="2" s="1"/>
  <c r="T50" i="2"/>
  <c r="V50" i="2" s="1"/>
  <c r="T6" i="2"/>
  <c r="V6" i="2" s="1"/>
  <c r="T333" i="2"/>
  <c r="V333" i="2" s="1"/>
  <c r="T301" i="2"/>
  <c r="V301" i="2" s="1"/>
  <c r="T147" i="2"/>
  <c r="V147" i="2" s="1"/>
  <c r="T185" i="2"/>
  <c r="V185" i="2" s="1"/>
  <c r="U66" i="2"/>
  <c r="U346" i="2"/>
  <c r="U65" i="2"/>
  <c r="U365" i="2"/>
  <c r="T313" i="2"/>
  <c r="V313" i="2" s="1"/>
  <c r="T220" i="2"/>
  <c r="V220" i="2" s="1"/>
  <c r="U29" i="2"/>
  <c r="U309" i="2"/>
  <c r="U258" i="2"/>
  <c r="T357" i="2"/>
  <c r="V357" i="2" s="1"/>
  <c r="U214" i="2"/>
  <c r="U182" i="2"/>
  <c r="U99" i="2"/>
  <c r="T324" i="2"/>
  <c r="V324" i="2" s="1"/>
  <c r="T106" i="2"/>
  <c r="V106" i="2" s="1"/>
  <c r="T38" i="2"/>
  <c r="V38" i="2" s="1"/>
  <c r="T257" i="2"/>
  <c r="V257" i="2" s="1"/>
  <c r="T43" i="2"/>
  <c r="V43" i="2" s="1"/>
  <c r="T8" i="2"/>
  <c r="V8" i="2" s="1"/>
  <c r="U243" i="2"/>
  <c r="U102" i="2"/>
  <c r="T216" i="2"/>
  <c r="V216" i="2" s="1"/>
  <c r="T94" i="2"/>
  <c r="V94" i="2" s="1"/>
  <c r="T102" i="2"/>
  <c r="V102" i="2" s="1"/>
  <c r="U90" i="2"/>
  <c r="U272" i="2"/>
  <c r="U196" i="2"/>
  <c r="U165" i="2"/>
  <c r="T208" i="2"/>
  <c r="V208" i="2" s="1"/>
  <c r="T244" i="2"/>
  <c r="V244" i="2" s="1"/>
  <c r="U212" i="2"/>
  <c r="T83" i="2"/>
  <c r="V83" i="2" s="1"/>
  <c r="U218" i="2"/>
  <c r="U87" i="2"/>
  <c r="U123" i="2"/>
  <c r="U252" i="2"/>
  <c r="U132" i="2"/>
  <c r="T184" i="2"/>
  <c r="V184" i="2" s="1"/>
  <c r="U161" i="2"/>
  <c r="U178" i="2"/>
  <c r="T160" i="2"/>
  <c r="V160" i="2" s="1"/>
  <c r="U158" i="2"/>
  <c r="T196" i="2"/>
  <c r="V196" i="2" s="1"/>
  <c r="T72" i="2"/>
  <c r="V72" i="2" s="1"/>
  <c r="U92" i="2"/>
  <c r="T145" i="2"/>
  <c r="V145" i="2" s="1"/>
  <c r="T292" i="2"/>
  <c r="V292" i="2" s="1"/>
  <c r="U292" i="2"/>
  <c r="T90" i="2"/>
  <c r="V90" i="2" s="1"/>
  <c r="T276" i="2"/>
  <c r="V276" i="2" s="1"/>
  <c r="U276" i="2"/>
  <c r="T78" i="2"/>
  <c r="V78" i="2" s="1"/>
  <c r="U78" i="2"/>
  <c r="T138" i="2"/>
  <c r="V138" i="2" s="1"/>
  <c r="U138" i="2"/>
  <c r="T338" i="2"/>
  <c r="V338" i="2" s="1"/>
  <c r="U338" i="2"/>
  <c r="T322" i="2"/>
  <c r="V322" i="2" s="1"/>
  <c r="U322" i="2"/>
  <c r="T306" i="2"/>
  <c r="V306" i="2" s="1"/>
  <c r="U306" i="2"/>
  <c r="T290" i="2"/>
  <c r="V290" i="2" s="1"/>
  <c r="U290" i="2"/>
  <c r="T274" i="2"/>
  <c r="V274" i="2" s="1"/>
  <c r="U274" i="2"/>
  <c r="T195" i="2"/>
  <c r="V195" i="2" s="1"/>
  <c r="U195" i="2"/>
  <c r="T74" i="2"/>
  <c r="V74" i="2" s="1"/>
  <c r="U74" i="2"/>
  <c r="T75" i="2"/>
  <c r="V75" i="2" s="1"/>
  <c r="U75" i="2"/>
  <c r="T64" i="2"/>
  <c r="V64" i="2" s="1"/>
  <c r="U64" i="2"/>
  <c r="T133" i="2"/>
  <c r="V133" i="2" s="1"/>
  <c r="U133" i="2"/>
  <c r="T203" i="2"/>
  <c r="V203" i="2" s="1"/>
  <c r="U203" i="2"/>
  <c r="T233" i="2"/>
  <c r="V233" i="2" s="1"/>
  <c r="U233" i="2"/>
  <c r="T222" i="2"/>
  <c r="V222" i="2" s="1"/>
  <c r="U222" i="2"/>
  <c r="T159" i="2"/>
  <c r="V159" i="2" s="1"/>
  <c r="U159" i="2"/>
  <c r="T22" i="2"/>
  <c r="V22" i="2" s="1"/>
  <c r="U22" i="2"/>
  <c r="T54" i="2"/>
  <c r="V54" i="2" s="1"/>
  <c r="U54" i="2"/>
  <c r="T168" i="2"/>
  <c r="V168" i="2" s="1"/>
  <c r="U168" i="2"/>
  <c r="U330" i="2"/>
  <c r="T330" i="2"/>
  <c r="V330" i="2" s="1"/>
  <c r="T314" i="2"/>
  <c r="V314" i="2" s="1"/>
  <c r="U314" i="2"/>
  <c r="U298" i="2"/>
  <c r="T298" i="2"/>
  <c r="V298" i="2" s="1"/>
  <c r="T282" i="2"/>
  <c r="V282" i="2" s="1"/>
  <c r="U282" i="2"/>
  <c r="T192" i="2"/>
  <c r="V192" i="2" s="1"/>
  <c r="U192" i="2"/>
  <c r="U111" i="2"/>
  <c r="T111" i="2"/>
  <c r="V111" i="2" s="1"/>
  <c r="U104" i="2"/>
  <c r="T104" i="2"/>
  <c r="V104" i="2" s="1"/>
  <c r="U119" i="2"/>
  <c r="T119" i="2"/>
  <c r="V119" i="2" s="1"/>
  <c r="T207" i="2"/>
  <c r="V207" i="2" s="1"/>
  <c r="U207" i="2"/>
  <c r="U245" i="2"/>
  <c r="T245" i="2"/>
  <c r="V245" i="2" s="1"/>
  <c r="U46" i="2"/>
  <c r="T46" i="2"/>
  <c r="V46" i="2" s="1"/>
  <c r="T30" i="2"/>
  <c r="V30" i="2" s="1"/>
  <c r="U30" i="2"/>
  <c r="U14" i="2"/>
  <c r="T14" i="2"/>
  <c r="V14" i="2" s="1"/>
  <c r="T2" i="2"/>
  <c r="V2" i="2" s="1"/>
  <c r="U2" i="2"/>
  <c r="U180" i="2"/>
  <c r="T180" i="2"/>
  <c r="V180" i="2" s="1"/>
  <c r="T337" i="2"/>
  <c r="V337" i="2" s="1"/>
  <c r="T354" i="2"/>
  <c r="V354" i="2" s="1"/>
  <c r="U354" i="2"/>
  <c r="T153" i="2"/>
  <c r="V153" i="2" s="1"/>
  <c r="U153" i="2"/>
  <c r="T340" i="2"/>
  <c r="V340" i="2" s="1"/>
  <c r="U340" i="2"/>
  <c r="T308" i="2"/>
  <c r="V308" i="2" s="1"/>
  <c r="U308" i="2"/>
  <c r="T194" i="2"/>
  <c r="V194" i="2" s="1"/>
  <c r="U194" i="2"/>
  <c r="U141" i="2"/>
  <c r="T141" i="2"/>
  <c r="V141" i="2" s="1"/>
  <c r="T352" i="2"/>
  <c r="V352" i="2" s="1"/>
  <c r="U352" i="2"/>
  <c r="U305" i="2"/>
  <c r="T305" i="2"/>
  <c r="V305" i="2" s="1"/>
  <c r="T289" i="2"/>
  <c r="V289" i="2" s="1"/>
  <c r="U289" i="2"/>
  <c r="U273" i="2"/>
  <c r="T273" i="2"/>
  <c r="V273" i="2" s="1"/>
  <c r="T179" i="2"/>
  <c r="V179" i="2" s="1"/>
  <c r="U179" i="2"/>
  <c r="T82" i="2"/>
  <c r="V82" i="2" s="1"/>
  <c r="U82" i="2"/>
  <c r="T62" i="2"/>
  <c r="V62" i="2" s="1"/>
  <c r="U62" i="2"/>
  <c r="U95" i="2"/>
  <c r="T95" i="2"/>
  <c r="V95" i="2" s="1"/>
  <c r="T126" i="2"/>
  <c r="V126" i="2" s="1"/>
  <c r="U126" i="2"/>
  <c r="U231" i="2"/>
  <c r="T231" i="2"/>
  <c r="V231" i="2" s="1"/>
  <c r="U210" i="2"/>
  <c r="T210" i="2"/>
  <c r="V210" i="2" s="1"/>
  <c r="U253" i="2"/>
  <c r="T253" i="2"/>
  <c r="V253" i="2" s="1"/>
  <c r="U225" i="2"/>
  <c r="T225" i="2"/>
  <c r="V225" i="2" s="1"/>
  <c r="T36" i="2"/>
  <c r="V36" i="2" s="1"/>
  <c r="U36" i="2"/>
  <c r="U21" i="2"/>
  <c r="T21" i="2"/>
  <c r="V21" i="2" s="1"/>
  <c r="T55" i="2"/>
  <c r="V55" i="2" s="1"/>
  <c r="U55" i="2"/>
  <c r="U167" i="2"/>
  <c r="T167" i="2"/>
  <c r="V167" i="2" s="1"/>
  <c r="T69" i="2"/>
  <c r="V69" i="2" s="1"/>
  <c r="U69" i="2"/>
  <c r="U217" i="2"/>
  <c r="T217" i="2"/>
  <c r="V217" i="2" s="1"/>
  <c r="U277" i="2"/>
  <c r="U97" i="2"/>
  <c r="U57" i="2"/>
  <c r="U248" i="2"/>
  <c r="T336" i="2"/>
  <c r="V336" i="2" s="1"/>
  <c r="T80" i="2"/>
  <c r="V80" i="2" s="1"/>
  <c r="U339" i="2"/>
  <c r="T262" i="2"/>
  <c r="V262" i="2" s="1"/>
  <c r="U262" i="2"/>
  <c r="T24" i="2"/>
  <c r="V24" i="2" s="1"/>
  <c r="U24" i="2"/>
  <c r="T170" i="2"/>
  <c r="V170" i="2" s="1"/>
  <c r="U170" i="2"/>
  <c r="T335" i="2"/>
  <c r="V335" i="2" s="1"/>
  <c r="T288" i="2"/>
  <c r="V288" i="2" s="1"/>
  <c r="T236" i="2"/>
  <c r="V236" i="2" s="1"/>
  <c r="U124" i="2"/>
  <c r="T122" i="2"/>
  <c r="V122" i="2" s="1"/>
  <c r="U122" i="2"/>
  <c r="T240" i="2"/>
  <c r="V240" i="2" s="1"/>
  <c r="U240" i="2"/>
  <c r="T323" i="2"/>
  <c r="V323" i="2" s="1"/>
  <c r="U323" i="2"/>
  <c r="T307" i="2"/>
  <c r="V307" i="2" s="1"/>
  <c r="U307" i="2"/>
  <c r="T275" i="2"/>
  <c r="V275" i="2" s="1"/>
  <c r="U275" i="2"/>
  <c r="T84" i="2"/>
  <c r="V84" i="2" s="1"/>
  <c r="U84" i="2"/>
  <c r="T60" i="2"/>
  <c r="V60" i="2" s="1"/>
  <c r="U60" i="2"/>
  <c r="T228" i="2"/>
  <c r="V228" i="2" s="1"/>
  <c r="U228" i="2"/>
  <c r="T239" i="2"/>
  <c r="V239" i="2" s="1"/>
  <c r="U239" i="2"/>
  <c r="T213" i="2"/>
  <c r="V213" i="2" s="1"/>
  <c r="T176" i="2"/>
  <c r="V176" i="2" s="1"/>
  <c r="T23" i="2"/>
  <c r="V23" i="2" s="1"/>
  <c r="T7" i="2"/>
  <c r="V7" i="2" s="1"/>
  <c r="U7" i="2"/>
  <c r="T169" i="2"/>
  <c r="V169" i="2" s="1"/>
  <c r="U169" i="2"/>
  <c r="T287" i="2"/>
  <c r="V287" i="2" s="1"/>
  <c r="T193" i="2"/>
  <c r="V193" i="2" s="1"/>
  <c r="T20" i="2"/>
  <c r="V20" i="2" s="1"/>
  <c r="T15" i="2"/>
  <c r="V15" i="2" s="1"/>
  <c r="U15" i="2"/>
  <c r="T252" i="2"/>
  <c r="V252" i="2" s="1"/>
  <c r="T58" i="2"/>
  <c r="V58" i="2" s="1"/>
  <c r="U152" i="2"/>
  <c r="U38" i="2"/>
  <c r="U244" i="2"/>
  <c r="U3" i="2"/>
  <c r="U137" i="2"/>
  <c r="U149" i="2"/>
  <c r="U349" i="2"/>
  <c r="U334" i="2"/>
  <c r="U318" i="2"/>
  <c r="U302" i="2"/>
  <c r="U286" i="2"/>
  <c r="U270" i="2"/>
  <c r="U200" i="2"/>
  <c r="U91" i="2"/>
  <c r="U68" i="2"/>
  <c r="U136" i="2"/>
  <c r="U131" i="2"/>
  <c r="U221" i="2"/>
  <c r="U246" i="2"/>
  <c r="U251" i="2"/>
  <c r="U50" i="2"/>
  <c r="U33" i="2"/>
  <c r="U18" i="2"/>
  <c r="U6" i="2"/>
  <c r="U184" i="2"/>
  <c r="U150" i="2"/>
  <c r="U313" i="2"/>
  <c r="U37" i="2"/>
  <c r="U213" i="2"/>
  <c r="U304" i="2"/>
  <c r="T304" i="2"/>
  <c r="V304" i="2" s="1"/>
  <c r="U81" i="2"/>
  <c r="T81" i="2"/>
  <c r="V81" i="2" s="1"/>
  <c r="U247" i="2"/>
  <c r="T247" i="2"/>
  <c r="V247" i="2" s="1"/>
  <c r="U271" i="2"/>
  <c r="T271" i="2"/>
  <c r="V271" i="2" s="1"/>
  <c r="U301" i="2"/>
  <c r="T202" i="2"/>
  <c r="V202" i="2" s="1"/>
  <c r="U350" i="2"/>
  <c r="T350" i="2"/>
  <c r="V350" i="2" s="1"/>
  <c r="U70" i="2"/>
  <c r="T70" i="2"/>
  <c r="V70" i="2" s="1"/>
  <c r="U125" i="2"/>
  <c r="T125" i="2"/>
  <c r="V125" i="2" s="1"/>
  <c r="U359" i="2"/>
  <c r="T359" i="2"/>
  <c r="V359" i="2" s="1"/>
  <c r="U128" i="2"/>
  <c r="T128" i="2"/>
  <c r="V128" i="2" s="1"/>
  <c r="U261" i="2"/>
  <c r="T261" i="2"/>
  <c r="V261" i="2" s="1"/>
  <c r="U181" i="2"/>
  <c r="T181" i="2"/>
  <c r="V181" i="2" s="1"/>
  <c r="U156" i="2"/>
  <c r="U333" i="2"/>
  <c r="U285" i="2"/>
  <c r="U199" i="2"/>
  <c r="U52" i="2"/>
  <c r="U135" i="2"/>
  <c r="U223" i="2"/>
  <c r="U230" i="2"/>
  <c r="U32" i="2"/>
  <c r="U164" i="2"/>
  <c r="U47" i="2"/>
  <c r="U146" i="2"/>
  <c r="T146" i="2"/>
  <c r="V146" i="2" s="1"/>
  <c r="U147" i="2"/>
  <c r="U347" i="2"/>
  <c r="U332" i="2"/>
  <c r="U316" i="2"/>
  <c r="U300" i="2"/>
  <c r="T300" i="2"/>
  <c r="V300" i="2" s="1"/>
  <c r="U284" i="2"/>
  <c r="U268" i="2"/>
  <c r="T268" i="2"/>
  <c r="V268" i="2" s="1"/>
  <c r="U185" i="2"/>
  <c r="U110" i="2"/>
  <c r="U105" i="2"/>
  <c r="T105" i="2"/>
  <c r="V105" i="2" s="1"/>
  <c r="U86" i="2"/>
  <c r="U121" i="2"/>
  <c r="U130" i="2"/>
  <c r="U235" i="2"/>
  <c r="T235" i="2"/>
  <c r="V235" i="2" s="1"/>
  <c r="U215" i="2"/>
  <c r="U232" i="2"/>
  <c r="T232" i="2"/>
  <c r="V232" i="2" s="1"/>
  <c r="U48" i="2"/>
  <c r="U31" i="2"/>
  <c r="U16" i="2"/>
  <c r="U162" i="2"/>
  <c r="T162" i="2"/>
  <c r="V162" i="2" s="1"/>
  <c r="U177" i="2"/>
  <c r="U205" i="2"/>
  <c r="T272" i="2"/>
  <c r="V272" i="2" s="1"/>
  <c r="T256" i="2"/>
  <c r="V256" i="2" s="1"/>
  <c r="T48" i="2"/>
  <c r="V48" i="2" s="1"/>
  <c r="U353" i="2"/>
  <c r="U191" i="2"/>
  <c r="U43" i="2"/>
  <c r="T347" i="2"/>
  <c r="V347" i="2" s="1"/>
  <c r="T121" i="2"/>
  <c r="V121" i="2" s="1"/>
  <c r="U176" i="2"/>
  <c r="T346" i="2"/>
  <c r="V346" i="2" s="1"/>
  <c r="T85" i="2"/>
  <c r="V85" i="2" s="1"/>
  <c r="U257" i="2"/>
  <c r="U351" i="2"/>
  <c r="T351" i="2"/>
  <c r="V351" i="2" s="1"/>
  <c r="U348" i="2"/>
  <c r="U293" i="2"/>
  <c r="U63" i="2"/>
  <c r="T63" i="2"/>
  <c r="V63" i="2" s="1"/>
  <c r="U35" i="2"/>
  <c r="T35" i="2"/>
  <c r="V35" i="2" s="1"/>
  <c r="U166" i="2"/>
  <c r="T166" i="2"/>
  <c r="V166" i="2" s="1"/>
  <c r="T59" i="2"/>
  <c r="V59" i="2" s="1"/>
  <c r="U139" i="2"/>
  <c r="T139" i="2"/>
  <c r="V139" i="2" s="1"/>
  <c r="U34" i="2"/>
  <c r="T34" i="2"/>
  <c r="V34" i="2" s="1"/>
  <c r="U299" i="2"/>
  <c r="T299" i="2"/>
  <c r="V299" i="2" s="1"/>
  <c r="U148" i="2"/>
  <c r="U317" i="2"/>
  <c r="U269" i="2"/>
  <c r="U113" i="2"/>
  <c r="U98" i="2"/>
  <c r="U127" i="2"/>
  <c r="U255" i="2"/>
  <c r="U49" i="2"/>
  <c r="U17" i="2"/>
  <c r="U5" i="2"/>
  <c r="T87" i="2"/>
  <c r="V87" i="2" s="1"/>
  <c r="U155" i="2"/>
  <c r="U329" i="2"/>
  <c r="T329" i="2"/>
  <c r="V329" i="2" s="1"/>
  <c r="T297" i="2"/>
  <c r="V297" i="2" s="1"/>
  <c r="U281" i="2"/>
  <c r="U116" i="2"/>
  <c r="U96" i="2"/>
  <c r="T96" i="2"/>
  <c r="V96" i="2" s="1"/>
  <c r="U120" i="2"/>
  <c r="T120" i="2"/>
  <c r="V120" i="2" s="1"/>
  <c r="T237" i="2"/>
  <c r="V237" i="2" s="1"/>
  <c r="U216" i="2"/>
  <c r="U45" i="2"/>
  <c r="U13" i="2"/>
  <c r="T13" i="2"/>
  <c r="V13" i="2" s="1"/>
  <c r="T161" i="2"/>
  <c r="V161" i="2" s="1"/>
  <c r="U229" i="2"/>
  <c r="T66" i="2"/>
  <c r="V66" i="2" s="1"/>
  <c r="T123" i="2"/>
  <c r="V123" i="2" s="1"/>
  <c r="T215" i="2"/>
  <c r="V215" i="2" s="1"/>
  <c r="U345" i="2"/>
  <c r="U101" i="2"/>
  <c r="U211" i="2"/>
  <c r="U263" i="2"/>
  <c r="T303" i="2"/>
  <c r="V303" i="2" s="1"/>
  <c r="T132" i="2"/>
  <c r="V132" i="2" s="1"/>
  <c r="T31" i="2"/>
  <c r="V31" i="2" s="1"/>
  <c r="T165" i="2"/>
  <c r="V165" i="2" s="1"/>
  <c r="U83" i="2"/>
  <c r="T358" i="2"/>
  <c r="V358" i="2" s="1"/>
  <c r="T328" i="2"/>
  <c r="V328" i="2" s="1"/>
  <c r="T296" i="2"/>
  <c r="V296" i="2" s="1"/>
  <c r="T115" i="2"/>
  <c r="V115" i="2" s="1"/>
  <c r="T61" i="2"/>
  <c r="V61" i="2" s="1"/>
  <c r="T263" i="2"/>
  <c r="V263" i="2" s="1"/>
  <c r="T205" i="2"/>
  <c r="V205" i="2" s="1"/>
  <c r="T51" i="2"/>
  <c r="V51" i="2" s="1"/>
  <c r="T364" i="2"/>
  <c r="V364" i="2" s="1"/>
  <c r="T178" i="2"/>
  <c r="V178" i="2" s="1"/>
  <c r="U115" i="2"/>
  <c r="T142" i="2"/>
  <c r="V142" i="2" s="1"/>
  <c r="T344" i="2"/>
  <c r="V344" i="2" s="1"/>
  <c r="T312" i="2"/>
  <c r="V312" i="2" s="1"/>
  <c r="T280" i="2"/>
  <c r="V280" i="2" s="1"/>
  <c r="T177" i="2"/>
  <c r="V177" i="2" s="1"/>
  <c r="T76" i="2"/>
  <c r="V76" i="2" s="1"/>
  <c r="T100" i="2"/>
  <c r="V100" i="2" s="1"/>
  <c r="T129" i="2"/>
  <c r="V129" i="2" s="1"/>
  <c r="T206" i="2"/>
  <c r="V206" i="2" s="1"/>
  <c r="T241" i="2"/>
  <c r="V241" i="2" s="1"/>
  <c r="T28" i="2"/>
  <c r="V28" i="2" s="1"/>
  <c r="T173" i="2"/>
  <c r="V173" i="2" s="1"/>
  <c r="U144" i="2"/>
  <c r="U357" i="2"/>
  <c r="U343" i="2"/>
  <c r="U327" i="2"/>
  <c r="U311" i="2"/>
  <c r="U295" i="2"/>
  <c r="U279" i="2"/>
  <c r="U189" i="2"/>
  <c r="U114" i="2"/>
  <c r="U108" i="2"/>
  <c r="U67" i="2"/>
  <c r="U72" i="2"/>
  <c r="U134" i="2"/>
  <c r="U260" i="2"/>
  <c r="U238" i="2"/>
  <c r="U208" i="2"/>
  <c r="U198" i="2"/>
  <c r="U27" i="2"/>
  <c r="U11" i="2"/>
  <c r="U172" i="2"/>
  <c r="U160" i="2"/>
  <c r="T67" i="2"/>
  <c r="V67" i="2" s="1"/>
  <c r="U358" i="2"/>
  <c r="U51" i="2"/>
  <c r="T356" i="2"/>
  <c r="V356" i="2" s="1"/>
  <c r="T326" i="2"/>
  <c r="V326" i="2" s="1"/>
  <c r="T294" i="2"/>
  <c r="V294" i="2" s="1"/>
  <c r="T186" i="2"/>
  <c r="V186" i="2" s="1"/>
  <c r="T107" i="2"/>
  <c r="V107" i="2" s="1"/>
  <c r="T118" i="2"/>
  <c r="V118" i="2" s="1"/>
  <c r="T259" i="2"/>
  <c r="V259" i="2" s="1"/>
  <c r="T212" i="2"/>
  <c r="V212" i="2" s="1"/>
  <c r="T26" i="2"/>
  <c r="V26" i="2" s="1"/>
  <c r="T99" i="2"/>
  <c r="V99" i="2" s="1"/>
  <c r="T327" i="2"/>
  <c r="V327" i="2" s="1"/>
  <c r="T11" i="2"/>
  <c r="V11" i="2" s="1"/>
  <c r="U356" i="2"/>
  <c r="U100" i="2"/>
  <c r="T143" i="2"/>
  <c r="V143" i="2" s="1"/>
  <c r="T342" i="2"/>
  <c r="V342" i="2" s="1"/>
  <c r="T310" i="2"/>
  <c r="V310" i="2" s="1"/>
  <c r="T278" i="2"/>
  <c r="V278" i="2" s="1"/>
  <c r="T88" i="2"/>
  <c r="V88" i="2" s="1"/>
  <c r="T53" i="2"/>
  <c r="V53" i="2" s="1"/>
  <c r="T73" i="2"/>
  <c r="V73" i="2" s="1"/>
  <c r="T234" i="2"/>
  <c r="V234" i="2" s="1"/>
  <c r="T214" i="2"/>
  <c r="V214" i="2" s="1"/>
  <c r="T182" i="2"/>
  <c r="V182" i="2" s="1"/>
  <c r="T10" i="2"/>
  <c r="V10" i="2" s="1"/>
  <c r="T158" i="2"/>
  <c r="V158" i="2" s="1"/>
  <c r="T154" i="2"/>
  <c r="V154" i="2" s="1"/>
  <c r="T355" i="2"/>
  <c r="V355" i="2" s="1"/>
  <c r="T341" i="2"/>
  <c r="V341" i="2" s="1"/>
  <c r="T325" i="2"/>
  <c r="V325" i="2" s="1"/>
  <c r="T309" i="2"/>
  <c r="V309" i="2" s="1"/>
  <c r="T293" i="2"/>
  <c r="V293" i="2" s="1"/>
  <c r="T277" i="2"/>
  <c r="V277" i="2" s="1"/>
  <c r="T187" i="2"/>
  <c r="V187" i="2" s="1"/>
  <c r="T97" i="2"/>
  <c r="V97" i="2" s="1"/>
  <c r="T71" i="2"/>
  <c r="V71" i="2" s="1"/>
  <c r="T103" i="2"/>
  <c r="V103" i="2" s="1"/>
  <c r="T57" i="2"/>
  <c r="V57" i="2" s="1"/>
  <c r="T117" i="2"/>
  <c r="V117" i="2" s="1"/>
  <c r="T229" i="2"/>
  <c r="V229" i="2" s="1"/>
  <c r="T258" i="2"/>
  <c r="V258" i="2" s="1"/>
  <c r="T248" i="2"/>
  <c r="V248" i="2" s="1"/>
  <c r="T218" i="2"/>
  <c r="V218" i="2" s="1"/>
  <c r="T183" i="2"/>
  <c r="V183" i="2" s="1"/>
  <c r="T25" i="2"/>
  <c r="V25" i="2" s="1"/>
  <c r="T9" i="2"/>
  <c r="V9" i="2" s="1"/>
  <c r="T171" i="2"/>
  <c r="V171" i="2" s="1"/>
  <c r="T134" i="2"/>
  <c r="V134" i="2" s="1"/>
  <c r="U355" i="2"/>
  <c r="U328" i="2"/>
  <c r="U53" i="2"/>
  <c r="U183" i="2"/>
  <c r="U364" i="2"/>
  <c r="T269" i="2"/>
  <c r="V269" i="2" s="1"/>
  <c r="T199" i="2"/>
  <c r="V199" i="2" s="1"/>
  <c r="T113" i="2"/>
  <c r="V113" i="2" s="1"/>
  <c r="T52" i="2"/>
  <c r="V52" i="2" s="1"/>
  <c r="T98" i="2"/>
  <c r="V98" i="2" s="1"/>
  <c r="T135" i="2"/>
  <c r="V135" i="2" s="1"/>
  <c r="T127" i="2"/>
  <c r="V127" i="2" s="1"/>
  <c r="T223" i="2"/>
  <c r="V223" i="2" s="1"/>
  <c r="T255" i="2"/>
  <c r="V255" i="2" s="1"/>
  <c r="T230" i="2"/>
  <c r="V230" i="2" s="1"/>
  <c r="T49" i="2"/>
  <c r="V49" i="2" s="1"/>
  <c r="T32" i="2"/>
  <c r="V32" i="2" s="1"/>
  <c r="T17" i="2"/>
  <c r="V17" i="2" s="1"/>
  <c r="T5" i="2"/>
  <c r="V5" i="2" s="1"/>
  <c r="T164" i="2"/>
  <c r="V164" i="2" s="1"/>
  <c r="U174" i="2"/>
  <c r="T174" i="2"/>
  <c r="V174" i="2" s="1"/>
  <c r="I24" i="4" l="1"/>
  <c r="E10" i="10"/>
  <c r="E11" i="10" s="1"/>
  <c r="A4" i="7" a="1"/>
  <c r="A4" i="7" s="1"/>
  <c r="B4" i="5" a="1"/>
  <c r="B4" i="5" s="1"/>
  <c r="D10" i="10"/>
  <c r="D11" i="10" s="1"/>
  <c r="I30" i="4"/>
  <c r="I48" i="4"/>
  <c r="I18" i="4"/>
  <c r="I25" i="4"/>
  <c r="I41" i="4"/>
  <c r="I8" i="4"/>
  <c r="I32" i="4"/>
  <c r="I4" i="4"/>
  <c r="I26" i="4"/>
  <c r="I35" i="4"/>
  <c r="I45" i="4"/>
  <c r="I16" i="4"/>
  <c r="I10" i="4"/>
  <c r="I33" i="4"/>
  <c r="I29" i="4"/>
  <c r="I23" i="4"/>
  <c r="I15" i="4"/>
  <c r="I36" i="4"/>
  <c r="I2" i="4"/>
  <c r="I44" i="4"/>
  <c r="I39" i="4"/>
  <c r="I42" i="4"/>
  <c r="I19" i="4"/>
  <c r="I40" i="4"/>
  <c r="I12" i="4"/>
  <c r="I3" i="4"/>
  <c r="I21" i="4"/>
  <c r="I13" i="4"/>
  <c r="I7" i="4"/>
  <c r="I9" i="4"/>
  <c r="I46" i="4"/>
  <c r="I5" i="4"/>
  <c r="I31" i="4"/>
  <c r="I27" i="4"/>
  <c r="I17" i="4"/>
  <c r="I14" i="4"/>
  <c r="I11" i="4"/>
  <c r="I34" i="4"/>
  <c r="I37" i="4"/>
  <c r="I47" i="4"/>
  <c r="I6" i="4"/>
  <c r="I22" i="4"/>
  <c r="I38" i="4"/>
  <c r="I43" i="4"/>
  <c r="I28" i="4"/>
  <c r="I20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<sst xmlns="http://schemas.openxmlformats.org/spreadsheetml/2006/main" count="5424" uniqueCount="1305">
  <si>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</si>
  <si>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</si>
  <si>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</si>
  <si>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</si>
  <si>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</si>
  <si>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</si>
  <si>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</si>
  <si>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</si>
  <si>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</si>
  <si>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</si>
  <si>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</si>
  <si>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</si>
  <si>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</si>
  <si>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</si>
  <si>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</si>
  <si>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</si>
  <si>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</si>
  <si>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</si>
  <si>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</si>
  <si>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</si>
  <si>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</si>
  <si>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</si>
  <si>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</si>
  <si>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</si>
  <si>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</si>
  <si>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</si>
  <si>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</si>
  <si>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</si>
  <si>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</si>
  <si>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</si>
  <si>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</si>
  <si>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</si>
  <si>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</si>
  <si>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</si>
  <si>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</si>
  <si>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</si>
  <si>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</si>
  <si>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</si>
  <si>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</si>
  <si>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</si>
  <si>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</si>
  <si>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</si>
  <si>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</si>
  <si>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</si>
  <si>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</si>
  <si>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</si>
  <si>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</si>
  <si>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</si>
  <si>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</si>
  <si>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</si>
  <si>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</si>
  <si>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</si>
  <si>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</si>
  <si>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</si>
  <si>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</si>
  <si>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</si>
  <si>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</si>
  <si>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</si>
  <si>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</si>
  <si>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</si>
  <si>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</si>
  <si>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</si>
  <si>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</si>
  <si>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</si>
  <si>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</si>
  <si>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</si>
  <si>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</si>
  <si>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</si>
  <si>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</si>
  <si>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</si>
  <si>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</si>
  <si>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</si>
  <si>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</si>
  <si>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</si>
  <si>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</si>
  <si>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</si>
  <si>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</si>
  <si>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</si>
  <si>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</si>
  <si>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</si>
  <si>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</si>
  <si>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</si>
  <si>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</si>
  <si>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</si>
  <si>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</si>
  <si>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</si>
  <si>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</si>
  <si>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</si>
  <si>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</si>
  <si>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</si>
  <si>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</si>
  <si>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</si>
  <si>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</si>
  <si>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</si>
  <si>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</si>
  <si>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</si>
  <si>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</si>
  <si>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</si>
  <si>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</si>
  <si>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</si>
  <si>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</si>
  <si>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</si>
  <si>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</si>
  <si>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</si>
  <si>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</si>
  <si>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</si>
  <si>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</si>
  <si>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</si>
  <si>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</si>
  <si>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</si>
  <si>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</si>
  <si>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</si>
  <si>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</si>
  <si>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</si>
  <si>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</si>
  <si>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</si>
  <si>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</si>
  <si>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</si>
  <si>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</si>
  <si>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</si>
  <si>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</si>
  <si>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</si>
  <si>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</si>
  <si>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</si>
  <si>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</si>
  <si>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</si>
  <si>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</si>
  <si>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</si>
  <si>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</si>
  <si>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</si>
  <si>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</si>
  <si>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</si>
  <si>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</si>
  <si>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</si>
  <si>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</si>
  <si>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</si>
  <si>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</si>
  <si>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</si>
  <si>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</si>
  <si>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</si>
  <si>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</si>
  <si>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</si>
  <si>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</si>
  <si>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</si>
  <si>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</si>
  <si>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</si>
  <si>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</si>
  <si>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</si>
  <si>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</si>
  <si>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</si>
  <si>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</si>
  <si>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</si>
  <si>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</si>
  <si>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</si>
  <si>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</si>
  <si>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</si>
  <si>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</si>
  <si>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</si>
  <si>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</si>
  <si>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</si>
  <si>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</si>
  <si>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</si>
  <si>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</si>
  <si>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</si>
  <si>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</si>
  <si>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</si>
  <si>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</si>
  <si>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</si>
  <si>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</si>
  <si>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</si>
  <si>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</si>
  <si>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</si>
  <si>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</si>
  <si>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</si>
  <si>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</si>
  <si>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</si>
  <si>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</si>
  <si>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</si>
  <si>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</si>
  <si>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</si>
  <si>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</si>
  <si>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</si>
  <si>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</si>
  <si>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</si>
  <si>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</si>
  <si>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</si>
  <si>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</si>
  <si>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</si>
  <si>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</si>
  <si>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</si>
  <si>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</si>
  <si>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</si>
  <si>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</si>
  <si>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</si>
  <si>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</si>
  <si>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</si>
  <si>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</si>
  <si>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</si>
  <si>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</si>
  <si>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</si>
  <si>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</si>
  <si>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</si>
  <si>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</si>
  <si>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</si>
  <si>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</si>
  <si>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</si>
  <si>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</si>
  <si>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</si>
  <si>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</si>
  <si>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</si>
  <si>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</si>
  <si>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</si>
  <si>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</si>
  <si>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</si>
  <si>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</si>
  <si>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</si>
  <si>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</si>
  <si>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</si>
  <si>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</si>
  <si>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</si>
  <si>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</si>
  <si>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</si>
  <si>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</si>
  <si>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</si>
  <si>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</si>
  <si>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</si>
  <si>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</si>
  <si>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</si>
  <si>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</si>
  <si>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</si>
  <si>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</si>
  <si>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</si>
  <si>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</si>
  <si>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</si>
  <si>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</si>
  <si>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</si>
  <si>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</si>
  <si>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</si>
  <si>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</si>
  <si>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</si>
  <si>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</si>
  <si>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</si>
  <si>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</si>
  <si>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</si>
  <si>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</si>
  <si>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</si>
  <si>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</si>
  <si>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</si>
  <si>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</si>
  <si>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</si>
  <si>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</si>
  <si>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</si>
  <si>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</si>
  <si>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</si>
  <si>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</si>
  <si>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</si>
  <si>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</si>
  <si>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</si>
  <si>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</si>
  <si>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</si>
  <si>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</si>
  <si>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</si>
  <si>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</si>
  <si>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</si>
  <si>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</si>
  <si>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</si>
  <si>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</si>
  <si>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</si>
  <si>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</si>
  <si>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</si>
  <si>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</si>
  <si>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</si>
  <si>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</si>
  <si>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</si>
  <si>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</si>
  <si>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</si>
  <si>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</si>
  <si>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</si>
  <si>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</si>
  <si>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</si>
  <si>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</si>
  <si>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</si>
  <si>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</si>
  <si>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</si>
  <si>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</si>
  <si>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</si>
  <si>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</si>
  <si>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</si>
  <si>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</si>
  <si>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</si>
  <si>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</si>
  <si>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</si>
  <si>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</si>
  <si>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</si>
  <si>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</si>
  <si>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</si>
  <si>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</si>
  <si>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</si>
  <si>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</si>
  <si>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</si>
  <si>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</si>
  <si>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</si>
  <si>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</si>
  <si>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</si>
  <si>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</si>
  <si>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</si>
  <si>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</si>
  <si>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</si>
  <si>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</si>
  <si>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</si>
  <si>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</si>
  <si>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</si>
  <si>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</si>
  <si>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</si>
  <si>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</si>
  <si>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</si>
  <si>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</si>
  <si>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</si>
  <si>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</si>
  <si>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</si>
  <si>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</si>
  <si>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</si>
  <si>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</si>
  <si>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</si>
  <si>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</si>
  <si>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</si>
  <si>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</si>
  <si>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</si>
  <si>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</si>
  <si>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</si>
  <si>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</si>
  <si>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</si>
  <si>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</si>
  <si>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</si>
  <si>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</si>
  <si>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</si>
  <si>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</si>
  <si>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</si>
  <si>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</si>
  <si>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</si>
  <si>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</si>
  <si>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</si>
  <si>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</si>
  <si>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</si>
  <si>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</si>
  <si>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</si>
  <si>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</si>
  <si>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</si>
  <si>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</si>
  <si>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</si>
  <si>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</si>
  <si>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</si>
  <si>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</si>
  <si>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</si>
  <si>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</si>
  <si>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</si>
  <si>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</si>
  <si>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</si>
  <si>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</si>
  <si>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</si>
  <si>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</si>
  <si>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</si>
  <si>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</si>
  <si>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</si>
  <si>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</si>
  <si>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</si>
  <si>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</si>
  <si>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</si>
  <si>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</si>
  <si>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</si>
  <si>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</si>
  <si>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</si>
  <si>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</si>
  <si>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</si>
  <si>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</si>
  <si>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</si>
  <si>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</si>
  <si>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</si>
  <si>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</si>
  <si>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</si>
  <si>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</si>
  <si>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</si>
  <si>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</si>
  <si>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</si>
  <si>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</si>
  <si>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</si>
  <si>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</si>
  <si>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</si>
  <si>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</si>
  <si>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</si>
  <si>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</si>
  <si>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</si>
  <si>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</si>
  <si>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</si>
  <si>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</si>
  <si>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</si>
  <si>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</si>
  <si>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</si>
  <si>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</si>
  <si>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</si>
  <si>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</si>
  <si>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</si>
  <si>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</si>
  <si>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</si>
  <si>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</si>
  <si>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</si>
  <si>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</si>
  <si>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</si>
  <si>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</si>
  <si>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</si>
  <si>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</si>
  <si>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</si>
  <si>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</si>
  <si>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</si>
  <si>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</si>
  <si>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</si>
  <si>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</si>
  <si>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</si>
  <si>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</si>
  <si>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Noah Phillips</t>
  </si>
  <si>
    <t>Status</t>
  </si>
  <si>
    <t>Active</t>
  </si>
  <si>
    <t>Dropped</t>
  </si>
  <si>
    <t>Added Late</t>
  </si>
  <si>
    <t>Attendance</t>
  </si>
  <si>
    <t>new plate</t>
  </si>
  <si>
    <t>Jacob Hudec</t>
  </si>
  <si>
    <t>Finn Graeden</t>
  </si>
  <si>
    <t>was initially Bant, should be Juv, need plate back</t>
  </si>
  <si>
    <t>ys</t>
  </si>
  <si>
    <t>Koji Irvine</t>
  </si>
  <si>
    <t>plate given to Noah</t>
  </si>
  <si>
    <t>Not racing anymore</t>
  </si>
  <si>
    <t>Removed</t>
  </si>
  <si>
    <t>not racing</t>
  </si>
  <si>
    <t>plate given to Miles</t>
  </si>
  <si>
    <t>Miles Deely</t>
  </si>
  <si>
    <t>duplicate</t>
  </si>
  <si>
    <t>added late</t>
  </si>
  <si>
    <t>Brendan Hutchinson</t>
  </si>
  <si>
    <t>Oren Purdy</t>
  </si>
  <si>
    <t>Martin Cernicka</t>
  </si>
  <si>
    <t>added R2</t>
  </si>
  <si>
    <t>Yousef Alwakees</t>
  </si>
  <si>
    <t>Tylor Way</t>
  </si>
  <si>
    <t>Hailey Bikerton</t>
  </si>
  <si>
    <t>dnf</t>
  </si>
  <si>
    <t>dns</t>
  </si>
  <si>
    <t>chip_list</t>
  </si>
  <si>
    <t>Laith</t>
  </si>
  <si>
    <t>Rifaat</t>
  </si>
  <si>
    <t>Dylan</t>
  </si>
  <si>
    <t>MacDondald</t>
  </si>
  <si>
    <t>Max</t>
  </si>
  <si>
    <t>Remfry</t>
  </si>
  <si>
    <t>Ronin</t>
  </si>
  <si>
    <t>Stewart</t>
  </si>
  <si>
    <t>Oren</t>
  </si>
  <si>
    <t>Purdy</t>
  </si>
  <si>
    <t>Liam</t>
  </si>
  <si>
    <t>Mistal</t>
  </si>
  <si>
    <t>Noah</t>
  </si>
  <si>
    <t>Cullingworth</t>
  </si>
  <si>
    <t>Nathan</t>
  </si>
  <si>
    <t>Muller</t>
  </si>
  <si>
    <t>Eliot</t>
  </si>
  <si>
    <t>Simmons</t>
  </si>
  <si>
    <t>Leaver</t>
  </si>
  <si>
    <t>Emanuel</t>
  </si>
  <si>
    <t>Arreaga</t>
  </si>
  <si>
    <t>Ethan</t>
  </si>
  <si>
    <t>Bookbinder</t>
  </si>
  <si>
    <t>Callum</t>
  </si>
  <si>
    <t>Brown</t>
  </si>
  <si>
    <t>Gavin</t>
  </si>
  <si>
    <t>Hardy</t>
  </si>
  <si>
    <t>James</t>
  </si>
  <si>
    <t>Harris</t>
  </si>
  <si>
    <t>Oliver</t>
  </si>
  <si>
    <t>Silcock</t>
  </si>
  <si>
    <t>Benjamin</t>
  </si>
  <si>
    <t>Hill</t>
  </si>
  <si>
    <t>Cleo</t>
  </si>
  <si>
    <t>Isabelle</t>
  </si>
  <si>
    <t>Lauryn</t>
  </si>
  <si>
    <t>Megens</t>
  </si>
  <si>
    <t>Annelise</t>
  </si>
  <si>
    <t>Cliburn</t>
  </si>
  <si>
    <t>Sophia</t>
  </si>
  <si>
    <t>Judson</t>
  </si>
  <si>
    <t>Reedman</t>
  </si>
  <si>
    <t>Toby</t>
  </si>
  <si>
    <t>Stromer</t>
  </si>
  <si>
    <t>Keaton</t>
  </si>
  <si>
    <t>Swystun</t>
  </si>
  <si>
    <t>Nolan</t>
  </si>
  <si>
    <t>Mckinney</t>
  </si>
  <si>
    <t>Matthew</t>
  </si>
  <si>
    <t>Crockford</t>
  </si>
  <si>
    <t>Harrison</t>
  </si>
  <si>
    <t>Watson</t>
  </si>
  <si>
    <t>Daniel</t>
  </si>
  <si>
    <t>Munroe</t>
  </si>
  <si>
    <t>Miles</t>
  </si>
  <si>
    <t>Trenouth</t>
  </si>
  <si>
    <t>Ben</t>
  </si>
  <si>
    <t>Hall</t>
  </si>
  <si>
    <t>Beatrix</t>
  </si>
  <si>
    <t>Reilly</t>
  </si>
  <si>
    <t>Amelie</t>
  </si>
  <si>
    <t>Rubio</t>
  </si>
  <si>
    <t>Macey</t>
  </si>
  <si>
    <t>Hawkshaw</t>
  </si>
  <si>
    <t>Markus</t>
  </si>
  <si>
    <t>Leung</t>
  </si>
  <si>
    <t>Satoru</t>
  </si>
  <si>
    <t>Yamaguchi</t>
  </si>
  <si>
    <t>Ruben</t>
  </si>
  <si>
    <t>Wright</t>
  </si>
  <si>
    <t>Kai</t>
  </si>
  <si>
    <t>Nunes</t>
  </si>
  <si>
    <t>Hyunseo</t>
  </si>
  <si>
    <t>Ryu</t>
  </si>
  <si>
    <t>Leif</t>
  </si>
  <si>
    <t>Montgomery</t>
  </si>
  <si>
    <t>Christian</t>
  </si>
  <si>
    <t>Lilley</t>
  </si>
  <si>
    <t>Isaac</t>
  </si>
  <si>
    <t>Flegal</t>
  </si>
  <si>
    <t>Amirali</t>
  </si>
  <si>
    <t>Karimian</t>
  </si>
  <si>
    <t>NO</t>
  </si>
  <si>
    <t>Theo</t>
  </si>
  <si>
    <t>Zaleski</t>
  </si>
  <si>
    <t>Sacha</t>
  </si>
  <si>
    <t>Strajt-Bornik</t>
  </si>
  <si>
    <t>Vivienne</t>
  </si>
  <si>
    <t>Vroom</t>
  </si>
  <si>
    <t>Agness</t>
  </si>
  <si>
    <t>Friesen</t>
  </si>
  <si>
    <t>Guy</t>
  </si>
  <si>
    <t>Shalev</t>
  </si>
  <si>
    <t>Aiden</t>
  </si>
  <si>
    <t>Bucci</t>
  </si>
  <si>
    <t>Jaiden</t>
  </si>
  <si>
    <t>England</t>
  </si>
  <si>
    <t>Blay</t>
  </si>
  <si>
    <t>Byron</t>
  </si>
  <si>
    <t>Finlay</t>
  </si>
  <si>
    <t>Platon</t>
  </si>
  <si>
    <t>Yaremych</t>
  </si>
  <si>
    <t>Carter</t>
  </si>
  <si>
    <t>Henry</t>
  </si>
  <si>
    <t>Sparrow</t>
  </si>
  <si>
    <t>Taylor</t>
  </si>
  <si>
    <t>Duess</t>
  </si>
  <si>
    <t>Harry</t>
  </si>
  <si>
    <t>Austin</t>
  </si>
  <si>
    <t>Bandic</t>
  </si>
  <si>
    <t>Yara</t>
  </si>
  <si>
    <t>Massimo</t>
  </si>
  <si>
    <t>Rossiello</t>
  </si>
  <si>
    <t>Tristan</t>
  </si>
  <si>
    <t>Ng</t>
  </si>
  <si>
    <t>Will</t>
  </si>
  <si>
    <t>Burkett</t>
  </si>
  <si>
    <t>Caige</t>
  </si>
  <si>
    <t>Udagawa</t>
  </si>
  <si>
    <t>Jayin</t>
  </si>
  <si>
    <t>Charan</t>
  </si>
  <si>
    <t>Sabina</t>
  </si>
  <si>
    <t>Micah</t>
  </si>
  <si>
    <t>Widjaya</t>
  </si>
  <si>
    <t>Kwong</t>
  </si>
  <si>
    <t>Bryce</t>
  </si>
  <si>
    <t>Weatherly</t>
  </si>
  <si>
    <t>Lucas</t>
  </si>
  <si>
    <t>Allen</t>
  </si>
  <si>
    <t>Marcelo</t>
  </si>
  <si>
    <t>Maldifassi</t>
  </si>
  <si>
    <t>Logan</t>
  </si>
  <si>
    <t>Weiss-Podolski</t>
  </si>
  <si>
    <t>Luke</t>
  </si>
  <si>
    <t>Mackie</t>
  </si>
  <si>
    <t>Jonah</t>
  </si>
  <si>
    <t>Rickard</t>
  </si>
  <si>
    <t>Oscar</t>
  </si>
  <si>
    <t>Tschan</t>
  </si>
  <si>
    <t>Trent</t>
  </si>
  <si>
    <t>McGrenera</t>
  </si>
  <si>
    <t>Nate</t>
  </si>
  <si>
    <t>Morse</t>
  </si>
  <si>
    <t>Eden</t>
  </si>
  <si>
    <t>Golan</t>
  </si>
  <si>
    <t>Jake</t>
  </si>
  <si>
    <t>Brackenbury</t>
  </si>
  <si>
    <t>Pinfold</t>
  </si>
  <si>
    <t>Sophie</t>
  </si>
  <si>
    <t>Schiman</t>
  </si>
  <si>
    <t>Jasmine</t>
  </si>
  <si>
    <t>Macpherson</t>
  </si>
  <si>
    <t>Zoe</t>
  </si>
  <si>
    <t>Steen</t>
  </si>
  <si>
    <t>Claire</t>
  </si>
  <si>
    <t>Dickie</t>
  </si>
  <si>
    <t>Jack</t>
  </si>
  <si>
    <t>Walton</t>
  </si>
  <si>
    <t>Magnessun</t>
  </si>
  <si>
    <t>Jacob</t>
  </si>
  <si>
    <t>Hudec</t>
  </si>
  <si>
    <t>Alexander</t>
  </si>
  <si>
    <t>Moran</t>
  </si>
  <si>
    <t>Quentin</t>
  </si>
  <si>
    <t>Bayle</t>
  </si>
  <si>
    <t>Jones</t>
  </si>
  <si>
    <t>Cole</t>
  </si>
  <si>
    <t>Paul</t>
  </si>
  <si>
    <t>Andrew</t>
  </si>
  <si>
    <t>Simpson</t>
  </si>
  <si>
    <t>J1</t>
  </si>
  <si>
    <t>J2</t>
  </si>
  <si>
    <t>Ella</t>
  </si>
  <si>
    <t>J3</t>
  </si>
  <si>
    <t>J4</t>
  </si>
  <si>
    <t>Rafe</t>
  </si>
  <si>
    <t>Hudson</t>
  </si>
  <si>
    <t>J5</t>
  </si>
  <si>
    <t>Hunter</t>
  </si>
  <si>
    <t>Hodge</t>
  </si>
  <si>
    <t>J6</t>
  </si>
  <si>
    <t>Bruckner</t>
  </si>
  <si>
    <t>Norman-Thiessen</t>
  </si>
  <si>
    <t>J7</t>
  </si>
  <si>
    <t>Stellan</t>
  </si>
  <si>
    <t>Ortved</t>
  </si>
  <si>
    <t>J8</t>
  </si>
  <si>
    <t>John</t>
  </si>
  <si>
    <t>Suda</t>
  </si>
  <si>
    <t>J9</t>
  </si>
  <si>
    <t>Maddy</t>
  </si>
  <si>
    <t>White</t>
  </si>
  <si>
    <t>J10</t>
  </si>
  <si>
    <t>Beckett</t>
  </si>
  <si>
    <t>Jiminez</t>
  </si>
  <si>
    <t>J11</t>
  </si>
  <si>
    <t>Burt</t>
  </si>
  <si>
    <t>J12</t>
  </si>
  <si>
    <t>Slater</t>
  </si>
  <si>
    <t>McDougall</t>
  </si>
  <si>
    <t>J13</t>
  </si>
  <si>
    <t>Zachary</t>
  </si>
  <si>
    <t>J14</t>
  </si>
  <si>
    <t>Kelyn</t>
  </si>
  <si>
    <t>Horsely</t>
  </si>
  <si>
    <t>J15</t>
  </si>
  <si>
    <t>Elias</t>
  </si>
  <si>
    <t>Newby</t>
  </si>
  <si>
    <t>J16</t>
  </si>
  <si>
    <t>Clark</t>
  </si>
  <si>
    <t>J17</t>
  </si>
  <si>
    <t>Martin</t>
  </si>
  <si>
    <t>Cernicka</t>
  </si>
  <si>
    <t>J18</t>
  </si>
  <si>
    <t>Braden</t>
  </si>
  <si>
    <t>Hope</t>
  </si>
  <si>
    <t>J19</t>
  </si>
  <si>
    <t>Thomson</t>
  </si>
  <si>
    <t>Bythell</t>
  </si>
  <si>
    <t>J20</t>
  </si>
  <si>
    <t>Olivier</t>
  </si>
  <si>
    <t>Courcelles</t>
  </si>
  <si>
    <t>J21</t>
  </si>
  <si>
    <t>Nash</t>
  </si>
  <si>
    <t>Funreaux</t>
  </si>
  <si>
    <t>J22</t>
  </si>
  <si>
    <t>Lene</t>
  </si>
  <si>
    <t>Lok</t>
  </si>
  <si>
    <t>J23</t>
  </si>
  <si>
    <t>Jaime</t>
  </si>
  <si>
    <t>Kranz</t>
  </si>
  <si>
    <t>J24</t>
  </si>
  <si>
    <t>Hailey</t>
  </si>
  <si>
    <t>Bikerton</t>
  </si>
  <si>
    <t>J25</t>
  </si>
  <si>
    <t>Pippa</t>
  </si>
  <si>
    <t>Shore</t>
  </si>
  <si>
    <t>J26</t>
  </si>
  <si>
    <t>Jivcko</t>
  </si>
  <si>
    <t>J27</t>
  </si>
  <si>
    <t>Sean</t>
  </si>
  <si>
    <t>Weber</t>
  </si>
  <si>
    <t>J28</t>
  </si>
  <si>
    <t>Arthur</t>
  </si>
  <si>
    <t>Scale</t>
  </si>
  <si>
    <t>J29</t>
  </si>
  <si>
    <t>Kaasia</t>
  </si>
  <si>
    <t>Kania</t>
  </si>
  <si>
    <t>J30</t>
  </si>
  <si>
    <t>Tamaki</t>
  </si>
  <si>
    <t>Miura</t>
  </si>
  <si>
    <t>J31</t>
  </si>
  <si>
    <t>Cooke</t>
  </si>
  <si>
    <t>J32</t>
  </si>
  <si>
    <t>Engel</t>
  </si>
  <si>
    <t>J33</t>
  </si>
  <si>
    <t>Brady</t>
  </si>
  <si>
    <t>Mallon</t>
  </si>
  <si>
    <t>J34</t>
  </si>
  <si>
    <t>Chase</t>
  </si>
  <si>
    <t>Marchuk</t>
  </si>
  <si>
    <t>J36</t>
  </si>
  <si>
    <t>Mulyono</t>
  </si>
  <si>
    <t>J37</t>
  </si>
  <si>
    <t>AJ</t>
  </si>
  <si>
    <t>Lysak</t>
  </si>
  <si>
    <t>J39</t>
  </si>
  <si>
    <t>J38</t>
  </si>
  <si>
    <t>Felix</t>
  </si>
  <si>
    <t>Carr</t>
  </si>
  <si>
    <t>J40</t>
  </si>
  <si>
    <t>Deely</t>
  </si>
  <si>
    <t>J41</t>
  </si>
  <si>
    <t>Remy</t>
  </si>
  <si>
    <t>Zurbuchen</t>
  </si>
  <si>
    <t>J42</t>
  </si>
  <si>
    <t>Charlie</t>
  </si>
  <si>
    <t>Beck</t>
  </si>
  <si>
    <t>J43</t>
  </si>
  <si>
    <t>Marco</t>
  </si>
  <si>
    <t>Beruschi</t>
  </si>
  <si>
    <t>J44</t>
  </si>
  <si>
    <t>Campbell</t>
  </si>
  <si>
    <t>J45</t>
  </si>
  <si>
    <t>Mac</t>
  </si>
  <si>
    <t>Clarke</t>
  </si>
  <si>
    <t>J46</t>
  </si>
  <si>
    <t>Petersen</t>
  </si>
  <si>
    <t>J47</t>
  </si>
  <si>
    <t>Hugh</t>
  </si>
  <si>
    <t>Ross</t>
  </si>
  <si>
    <t>J48</t>
  </si>
  <si>
    <t>Sigston</t>
  </si>
  <si>
    <t>J49</t>
  </si>
  <si>
    <t>Chalke-Afifi</t>
  </si>
  <si>
    <t>J50</t>
  </si>
  <si>
    <t>Alexandre</t>
  </si>
  <si>
    <t>J51</t>
  </si>
  <si>
    <t>Monty</t>
  </si>
  <si>
    <t>Cormack</t>
  </si>
  <si>
    <t>J52</t>
  </si>
  <si>
    <t>J53</t>
  </si>
  <si>
    <t>Runzer</t>
  </si>
  <si>
    <t>J54</t>
  </si>
  <si>
    <t>Baker</t>
  </si>
  <si>
    <t>J55</t>
  </si>
  <si>
    <t>Bergerhoff</t>
  </si>
  <si>
    <t>J56</t>
  </si>
  <si>
    <t>Gradin</t>
  </si>
  <si>
    <t>J57</t>
  </si>
  <si>
    <t>Trevor</t>
  </si>
  <si>
    <t>Gurd</t>
  </si>
  <si>
    <t>J58</t>
  </si>
  <si>
    <t>Easton</t>
  </si>
  <si>
    <t>Hestler</t>
  </si>
  <si>
    <t>J59</t>
  </si>
  <si>
    <t>Riley</t>
  </si>
  <si>
    <t>Hobbs</t>
  </si>
  <si>
    <t>J60</t>
  </si>
  <si>
    <t>Nathaniel</t>
  </si>
  <si>
    <t>Pica</t>
  </si>
  <si>
    <t>J61</t>
  </si>
  <si>
    <t>Rinzema</t>
  </si>
  <si>
    <t>J62</t>
  </si>
  <si>
    <t>J63</t>
  </si>
  <si>
    <t>Elia</t>
  </si>
  <si>
    <t>Comeau</t>
  </si>
  <si>
    <t>J64</t>
  </si>
  <si>
    <t>Anna</t>
  </si>
  <si>
    <t>Selecka</t>
  </si>
  <si>
    <t>J65</t>
  </si>
  <si>
    <t>Russell</t>
  </si>
  <si>
    <t>Ferguson</t>
  </si>
  <si>
    <t>J66</t>
  </si>
  <si>
    <t>Owen</t>
  </si>
  <si>
    <t>Moore</t>
  </si>
  <si>
    <t>J67</t>
  </si>
  <si>
    <t>Scarlett</t>
  </si>
  <si>
    <t>J68</t>
  </si>
  <si>
    <t>Finley</t>
  </si>
  <si>
    <t>Lloyd</t>
  </si>
  <si>
    <t>J69</t>
  </si>
  <si>
    <t>Rory</t>
  </si>
  <si>
    <t>Lennon</t>
  </si>
  <si>
    <t>J70</t>
  </si>
  <si>
    <t>Joaquin</t>
  </si>
  <si>
    <t>J71</t>
  </si>
  <si>
    <t>Grayson</t>
  </si>
  <si>
    <t>Schulz</t>
  </si>
  <si>
    <t>J72</t>
  </si>
  <si>
    <t>Maeve</t>
  </si>
  <si>
    <t>Lazar-Barry</t>
  </si>
  <si>
    <t>J73</t>
  </si>
  <si>
    <t>Abby</t>
  </si>
  <si>
    <t>J74</t>
  </si>
  <si>
    <t>Ruby</t>
  </si>
  <si>
    <t>Wells</t>
  </si>
  <si>
    <t>J75</t>
  </si>
  <si>
    <t>Bennet</t>
  </si>
  <si>
    <t>Scheider</t>
  </si>
  <si>
    <t>J76</t>
  </si>
  <si>
    <t>Caelan</t>
  </si>
  <si>
    <t>Hooper</t>
  </si>
  <si>
    <t>J77</t>
  </si>
  <si>
    <t>Hendrik</t>
  </si>
  <si>
    <t>J78</t>
  </si>
  <si>
    <t>Musculus</t>
  </si>
  <si>
    <t>J79</t>
  </si>
  <si>
    <t>Konrad</t>
  </si>
  <si>
    <t>Pfaff</t>
  </si>
  <si>
    <t>J80</t>
  </si>
  <si>
    <t>Howard</t>
  </si>
  <si>
    <t>Wang</t>
  </si>
  <si>
    <t>J81</t>
  </si>
  <si>
    <t>Drever</t>
  </si>
  <si>
    <t>J82</t>
  </si>
  <si>
    <t>Florian</t>
  </si>
  <si>
    <t>Ruoff</t>
  </si>
  <si>
    <t>J83</t>
  </si>
  <si>
    <t>Gerardo</t>
  </si>
  <si>
    <t>J84</t>
  </si>
  <si>
    <t>Jed</t>
  </si>
  <si>
    <t>Fleming</t>
  </si>
  <si>
    <t>J85</t>
  </si>
  <si>
    <t>Mateo</t>
  </si>
  <si>
    <t>Quist</t>
  </si>
  <si>
    <t>J86</t>
  </si>
  <si>
    <t>Paxton</t>
  </si>
  <si>
    <t>J87</t>
  </si>
  <si>
    <t>Caleb</t>
  </si>
  <si>
    <t>J88</t>
  </si>
  <si>
    <t>Shu</t>
  </si>
  <si>
    <t>Yano</t>
  </si>
  <si>
    <t>J89</t>
  </si>
  <si>
    <t>Jenaya</t>
  </si>
  <si>
    <t>Clegg</t>
  </si>
  <si>
    <t>J90</t>
  </si>
  <si>
    <t>Charlotte</t>
  </si>
  <si>
    <t>Gadvois-Schuett</t>
  </si>
  <si>
    <t>J91</t>
  </si>
  <si>
    <t>Jeronimo</t>
  </si>
  <si>
    <t>Gomez</t>
  </si>
  <si>
    <t>Lennart</t>
  </si>
  <si>
    <t>Schilling</t>
  </si>
  <si>
    <t>A1</t>
  </si>
  <si>
    <t>Vrsnik</t>
  </si>
  <si>
    <t>A2</t>
  </si>
  <si>
    <t>Oz</t>
  </si>
  <si>
    <t>Olund</t>
  </si>
  <si>
    <t>A3</t>
  </si>
  <si>
    <t>Klimek</t>
  </si>
  <si>
    <t>A4</t>
  </si>
  <si>
    <t>Ryan</t>
  </si>
  <si>
    <t>Kearnes</t>
  </si>
  <si>
    <t>A5</t>
  </si>
  <si>
    <t>Dash</t>
  </si>
  <si>
    <t>Nicoll</t>
  </si>
  <si>
    <t>A6</t>
  </si>
  <si>
    <t>Treadway</t>
  </si>
  <si>
    <t>A7</t>
  </si>
  <si>
    <t>Marie</t>
  </si>
  <si>
    <t>Crowell</t>
  </si>
  <si>
    <t>A8</t>
  </si>
  <si>
    <t>Holden</t>
  </si>
  <si>
    <t>Adams</t>
  </si>
  <si>
    <t>A9</t>
  </si>
  <si>
    <t>Sebastian</t>
  </si>
  <si>
    <t>Harrisson</t>
  </si>
  <si>
    <t>A10</t>
  </si>
  <si>
    <t>Johnston</t>
  </si>
  <si>
    <t>A11</t>
  </si>
  <si>
    <t>Gabriel</t>
  </si>
  <si>
    <t>LeBlanc</t>
  </si>
  <si>
    <t>A12</t>
  </si>
  <si>
    <t>Macdonald</t>
  </si>
  <si>
    <t>A13</t>
  </si>
  <si>
    <t>Ira</t>
  </si>
  <si>
    <t>Zayac</t>
  </si>
  <si>
    <t>A14</t>
  </si>
  <si>
    <t>Norah</t>
  </si>
  <si>
    <t>Glavas</t>
  </si>
  <si>
    <t>A15</t>
  </si>
  <si>
    <t>Viktoria</t>
  </si>
  <si>
    <t>Skutesky</t>
  </si>
  <si>
    <t>A16</t>
  </si>
  <si>
    <t>Anja</t>
  </si>
  <si>
    <t>A17</t>
  </si>
  <si>
    <t>Blake</t>
  </si>
  <si>
    <t>Benns</t>
  </si>
  <si>
    <t>A18</t>
  </si>
  <si>
    <t>Ricignuolo</t>
  </si>
  <si>
    <t>A19</t>
  </si>
  <si>
    <t>Wood</t>
  </si>
  <si>
    <t>A20</t>
  </si>
  <si>
    <t>Skylar</t>
  </si>
  <si>
    <t>Rodier</t>
  </si>
  <si>
    <t>A21</t>
  </si>
  <si>
    <t>Saulnier</t>
  </si>
  <si>
    <t>A22</t>
  </si>
  <si>
    <t>Isabella</t>
  </si>
  <si>
    <t>Vertefeuille</t>
  </si>
  <si>
    <t>A23</t>
  </si>
  <si>
    <t>A24</t>
  </si>
  <si>
    <t>Ronayne</t>
  </si>
  <si>
    <t>A25</t>
  </si>
  <si>
    <t>A26</t>
  </si>
  <si>
    <t>India</t>
  </si>
  <si>
    <t>Becker</t>
  </si>
  <si>
    <t>A27</t>
  </si>
  <si>
    <t>Benes</t>
  </si>
  <si>
    <t>A28</t>
  </si>
  <si>
    <t>Bubbs</t>
  </si>
  <si>
    <t>A29</t>
  </si>
  <si>
    <t>McNolty</t>
  </si>
  <si>
    <t>A30</t>
  </si>
  <si>
    <t>Tarling</t>
  </si>
  <si>
    <t>A31</t>
  </si>
  <si>
    <t>A32</t>
  </si>
  <si>
    <t>Deegan</t>
  </si>
  <si>
    <t>A33</t>
  </si>
  <si>
    <t>Grace</t>
  </si>
  <si>
    <t>Cleland</t>
  </si>
  <si>
    <t>A34</t>
  </si>
  <si>
    <t>Abbie</t>
  </si>
  <si>
    <t>A35</t>
  </si>
  <si>
    <t>Piper</t>
  </si>
  <si>
    <t>Fear</t>
  </si>
  <si>
    <t>A36</t>
  </si>
  <si>
    <t>Annika</t>
  </si>
  <si>
    <t>A37</t>
  </si>
  <si>
    <t>Arleigh</t>
  </si>
  <si>
    <t>Kemp</t>
  </si>
  <si>
    <t>A38</t>
  </si>
  <si>
    <t>Xavier</t>
  </si>
  <si>
    <t>A39</t>
  </si>
  <si>
    <t>Mack</t>
  </si>
  <si>
    <t>Manietta</t>
  </si>
  <si>
    <t>A40</t>
  </si>
  <si>
    <t>Joey</t>
  </si>
  <si>
    <t>A41</t>
  </si>
  <si>
    <t>Arnold</t>
  </si>
  <si>
    <t>A42</t>
  </si>
  <si>
    <t>Emily</t>
  </si>
  <si>
    <t>Wilson</t>
  </si>
  <si>
    <t>A43</t>
  </si>
  <si>
    <t>Solis</t>
  </si>
  <si>
    <t>A44</t>
  </si>
  <si>
    <t>Augusten</t>
  </si>
  <si>
    <t>Worsfold</t>
  </si>
  <si>
    <t>A45</t>
  </si>
  <si>
    <t>Isberg</t>
  </si>
  <si>
    <t>A46</t>
  </si>
  <si>
    <t>Emil</t>
  </si>
  <si>
    <t>Reischl</t>
  </si>
  <si>
    <t>A47</t>
  </si>
  <si>
    <t>Horswill</t>
  </si>
  <si>
    <t>A48</t>
  </si>
  <si>
    <t>McKnight</t>
  </si>
  <si>
    <t>A49</t>
  </si>
  <si>
    <t>Yousef</t>
  </si>
  <si>
    <t>Alwakees</t>
  </si>
  <si>
    <t>A50</t>
  </si>
  <si>
    <t>Samantha</t>
  </si>
  <si>
    <t>Schisler</t>
  </si>
  <si>
    <t>A51</t>
  </si>
  <si>
    <t>Chowdury</t>
  </si>
  <si>
    <t>A52</t>
  </si>
  <si>
    <t>McDonald</t>
  </si>
  <si>
    <t>A53</t>
  </si>
  <si>
    <t>Farrell</t>
  </si>
  <si>
    <t>A54</t>
  </si>
  <si>
    <t>Tyler</t>
  </si>
  <si>
    <t>McIntosh</t>
  </si>
  <si>
    <t>A55</t>
  </si>
  <si>
    <t>Luca</t>
  </si>
  <si>
    <t>Crema</t>
  </si>
  <si>
    <t>A56</t>
  </si>
  <si>
    <t>Bodhi</t>
  </si>
  <si>
    <t>Elmas</t>
  </si>
  <si>
    <t>A57</t>
  </si>
  <si>
    <t>Edward</t>
  </si>
  <si>
    <t>Gillett</t>
  </si>
  <si>
    <t>A58</t>
  </si>
  <si>
    <t>Nico</t>
  </si>
  <si>
    <t>A59</t>
  </si>
  <si>
    <t>Kyle</t>
  </si>
  <si>
    <t>Hopper-Isaac</t>
  </si>
  <si>
    <t>A60</t>
  </si>
  <si>
    <t>Jared</t>
  </si>
  <si>
    <t>Kalisch</t>
  </si>
  <si>
    <t>A61</t>
  </si>
  <si>
    <t>Keinhorst</t>
  </si>
  <si>
    <t>A62</t>
  </si>
  <si>
    <t>Arlo</t>
  </si>
  <si>
    <t>A63</t>
  </si>
  <si>
    <t>Small</t>
  </si>
  <si>
    <t>A64</t>
  </si>
  <si>
    <t>Norbert</t>
  </si>
  <si>
    <t>Parkinson</t>
  </si>
  <si>
    <t>Stella</t>
  </si>
  <si>
    <t>Henderson</t>
  </si>
  <si>
    <t>Brendan</t>
  </si>
  <si>
    <t>Hutchinson</t>
  </si>
  <si>
    <t>Alasdair</t>
  </si>
  <si>
    <t>Robertson</t>
  </si>
  <si>
    <t>David</t>
  </si>
  <si>
    <t>Shilletto</t>
  </si>
  <si>
    <t>Wenzlaff</t>
  </si>
  <si>
    <t>Gray</t>
  </si>
  <si>
    <t>Kirker</t>
  </si>
  <si>
    <t>Jakson</t>
  </si>
  <si>
    <t>Bozzer</t>
  </si>
  <si>
    <t>Harland</t>
  </si>
  <si>
    <t>Declan</t>
  </si>
  <si>
    <t>Charles</t>
  </si>
  <si>
    <t>Ho</t>
  </si>
  <si>
    <t>Dirkson</t>
  </si>
  <si>
    <t>Teo</t>
  </si>
  <si>
    <t>Damici</t>
  </si>
  <si>
    <t>Sykes</t>
  </si>
  <si>
    <t>Olivia</t>
  </si>
  <si>
    <t>Shin</t>
  </si>
  <si>
    <t>Indy</t>
  </si>
  <si>
    <t>Tomic</t>
  </si>
  <si>
    <t>Brownlee</t>
  </si>
  <si>
    <t>Elliot</t>
  </si>
  <si>
    <t>O'Hara</t>
  </si>
  <si>
    <t>Finn</t>
  </si>
  <si>
    <t>William</t>
  </si>
  <si>
    <t>Elliott</t>
  </si>
  <si>
    <t>Shae</t>
  </si>
  <si>
    <t>O'Boyle</t>
  </si>
  <si>
    <t>Carden</t>
  </si>
  <si>
    <t>Watkins</t>
  </si>
  <si>
    <t>Genevieve</t>
  </si>
  <si>
    <t>Juhasz</t>
  </si>
  <si>
    <t>Kolper</t>
  </si>
  <si>
    <t>Seth</t>
  </si>
  <si>
    <t>Andru</t>
  </si>
  <si>
    <t>Alistair</t>
  </si>
  <si>
    <t>Cook</t>
  </si>
  <si>
    <t>Bradeley</t>
  </si>
  <si>
    <t>Stephenson</t>
  </si>
  <si>
    <t>Thatcher</t>
  </si>
  <si>
    <t>Kaeden</t>
  </si>
  <si>
    <t>Lau</t>
  </si>
  <si>
    <t>Bradley</t>
  </si>
  <si>
    <t>Roy</t>
  </si>
  <si>
    <t>Loutit</t>
  </si>
  <si>
    <t>Fincham</t>
  </si>
  <si>
    <t>Jeanre</t>
  </si>
  <si>
    <t>Raubenheimer</t>
  </si>
  <si>
    <t>McLeod</t>
  </si>
  <si>
    <t>Sam</t>
  </si>
  <si>
    <t>Ortiz</t>
  </si>
  <si>
    <t>Dexter</t>
  </si>
  <si>
    <t>Erik</t>
  </si>
  <si>
    <t>Kaelan</t>
  </si>
  <si>
    <t>Percival</t>
  </si>
  <si>
    <t>Richmond</t>
  </si>
  <si>
    <t>Kayla</t>
  </si>
  <si>
    <t>Orth</t>
  </si>
  <si>
    <t>Hayden</t>
  </si>
  <si>
    <t>Bristow</t>
  </si>
  <si>
    <t>Graeden</t>
  </si>
  <si>
    <t>Pierre</t>
  </si>
  <si>
    <t>Simon</t>
  </si>
  <si>
    <t>Tylor</t>
  </si>
  <si>
    <t>Way</t>
  </si>
  <si>
    <t>Kolkea</t>
  </si>
  <si>
    <t>McGowan</t>
  </si>
  <si>
    <t>Sturgess</t>
  </si>
  <si>
    <t>Murray</t>
  </si>
  <si>
    <t>Reed</t>
  </si>
  <si>
    <t>Levitt</t>
  </si>
  <si>
    <t>Cooper</t>
  </si>
  <si>
    <t>Olson</t>
  </si>
  <si>
    <t>Jeremy</t>
  </si>
  <si>
    <t>Smerychynski</t>
  </si>
  <si>
    <t>A65</t>
  </si>
  <si>
    <t>Sawyer</t>
  </si>
  <si>
    <t>Munn-Gotto</t>
  </si>
  <si>
    <t>A66</t>
  </si>
  <si>
    <t>Leo</t>
  </si>
  <si>
    <t>Pullen</t>
  </si>
  <si>
    <t>A67</t>
  </si>
  <si>
    <t>Carriere</t>
  </si>
  <si>
    <t>A68</t>
  </si>
  <si>
    <t>Winter</t>
  </si>
  <si>
    <t>A69</t>
  </si>
  <si>
    <t>Cece</t>
  </si>
  <si>
    <t>Burton</t>
  </si>
  <si>
    <t>A70</t>
  </si>
  <si>
    <t>Mikayla</t>
  </si>
  <si>
    <t>Goldrick</t>
  </si>
  <si>
    <t>A71</t>
  </si>
  <si>
    <t>Josie</t>
  </si>
  <si>
    <t>A72</t>
  </si>
  <si>
    <t>Alexa</t>
  </si>
  <si>
    <t>Maxwell</t>
  </si>
  <si>
    <t>A73</t>
  </si>
  <si>
    <t>Alva</t>
  </si>
  <si>
    <t>Campos</t>
  </si>
  <si>
    <t>A74</t>
  </si>
  <si>
    <t>Lewis</t>
  </si>
  <si>
    <t>A75</t>
  </si>
  <si>
    <t>Damyen</t>
  </si>
  <si>
    <t>Bouvier</t>
  </si>
  <si>
    <t>A76</t>
  </si>
  <si>
    <t>Kaede</t>
  </si>
  <si>
    <t>Gossman</t>
  </si>
  <si>
    <t>A77</t>
  </si>
  <si>
    <t>Cove</t>
  </si>
  <si>
    <t>A78</t>
  </si>
  <si>
    <t>Koch</t>
  </si>
  <si>
    <t>A79</t>
  </si>
  <si>
    <t>Rothdram</t>
  </si>
  <si>
    <t>A80</t>
  </si>
  <si>
    <t>Thomas</t>
  </si>
  <si>
    <t>A81</t>
  </si>
  <si>
    <t>Anton</t>
  </si>
  <si>
    <t>Anghellescu</t>
  </si>
  <si>
    <t>A82</t>
  </si>
  <si>
    <t>Maggie</t>
  </si>
  <si>
    <t>Hertz</t>
  </si>
  <si>
    <t>A83</t>
  </si>
  <si>
    <t>A84</t>
  </si>
  <si>
    <t>Benson</t>
  </si>
  <si>
    <t>A85</t>
  </si>
  <si>
    <t>Drea</t>
  </si>
  <si>
    <t>A86</t>
  </si>
  <si>
    <t>Grant</t>
  </si>
  <si>
    <t>A87</t>
  </si>
  <si>
    <t>Phoenix</t>
  </si>
  <si>
    <t>Holmes</t>
  </si>
  <si>
    <t>A88</t>
  </si>
  <si>
    <t>Elliette</t>
  </si>
  <si>
    <t>Cafferata</t>
  </si>
  <si>
    <t>A89</t>
  </si>
  <si>
    <t>A90</t>
  </si>
  <si>
    <t>Fort</t>
  </si>
  <si>
    <t>A91</t>
  </si>
  <si>
    <t>Emelie</t>
  </si>
  <si>
    <t>Kvick</t>
  </si>
  <si>
    <t>Isla</t>
  </si>
  <si>
    <t>Gibson</t>
  </si>
  <si>
    <t>Check Out</t>
  </si>
  <si>
    <t>Preston Cesorso</t>
  </si>
  <si>
    <t>added R4</t>
  </si>
  <si>
    <t>DN</t>
  </si>
  <si>
    <t>Lily McGowan</t>
  </si>
  <si>
    <t>Claire Benson</t>
  </si>
  <si>
    <t>Race 2&amp;4</t>
  </si>
  <si>
    <t/>
  </si>
  <si>
    <t>All Races</t>
  </si>
  <si>
    <t>3Plus</t>
  </si>
  <si>
    <t>NoShows</t>
  </si>
  <si>
    <t>No Race</t>
  </si>
  <si>
    <t>First Name</t>
  </si>
  <si>
    <t>Last Name</t>
  </si>
  <si>
    <t>Attending</t>
  </si>
  <si>
    <t>Porte</t>
  </si>
  <si>
    <t>Hume</t>
  </si>
  <si>
    <t>Fraser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</si>
  <si>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</si>
  <si>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</si>
  <si>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</si>
  <si>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</si>
  <si>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</si>
  <si>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</si>
  <si>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</si>
  <si>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</si>
  <si>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</si>
  <si>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</si>
  <si>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</si>
  <si>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</si>
  <si>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</si>
  <si>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</si>
  <si>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</si>
  <si>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</si>
  <si>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</si>
  <si>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</si>
  <si>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</si>
  <si>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</si>
  <si>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</si>
  <si>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</si>
  <si>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</si>
  <si>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</si>
  <si>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</si>
  <si>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</si>
  <si>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</si>
  <si>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</si>
  <si>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</si>
  <si>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</si>
  <si>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</si>
  <si>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</si>
  <si>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</si>
  <si>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</si>
  <si>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</si>
  <si>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</si>
  <si>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Yes</t>
  </si>
  <si>
    <t>S37</t>
  </si>
  <si>
    <t>S38</t>
  </si>
  <si>
    <t>S39</t>
  </si>
  <si>
    <t>S40</t>
  </si>
  <si>
    <t>S41</t>
  </si>
  <si>
    <t>S42</t>
  </si>
  <si>
    <t>S43</t>
  </si>
  <si>
    <t>S44</t>
  </si>
  <si>
    <t>Malayeri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</si>
  <si>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</si>
  <si>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</si>
  <si>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</si>
  <si>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</si>
  <si>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</si>
  <si>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</si>
  <si>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</si>
  <si>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</si>
  <si>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</si>
  <si>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</si>
  <si>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</si>
  <si>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</si>
  <si>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</si>
  <si>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</si>
  <si>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</si>
  <si>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</si>
  <si>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</si>
  <si>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</si>
  <si>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</si>
  <si>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</si>
  <si>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Preston</t>
  </si>
  <si>
    <t>Cesorso</t>
  </si>
  <si>
    <t>S65</t>
  </si>
  <si>
    <t>S66</t>
  </si>
  <si>
    <t>Evan</t>
  </si>
  <si>
    <t>Kozak</t>
  </si>
  <si>
    <t>S67</t>
  </si>
  <si>
    <t>Jackson</t>
  </si>
  <si>
    <t>S68</t>
  </si>
  <si>
    <t>Phillips</t>
  </si>
  <si>
    <t>S69</t>
  </si>
  <si>
    <t>Koji</t>
  </si>
  <si>
    <t>Irvine</t>
  </si>
  <si>
    <t>S70</t>
  </si>
  <si>
    <t>Bella</t>
  </si>
  <si>
    <t>Gomes</t>
  </si>
  <si>
    <t>S71</t>
  </si>
  <si>
    <t>S72</t>
  </si>
  <si>
    <t>Asher</t>
  </si>
  <si>
    <t>Lissett</t>
  </si>
  <si>
    <t>S73</t>
  </si>
  <si>
    <t>Mackenzie</t>
  </si>
  <si>
    <t>Velaniskis</t>
  </si>
  <si>
    <t>S74</t>
  </si>
  <si>
    <t>Walsh</t>
  </si>
  <si>
    <t>S75</t>
  </si>
  <si>
    <t>Weston</t>
  </si>
  <si>
    <t>Morum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</si>
  <si>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</si>
  <si>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</si>
  <si>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</si>
  <si>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</si>
  <si>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</si>
  <si>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</si>
  <si>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</si>
  <si>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</si>
  <si>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</si>
  <si>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</si>
  <si>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</si>
  <si>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</si>
  <si>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</si>
  <si>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</si>
  <si>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</si>
  <si>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</si>
  <si>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</si>
  <si>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</si>
  <si>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</si>
  <si>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</si>
  <si>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</si>
  <si>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Sheilds</t>
  </si>
  <si>
    <t>S97</t>
  </si>
  <si>
    <t>S98</t>
  </si>
  <si>
    <t>S99</t>
  </si>
  <si>
    <t>Tremari</t>
  </si>
  <si>
    <t>J35</t>
  </si>
  <si>
    <t>Elisio</t>
  </si>
  <si>
    <t>Lorez</t>
  </si>
  <si>
    <t>Hungr</t>
  </si>
  <si>
    <t>Lily</t>
  </si>
  <si>
    <t>spare chips</t>
  </si>
  <si>
    <t>A92-00</t>
  </si>
  <si>
    <t>S00</t>
  </si>
  <si>
    <t>Plate#</t>
  </si>
  <si>
    <t>Check In</t>
  </si>
  <si>
    <t>J92-00</t>
  </si>
  <si>
    <t>Mattias Laocque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</si>
</sst>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b/>
      <sz val="11"/>
      <color rgb="FFFFFFFF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B1A0C7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90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19082D30-6B23-4135-8B42-7B193F0CEE70}">
    <nsvFilter filterId="{4732A653-9976-4BC3-B1BB-3377C0BE5451}" ref="A1:V365" tableId="3">
      <columnFilter colId="2" id="{7521EB7C-E51A-4930-A4D2-608C8D120FA9}">
        <filter colId="2">
          <x:filters>
            <x:filter val="Jr Boys"/>
          </x:filters>
        </filter>
      </columnFilter>
      <columnFilter colId="4" id="{E5052869-8E78-47FC-82AF-EAED348A6A8A}">
        <filter colId="4">
          <x:filters>
            <x:filter val="Active"/>
          </x:filters>
        </filter>
      </columnFilter>
      <sortRules>
        <sortRule colId="13" id="{58CEE06C-D397-4C16-AFDA-197232873DB1}">
          <sortCondition ref="N1:N365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89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V365" totalsRowShown="0" headerRowDxfId="88">
  <autoFilter ref="A1:V365" xr:uid="{4732A653-9976-4BC3-B1BB-3377C0BE5451}">
    <filterColumn colId="4">
      <filters>
        <filter val="Active"/>
      </filters>
    </filterColumn>
  </autoFilter>
  <sortState xmlns:xlrd2="http://schemas.microsoft.com/office/spreadsheetml/2017/richdata2" ref="A52:V116">
    <sortCondition ref="P1:P365"/>
  </sortState>
  <tableColumns count="22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87"/>
    <tableColumn id="23" xr3:uid="{E5052869-8E78-47FC-82AF-EAED348A6A8A}" name="Status" dataDxfId="86"/>
    <tableColumn id="25" xr3:uid="{1EE36E8D-9A39-47C5-865B-6072DD035FA5}" name="Notes" dataDxfId="85"/>
    <tableColumn id="26" xr3:uid="{ECB7C0F9-CBBB-4E8E-8CEF-0E32A2F40C17}" name="Attendance" dataDxfId="84"/>
    <tableColumn id="5" xr3:uid="{C4BC7103-4C35-4FC3-8F18-8455C41D4783}" name="R1 Place" dataDxfId="83"/>
    <tableColumn id="6" xr3:uid="{F003CE6A-1709-47C7-A52B-4E78A06B55BC}" name="R1 Pts" dataDxfId="82">
      <calculatedColumnFormula>IF(H2="","",IF(H2="DNS",0,IF(H2="DQ",0,IF(H2="DNF",1,IF(AND(ISNUMBER(H2),H2&gt;59),1,_xlfn.XLOOKUP(H2,tbl_points[Place],tbl_points[Points],""))))))</calculatedColumnFormula>
    </tableColumn>
    <tableColumn id="7" xr3:uid="{00AA5EEC-F524-4B3A-8D3D-DD590338CBF4}" name="R2 Place" dataDxfId="81"/>
    <tableColumn id="8" xr3:uid="{D5BD0204-BF0C-4CD7-84CF-355F4C709D84}" name="R2 Pts" dataDxfId="80">
      <calculatedColumnFormula>IF(J2="","",IF(J2="DNS",0,IF(J2="DQ",0,IF(J2="DNF",1,IF(AND(ISNUMBER(J2),J2&gt;59),1,_xlfn.XLOOKUP(J2,tbl_points[Place],tbl_points[Points],""))))))</calculatedColumnFormula>
    </tableColumn>
    <tableColumn id="9" xr3:uid="{AAA1602A-3E76-4D80-A749-C082B0EEE022}" name="R3 Place" dataDxfId="79"/>
    <tableColumn id="10" xr3:uid="{129B956B-A68A-4A58-B03A-5E88F63F4109}" name="R3 Pts" dataDxfId="78">
      <calculatedColumnFormula>IF(L2="","",IF(L2="DNS",0,IF(L2="DQ",0,IF(L2="DNF",1,IF(AND(ISNUMBER(L2),L2&gt;59),1,_xlfn.XLOOKUP(L2,tbl_points[Place],tbl_points[Points],""))))))</calculatedColumnFormula>
    </tableColumn>
    <tableColumn id="11" xr3:uid="{58CEE06C-D397-4C16-AFDA-197232873DB1}" name="R4 Place" dataDxfId="77"/>
    <tableColumn id="12" xr3:uid="{8F6D618C-1190-4F5C-A449-77BB8AFE782C}" name="R4 Pts" dataDxfId="76">
      <calculatedColumnFormula>IF(N2="","",IF(N2="DNS",0,IF(N2="DQ",0,IF(N2="DNF",1,IF(AND(ISNUMBER(N2),N2&gt;59),1,_xlfn.XLOOKUP(N2,tbl_points[Place],tbl_points[Points],""))))))</calculatedColumnFormula>
    </tableColumn>
    <tableColumn id="13" xr3:uid="{09134E3A-40B6-4480-BF56-619415F1546B}" name="R5 Place" dataDxfId="75"/>
    <tableColumn id="14" xr3:uid="{0630E922-C5AC-4446-B509-709B7EECF31A}" name="R5 Pts" dataDxfId="74">
      <calculatedColumnFormula>IF(P2="","",IF(P2="DNS",0,IF(P2="DQ",0,IF(P2="DNF",1,IF(AND(ISNUMBER(P2),P2&gt;59),1,_xlfn.XLOOKUP(P2,tbl_points[Place],tbl_points[Points],""))))))</calculatedColumnFormula>
    </tableColumn>
    <tableColumn id="15" xr3:uid="{A3A3C6B1-EAC4-4CA1-B9F1-91AD4AED8E96}" name="R6 Place" dataDxfId="73"/>
    <tableColumn id="16" xr3:uid="{183BA364-7ECF-4FCA-8D96-4CEAFE4D6897}" name="R6 Pts" dataDxfId="72">
      <calculatedColumnFormula>IF(R2="","",IF(R2="DNS",0,IF(R2="DQ",0,IF(R2="DNF",1,IF(AND(ISNUMBER(R2),R2&gt;59),1,_xlfn.XLOOKUP(R2,tbl_points[Place],tbl_points[Points],""))))))</calculatedColumnFormula>
    </tableColumn>
    <tableColumn id="17" xr3:uid="{7E434874-15F0-4158-8350-07E2BFD885BE}" name="Total" dataDxfId="71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70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69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16C23E-67B1-4F55-980A-968CC65F4736}" name="tbl_attendance" displayName="tbl_attendance" ref="A1:M351" totalsRowShown="0" headerRowDxfId="68" dataDxfId="67">
  <autoFilter ref="A1:M351" xr:uid="{4316C23E-67B1-4F55-980A-968CC65F4736}">
    <filterColumn colId="2">
      <filters>
        <filter val="Don Ross"/>
      </filters>
    </filterColumn>
  </autoFilter>
  <sortState xmlns:xlrd2="http://schemas.microsoft.com/office/spreadsheetml/2017/richdata2" ref="A2:L351">
    <sortCondition ref="C1:C351"/>
  </sortState>
  <tableColumns count="13">
    <tableColumn id="14" xr3:uid="{A2A0CBF4-CD26-4BFD-BE34-16B7060F8B3F}" name="First Name" dataDxfId="66">
      <calculatedColumnFormula>_xlfn.TEXTBEFORE(#REF!," ",)</calculatedColumnFormula>
    </tableColumn>
    <tableColumn id="13" xr3:uid="{A45FB5D6-DE2D-44C1-8C86-F50F06203278}" name="Last Name" dataDxfId="65">
      <calculatedColumnFormula>_xlfn.TEXTAFTER(#REF!, " ", -1)</calculatedColumnFormula>
    </tableColumn>
    <tableColumn id="2" xr3:uid="{1104AB41-3CC6-4955-8ADE-70526CC218F6}" name="School"/>
    <tableColumn id="3" xr3:uid="{0812512D-0014-4DB0-827A-8E253F24FF3E}" name="Division"/>
    <tableColumn id="4" xr3:uid="{05570E7E-E833-43AD-9954-56EFF514AC02}" name="Plate #" dataDxfId="64"/>
    <tableColumn id="5" xr3:uid="{33B427E9-E99A-473A-80A8-6B11523BB8DD}" name="R1 Pts" dataDxfId="63"/>
    <tableColumn id="6" xr3:uid="{35E77BA6-FD2D-4380-804B-BA285DA138C3}" name="R2 Pts" dataDxfId="62"/>
    <tableColumn id="7" xr3:uid="{9829618B-334C-44F6-8091-105DCC0B8F7B}" name="R3 Pts" dataDxfId="61"/>
    <tableColumn id="8" xr3:uid="{8423691E-8049-42E3-BDA9-1AEFA1FC5C38}" name="R4 Pts" dataDxfId="60"/>
    <tableColumn id="9" xr3:uid="{3A842C3E-6127-4436-9341-6AB891F808F6}" name="All Races" dataDxfId="59">
      <calculatedColumnFormula>IF(AND(tbl_attendance[[#This Row],[R1 Pts]]&gt;0, tbl_attendance[[#This Row],[R2 Pts]]&gt;0,tbl_attendance[[#This Row],[R3 Pts]]&gt;0,tbl_attendance[[#This Row],[R4 Pts]]&gt;0),"YES", "NO")</calculatedColumnFormula>
    </tableColumn>
    <tableColumn id="10" xr3:uid="{13093CDC-EBF5-4373-B34F-1268DF95F368}" name="Race 2&amp;4" dataDxfId="58">
      <calculatedColumnFormula>IF(AND(tbl_attendance[[#This Row],[R2 Pts]]&gt;0, tbl_attendance[[#This Row],[R4 Pts]]&gt;0), "YES", "NO")</calculatedColumnFormula>
    </tableColumn>
    <tableColumn id="11" xr3:uid="{79600FE9-B69B-431A-9167-A4D542714E3A}" name="3Plus" dataDxfId="57">
      <calculatedColumnFormula>IF(
(tbl_attendance[[#This Row],[R1 Pts]]&gt;0)+(tbl_attendance[[#This Row],[R2 Pts]]&gt;0)+(tbl_attendance[[#This Row],[R3 Pts]]&gt;0)+(tbl_attendance[[#This Row],[R4 Pts]]&gt;0)&gt;=3,"YES", "NO")</calculatedColumnFormula>
    </tableColumn>
    <tableColumn id="12" xr3:uid="{9AB77444-8450-48BE-95DC-3FA1ABE5EEB1}" name="No Race" dataDxfId="56">
      <calculatedColumnFormula>IF(AND(tbl_attendance[[#This Row],[R1 Pts]]=0, tbl_attendance[[#This Row],[R2 Pts]]=0,tbl_attendance[[#This Row],[R3 Pts]]=0,tbl_attendance[[#This Row],[R4 Pts]]=0),"YES", "NO")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8" totalsRowShown="0" headerRowDxfId="55">
  <autoFilter ref="A1:I48" xr:uid="{6FE32177-DBD8-4299-9E12-DE45C01CDFC1}"/>
  <sortState xmlns:xlrd2="http://schemas.microsoft.com/office/spreadsheetml/2017/richdata2" ref="A2:I48">
    <sortCondition ref="A2:A48"/>
    <sortCondition descending="1" ref="I2:I48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5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4" xr3:uid="{B1A9F92E-C531-4F9B-9E61-4AF67269E504}" name="Race 2" dataDxfId="5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5" xr3:uid="{98622B84-034F-49A3-94EB-FE028D7330DC}" name="Race 3" dataDxfId="5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6" xr3:uid="{E251564D-BEF9-4A06-B705-57876A4C364D}" name="Race 4" dataDxfId="5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7" xr3:uid="{E38A2690-1CC8-45F7-9CAB-D28FDE2604B7}" name="Race 5" dataDxfId="5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8" xr3:uid="{51FAA391-8BE1-4ECE-A0AB-B5AB0C9BE2C5}" name="Race 6" dataDxfId="4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9" xr3:uid="{539A3327-6FEC-4B8A-A923-635DC3180909}" name="Total" dataDxfId="48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72E9F-EE44-4876-820C-73B5A3508FD3}" name="Table2" displayName="Table2" ref="A1:I389" totalsRowShown="0" headerRowDxfId="47" dataDxfId="45" headerRowBorderDxfId="46" tableBorderDxfId="44" totalsRowBorderDxfId="43">
  <autoFilter ref="A1:I389" xr:uid="{A3D72E9F-EE44-4876-820C-73B5A3508FD3}"/>
  <sortState xmlns:xlrd2="http://schemas.microsoft.com/office/spreadsheetml/2017/richdata2" ref="A2:G389">
    <sortCondition ref="C2:C389"/>
    <sortCondition ref="D2:D389" customList="Bant Boys,Bant Girls,Juv Boys,Juv Girls,Jr Boys,Jr Girls,Sr Boys,Sr Girls"/>
    <sortCondition ref="E2:E389"/>
  </sortState>
  <tableColumns count="9">
    <tableColumn id="1" xr3:uid="{B59F2718-5320-45D4-B48C-AF5DBAC7FB08}" name="First Name" dataDxfId="42"/>
    <tableColumn id="2" xr3:uid="{778FC9B7-DE26-430A-9897-7B62B9BD8E4C}" name="Last Name" dataDxfId="41"/>
    <tableColumn id="3" xr3:uid="{44C49F15-7E8D-4521-9A35-C48CFE1313DA}" name="School" dataDxfId="40"/>
    <tableColumn id="4" xr3:uid="{737F42CA-CAC8-48D7-B6AA-4377690A4A4F}" name="Division" dataDxfId="39"/>
    <tableColumn id="5" xr3:uid="{8169D064-E013-44F4-8DF3-343AB1DE9CB9}" name="Plate#" dataDxfId="38"/>
    <tableColumn id="6" xr3:uid="{7BD83455-9351-4DB3-8F42-5EA6E452BEBC}" name="Attending" dataDxfId="37"/>
    <tableColumn id="7" xr3:uid="{7DE332EA-0817-4C81-920E-44CA3C49D382}" name="chip_list" dataDxfId="36"/>
    <tableColumn id="8" xr3:uid="{A71DD5BF-C89E-496B-9A03-761157F311CC}" name="Check In" dataDxfId="35"/>
    <tableColumn id="9" xr3:uid="{99C546CF-7BD8-4E2A-8EA8-6D7028140440}" name="Check Out" dataDxfId="3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H60"/>
  <sheetViews>
    <sheetView workbookViewId="0">
      <selection activeCell="H6" sqref="H6"/>
    </sheetView>
  </sheetViews>
  <sheetFormatPr defaultRowHeight="16.8" x14ac:dyDescent="0.4"/>
  <cols>
    <col min="1" max="1" width="14" customWidth="1"/>
    <col min="2" max="2" width="12.09765625" bestFit="1" customWidth="1"/>
    <col min="8" max="8" width="10" bestFit="1" customWidth="1"/>
  </cols>
  <sheetData>
    <row r="1" spans="1:8" x14ac:dyDescent="0.4">
      <c r="A1" s="1" t="s">
        <v>0</v>
      </c>
      <c r="B1" s="1" t="s">
        <v>9</v>
      </c>
      <c r="C1" t="s">
        <v>406</v>
      </c>
      <c r="E1" s="1" t="s">
        <v>32</v>
      </c>
      <c r="F1" s="1" t="s">
        <v>33</v>
      </c>
      <c r="H1" t="s">
        <v>420</v>
      </c>
    </row>
    <row r="2" spans="1:8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  <c r="H2" t="s">
        <v>421</v>
      </c>
    </row>
    <row r="3" spans="1:8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  <c r="H3" t="s">
        <v>422</v>
      </c>
    </row>
    <row r="4" spans="1:8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  <c r="H4" t="s">
        <v>423</v>
      </c>
    </row>
    <row r="5" spans="1:8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  <c r="H5" t="s">
        <v>433</v>
      </c>
    </row>
    <row r="6" spans="1:8" x14ac:dyDescent="0.4">
      <c r="A6" t="s">
        <v>5</v>
      </c>
      <c r="B6" t="s">
        <v>14</v>
      </c>
      <c r="C6">
        <f>COUNTIFS(tbl_individual[School], B6)</f>
        <v>6</v>
      </c>
      <c r="E6">
        <v>5</v>
      </c>
      <c r="F6">
        <v>80</v>
      </c>
    </row>
    <row r="7" spans="1:8" x14ac:dyDescent="0.4">
      <c r="A7" t="s">
        <v>6</v>
      </c>
      <c r="B7" t="s">
        <v>15</v>
      </c>
      <c r="C7">
        <f>COUNTIFS(tbl_individual[School], B7)</f>
        <v>15</v>
      </c>
      <c r="E7">
        <v>6</v>
      </c>
      <c r="F7">
        <v>75</v>
      </c>
    </row>
    <row r="8" spans="1:8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8" x14ac:dyDescent="0.4">
      <c r="A9" t="s">
        <v>8</v>
      </c>
      <c r="B9" t="s">
        <v>17</v>
      </c>
      <c r="C9">
        <f>COUNTIFS(tbl_individual[School], B9)</f>
        <v>12</v>
      </c>
      <c r="E9">
        <v>8</v>
      </c>
      <c r="F9">
        <v>65</v>
      </c>
    </row>
    <row r="10" spans="1:8" x14ac:dyDescent="0.4">
      <c r="A10" t="s">
        <v>395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8" x14ac:dyDescent="0.4">
      <c r="A11" t="s">
        <v>396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8" x14ac:dyDescent="0.4">
      <c r="B12" t="s">
        <v>20</v>
      </c>
      <c r="C12">
        <f>COUNTIFS(tbl_individual[School], B12)</f>
        <v>31</v>
      </c>
      <c r="E12">
        <v>11</v>
      </c>
      <c r="F12">
        <v>53</v>
      </c>
    </row>
    <row r="13" spans="1:8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8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8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8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21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19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7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16.545454545454547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V365"/>
  <sheetViews>
    <sheetView tabSelected="1" zoomScaleNormal="100" workbookViewId="0">
      <pane xSplit="4" ySplit="1" topLeftCell="P77" activePane="bottomRight" state="frozen"/>
      <selection pane="topRight" activeCell="E1" sqref="E1"/>
      <selection pane="bottomLeft" activeCell="A2" sqref="A2"/>
      <selection pane="bottomRight" activeCell="A102" sqref="A102"/>
    </sheetView>
  </sheetViews>
  <sheetFormatPr defaultRowHeight="16.8" x14ac:dyDescent="0.4"/>
  <cols>
    <col min="1" max="1" width="25" customWidth="1"/>
    <col min="2" max="2" width="12.69921875" customWidth="1"/>
    <col min="3" max="3" width="9.3984375" customWidth="1"/>
    <col min="4" max="4" width="8.69921875" style="3"/>
    <col min="5" max="5" width="11" style="3" hidden="1" customWidth="1"/>
    <col min="6" max="6" width="14.5" style="17" hidden="1" customWidth="1"/>
    <col min="7" max="7" width="15.69921875" style="3" hidden="1" customWidth="1"/>
    <col min="8" max="8" width="9.8984375" style="3" customWidth="1"/>
    <col min="9" max="9" width="8.69921875" style="3"/>
    <col min="10" max="10" width="9.8984375" style="3" customWidth="1"/>
    <col min="11" max="11" width="8.69921875" style="3"/>
    <col min="12" max="12" width="9.8984375" style="3" customWidth="1"/>
    <col min="13" max="13" width="8.69921875" style="3"/>
    <col min="14" max="14" width="9.8984375" style="3" customWidth="1"/>
    <col min="15" max="15" width="8.69921875" style="3"/>
    <col min="16" max="16" width="9.8984375" style="3" customWidth="1"/>
    <col min="17" max="17" width="8.69921875" style="3"/>
    <col min="18" max="18" width="9.8984375" style="3" customWidth="1"/>
    <col min="19" max="20" width="8.69921875" style="3"/>
    <col min="21" max="21" width="13.8984375" style="3" customWidth="1"/>
    <col min="22" max="22" width="8.69921875" style="3"/>
  </cols>
  <sheetData>
    <row r="1" spans="1:22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420</v>
      </c>
      <c r="F1" s="16" t="s">
        <v>418</v>
      </c>
      <c r="G1" s="2" t="s">
        <v>424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s="2" t="s">
        <v>50</v>
      </c>
      <c r="U1" s="2" t="s">
        <v>51</v>
      </c>
      <c r="V1" s="2" t="s">
        <v>52</v>
      </c>
    </row>
    <row r="2" spans="1:22" x14ac:dyDescent="0.4">
      <c r="A2" t="s">
        <v>144</v>
      </c>
      <c r="B2" t="s">
        <v>15</v>
      </c>
      <c r="C2" t="s">
        <v>7</v>
      </c>
      <c r="D2" s="3">
        <v>800</v>
      </c>
      <c r="E2" s="3" t="s">
        <v>421</v>
      </c>
      <c r="G2" s="3" t="s">
        <v>403</v>
      </c>
      <c r="H2" s="3">
        <v>26</v>
      </c>
      <c r="I2" s="3">
        <f>IF(H2="","",IF(H2="DNS",0,IF(H2="DQ",0,IF(H2="DNF",1,IF(AND(ISNUMBER(H2),H2&gt;59),1,_xlfn.XLOOKUP(H2,tbl_points[Place],tbl_points[Points],""))))))</f>
        <v>34</v>
      </c>
      <c r="J2" s="3">
        <v>29</v>
      </c>
      <c r="K2" s="3">
        <f>IF(J2="","",IF(J2="DNS",0,IF(J2="DQ",0,IF(J2="DNF",1,IF(AND(ISNUMBER(J2),J2&gt;59),1,_xlfn.XLOOKUP(J2,tbl_points[Place],tbl_points[Points],""))))))</f>
        <v>31</v>
      </c>
      <c r="L2" s="3" t="s">
        <v>410</v>
      </c>
      <c r="M2" s="3">
        <f>IF(L2="","",IF(L2="DNS",0,IF(L2="DQ",0,IF(L2="DNF",1,IF(AND(ISNUMBER(L2),L2&gt;59),1,_xlfn.XLOOKUP(L2,tbl_points[Place],tbl_points[Points],""))))))</f>
        <v>0</v>
      </c>
      <c r="N2" s="3" t="s">
        <v>410</v>
      </c>
      <c r="O2" s="3">
        <f>IF(N2="","",IF(N2="DNS",0,IF(N2="DQ",0,IF(N2="DNF",1,IF(AND(ISNUMBER(N2),N2&gt;59),1,_xlfn.XLOOKUP(N2,tbl_points[Place],tbl_points[Points],""))))))</f>
        <v>0</v>
      </c>
      <c r="P2" s="3">
        <v>33</v>
      </c>
      <c r="Q2" s="3">
        <f>IF(P2="","",IF(P2="DNS",0,IF(P2="DQ",0,IF(P2="DNF",1,IF(AND(ISNUMBER(P2),P2&gt;59),1,_xlfn.XLOOKUP(P2,tbl_points[Place],tbl_points[Points],""))))))</f>
        <v>27</v>
      </c>
      <c r="S2" s="3" t="str">
        <f>IF(R2="","",IF(R2="DNS",0,IF(R2="DQ",0,IF(R2="DNF",1,IF(AND(ISNUMBER(R2),R2&gt;59),1,_xlfn.XLOOKUP(R2,tbl_points[Place],tbl_points[Points],""))))))</f>
        <v/>
      </c>
      <c r="T2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" s="3">
        <f>tbl_individual[[#This Row],[Total]]</f>
        <v>92</v>
      </c>
    </row>
    <row r="3" spans="1:22" x14ac:dyDescent="0.4">
      <c r="A3" t="s">
        <v>145</v>
      </c>
      <c r="B3" t="s">
        <v>15</v>
      </c>
      <c r="C3" t="s">
        <v>7</v>
      </c>
      <c r="D3" s="3">
        <v>801</v>
      </c>
      <c r="E3" s="3" t="s">
        <v>421</v>
      </c>
      <c r="G3" s="3" t="s">
        <v>403</v>
      </c>
      <c r="H3" s="3" t="s">
        <v>410</v>
      </c>
      <c r="I3" s="3">
        <f>IF(H3="","",IF(H3="DNS",0,IF(H3="DQ",0,IF(H3="DNF",1,IF(AND(ISNUMBER(H3),H3&gt;59),1,_xlfn.XLOOKUP(H3,tbl_points[Place],tbl_points[Points],""))))))</f>
        <v>0</v>
      </c>
      <c r="J3" s="3">
        <v>25</v>
      </c>
      <c r="K3" s="3">
        <f>IF(J3="","",IF(J3="DNS",0,IF(J3="DQ",0,IF(J3="DNF",1,IF(AND(ISNUMBER(J3),J3&gt;59),1,_xlfn.XLOOKUP(J3,tbl_points[Place],tbl_points[Points],""))))))</f>
        <v>35</v>
      </c>
      <c r="L3" s="3" t="s">
        <v>410</v>
      </c>
      <c r="M3" s="3">
        <f>IF(L3="","",IF(L3="DNS",0,IF(L3="DQ",0,IF(L3="DNF",1,IF(AND(ISNUMBER(L3),L3&gt;59),1,_xlfn.XLOOKUP(L3,tbl_points[Place],tbl_points[Points],""))))))</f>
        <v>0</v>
      </c>
      <c r="N3" s="3" t="s">
        <v>410</v>
      </c>
      <c r="O3" s="3">
        <f>IF(N3="","",IF(N3="DNS",0,IF(N3="DQ",0,IF(N3="DNF",1,IF(AND(ISNUMBER(N3),N3&gt;59),1,_xlfn.XLOOKUP(N3,tbl_points[Place],tbl_points[Points],""))))))</f>
        <v>0</v>
      </c>
      <c r="P3" s="3" t="s">
        <v>410</v>
      </c>
      <c r="Q3" s="3">
        <f>IF(P3="","",IF(P3="DNS",0,IF(P3="DQ",0,IF(P3="DNF",1,IF(AND(ISNUMBER(P3),P3&gt;59),1,_xlfn.XLOOKUP(P3,tbl_points[Place],tbl_points[Points],""))))))</f>
        <v>0</v>
      </c>
      <c r="S3" s="3" t="str">
        <f>IF(R3="","",IF(R3="DNS",0,IF(R3="DQ",0,IF(R3="DNF",1,IF(AND(ISNUMBER(R3),R3&gt;59),1,_xlfn.XLOOKUP(R3,tbl_points[Place],tbl_points[Points],""))))))</f>
        <v/>
      </c>
      <c r="T3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" s="3">
        <f>tbl_individual[[#This Row],[Total]]</f>
        <v>35</v>
      </c>
    </row>
    <row r="4" spans="1:22" x14ac:dyDescent="0.4">
      <c r="A4" t="s">
        <v>143</v>
      </c>
      <c r="B4" t="s">
        <v>15</v>
      </c>
      <c r="C4" t="s">
        <v>7</v>
      </c>
      <c r="D4" s="3">
        <v>802</v>
      </c>
      <c r="E4" s="3" t="s">
        <v>421</v>
      </c>
      <c r="G4" s="3" t="s">
        <v>403</v>
      </c>
      <c r="H4" s="3" t="s">
        <v>410</v>
      </c>
      <c r="I4" s="3">
        <f>IF(H4="","",IF(H4="DNS",0,IF(H4="DQ",0,IF(H4="DNF",1,IF(AND(ISNUMBER(H4),H4&gt;59),1,_xlfn.XLOOKUP(H4,tbl_points[Place],tbl_points[Points],""))))))</f>
        <v>0</v>
      </c>
      <c r="J4" s="3" t="s">
        <v>410</v>
      </c>
      <c r="K4" s="3">
        <f>IF(J4="","",IF(J4="DNS",0,IF(J4="DQ",0,IF(J4="DNF",1,IF(AND(ISNUMBER(J4),J4&gt;59),1,_xlfn.XLOOKUP(J4,tbl_points[Place],tbl_points[Points],""))))))</f>
        <v>0</v>
      </c>
      <c r="L4" s="3" t="s">
        <v>410</v>
      </c>
      <c r="M4" s="3">
        <f>IF(L4="","",IF(L4="DNS",0,IF(L4="DQ",0,IF(L4="DNF",1,IF(AND(ISNUMBER(L4),L4&gt;59),1,_xlfn.XLOOKUP(L4,tbl_points[Place],tbl_points[Points],""))))))</f>
        <v>0</v>
      </c>
      <c r="N4" s="3" t="s">
        <v>410</v>
      </c>
      <c r="O4" s="3">
        <f>IF(N4="","",IF(N4="DNS",0,IF(N4="DQ",0,IF(N4="DNF",1,IF(AND(ISNUMBER(N4),N4&gt;59),1,_xlfn.XLOOKUP(N4,tbl_points[Place],tbl_points[Points],""))))))</f>
        <v>0</v>
      </c>
      <c r="P4" s="3">
        <v>28</v>
      </c>
      <c r="Q4" s="3">
        <f>IF(P4="","",IF(P4="DNS",0,IF(P4="DQ",0,IF(P4="DNF",1,IF(AND(ISNUMBER(P4),P4&gt;59),1,_xlfn.XLOOKUP(P4,tbl_points[Place],tbl_points[Points],""))))))</f>
        <v>32</v>
      </c>
      <c r="S4" s="3" t="str">
        <f>IF(R4="","",IF(R4="DNS",0,IF(R4="DQ",0,IF(R4="DNF",1,IF(AND(ISNUMBER(R4),R4&gt;59),1,_xlfn.XLOOKUP(R4,tbl_points[Place],tbl_points[Points],""))))))</f>
        <v/>
      </c>
      <c r="T4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" s="3">
        <f>tbl_individual[[#This Row],[Total]]</f>
        <v>32</v>
      </c>
    </row>
    <row r="5" spans="1:22" x14ac:dyDescent="0.4">
      <c r="A5" t="s">
        <v>153</v>
      </c>
      <c r="B5" t="s">
        <v>16</v>
      </c>
      <c r="C5" t="s">
        <v>7</v>
      </c>
      <c r="D5" s="3">
        <v>803</v>
      </c>
      <c r="E5" s="3" t="s">
        <v>421</v>
      </c>
      <c r="G5" s="3" t="s">
        <v>403</v>
      </c>
      <c r="H5" s="3" t="s">
        <v>410</v>
      </c>
      <c r="I5" s="3">
        <f>IF(H5="","",IF(H5="DNS",0,IF(H5="DQ",0,IF(H5="DNF",1,IF(AND(ISNUMBER(H5),H5&gt;59),1,_xlfn.XLOOKUP(H5,tbl_points[Place],tbl_points[Points],""))))))</f>
        <v>0</v>
      </c>
      <c r="J5" s="3">
        <v>31</v>
      </c>
      <c r="K5" s="3">
        <f>IF(J5="","",IF(J5="DNS",0,IF(J5="DQ",0,IF(J5="DNF",1,IF(AND(ISNUMBER(J5),J5&gt;59),1,_xlfn.XLOOKUP(J5,tbl_points[Place],tbl_points[Points],""))))))</f>
        <v>29</v>
      </c>
      <c r="L5" s="3">
        <v>22</v>
      </c>
      <c r="M5" s="3">
        <f>IF(L5="","",IF(L5="DNS",0,IF(L5="DQ",0,IF(L5="DNF",1,IF(AND(ISNUMBER(L5),L5&gt;59),1,_xlfn.XLOOKUP(L5,tbl_points[Place],tbl_points[Points],""))))))</f>
        <v>38</v>
      </c>
      <c r="N5" s="3" t="s">
        <v>410</v>
      </c>
      <c r="O5" s="3">
        <f>IF(N5="","",IF(N5="DNS",0,IF(N5="DQ",0,IF(N5="DNF",1,IF(AND(ISNUMBER(N5),N5&gt;59),1,_xlfn.XLOOKUP(N5,tbl_points[Place],tbl_points[Points],""))))))</f>
        <v>0</v>
      </c>
      <c r="P5" s="3">
        <v>24</v>
      </c>
      <c r="Q5" s="3">
        <f>IF(P5="","",IF(P5="DNS",0,IF(P5="DQ",0,IF(P5="DNF",1,IF(AND(ISNUMBER(P5),P5&gt;59),1,_xlfn.XLOOKUP(P5,tbl_points[Place],tbl_points[Points],""))))))</f>
        <v>36</v>
      </c>
      <c r="S5" s="3" t="str">
        <f>IF(R5="","",IF(R5="DNS",0,IF(R5="DQ",0,IF(R5="DNF",1,IF(AND(ISNUMBER(R5),R5&gt;59),1,_xlfn.XLOOKUP(R5,tbl_points[Place],tbl_points[Points],""))))))</f>
        <v/>
      </c>
      <c r="T5" s="3">
        <f>SUM(tbl_individual[[#This Row],[R1 Pts]],tbl_individual[[#This Row],[R2 Pts]],tbl_individual[[#This Row],[R3 Pts]],tbl_individual[[#This Row],[R4 Pts]],tbl_individual[[#This Row],[R5 Pts]],tbl_individual[[#This Row],[R6 Pts]])</f>
        <v>103</v>
      </c>
      <c r="U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" s="3">
        <f>tbl_individual[[#This Row],[Total]]</f>
        <v>103</v>
      </c>
    </row>
    <row r="6" spans="1:22" x14ac:dyDescent="0.4">
      <c r="A6" t="s">
        <v>154</v>
      </c>
      <c r="B6" t="s">
        <v>16</v>
      </c>
      <c r="C6" t="s">
        <v>7</v>
      </c>
      <c r="D6" s="3">
        <v>804</v>
      </c>
      <c r="E6" s="3" t="s">
        <v>421</v>
      </c>
      <c r="G6" s="3" t="s">
        <v>403</v>
      </c>
      <c r="H6" s="3">
        <v>8</v>
      </c>
      <c r="I6" s="3">
        <f>IF(H6="","",IF(H6="DNS",0,IF(H6="DQ",0,IF(H6="DNF",1,IF(AND(ISNUMBER(H6),H6&gt;59),1,_xlfn.XLOOKUP(H6,tbl_points[Place],tbl_points[Points],""))))))</f>
        <v>65</v>
      </c>
      <c r="J6" s="3">
        <v>5</v>
      </c>
      <c r="K6" s="3">
        <f>IF(J6="","",IF(J6="DNS",0,IF(J6="DQ",0,IF(J6="DNF",1,IF(AND(ISNUMBER(J6),J6&gt;59),1,_xlfn.XLOOKUP(J6,tbl_points[Place],tbl_points[Points],""))))))</f>
        <v>80</v>
      </c>
      <c r="L6" s="3">
        <v>16</v>
      </c>
      <c r="M6" s="3">
        <f>IF(L6="","",IF(L6="DNS",0,IF(L6="DQ",0,IF(L6="DNF",1,IF(AND(ISNUMBER(L6),L6&gt;59),1,_xlfn.XLOOKUP(L6,tbl_points[Place],tbl_points[Points],""))))))</f>
        <v>44</v>
      </c>
      <c r="N6" s="3" t="s">
        <v>410</v>
      </c>
      <c r="O6" s="3">
        <f>IF(N6="","",IF(N6="DNS",0,IF(N6="DQ",0,IF(N6="DNF",1,IF(AND(ISNUMBER(N6),N6&gt;59),1,_xlfn.XLOOKUP(N6,tbl_points[Place],tbl_points[Points],""))))))</f>
        <v>0</v>
      </c>
      <c r="P6" s="3">
        <v>6</v>
      </c>
      <c r="Q6" s="3">
        <f>IF(P6="","",IF(P6="DNS",0,IF(P6="DQ",0,IF(P6="DNF",1,IF(AND(ISNUMBER(P6),P6&gt;59),1,_xlfn.XLOOKUP(P6,tbl_points[Place],tbl_points[Points],""))))))</f>
        <v>75</v>
      </c>
      <c r="S6" s="3" t="str">
        <f>IF(R6="","",IF(R6="DNS",0,IF(R6="DQ",0,IF(R6="DNF",1,IF(AND(ISNUMBER(R6),R6&gt;59),1,_xlfn.XLOOKUP(R6,tbl_points[Place],tbl_points[Points],""))))))</f>
        <v/>
      </c>
      <c r="T6" s="3">
        <f>SUM(tbl_individual[[#This Row],[R1 Pts]],tbl_individual[[#This Row],[R2 Pts]],tbl_individual[[#This Row],[R3 Pts]],tbl_individual[[#This Row],[R4 Pts]],tbl_individual[[#This Row],[R5 Pts]],tbl_individual[[#This Row],[R6 Pts]])</f>
        <v>264</v>
      </c>
      <c r="U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" s="3">
        <f>tbl_individual[[#This Row],[Total]]</f>
        <v>264</v>
      </c>
    </row>
    <row r="7" spans="1:22" x14ac:dyDescent="0.4">
      <c r="A7" t="s">
        <v>171</v>
      </c>
      <c r="B7" t="s">
        <v>18</v>
      </c>
      <c r="C7" t="s">
        <v>7</v>
      </c>
      <c r="D7" s="3">
        <v>806</v>
      </c>
      <c r="E7" s="3" t="s">
        <v>421</v>
      </c>
      <c r="G7" s="3" t="s">
        <v>403</v>
      </c>
      <c r="H7" s="3" t="s">
        <v>410</v>
      </c>
      <c r="I7" s="3">
        <f>IF(H7="","",IF(H7="DNS",0,IF(H7="DQ",0,IF(H7="DNF",1,IF(AND(ISNUMBER(H7),H7&gt;59),1,_xlfn.XLOOKUP(H7,tbl_points[Place],tbl_points[Points],""))))))</f>
        <v>0</v>
      </c>
      <c r="J7" s="3" t="s">
        <v>410</v>
      </c>
      <c r="K7" s="3">
        <f>IF(J7="","",IF(J7="DNS",0,IF(J7="DQ",0,IF(J7="DNF",1,IF(AND(ISNUMBER(J7),J7&gt;59),1,_xlfn.XLOOKUP(J7,tbl_points[Place],tbl_points[Points],""))))))</f>
        <v>0</v>
      </c>
      <c r="L7" s="3">
        <v>37</v>
      </c>
      <c r="M7" s="3">
        <f>IF(L7="","",IF(L7="DNS",0,IF(L7="DQ",0,IF(L7="DNF",1,IF(AND(ISNUMBER(L7),L7&gt;59),1,_xlfn.XLOOKUP(L7,tbl_points[Place],tbl_points[Points],""))))))</f>
        <v>23</v>
      </c>
      <c r="N7" s="3">
        <v>40</v>
      </c>
      <c r="O7" s="3">
        <f>IF(N7="","",IF(N7="DNS",0,IF(N7="DQ",0,IF(N7="DNF",1,IF(AND(ISNUMBER(N7),N7&gt;59),1,_xlfn.XLOOKUP(N7,tbl_points[Place],tbl_points[Points],""))))))</f>
        <v>20</v>
      </c>
      <c r="P7" s="3">
        <v>45</v>
      </c>
      <c r="Q7" s="3">
        <f>IF(P7="","",IF(P7="DNS",0,IF(P7="DQ",0,IF(P7="DNF",1,IF(AND(ISNUMBER(P7),P7&gt;59),1,_xlfn.XLOOKUP(P7,tbl_points[Place],tbl_points[Points],""))))))</f>
        <v>15</v>
      </c>
      <c r="S7" s="3" t="str">
        <f>IF(R7="","",IF(R7="DNS",0,IF(R7="DQ",0,IF(R7="DNF",1,IF(AND(ISNUMBER(R7),R7&gt;59),1,_xlfn.XLOOKUP(R7,tbl_points[Place],tbl_points[Points],""))))))</f>
        <v/>
      </c>
      <c r="T7" s="3">
        <f>SUM(tbl_individual[[#This Row],[R1 Pts]],tbl_individual[[#This Row],[R2 Pts]],tbl_individual[[#This Row],[R3 Pts]],tbl_individual[[#This Row],[R4 Pts]],tbl_individual[[#This Row],[R5 Pts]],tbl_individual[[#This Row],[R6 Pts]])</f>
        <v>58</v>
      </c>
      <c r="U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" s="3">
        <f>tbl_individual[[#This Row],[Total]]</f>
        <v>58</v>
      </c>
    </row>
    <row r="8" spans="1:22" x14ac:dyDescent="0.4">
      <c r="A8" t="s">
        <v>172</v>
      </c>
      <c r="B8" t="s">
        <v>18</v>
      </c>
      <c r="C8" t="s">
        <v>7</v>
      </c>
      <c r="D8" s="3">
        <v>807</v>
      </c>
      <c r="E8" s="3" t="s">
        <v>421</v>
      </c>
      <c r="G8" s="3" t="s">
        <v>403</v>
      </c>
      <c r="H8" s="3" t="s">
        <v>410</v>
      </c>
      <c r="I8" s="3">
        <f>IF(H8="","",IF(H8="DNS",0,IF(H8="DQ",0,IF(H8="DNF",1,IF(AND(ISNUMBER(H8),H8&gt;59),1,_xlfn.XLOOKUP(H8,tbl_points[Place],tbl_points[Points],""))))))</f>
        <v>0</v>
      </c>
      <c r="J8" s="3" t="s">
        <v>410</v>
      </c>
      <c r="K8" s="3">
        <f>IF(J8="","",IF(J8="DNS",0,IF(J8="DQ",0,IF(J8="DNF",1,IF(AND(ISNUMBER(J8),J8&gt;59),1,_xlfn.XLOOKUP(J8,tbl_points[Place],tbl_points[Points],""))))))</f>
        <v>0</v>
      </c>
      <c r="L8" s="3">
        <v>38</v>
      </c>
      <c r="M8" s="3">
        <f>IF(L8="","",IF(L8="DNS",0,IF(L8="DQ",0,IF(L8="DNF",1,IF(AND(ISNUMBER(L8),L8&gt;59),1,_xlfn.XLOOKUP(L8,tbl_points[Place],tbl_points[Points],""))))))</f>
        <v>22</v>
      </c>
      <c r="N8" s="3">
        <v>38</v>
      </c>
      <c r="O8" s="3">
        <f>IF(N8="","",IF(N8="DNS",0,IF(N8="DQ",0,IF(N8="DNF",1,IF(AND(ISNUMBER(N8),N8&gt;59),1,_xlfn.XLOOKUP(N8,tbl_points[Place],tbl_points[Points],""))))))</f>
        <v>22</v>
      </c>
      <c r="P8" s="3" t="s">
        <v>410</v>
      </c>
      <c r="Q8" s="3">
        <f>IF(P8="","",IF(P8="DNS",0,IF(P8="DQ",0,IF(P8="DNF",1,IF(AND(ISNUMBER(P8),P8&gt;59),1,_xlfn.XLOOKUP(P8,tbl_points[Place],tbl_points[Points],""))))))</f>
        <v>0</v>
      </c>
      <c r="S8" s="3" t="str">
        <f>IF(R8="","",IF(R8="DNS",0,IF(R8="DQ",0,IF(R8="DNF",1,IF(AND(ISNUMBER(R8),R8&gt;59),1,_xlfn.XLOOKUP(R8,tbl_points[Place],tbl_points[Points],""))))))</f>
        <v/>
      </c>
      <c r="T8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" s="3">
        <f>tbl_individual[[#This Row],[Total]]</f>
        <v>44</v>
      </c>
    </row>
    <row r="9" spans="1:22" x14ac:dyDescent="0.4">
      <c r="A9" t="s">
        <v>173</v>
      </c>
      <c r="B9" t="s">
        <v>18</v>
      </c>
      <c r="C9" t="s">
        <v>7</v>
      </c>
      <c r="D9" s="3">
        <v>808</v>
      </c>
      <c r="E9" s="3" t="s">
        <v>421</v>
      </c>
      <c r="G9" s="3" t="s">
        <v>403</v>
      </c>
      <c r="H9" s="3" t="s">
        <v>410</v>
      </c>
      <c r="I9" s="3">
        <f>IF(H9="","",IF(H9="DNS",0,IF(H9="DQ",0,IF(H9="DNF",1,IF(AND(ISNUMBER(H9),H9&gt;59),1,_xlfn.XLOOKUP(H9,tbl_points[Place],tbl_points[Points],""))))))</f>
        <v>0</v>
      </c>
      <c r="J9" s="3" t="s">
        <v>410</v>
      </c>
      <c r="K9" s="3">
        <f>IF(J9="","",IF(J9="DNS",0,IF(J9="DQ",0,IF(J9="DNF",1,IF(AND(ISNUMBER(J9),J9&gt;59),1,_xlfn.XLOOKUP(J9,tbl_points[Place],tbl_points[Points],""))))))</f>
        <v>0</v>
      </c>
      <c r="L9" s="3">
        <v>39</v>
      </c>
      <c r="M9" s="3">
        <f>IF(L9="","",IF(L9="DNS",0,IF(L9="DQ",0,IF(L9="DNF",1,IF(AND(ISNUMBER(L9),L9&gt;59),1,_xlfn.XLOOKUP(L9,tbl_points[Place],tbl_points[Points],""))))))</f>
        <v>21</v>
      </c>
      <c r="N9" s="3">
        <v>39</v>
      </c>
      <c r="O9" s="3">
        <f>IF(N9="","",IF(N9="DNS",0,IF(N9="DQ",0,IF(N9="DNF",1,IF(AND(ISNUMBER(N9),N9&gt;59),1,_xlfn.XLOOKUP(N9,tbl_points[Place],tbl_points[Points],""))))))</f>
        <v>21</v>
      </c>
      <c r="P9" s="3">
        <v>44</v>
      </c>
      <c r="Q9" s="3">
        <f>IF(P9="","",IF(P9="DNS",0,IF(P9="DQ",0,IF(P9="DNF",1,IF(AND(ISNUMBER(P9),P9&gt;59),1,_xlfn.XLOOKUP(P9,tbl_points[Place],tbl_points[Points],""))))))</f>
        <v>16</v>
      </c>
      <c r="S9" s="3" t="str">
        <f>IF(R9="","",IF(R9="DNS",0,IF(R9="DQ",0,IF(R9="DNF",1,IF(AND(ISNUMBER(R9),R9&gt;59),1,_xlfn.XLOOKUP(R9,tbl_points[Place],tbl_points[Points],""))))))</f>
        <v/>
      </c>
      <c r="T9" s="3">
        <f>SUM(tbl_individual[[#This Row],[R1 Pts]],tbl_individual[[#This Row],[R2 Pts]],tbl_individual[[#This Row],[R3 Pts]],tbl_individual[[#This Row],[R4 Pts]],tbl_individual[[#This Row],[R5 Pts]],tbl_individual[[#This Row],[R6 Pts]])</f>
        <v>58</v>
      </c>
      <c r="U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" s="3">
        <f>tbl_individual[[#This Row],[Total]]</f>
        <v>58</v>
      </c>
    </row>
    <row r="10" spans="1:22" x14ac:dyDescent="0.4">
      <c r="A10" t="s">
        <v>182</v>
      </c>
      <c r="B10" t="s">
        <v>20</v>
      </c>
      <c r="C10" t="s">
        <v>7</v>
      </c>
      <c r="D10" s="3">
        <v>809</v>
      </c>
      <c r="E10" s="3" t="s">
        <v>421</v>
      </c>
      <c r="G10" s="3" t="s">
        <v>403</v>
      </c>
      <c r="H10" s="3">
        <v>34</v>
      </c>
      <c r="I10" s="3">
        <f>IF(H10="","",IF(H10="DNS",0,IF(H10="DQ",0,IF(H10="DNF",1,IF(AND(ISNUMBER(H10),H10&gt;59),1,_xlfn.XLOOKUP(H10,tbl_points[Place],tbl_points[Points],""))))))</f>
        <v>26</v>
      </c>
      <c r="J10" s="3">
        <v>45</v>
      </c>
      <c r="K10" s="3">
        <f>IF(J10="","",IF(J10="DNS",0,IF(J10="DQ",0,IF(J10="DNF",1,IF(AND(ISNUMBER(J10),J10&gt;59),1,_xlfn.XLOOKUP(J10,tbl_points[Place],tbl_points[Points],""))))))</f>
        <v>15</v>
      </c>
      <c r="L10" s="3">
        <v>33</v>
      </c>
      <c r="M10" s="3">
        <f>IF(L10="","",IF(L10="DNS",0,IF(L10="DQ",0,IF(L10="DNF",1,IF(AND(ISNUMBER(L10),L10&gt;59),1,_xlfn.XLOOKUP(L10,tbl_points[Place],tbl_points[Points],""))))))</f>
        <v>27</v>
      </c>
      <c r="N10" s="3">
        <v>31</v>
      </c>
      <c r="O10" s="3">
        <f>IF(N10="","",IF(N10="DNS",0,IF(N10="DQ",0,IF(N10="DNF",1,IF(AND(ISNUMBER(N10),N10&gt;59),1,_xlfn.XLOOKUP(N10,tbl_points[Place],tbl_points[Points],""))))))</f>
        <v>29</v>
      </c>
      <c r="P10" s="3">
        <v>41</v>
      </c>
      <c r="Q10" s="3">
        <f>IF(P10="","",IF(P10="DNS",0,IF(P10="DQ",0,IF(P10="DNF",1,IF(AND(ISNUMBER(P10),P10&gt;59),1,_xlfn.XLOOKUP(P10,tbl_points[Place],tbl_points[Points],""))))))</f>
        <v>19</v>
      </c>
      <c r="S10" s="3" t="str">
        <f>IF(R10="","",IF(R10="DNS",0,IF(R10="DQ",0,IF(R10="DNF",1,IF(AND(ISNUMBER(R10),R10&gt;59),1,_xlfn.XLOOKUP(R10,tbl_points[Place],tbl_points[Points],""))))))</f>
        <v/>
      </c>
      <c r="T10" s="3">
        <f>SUM(tbl_individual[[#This Row],[R1 Pts]],tbl_individual[[#This Row],[R2 Pts]],tbl_individual[[#This Row],[R3 Pts]],tbl_individual[[#This Row],[R4 Pts]],tbl_individual[[#This Row],[R5 Pts]],tbl_individual[[#This Row],[R6 Pts]])</f>
        <v>116</v>
      </c>
      <c r="U10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10" s="3">
        <f>tbl_individual[[#This Row],[Total]]</f>
        <v>116</v>
      </c>
    </row>
    <row r="11" spans="1:22" x14ac:dyDescent="0.4">
      <c r="A11" t="s">
        <v>183</v>
      </c>
      <c r="B11" t="s">
        <v>20</v>
      </c>
      <c r="C11" t="s">
        <v>7</v>
      </c>
      <c r="D11" s="3">
        <v>810</v>
      </c>
      <c r="E11" s="3" t="s">
        <v>421</v>
      </c>
      <c r="G11" s="3" t="s">
        <v>403</v>
      </c>
      <c r="H11" s="3">
        <v>17</v>
      </c>
      <c r="I11" s="3">
        <f>IF(H11="","",IF(H11="DNS",0,IF(H11="DQ",0,IF(H11="DNF",1,IF(AND(ISNUMBER(H11),H11&gt;59),1,_xlfn.XLOOKUP(H11,tbl_points[Place],tbl_points[Points],""))))))</f>
        <v>43</v>
      </c>
      <c r="J11" s="3">
        <v>18</v>
      </c>
      <c r="K11" s="3">
        <f>IF(J11="","",IF(J11="DNS",0,IF(J11="DQ",0,IF(J11="DNF",1,IF(AND(ISNUMBER(J11),J11&gt;59),1,_xlfn.XLOOKUP(J11,tbl_points[Place],tbl_points[Points],""))))))</f>
        <v>42</v>
      </c>
      <c r="L11" s="3">
        <v>9</v>
      </c>
      <c r="M11" s="3">
        <f>IF(L11="","",IF(L11="DNS",0,IF(L11="DQ",0,IF(L11="DNF",1,IF(AND(ISNUMBER(L11),L11&gt;59),1,_xlfn.XLOOKUP(L11,tbl_points[Place],tbl_points[Points],""))))))</f>
        <v>60</v>
      </c>
      <c r="N11" s="3">
        <v>19</v>
      </c>
      <c r="O11" s="3">
        <f>IF(N11="","",IF(N11="DNS",0,IF(N11="DQ",0,IF(N11="DNF",1,IF(AND(ISNUMBER(N11),N11&gt;59),1,_xlfn.XLOOKUP(N11,tbl_points[Place],tbl_points[Points],""))))))</f>
        <v>41</v>
      </c>
      <c r="P11" s="3">
        <v>20</v>
      </c>
      <c r="Q11" s="3">
        <f>IF(P11="","",IF(P11="DNS",0,IF(P11="DQ",0,IF(P11="DNF",1,IF(AND(ISNUMBER(P11),P11&gt;59),1,_xlfn.XLOOKUP(P11,tbl_points[Place],tbl_points[Points],""))))))</f>
        <v>40</v>
      </c>
      <c r="S11" s="3" t="str">
        <f>IF(R11="","",IF(R11="DNS",0,IF(R11="DQ",0,IF(R11="DNF",1,IF(AND(ISNUMBER(R11),R11&gt;59),1,_xlfn.XLOOKUP(R11,tbl_points[Place],tbl_points[Points],""))))))</f>
        <v/>
      </c>
      <c r="T11" s="3">
        <f>SUM(tbl_individual[[#This Row],[R1 Pts]],tbl_individual[[#This Row],[R2 Pts]],tbl_individual[[#This Row],[R3 Pts]],tbl_individual[[#This Row],[R4 Pts]],tbl_individual[[#This Row],[R5 Pts]],tbl_individual[[#This Row],[R6 Pts]])</f>
        <v>226</v>
      </c>
      <c r="U11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11" s="3">
        <f>tbl_individual[[#This Row],[Total]]</f>
        <v>226</v>
      </c>
    </row>
    <row r="12" spans="1:22" x14ac:dyDescent="0.4">
      <c r="A12" t="s">
        <v>436</v>
      </c>
      <c r="B12" t="s">
        <v>20</v>
      </c>
      <c r="C12" t="s">
        <v>7</v>
      </c>
      <c r="D12" s="3">
        <v>811</v>
      </c>
      <c r="E12" s="3" t="s">
        <v>421</v>
      </c>
      <c r="F12" s="17" t="s">
        <v>438</v>
      </c>
      <c r="G12" s="3" t="s">
        <v>403</v>
      </c>
      <c r="H12" s="3" t="s">
        <v>410</v>
      </c>
      <c r="I12" s="3">
        <f>IF(H12="","",IF(H12="DNS",0,IF(H12="DQ",0,IF(H12="DNF",1,IF(AND(ISNUMBER(H12),H12&gt;59),1,_xlfn.XLOOKUP(H12,tbl_points[Place],tbl_points[Points],""))))))</f>
        <v>0</v>
      </c>
      <c r="J12" s="3" t="s">
        <v>410</v>
      </c>
      <c r="K12" s="3">
        <f>IF(J12="","",IF(J12="DNS",0,IF(J12="DQ",0,IF(J12="DNF",1,IF(AND(ISNUMBER(J12),J12&gt;59),1,_xlfn.XLOOKUP(J12,tbl_points[Place],tbl_points[Points],""))))))</f>
        <v>0</v>
      </c>
      <c r="L12" s="3">
        <v>3</v>
      </c>
      <c r="M12" s="3">
        <f>IF(L12="","",IF(L12="DNS",0,IF(L12="DQ",0,IF(L12="DNF",1,IF(AND(ISNUMBER(L12),L12&gt;59),1,_xlfn.XLOOKUP(L12,tbl_points[Place],tbl_points[Points],""))))))</f>
        <v>90</v>
      </c>
      <c r="N12" s="3">
        <v>12</v>
      </c>
      <c r="O12" s="3">
        <f>IF(N12="","",IF(N12="DNS",0,IF(N12="DQ",0,IF(N12="DNF",1,IF(AND(ISNUMBER(N12),N12&gt;59),1,_xlfn.XLOOKUP(N12,tbl_points[Place],tbl_points[Points],""))))))</f>
        <v>51</v>
      </c>
      <c r="P12" s="3">
        <v>10</v>
      </c>
      <c r="Q12" s="3">
        <f>IF(P12="","",IF(P12="DNS",0,IF(P12="DQ",0,IF(P12="DNF",1,IF(AND(ISNUMBER(P12),P12&gt;59),1,_xlfn.XLOOKUP(P12,tbl_points[Place],tbl_points[Points],""))))))</f>
        <v>55</v>
      </c>
      <c r="S12" s="3" t="str">
        <f>IF(R12="","",IF(R12="DNS",0,IF(R12="DQ",0,IF(R12="DNF",1,IF(AND(ISNUMBER(R12),R12&gt;59),1,_xlfn.XLOOKUP(R12,tbl_points[Place],tbl_points[Points],""))))))</f>
        <v/>
      </c>
      <c r="T12" s="3">
        <f>SUM(tbl_individual[[#This Row],[R1 Pts]],tbl_individual[[#This Row],[R2 Pts]],tbl_individual[[#This Row],[R3 Pts]],tbl_individual[[#This Row],[R4 Pts]],tbl_individual[[#This Row],[R5 Pts]],tbl_individual[[#This Row],[R6 Pts]])</f>
        <v>196</v>
      </c>
      <c r="U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" s="3">
        <f>tbl_individual[[#This Row],[Total]]</f>
        <v>196</v>
      </c>
    </row>
    <row r="13" spans="1:22" x14ac:dyDescent="0.4">
      <c r="A13" t="s">
        <v>185</v>
      </c>
      <c r="B13" t="s">
        <v>20</v>
      </c>
      <c r="C13" t="s">
        <v>7</v>
      </c>
      <c r="D13" s="3">
        <v>812</v>
      </c>
      <c r="E13" s="3" t="s">
        <v>421</v>
      </c>
      <c r="G13" s="3" t="s">
        <v>403</v>
      </c>
      <c r="H13" s="3">
        <v>31</v>
      </c>
      <c r="I13" s="3">
        <f>IF(H13="","",IF(H13="DNS",0,IF(H13="DQ",0,IF(H13="DNF",1,IF(AND(ISNUMBER(H13),H13&gt;59),1,_xlfn.XLOOKUP(H13,tbl_points[Place],tbl_points[Points],""))))))</f>
        <v>29</v>
      </c>
      <c r="J13" s="3">
        <v>26</v>
      </c>
      <c r="K13" s="3">
        <f>IF(J13="","",IF(J13="DNS",0,IF(J13="DQ",0,IF(J13="DNF",1,IF(AND(ISNUMBER(J13),J13&gt;59),1,_xlfn.XLOOKUP(J13,tbl_points[Place],tbl_points[Points],""))))))</f>
        <v>34</v>
      </c>
      <c r="L13" s="3">
        <v>29</v>
      </c>
      <c r="M13" s="3">
        <f>IF(L13="","",IF(L13="DNS",0,IF(L13="DQ",0,IF(L13="DNF",1,IF(AND(ISNUMBER(L13),L13&gt;59),1,_xlfn.XLOOKUP(L13,tbl_points[Place],tbl_points[Points],""))))))</f>
        <v>31</v>
      </c>
      <c r="N13" s="3">
        <v>17</v>
      </c>
      <c r="O13" s="3">
        <f>IF(N13="","",IF(N13="DNS",0,IF(N13="DQ",0,IF(N13="DNF",1,IF(AND(ISNUMBER(N13),N13&gt;59),1,_xlfn.XLOOKUP(N13,tbl_points[Place],tbl_points[Points],""))))))</f>
        <v>43</v>
      </c>
      <c r="P13" s="3">
        <v>31</v>
      </c>
      <c r="Q13" s="3">
        <f>IF(P13="","",IF(P13="DNS",0,IF(P13="DQ",0,IF(P13="DNF",1,IF(AND(ISNUMBER(P13),P13&gt;59),1,_xlfn.XLOOKUP(P13,tbl_points[Place],tbl_points[Points],""))))))</f>
        <v>29</v>
      </c>
      <c r="S13" s="3" t="str">
        <f>IF(R13="","",IF(R13="DNS",0,IF(R13="DQ",0,IF(R13="DNF",1,IF(AND(ISNUMBER(R13),R13&gt;59),1,_xlfn.XLOOKUP(R13,tbl_points[Place],tbl_points[Points],""))))))</f>
        <v/>
      </c>
      <c r="T13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13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3" s="3">
        <f>tbl_individual[[#This Row],[Total]]</f>
        <v>166</v>
      </c>
    </row>
    <row r="14" spans="1:22" x14ac:dyDescent="0.4">
      <c r="A14" t="s">
        <v>235</v>
      </c>
      <c r="B14" t="s">
        <v>22</v>
      </c>
      <c r="C14" t="s">
        <v>7</v>
      </c>
      <c r="D14" s="3">
        <v>813</v>
      </c>
      <c r="E14" s="3" t="s">
        <v>421</v>
      </c>
      <c r="G14" s="3" t="s">
        <v>403</v>
      </c>
      <c r="H14" s="3" t="s">
        <v>410</v>
      </c>
      <c r="I14" s="3">
        <f>IF(H14="","",IF(H14="DNS",0,IF(H14="DQ",0,IF(H14="DNF",1,IF(AND(ISNUMBER(H14),H14&gt;59),1,_xlfn.XLOOKUP(H14,tbl_points[Place],tbl_points[Points],""))))))</f>
        <v>0</v>
      </c>
      <c r="J14" s="3">
        <v>8</v>
      </c>
      <c r="K14" s="3">
        <f>IF(J14="","",IF(J14="DNS",0,IF(J14="DQ",0,IF(J14="DNF",1,IF(AND(ISNUMBER(J14),J14&gt;59),1,_xlfn.XLOOKUP(J14,tbl_points[Place],tbl_points[Points],""))))))</f>
        <v>65</v>
      </c>
      <c r="L14" s="3">
        <v>17</v>
      </c>
      <c r="M14" s="3">
        <f>IF(L14="","",IF(L14="DNS",0,IF(L14="DQ",0,IF(L14="DNF",1,IF(AND(ISNUMBER(L14),L14&gt;59),1,_xlfn.XLOOKUP(L14,tbl_points[Place],tbl_points[Points],""))))))</f>
        <v>43</v>
      </c>
      <c r="N14" s="3" t="s">
        <v>410</v>
      </c>
      <c r="O14" s="3">
        <f>IF(N14="","",IF(N14="DNS",0,IF(N14="DQ",0,IF(N14="DNF",1,IF(AND(ISNUMBER(N14),N14&gt;59),1,_xlfn.XLOOKUP(N14,tbl_points[Place],tbl_points[Points],""))))))</f>
        <v>0</v>
      </c>
      <c r="P14" s="3">
        <v>18</v>
      </c>
      <c r="Q14" s="3">
        <f>IF(P14="","",IF(P14="DNS",0,IF(P14="DQ",0,IF(P14="DNF",1,IF(AND(ISNUMBER(P14),P14&gt;59),1,_xlfn.XLOOKUP(P14,tbl_points[Place],tbl_points[Points],""))))))</f>
        <v>42</v>
      </c>
      <c r="S14" s="3" t="str">
        <f>IF(R14="","",IF(R14="DNS",0,IF(R14="DQ",0,IF(R14="DNF",1,IF(AND(ISNUMBER(R14),R14&gt;59),1,_xlfn.XLOOKUP(R14,tbl_points[Place],tbl_points[Points],""))))))</f>
        <v/>
      </c>
      <c r="T14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" s="3">
        <f>tbl_individual[[#This Row],[Total]]</f>
        <v>150</v>
      </c>
    </row>
    <row r="15" spans="1:22" x14ac:dyDescent="0.4">
      <c r="A15" t="s">
        <v>236</v>
      </c>
      <c r="B15" t="s">
        <v>22</v>
      </c>
      <c r="C15" t="s">
        <v>7</v>
      </c>
      <c r="D15" s="3">
        <v>814</v>
      </c>
      <c r="E15" s="3" t="s">
        <v>421</v>
      </c>
      <c r="G15" s="3" t="s">
        <v>403</v>
      </c>
      <c r="H15" s="3">
        <v>18</v>
      </c>
      <c r="I15" s="3">
        <f>IF(H15="","",IF(H15="DNS",0,IF(H15="DQ",0,IF(H15="DNF",1,IF(AND(ISNUMBER(H15),H15&gt;59),1,_xlfn.XLOOKUP(H15,tbl_points[Place],tbl_points[Points],""))))))</f>
        <v>42</v>
      </c>
      <c r="J15" s="3">
        <v>24</v>
      </c>
      <c r="K15" s="3">
        <f>IF(J15="","",IF(J15="DNS",0,IF(J15="DQ",0,IF(J15="DNF",1,IF(AND(ISNUMBER(J15),J15&gt;59),1,_xlfn.XLOOKUP(J15,tbl_points[Place],tbl_points[Points],""))))))</f>
        <v>36</v>
      </c>
      <c r="L15" s="3">
        <v>18</v>
      </c>
      <c r="M15" s="3">
        <f>IF(L15="","",IF(L15="DNS",0,IF(L15="DQ",0,IF(L15="DNF",1,IF(AND(ISNUMBER(L15),L15&gt;59),1,_xlfn.XLOOKUP(L15,tbl_points[Place],tbl_points[Points],""))))))</f>
        <v>42</v>
      </c>
      <c r="N15" s="3" t="s">
        <v>410</v>
      </c>
      <c r="O15" s="3">
        <f>IF(N15="","",IF(N15="DNS",0,IF(N15="DQ",0,IF(N15="DNF",1,IF(AND(ISNUMBER(N15),N15&gt;59),1,_xlfn.XLOOKUP(N15,tbl_points[Place],tbl_points[Points],""))))))</f>
        <v>0</v>
      </c>
      <c r="P15" s="3">
        <v>32</v>
      </c>
      <c r="Q15" s="3">
        <f>IF(P15="","",IF(P15="DNS",0,IF(P15="DQ",0,IF(P15="DNF",1,IF(AND(ISNUMBER(P15),P15&gt;59),1,_xlfn.XLOOKUP(P15,tbl_points[Place],tbl_points[Points],""))))))</f>
        <v>28</v>
      </c>
      <c r="S15" s="3" t="str">
        <f>IF(R15="","",IF(R15="DNS",0,IF(R15="DQ",0,IF(R15="DNF",1,IF(AND(ISNUMBER(R15),R15&gt;59),1,_xlfn.XLOOKUP(R15,tbl_points[Place],tbl_points[Points],""))))))</f>
        <v/>
      </c>
      <c r="T15" s="3">
        <f>SUM(tbl_individual[[#This Row],[R1 Pts]],tbl_individual[[#This Row],[R2 Pts]],tbl_individual[[#This Row],[R3 Pts]],tbl_individual[[#This Row],[R4 Pts]],tbl_individual[[#This Row],[R5 Pts]],tbl_individual[[#This Row],[R6 Pts]])</f>
        <v>148</v>
      </c>
      <c r="U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" s="3">
        <f>tbl_individual[[#This Row],[Total]]</f>
        <v>148</v>
      </c>
    </row>
    <row r="16" spans="1:22" x14ac:dyDescent="0.4">
      <c r="A16" t="s">
        <v>243</v>
      </c>
      <c r="B16" t="s">
        <v>23</v>
      </c>
      <c r="C16" t="s">
        <v>7</v>
      </c>
      <c r="D16" s="3">
        <v>815</v>
      </c>
      <c r="E16" s="3" t="s">
        <v>421</v>
      </c>
      <c r="G16" s="3" t="s">
        <v>403</v>
      </c>
      <c r="H16" s="3">
        <v>19</v>
      </c>
      <c r="I16" s="3">
        <f>IF(H16="","",IF(H16="DNS",0,IF(H16="DQ",0,IF(H16="DNF",1,IF(AND(ISNUMBER(H16),H16&gt;59),1,_xlfn.XLOOKUP(H16,tbl_points[Place],tbl_points[Points],""))))))</f>
        <v>41</v>
      </c>
      <c r="J16" s="3">
        <v>33</v>
      </c>
      <c r="K16" s="3">
        <f>IF(J16="","",IF(J16="DNS",0,IF(J16="DQ",0,IF(J16="DNF",1,IF(AND(ISNUMBER(J16),J16&gt;59),1,_xlfn.XLOOKUP(J16,tbl_points[Place],tbl_points[Points],""))))))</f>
        <v>27</v>
      </c>
      <c r="L16" s="3">
        <v>24</v>
      </c>
      <c r="M16" s="3">
        <f>IF(L16="","",IF(L16="DNS",0,IF(L16="DQ",0,IF(L16="DNF",1,IF(AND(ISNUMBER(L16),L16&gt;59),1,_xlfn.XLOOKUP(L16,tbl_points[Place],tbl_points[Points],""))))))</f>
        <v>36</v>
      </c>
      <c r="N16" s="3">
        <v>26</v>
      </c>
      <c r="O16" s="3">
        <f>IF(N16="","",IF(N16="DNS",0,IF(N16="DQ",0,IF(N16="DNF",1,IF(AND(ISNUMBER(N16),N16&gt;59),1,_xlfn.XLOOKUP(N16,tbl_points[Place],tbl_points[Points],""))))))</f>
        <v>34</v>
      </c>
      <c r="P16" s="3">
        <v>29</v>
      </c>
      <c r="Q16" s="3">
        <f>IF(P16="","",IF(P16="DNS",0,IF(P16="DQ",0,IF(P16="DNF",1,IF(AND(ISNUMBER(P16),P16&gt;59),1,_xlfn.XLOOKUP(P16,tbl_points[Place],tbl_points[Points],""))))))</f>
        <v>31</v>
      </c>
      <c r="S16" s="3" t="str">
        <f>IF(R16="","",IF(R16="DNS",0,IF(R16="DQ",0,IF(R16="DNF",1,IF(AND(ISNUMBER(R16),R16&gt;59),1,_xlfn.XLOOKUP(R16,tbl_points[Place],tbl_points[Points],""))))))</f>
        <v/>
      </c>
      <c r="T16" s="3">
        <f>SUM(tbl_individual[[#This Row],[R1 Pts]],tbl_individual[[#This Row],[R2 Pts]],tbl_individual[[#This Row],[R3 Pts]],tbl_individual[[#This Row],[R4 Pts]],tbl_individual[[#This Row],[R5 Pts]],tbl_individual[[#This Row],[R6 Pts]])</f>
        <v>169</v>
      </c>
      <c r="U1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6" s="3">
        <f>tbl_individual[[#This Row],[Total]]</f>
        <v>169</v>
      </c>
    </row>
    <row r="17" spans="1:22" x14ac:dyDescent="0.4">
      <c r="A17" t="s">
        <v>244</v>
      </c>
      <c r="B17" t="s">
        <v>23</v>
      </c>
      <c r="C17" t="s">
        <v>7</v>
      </c>
      <c r="D17" s="3">
        <v>816</v>
      </c>
      <c r="E17" s="3" t="s">
        <v>421</v>
      </c>
      <c r="G17" s="3" t="s">
        <v>403</v>
      </c>
      <c r="H17" s="3">
        <v>5</v>
      </c>
      <c r="I17" s="3">
        <f>IF(H17="","",IF(H17="DNS",0,IF(H17="DQ",0,IF(H17="DNF",1,IF(AND(ISNUMBER(H17),H17&gt;59),1,_xlfn.XLOOKUP(H17,tbl_points[Place],tbl_points[Points],""))))))</f>
        <v>80</v>
      </c>
      <c r="J17" s="3">
        <v>1</v>
      </c>
      <c r="K17" s="3">
        <f>IF(J17="","",IF(J17="DNS",0,IF(J17="DQ",0,IF(J17="DNF",1,IF(AND(ISNUMBER(J17),J17&gt;59),1,_xlfn.XLOOKUP(J17,tbl_points[Place],tbl_points[Points],""))))))</f>
        <v>100</v>
      </c>
      <c r="L17" s="3">
        <v>10</v>
      </c>
      <c r="M17" s="3">
        <f>IF(L17="","",IF(L17="DNS",0,IF(L17="DQ",0,IF(L17="DNF",1,IF(AND(ISNUMBER(L17),L17&gt;59),1,_xlfn.XLOOKUP(L17,tbl_points[Place],tbl_points[Points],""))))))</f>
        <v>55</v>
      </c>
      <c r="N17" s="3">
        <v>2</v>
      </c>
      <c r="O17" s="3">
        <f>IF(N17="","",IF(N17="DNS",0,IF(N17="DQ",0,IF(N17="DNF",1,IF(AND(ISNUMBER(N17),N17&gt;59),1,_xlfn.XLOOKUP(N17,tbl_points[Place],tbl_points[Points],""))))))</f>
        <v>95</v>
      </c>
      <c r="P17" s="3">
        <v>2</v>
      </c>
      <c r="Q17" s="3">
        <f>IF(P17="","",IF(P17="DNS",0,IF(P17="DQ",0,IF(P17="DNF",1,IF(AND(ISNUMBER(P17),P17&gt;59),1,_xlfn.XLOOKUP(P17,tbl_points[Place],tbl_points[Points],""))))))</f>
        <v>95</v>
      </c>
      <c r="S17" s="3" t="str">
        <f>IF(R17="","",IF(R17="DNS",0,IF(R17="DQ",0,IF(R17="DNF",1,IF(AND(ISNUMBER(R17),R17&gt;59),1,_xlfn.XLOOKUP(R17,tbl_points[Place],tbl_points[Points],""))))))</f>
        <v/>
      </c>
      <c r="T17" s="3">
        <f>SUM(tbl_individual[[#This Row],[R1 Pts]],tbl_individual[[#This Row],[R2 Pts]],tbl_individual[[#This Row],[R3 Pts]],tbl_individual[[#This Row],[R4 Pts]],tbl_individual[[#This Row],[R5 Pts]],tbl_individual[[#This Row],[R6 Pts]])</f>
        <v>425</v>
      </c>
      <c r="U17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" s="3">
        <f>tbl_individual[[#This Row],[Total]]</f>
        <v>425</v>
      </c>
    </row>
    <row r="18" spans="1:22" x14ac:dyDescent="0.4">
      <c r="A18" t="s">
        <v>245</v>
      </c>
      <c r="B18" t="s">
        <v>23</v>
      </c>
      <c r="C18" t="s">
        <v>7</v>
      </c>
      <c r="D18" s="3">
        <v>817</v>
      </c>
      <c r="E18" s="3" t="s">
        <v>421</v>
      </c>
      <c r="G18" s="3" t="s">
        <v>403</v>
      </c>
      <c r="H18" s="3">
        <v>14</v>
      </c>
      <c r="I18" s="3">
        <f>IF(H18="","",IF(H18="DNS",0,IF(H18="DQ",0,IF(H18="DNF",1,IF(AND(ISNUMBER(H18),H18&gt;59),1,_xlfn.XLOOKUP(H18,tbl_points[Place],tbl_points[Points],""))))))</f>
        <v>47</v>
      </c>
      <c r="J18" s="3">
        <v>12</v>
      </c>
      <c r="K18" s="3">
        <f>IF(J18="","",IF(J18="DNS",0,IF(J18="DQ",0,IF(J18="DNF",1,IF(AND(ISNUMBER(J18),J18&gt;59),1,_xlfn.XLOOKUP(J18,tbl_points[Place],tbl_points[Points],""))))))</f>
        <v>51</v>
      </c>
      <c r="L18" s="3">
        <v>7</v>
      </c>
      <c r="M18" s="3">
        <f>IF(L18="","",IF(L18="DNS",0,IF(L18="DQ",0,IF(L18="DNF",1,IF(AND(ISNUMBER(L18),L18&gt;59),1,_xlfn.XLOOKUP(L18,tbl_points[Place],tbl_points[Points],""))))))</f>
        <v>70</v>
      </c>
      <c r="N18" s="3">
        <v>8</v>
      </c>
      <c r="O18" s="3">
        <f>IF(N18="","",IF(N18="DNS",0,IF(N18="DQ",0,IF(N18="DNF",1,IF(AND(ISNUMBER(N18),N18&gt;59),1,_xlfn.XLOOKUP(N18,tbl_points[Place],tbl_points[Points],""))))))</f>
        <v>65</v>
      </c>
      <c r="P18" s="3">
        <v>12</v>
      </c>
      <c r="Q18" s="3">
        <f>IF(P18="","",IF(P18="DNS",0,IF(P18="DQ",0,IF(P18="DNF",1,IF(AND(ISNUMBER(P18),P18&gt;59),1,_xlfn.XLOOKUP(P18,tbl_points[Place],tbl_points[Points],""))))))</f>
        <v>51</v>
      </c>
      <c r="S18" s="3" t="str">
        <f>IF(R18="","",IF(R18="DNS",0,IF(R18="DQ",0,IF(R18="DNF",1,IF(AND(ISNUMBER(R18),R18&gt;59),1,_xlfn.XLOOKUP(R18,tbl_points[Place],tbl_points[Points],""))))))</f>
        <v/>
      </c>
      <c r="T18" s="3">
        <f>SUM(tbl_individual[[#This Row],[R1 Pts]],tbl_individual[[#This Row],[R2 Pts]],tbl_individual[[#This Row],[R3 Pts]],tbl_individual[[#This Row],[R4 Pts]],tbl_individual[[#This Row],[R5 Pts]],tbl_individual[[#This Row],[R6 Pts]])</f>
        <v>284</v>
      </c>
      <c r="U18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8" s="3">
        <f>tbl_individual[[#This Row],[Total]]</f>
        <v>284</v>
      </c>
    </row>
    <row r="19" spans="1:22" x14ac:dyDescent="0.4">
      <c r="A19" t="s">
        <v>279</v>
      </c>
      <c r="B19" t="s">
        <v>24</v>
      </c>
      <c r="C19" t="s">
        <v>7</v>
      </c>
      <c r="D19" s="3">
        <v>818</v>
      </c>
      <c r="E19" s="3" t="s">
        <v>421</v>
      </c>
      <c r="G19" s="3" t="s">
        <v>407</v>
      </c>
      <c r="H19" s="3">
        <v>30</v>
      </c>
      <c r="I19" s="3">
        <f>IF(H19="","",IF(H19="DNS",0,IF(H19="DQ",0,IF(H19="DNF",1,IF(AND(ISNUMBER(H19),H19&gt;59),1,_xlfn.XLOOKUP(H19,tbl_points[Place],tbl_points[Points],""))))))</f>
        <v>30</v>
      </c>
      <c r="J19" s="3" t="s">
        <v>410</v>
      </c>
      <c r="K19" s="3">
        <f>IF(J19="","",IF(J19="DNS",0,IF(J19="DQ",0,IF(J19="DNF",1,IF(AND(ISNUMBER(J19),J19&gt;59),1,_xlfn.XLOOKUP(J19,tbl_points[Place],tbl_points[Points],""))))))</f>
        <v>0</v>
      </c>
      <c r="L19" s="3">
        <v>30</v>
      </c>
      <c r="M19" s="3">
        <f>IF(L19="","",IF(L19="DNS",0,IF(L19="DQ",0,IF(L19="DNF",1,IF(AND(ISNUMBER(L19),L19&gt;59),1,_xlfn.XLOOKUP(L19,tbl_points[Place],tbl_points[Points],""))))))</f>
        <v>30</v>
      </c>
      <c r="N19" s="3">
        <v>36</v>
      </c>
      <c r="O19" s="3">
        <f>IF(N19="","",IF(N19="DNS",0,IF(N19="DQ",0,IF(N19="DNF",1,IF(AND(ISNUMBER(N19),N19&gt;59),1,_xlfn.XLOOKUP(N19,tbl_points[Place],tbl_points[Points],""))))))</f>
        <v>24</v>
      </c>
      <c r="P19" s="3">
        <v>43</v>
      </c>
      <c r="Q19" s="3">
        <f>IF(P19="","",IF(P19="DNS",0,IF(P19="DQ",0,IF(P19="DNF",1,IF(AND(ISNUMBER(P19),P19&gt;59),1,_xlfn.XLOOKUP(P19,tbl_points[Place],tbl_points[Points],""))))))</f>
        <v>17</v>
      </c>
      <c r="S19" s="3" t="str">
        <f>IF(R19="","",IF(R19="DNS",0,IF(R19="DQ",0,IF(R19="DNF",1,IF(AND(ISNUMBER(R19),R19&gt;59),1,_xlfn.XLOOKUP(R19,tbl_points[Place],tbl_points[Points],""))))))</f>
        <v/>
      </c>
      <c r="T19" s="3">
        <f>SUM(tbl_individual[[#This Row],[R1 Pts]],tbl_individual[[#This Row],[R2 Pts]],tbl_individual[[#This Row],[R3 Pts]],tbl_individual[[#This Row],[R4 Pts]],tbl_individual[[#This Row],[R5 Pts]],tbl_individual[[#This Row],[R6 Pts]])</f>
        <v>101</v>
      </c>
      <c r="U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" s="3">
        <f>tbl_individual[[#This Row],[Total]]</f>
        <v>101</v>
      </c>
    </row>
    <row r="20" spans="1:22" x14ac:dyDescent="0.4">
      <c r="A20" t="s">
        <v>280</v>
      </c>
      <c r="B20" t="s">
        <v>24</v>
      </c>
      <c r="C20" t="s">
        <v>7</v>
      </c>
      <c r="D20" s="3">
        <v>819</v>
      </c>
      <c r="E20" s="3" t="s">
        <v>421</v>
      </c>
      <c r="G20" s="3" t="s">
        <v>403</v>
      </c>
      <c r="H20" s="3">
        <v>28</v>
      </c>
      <c r="I20" s="3">
        <f>IF(H20="","",IF(H20="DNS",0,IF(H20="DQ",0,IF(H20="DNF",1,IF(AND(ISNUMBER(H20),H20&gt;59),1,_xlfn.XLOOKUP(H20,tbl_points[Place],tbl_points[Points],""))))))</f>
        <v>32</v>
      </c>
      <c r="J20" s="3">
        <v>15</v>
      </c>
      <c r="K20" s="3">
        <f>IF(J20="","",IF(J20="DNS",0,IF(J20="DQ",0,IF(J20="DNF",1,IF(AND(ISNUMBER(J20),J20&gt;59),1,_xlfn.XLOOKUP(J20,tbl_points[Place],tbl_points[Points],""))))))</f>
        <v>45</v>
      </c>
      <c r="L20" s="3">
        <v>20</v>
      </c>
      <c r="M20" s="3">
        <f>IF(L20="","",IF(L20="DNS",0,IF(L20="DQ",0,IF(L20="DNF",1,IF(AND(ISNUMBER(L20),L20&gt;59),1,_xlfn.XLOOKUP(L20,tbl_points[Place],tbl_points[Points],""))))))</f>
        <v>40</v>
      </c>
      <c r="N20" s="3">
        <v>15</v>
      </c>
      <c r="O20" s="3">
        <f>IF(N20="","",IF(N20="DNS",0,IF(N20="DQ",0,IF(N20="DNF",1,IF(AND(ISNUMBER(N20),N20&gt;59),1,_xlfn.XLOOKUP(N20,tbl_points[Place],tbl_points[Points],""))))))</f>
        <v>45</v>
      </c>
      <c r="P20" s="3">
        <v>21</v>
      </c>
      <c r="Q20" s="3">
        <f>IF(P20="","",IF(P20="DNS",0,IF(P20="DQ",0,IF(P20="DNF",1,IF(AND(ISNUMBER(P20),P20&gt;59),1,_xlfn.XLOOKUP(P20,tbl_points[Place],tbl_points[Points],""))))))</f>
        <v>39</v>
      </c>
      <c r="S20" s="3" t="str">
        <f>IF(R20="","",IF(R20="DNS",0,IF(R20="DQ",0,IF(R20="DNF",1,IF(AND(ISNUMBER(R20),R20&gt;59),1,_xlfn.XLOOKUP(R20,tbl_points[Place],tbl_points[Points],""))))))</f>
        <v/>
      </c>
      <c r="T20" s="3">
        <f>SUM(tbl_individual[[#This Row],[R1 Pts]],tbl_individual[[#This Row],[R2 Pts]],tbl_individual[[#This Row],[R3 Pts]],tbl_individual[[#This Row],[R4 Pts]],tbl_individual[[#This Row],[R5 Pts]],tbl_individual[[#This Row],[R6 Pts]])</f>
        <v>201</v>
      </c>
      <c r="U20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0" s="3">
        <f>tbl_individual[[#This Row],[Total]]</f>
        <v>201</v>
      </c>
    </row>
    <row r="21" spans="1:22" x14ac:dyDescent="0.4">
      <c r="A21" t="s">
        <v>301</v>
      </c>
      <c r="B21" t="s">
        <v>26</v>
      </c>
      <c r="C21" t="s">
        <v>7</v>
      </c>
      <c r="D21" s="3">
        <v>820</v>
      </c>
      <c r="E21" s="3" t="s">
        <v>421</v>
      </c>
      <c r="G21" s="3" t="s">
        <v>403</v>
      </c>
      <c r="H21" s="3">
        <v>20</v>
      </c>
      <c r="I21" s="3">
        <f>IF(H21="","",IF(H21="DNS",0,IF(H21="DQ",0,IF(H21="DNF",1,IF(AND(ISNUMBER(H21),H21&gt;59),1,_xlfn.XLOOKUP(H21,tbl_points[Place],tbl_points[Points],""))))))</f>
        <v>40</v>
      </c>
      <c r="J21" s="3">
        <v>44</v>
      </c>
      <c r="K21" s="3">
        <f>IF(J21="","",IF(J21="DNS",0,IF(J21="DQ",0,IF(J21="DNF",1,IF(AND(ISNUMBER(J21),J21&gt;59),1,_xlfn.XLOOKUP(J21,tbl_points[Place],tbl_points[Points],""))))))</f>
        <v>16</v>
      </c>
      <c r="L21" s="3" t="s">
        <v>410</v>
      </c>
      <c r="M21" s="3">
        <f>IF(L21="","",IF(L21="DNS",0,IF(L21="DQ",0,IF(L21="DNF",1,IF(AND(ISNUMBER(L21),L21&gt;59),1,_xlfn.XLOOKUP(L21,tbl_points[Place],tbl_points[Points],""))))))</f>
        <v>0</v>
      </c>
      <c r="N21" s="3">
        <v>33</v>
      </c>
      <c r="O21" s="3">
        <f>IF(N21="","",IF(N21="DNS",0,IF(N21="DQ",0,IF(N21="DNF",1,IF(AND(ISNUMBER(N21),N21&gt;59),1,_xlfn.XLOOKUP(N21,tbl_points[Place],tbl_points[Points],""))))))</f>
        <v>27</v>
      </c>
      <c r="P21" s="3">
        <v>46</v>
      </c>
      <c r="Q21" s="3">
        <f>IF(P21="","",IF(P21="DNS",0,IF(P21="DQ",0,IF(P21="DNF",1,IF(AND(ISNUMBER(P21),P21&gt;59),1,_xlfn.XLOOKUP(P21,tbl_points[Place],tbl_points[Points],""))))))</f>
        <v>14</v>
      </c>
      <c r="S21" s="3" t="str">
        <f>IF(R21="","",IF(R21="DNS",0,IF(R21="DQ",0,IF(R21="DNF",1,IF(AND(ISNUMBER(R21),R21&gt;59),1,_xlfn.XLOOKUP(R21,tbl_points[Place],tbl_points[Points],""))))))</f>
        <v/>
      </c>
      <c r="T21" s="3">
        <f>SUM(tbl_individual[[#This Row],[R1 Pts]],tbl_individual[[#This Row],[R2 Pts]],tbl_individual[[#This Row],[R3 Pts]],tbl_individual[[#This Row],[R4 Pts]],tbl_individual[[#This Row],[R5 Pts]],tbl_individual[[#This Row],[R6 Pts]])</f>
        <v>97</v>
      </c>
      <c r="U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" s="3">
        <f>tbl_individual[[#This Row],[Total]]</f>
        <v>97</v>
      </c>
    </row>
    <row r="22" spans="1:22" x14ac:dyDescent="0.4">
      <c r="A22" t="s">
        <v>302</v>
      </c>
      <c r="B22" t="s">
        <v>26</v>
      </c>
      <c r="C22" t="s">
        <v>7</v>
      </c>
      <c r="D22" s="3">
        <v>821</v>
      </c>
      <c r="E22" s="3" t="s">
        <v>421</v>
      </c>
      <c r="G22" s="3" t="s">
        <v>403</v>
      </c>
      <c r="H22" s="3">
        <v>24</v>
      </c>
      <c r="I22" s="3">
        <f>IF(H22="","",IF(H22="DNS",0,IF(H22="DQ",0,IF(H22="DNF",1,IF(AND(ISNUMBER(H22),H22&gt;59),1,_xlfn.XLOOKUP(H22,tbl_points[Place],tbl_points[Points],""))))))</f>
        <v>36</v>
      </c>
      <c r="J22" s="3">
        <v>28</v>
      </c>
      <c r="K22" s="3">
        <f>IF(J22="","",IF(J22="DNS",0,IF(J22="DQ",0,IF(J22="DNF",1,IF(AND(ISNUMBER(J22),J22&gt;59),1,_xlfn.XLOOKUP(J22,tbl_points[Place],tbl_points[Points],""))))))</f>
        <v>32</v>
      </c>
      <c r="L22" s="3">
        <v>23</v>
      </c>
      <c r="M22" s="3">
        <f>IF(L22="","",IF(L22="DNS",0,IF(L22="DQ",0,IF(L22="DNF",1,IF(AND(ISNUMBER(L22),L22&gt;59),1,_xlfn.XLOOKUP(L22,tbl_points[Place],tbl_points[Points],""))))))</f>
        <v>37</v>
      </c>
      <c r="N22" s="3">
        <v>9</v>
      </c>
      <c r="O22" s="3">
        <f>IF(N22="","",IF(N22="DNS",0,IF(N22="DQ",0,IF(N22="DNF",1,IF(AND(ISNUMBER(N22),N22&gt;59),1,_xlfn.XLOOKUP(N22,tbl_points[Place],tbl_points[Points],""))))))</f>
        <v>60</v>
      </c>
      <c r="P22" s="3">
        <v>19</v>
      </c>
      <c r="Q22" s="3">
        <f>IF(P22="","",IF(P22="DNS",0,IF(P22="DQ",0,IF(P22="DNF",1,IF(AND(ISNUMBER(P22),P22&gt;59),1,_xlfn.XLOOKUP(P22,tbl_points[Place],tbl_points[Points],""))))))</f>
        <v>41</v>
      </c>
      <c r="S22" s="3" t="str">
        <f>IF(R22="","",IF(R22="DNS",0,IF(R22="DQ",0,IF(R22="DNF",1,IF(AND(ISNUMBER(R22),R22&gt;59),1,_xlfn.XLOOKUP(R22,tbl_points[Place],tbl_points[Points],""))))))</f>
        <v/>
      </c>
      <c r="T22" s="3">
        <f>SUM(tbl_individual[[#This Row],[R1 Pts]],tbl_individual[[#This Row],[R2 Pts]],tbl_individual[[#This Row],[R3 Pts]],tbl_individual[[#This Row],[R4 Pts]],tbl_individual[[#This Row],[R5 Pts]],tbl_individual[[#This Row],[R6 Pts]])</f>
        <v>206</v>
      </c>
      <c r="U2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2" s="3">
        <f>tbl_individual[[#This Row],[Total]]</f>
        <v>206</v>
      </c>
    </row>
    <row r="23" spans="1:22" x14ac:dyDescent="0.4">
      <c r="A23" t="s">
        <v>303</v>
      </c>
      <c r="B23" t="s">
        <v>26</v>
      </c>
      <c r="C23" t="s">
        <v>7</v>
      </c>
      <c r="D23" s="3">
        <v>822</v>
      </c>
      <c r="E23" s="3" t="s">
        <v>421</v>
      </c>
      <c r="G23" s="3" t="s">
        <v>403</v>
      </c>
      <c r="H23" s="3">
        <v>27</v>
      </c>
      <c r="I23" s="3">
        <f>IF(H23="","",IF(H23="DNS",0,IF(H23="DQ",0,IF(H23="DNF",1,IF(AND(ISNUMBER(H23),H23&gt;59),1,_xlfn.XLOOKUP(H23,tbl_points[Place],tbl_points[Points],""))))))</f>
        <v>33</v>
      </c>
      <c r="J23" s="3">
        <v>42</v>
      </c>
      <c r="K23" s="3">
        <f>IF(J23="","",IF(J23="DNS",0,IF(J23="DQ",0,IF(J23="DNF",1,IF(AND(ISNUMBER(J23),J23&gt;59),1,_xlfn.XLOOKUP(J23,tbl_points[Place],tbl_points[Points],""))))))</f>
        <v>18</v>
      </c>
      <c r="L23" s="3">
        <v>26</v>
      </c>
      <c r="M23" s="3">
        <f>IF(L23="","",IF(L23="DNS",0,IF(L23="DQ",0,IF(L23="DNF",1,IF(AND(ISNUMBER(L23),L23&gt;59),1,_xlfn.XLOOKUP(L23,tbl_points[Place],tbl_points[Points],""))))))</f>
        <v>34</v>
      </c>
      <c r="N23" s="3">
        <v>30</v>
      </c>
      <c r="O23" s="3">
        <f>IF(N23="","",IF(N23="DNS",0,IF(N23="DQ",0,IF(N23="DNF",1,IF(AND(ISNUMBER(N23),N23&gt;59),1,_xlfn.XLOOKUP(N23,tbl_points[Place],tbl_points[Points],""))))))</f>
        <v>30</v>
      </c>
      <c r="P23" s="3">
        <v>39</v>
      </c>
      <c r="Q23" s="3">
        <f>IF(P23="","",IF(P23="DNS",0,IF(P23="DQ",0,IF(P23="DNF",1,IF(AND(ISNUMBER(P23),P23&gt;59),1,_xlfn.XLOOKUP(P23,tbl_points[Place],tbl_points[Points],""))))))</f>
        <v>21</v>
      </c>
      <c r="S23" s="3" t="str">
        <f>IF(R23="","",IF(R23="DNS",0,IF(R23="DQ",0,IF(R23="DNF",1,IF(AND(ISNUMBER(R23),R23&gt;59),1,_xlfn.XLOOKUP(R23,tbl_points[Place],tbl_points[Points],""))))))</f>
        <v/>
      </c>
      <c r="T23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23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23" s="3">
        <f>tbl_individual[[#This Row],[Total]]</f>
        <v>136</v>
      </c>
    </row>
    <row r="24" spans="1:22" x14ac:dyDescent="0.4">
      <c r="A24" t="s">
        <v>304</v>
      </c>
      <c r="B24" t="s">
        <v>26</v>
      </c>
      <c r="C24" t="s">
        <v>7</v>
      </c>
      <c r="D24" s="3">
        <v>823</v>
      </c>
      <c r="E24" s="3" t="s">
        <v>421</v>
      </c>
      <c r="G24" s="3" t="s">
        <v>403</v>
      </c>
      <c r="H24" s="3">
        <v>12</v>
      </c>
      <c r="I24" s="3">
        <f>IF(H24="","",IF(H24="DNS",0,IF(H24="DQ",0,IF(H24="DNF",1,IF(AND(ISNUMBER(H24),H24&gt;59),1,_xlfn.XLOOKUP(H24,tbl_points[Place],tbl_points[Points],""))))))</f>
        <v>51</v>
      </c>
      <c r="J24" s="3">
        <v>37</v>
      </c>
      <c r="K24" s="3">
        <f>IF(J24="","",IF(J24="DNS",0,IF(J24="DQ",0,IF(J24="DNF",1,IF(AND(ISNUMBER(J24),J24&gt;59),1,_xlfn.XLOOKUP(J24,tbl_points[Place],tbl_points[Points],""))))))</f>
        <v>23</v>
      </c>
      <c r="L24" s="3">
        <v>12</v>
      </c>
      <c r="M24" s="3">
        <f>IF(L24="","",IF(L24="DNS",0,IF(L24="DQ",0,IF(L24="DNF",1,IF(AND(ISNUMBER(L24),L24&gt;59),1,_xlfn.XLOOKUP(L24,tbl_points[Place],tbl_points[Points],""))))))</f>
        <v>51</v>
      </c>
      <c r="N24" s="3">
        <v>27</v>
      </c>
      <c r="O24" s="3">
        <f>IF(N24="","",IF(N24="DNS",0,IF(N24="DQ",0,IF(N24="DNF",1,IF(AND(ISNUMBER(N24),N24&gt;59),1,_xlfn.XLOOKUP(N24,tbl_points[Place],tbl_points[Points],""))))))</f>
        <v>33</v>
      </c>
      <c r="P24" s="3">
        <v>34</v>
      </c>
      <c r="Q24" s="3">
        <f>IF(P24="","",IF(P24="DNS",0,IF(P24="DQ",0,IF(P24="DNF",1,IF(AND(ISNUMBER(P24),P24&gt;59),1,_xlfn.XLOOKUP(P24,tbl_points[Place],tbl_points[Points],""))))))</f>
        <v>26</v>
      </c>
      <c r="S24" s="3" t="str">
        <f>IF(R24="","",IF(R24="DNS",0,IF(R24="DQ",0,IF(R24="DNF",1,IF(AND(ISNUMBER(R24),R24&gt;59),1,_xlfn.XLOOKUP(R24,tbl_points[Place],tbl_points[Points],""))))))</f>
        <v/>
      </c>
      <c r="T24" s="3">
        <f>SUM(tbl_individual[[#This Row],[R1 Pts]],tbl_individual[[#This Row],[R2 Pts]],tbl_individual[[#This Row],[R3 Pts]],tbl_individual[[#This Row],[R4 Pts]],tbl_individual[[#This Row],[R5 Pts]],tbl_individual[[#This Row],[R6 Pts]])</f>
        <v>184</v>
      </c>
      <c r="U24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4" s="3">
        <f>tbl_individual[[#This Row],[Total]]</f>
        <v>184</v>
      </c>
    </row>
    <row r="25" spans="1:22" x14ac:dyDescent="0.4">
      <c r="A25" t="s">
        <v>312</v>
      </c>
      <c r="B25" t="s">
        <v>27</v>
      </c>
      <c r="C25" t="s">
        <v>7</v>
      </c>
      <c r="D25" s="3">
        <v>824</v>
      </c>
      <c r="E25" s="3" t="s">
        <v>421</v>
      </c>
      <c r="G25" s="3" t="s">
        <v>403</v>
      </c>
      <c r="H25" s="3">
        <v>10</v>
      </c>
      <c r="I25" s="3">
        <f>IF(H25="","",IF(H25="DNS",0,IF(H25="DQ",0,IF(H25="DNF",1,IF(AND(ISNUMBER(H25),H25&gt;59),1,_xlfn.XLOOKUP(H25,tbl_points[Place],tbl_points[Points],""))))))</f>
        <v>55</v>
      </c>
      <c r="J25" s="3">
        <v>23</v>
      </c>
      <c r="K25" s="3">
        <f>IF(J25="","",IF(J25="DNS",0,IF(J25="DQ",0,IF(J25="DNF",1,IF(AND(ISNUMBER(J25),J25&gt;59),1,_xlfn.XLOOKUP(J25,tbl_points[Place],tbl_points[Points],""))))))</f>
        <v>37</v>
      </c>
      <c r="L25" s="3">
        <v>13</v>
      </c>
      <c r="M25" s="3">
        <f>IF(L25="","",IF(L25="DNS",0,IF(L25="DQ",0,IF(L25="DNF",1,IF(AND(ISNUMBER(L25),L25&gt;59),1,_xlfn.XLOOKUP(L25,tbl_points[Place],tbl_points[Points],""))))))</f>
        <v>49</v>
      </c>
      <c r="N25" s="3">
        <v>14</v>
      </c>
      <c r="O25" s="3">
        <f>IF(N25="","",IF(N25="DNS",0,IF(N25="DQ",0,IF(N25="DNF",1,IF(AND(ISNUMBER(N25),N25&gt;59),1,_xlfn.XLOOKUP(N25,tbl_points[Place],tbl_points[Points],""))))))</f>
        <v>47</v>
      </c>
      <c r="P25" s="3" t="s">
        <v>410</v>
      </c>
      <c r="Q25" s="3">
        <f>IF(P25="","",IF(P25="DNS",0,IF(P25="DQ",0,IF(P25="DNF",1,IF(AND(ISNUMBER(P25),P25&gt;59),1,_xlfn.XLOOKUP(P25,tbl_points[Place],tbl_points[Points],""))))))</f>
        <v>0</v>
      </c>
      <c r="S25" s="3" t="str">
        <f>IF(R25="","",IF(R25="DNS",0,IF(R25="DQ",0,IF(R25="DNF",1,IF(AND(ISNUMBER(R25),R25&gt;59),1,_xlfn.XLOOKUP(R25,tbl_points[Place],tbl_points[Points],""))))))</f>
        <v/>
      </c>
      <c r="T25" s="3">
        <f>SUM(tbl_individual[[#This Row],[R1 Pts]],tbl_individual[[#This Row],[R2 Pts]],tbl_individual[[#This Row],[R3 Pts]],tbl_individual[[#This Row],[R4 Pts]],tbl_individual[[#This Row],[R5 Pts]],tbl_individual[[#This Row],[R6 Pts]])</f>
        <v>188</v>
      </c>
      <c r="U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" s="3">
        <f>tbl_individual[[#This Row],[Total]]</f>
        <v>188</v>
      </c>
    </row>
    <row r="26" spans="1:22" x14ac:dyDescent="0.4">
      <c r="A26" t="s">
        <v>313</v>
      </c>
      <c r="B26" t="s">
        <v>27</v>
      </c>
      <c r="C26" t="s">
        <v>7</v>
      </c>
      <c r="D26" s="3">
        <v>825</v>
      </c>
      <c r="E26" s="3" t="s">
        <v>421</v>
      </c>
      <c r="G26" s="3" t="s">
        <v>403</v>
      </c>
      <c r="H26" s="3">
        <v>13</v>
      </c>
      <c r="I26" s="3">
        <f>IF(H26="","",IF(H26="DNS",0,IF(H26="DQ",0,IF(H26="DNF",1,IF(AND(ISNUMBER(H26),H26&gt;59),1,_xlfn.XLOOKUP(H26,tbl_points[Place],tbl_points[Points],""))))))</f>
        <v>49</v>
      </c>
      <c r="J26" s="3">
        <v>17</v>
      </c>
      <c r="K26" s="3">
        <f>IF(J26="","",IF(J26="DNS",0,IF(J26="DQ",0,IF(J26="DNF",1,IF(AND(ISNUMBER(J26),J26&gt;59),1,_xlfn.XLOOKUP(J26,tbl_points[Place],tbl_points[Points],""))))))</f>
        <v>43</v>
      </c>
      <c r="L26" s="3">
        <v>31</v>
      </c>
      <c r="M26" s="3">
        <f>IF(L26="","",IF(L26="DNS",0,IF(L26="DQ",0,IF(L26="DNF",1,IF(AND(ISNUMBER(L26),L26&gt;59),1,_xlfn.XLOOKUP(L26,tbl_points[Place],tbl_points[Points],""))))))</f>
        <v>29</v>
      </c>
      <c r="N26" s="3">
        <v>35</v>
      </c>
      <c r="O26" s="3">
        <f>IF(N26="","",IF(N26="DNS",0,IF(N26="DQ",0,IF(N26="DNF",1,IF(AND(ISNUMBER(N26),N26&gt;59),1,_xlfn.XLOOKUP(N26,tbl_points[Place],tbl_points[Points],""))))))</f>
        <v>25</v>
      </c>
      <c r="P26" s="3" t="s">
        <v>410</v>
      </c>
      <c r="Q26" s="3">
        <f>IF(P26="","",IF(P26="DNS",0,IF(P26="DQ",0,IF(P26="DNF",1,IF(AND(ISNUMBER(P26),P26&gt;59),1,_xlfn.XLOOKUP(P26,tbl_points[Place],tbl_points[Points],""))))))</f>
        <v>0</v>
      </c>
      <c r="S26" s="3" t="str">
        <f>IF(R26="","",IF(R26="DNS",0,IF(R26="DQ",0,IF(R26="DNF",1,IF(AND(ISNUMBER(R26),R26&gt;59),1,_xlfn.XLOOKUP(R26,tbl_points[Place],tbl_points[Points],""))))))</f>
        <v/>
      </c>
      <c r="T26" s="3">
        <f>SUM(tbl_individual[[#This Row],[R1 Pts]],tbl_individual[[#This Row],[R2 Pts]],tbl_individual[[#This Row],[R3 Pts]],tbl_individual[[#This Row],[R4 Pts]],tbl_individual[[#This Row],[R5 Pts]],tbl_individual[[#This Row],[R6 Pts]])</f>
        <v>146</v>
      </c>
      <c r="U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" s="3">
        <f>tbl_individual[[#This Row],[Total]]</f>
        <v>146</v>
      </c>
    </row>
    <row r="27" spans="1:22" x14ac:dyDescent="0.4">
      <c r="A27" t="s">
        <v>330</v>
      </c>
      <c r="B27" t="s">
        <v>28</v>
      </c>
      <c r="C27" t="s">
        <v>7</v>
      </c>
      <c r="D27" s="3">
        <v>826</v>
      </c>
      <c r="E27" s="3" t="s">
        <v>421</v>
      </c>
      <c r="G27" s="3" t="s">
        <v>403</v>
      </c>
      <c r="H27" s="3">
        <v>16</v>
      </c>
      <c r="I27" s="3">
        <f>IF(H27="","",IF(H27="DNS",0,IF(H27="DQ",0,IF(H27="DNF",1,IF(AND(ISNUMBER(H27),H27&gt;59),1,_xlfn.XLOOKUP(H27,tbl_points[Place],tbl_points[Points],""))))))</f>
        <v>44</v>
      </c>
      <c r="J27" s="3">
        <v>6</v>
      </c>
      <c r="K27" s="3">
        <f>IF(J27="","",IF(J27="DNS",0,IF(J27="DQ",0,IF(J27="DNF",1,IF(AND(ISNUMBER(J27),J27&gt;59),1,_xlfn.XLOOKUP(J27,tbl_points[Place],tbl_points[Points],""))))))</f>
        <v>75</v>
      </c>
      <c r="L27" s="3">
        <v>14</v>
      </c>
      <c r="M27" s="3">
        <f>IF(L27="","",IF(L27="DNS",0,IF(L27="DQ",0,IF(L27="DNF",1,IF(AND(ISNUMBER(L27),L27&gt;59),1,_xlfn.XLOOKUP(L27,tbl_points[Place],tbl_points[Points],""))))))</f>
        <v>47</v>
      </c>
      <c r="N27" s="3">
        <v>4</v>
      </c>
      <c r="O27" s="3">
        <f>IF(N27="","",IF(N27="DNS",0,IF(N27="DQ",0,IF(N27="DNF",1,IF(AND(ISNUMBER(N27),N27&gt;59),1,_xlfn.XLOOKUP(N27,tbl_points[Place],tbl_points[Points],""))))))</f>
        <v>85</v>
      </c>
      <c r="P27" s="3">
        <v>25</v>
      </c>
      <c r="Q27" s="3">
        <f>IF(P27="","",IF(P27="DNS",0,IF(P27="DQ",0,IF(P27="DNF",1,IF(AND(ISNUMBER(P27),P27&gt;59),1,_xlfn.XLOOKUP(P27,tbl_points[Place],tbl_points[Points],""))))))</f>
        <v>35</v>
      </c>
      <c r="S27" s="3" t="str">
        <f>IF(R27="","",IF(R27="DNS",0,IF(R27="DQ",0,IF(R27="DNF",1,IF(AND(ISNUMBER(R27),R27&gt;59),1,_xlfn.XLOOKUP(R27,tbl_points[Place],tbl_points[Points],""))))))</f>
        <v/>
      </c>
      <c r="T27" s="3">
        <f>SUM(tbl_individual[[#This Row],[R1 Pts]],tbl_individual[[#This Row],[R2 Pts]],tbl_individual[[#This Row],[R3 Pts]],tbl_individual[[#This Row],[R4 Pts]],tbl_individual[[#This Row],[R5 Pts]],tbl_individual[[#This Row],[R6 Pts]])</f>
        <v>286</v>
      </c>
      <c r="U27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27" s="3">
        <f>tbl_individual[[#This Row],[Total]]</f>
        <v>286</v>
      </c>
    </row>
    <row r="28" spans="1:22" x14ac:dyDescent="0.4">
      <c r="A28" t="s">
        <v>331</v>
      </c>
      <c r="B28" t="s">
        <v>28</v>
      </c>
      <c r="C28" t="s">
        <v>7</v>
      </c>
      <c r="D28" s="3">
        <v>827</v>
      </c>
      <c r="E28" s="3" t="s">
        <v>421</v>
      </c>
      <c r="G28" s="3" t="s">
        <v>407</v>
      </c>
      <c r="H28" s="3">
        <v>35</v>
      </c>
      <c r="I28" s="3">
        <f>IF(H28="","",IF(H28="DNS",0,IF(H28="DQ",0,IF(H28="DNF",1,IF(AND(ISNUMBER(H28),H28&gt;59),1,_xlfn.XLOOKUP(H28,tbl_points[Place],tbl_points[Points],""))))))</f>
        <v>25</v>
      </c>
      <c r="J28" s="3" t="s">
        <v>410</v>
      </c>
      <c r="K28" s="3">
        <f>IF(J28="","",IF(J28="DNS",0,IF(J28="DQ",0,IF(J28="DNF",1,IF(AND(ISNUMBER(J28),J28&gt;59),1,_xlfn.XLOOKUP(J28,tbl_points[Place],tbl_points[Points],""))))))</f>
        <v>0</v>
      </c>
      <c r="L28" s="3">
        <v>34</v>
      </c>
      <c r="M28" s="3">
        <f>IF(L28="","",IF(L28="DNS",0,IF(L28="DQ",0,IF(L28="DNF",1,IF(AND(ISNUMBER(L28),L28&gt;59),1,_xlfn.XLOOKUP(L28,tbl_points[Place],tbl_points[Points],""))))))</f>
        <v>26</v>
      </c>
      <c r="N28" s="3" t="s">
        <v>410</v>
      </c>
      <c r="O28" s="3">
        <f>IF(N28="","",IF(N28="DNS",0,IF(N28="DQ",0,IF(N28="DNF",1,IF(AND(ISNUMBER(N28),N28&gt;59),1,_xlfn.XLOOKUP(N28,tbl_points[Place],tbl_points[Points],""))))))</f>
        <v>0</v>
      </c>
      <c r="P28" s="3" t="s">
        <v>410</v>
      </c>
      <c r="Q28" s="3">
        <f>IF(P28="","",IF(P28="DNS",0,IF(P28="DQ",0,IF(P28="DNF",1,IF(AND(ISNUMBER(P28),P28&gt;59),1,_xlfn.XLOOKUP(P28,tbl_points[Place],tbl_points[Points],""))))))</f>
        <v>0</v>
      </c>
      <c r="S28" s="3" t="str">
        <f>IF(R28="","",IF(R28="DNS",0,IF(R28="DQ",0,IF(R28="DNF",1,IF(AND(ISNUMBER(R28),R28&gt;59),1,_xlfn.XLOOKUP(R28,tbl_points[Place],tbl_points[Points],""))))))</f>
        <v/>
      </c>
      <c r="T28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" s="3">
        <f>tbl_individual[[#This Row],[Total]]</f>
        <v>51</v>
      </c>
    </row>
    <row r="29" spans="1:22" x14ac:dyDescent="0.4">
      <c r="A29" t="s">
        <v>332</v>
      </c>
      <c r="B29" t="s">
        <v>28</v>
      </c>
      <c r="C29" t="s">
        <v>7</v>
      </c>
      <c r="D29" s="3">
        <v>828</v>
      </c>
      <c r="E29" s="3" t="s">
        <v>421</v>
      </c>
      <c r="G29" s="3" t="s">
        <v>407</v>
      </c>
      <c r="H29" s="3">
        <v>36</v>
      </c>
      <c r="I29" s="3">
        <f>IF(H29="","",IF(H29="DNS",0,IF(H29="DQ",0,IF(H29="DNF",1,IF(AND(ISNUMBER(H29),H29&gt;59),1,_xlfn.XLOOKUP(H29,tbl_points[Place],tbl_points[Points],""))))))</f>
        <v>24</v>
      </c>
      <c r="J29" s="3" t="s">
        <v>410</v>
      </c>
      <c r="K29" s="3">
        <f>IF(J29="","",IF(J29="DNS",0,IF(J29="DQ",0,IF(J29="DNF",1,IF(AND(ISNUMBER(J29),J29&gt;59),1,_xlfn.XLOOKUP(J29,tbl_points[Place],tbl_points[Points],""))))))</f>
        <v>0</v>
      </c>
      <c r="L29" s="3">
        <v>36</v>
      </c>
      <c r="M29" s="3">
        <f>IF(L29="","",IF(L29="DNS",0,IF(L29="DQ",0,IF(L29="DNF",1,IF(AND(ISNUMBER(L29),L29&gt;59),1,_xlfn.XLOOKUP(L29,tbl_points[Place],tbl_points[Points],""))))))</f>
        <v>24</v>
      </c>
      <c r="N29" s="3" t="s">
        <v>410</v>
      </c>
      <c r="O29" s="3">
        <f>IF(N29="","",IF(N29="DNS",0,IF(N29="DQ",0,IF(N29="DNF",1,IF(AND(ISNUMBER(N29),N29&gt;59),1,_xlfn.XLOOKUP(N29,tbl_points[Place],tbl_points[Points],""))))))</f>
        <v>0</v>
      </c>
      <c r="P29" s="3" t="s">
        <v>410</v>
      </c>
      <c r="Q29" s="3">
        <f>IF(P29="","",IF(P29="DNS",0,IF(P29="DQ",0,IF(P29="DNF",1,IF(AND(ISNUMBER(P29),P29&gt;59),1,_xlfn.XLOOKUP(P29,tbl_points[Place],tbl_points[Points],""))))))</f>
        <v>0</v>
      </c>
      <c r="S29" s="3" t="str">
        <f>IF(R29="","",IF(R29="DNS",0,IF(R29="DQ",0,IF(R29="DNF",1,IF(AND(ISNUMBER(R29),R29&gt;59),1,_xlfn.XLOOKUP(R29,tbl_points[Place],tbl_points[Points],""))))))</f>
        <v/>
      </c>
      <c r="T29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" s="3">
        <f>tbl_individual[[#This Row],[Total]]</f>
        <v>48</v>
      </c>
    </row>
    <row r="30" spans="1:22" x14ac:dyDescent="0.4">
      <c r="A30" t="s">
        <v>333</v>
      </c>
      <c r="B30" t="s">
        <v>28</v>
      </c>
      <c r="C30" t="s">
        <v>7</v>
      </c>
      <c r="D30" s="3">
        <v>829</v>
      </c>
      <c r="E30" s="3" t="s">
        <v>421</v>
      </c>
      <c r="G30" s="3" t="s">
        <v>403</v>
      </c>
      <c r="H30" s="3">
        <v>21</v>
      </c>
      <c r="I30" s="3">
        <f>IF(H30="","",IF(H30="DNS",0,IF(H30="DQ",0,IF(H30="DNF",1,IF(AND(ISNUMBER(H30),H30&gt;59),1,_xlfn.XLOOKUP(H30,tbl_points[Place],tbl_points[Points],""))))))</f>
        <v>39</v>
      </c>
      <c r="J30" s="3">
        <v>21</v>
      </c>
      <c r="K30" s="3">
        <f>IF(J30="","",IF(J30="DNS",0,IF(J30="DQ",0,IF(J30="DNF",1,IF(AND(ISNUMBER(J30),J30&gt;59),1,_xlfn.XLOOKUP(J30,tbl_points[Place],tbl_points[Points],""))))))</f>
        <v>39</v>
      </c>
      <c r="L30" s="3">
        <v>15</v>
      </c>
      <c r="M30" s="3">
        <f>IF(L30="","",IF(L30="DNS",0,IF(L30="DQ",0,IF(L30="DNF",1,IF(AND(ISNUMBER(L30),L30&gt;59),1,_xlfn.XLOOKUP(L30,tbl_points[Place],tbl_points[Points],""))))))</f>
        <v>45</v>
      </c>
      <c r="N30" s="3">
        <v>18</v>
      </c>
      <c r="O30" s="3">
        <f>IF(N30="","",IF(N30="DNS",0,IF(N30="DQ",0,IF(N30="DNF",1,IF(AND(ISNUMBER(N30),N30&gt;59),1,_xlfn.XLOOKUP(N30,tbl_points[Place],tbl_points[Points],""))))))</f>
        <v>42</v>
      </c>
      <c r="P30" s="3">
        <v>27</v>
      </c>
      <c r="Q30" s="3">
        <f>IF(P30="","",IF(P30="DNS",0,IF(P30="DQ",0,IF(P30="DNF",1,IF(AND(ISNUMBER(P30),P30&gt;59),1,_xlfn.XLOOKUP(P30,tbl_points[Place],tbl_points[Points],""))))))</f>
        <v>33</v>
      </c>
      <c r="S30" s="3" t="str">
        <f>IF(R30="","",IF(R30="DNS",0,IF(R30="DQ",0,IF(R30="DNF",1,IF(AND(ISNUMBER(R30),R30&gt;59),1,_xlfn.XLOOKUP(R30,tbl_points[Place],tbl_points[Points],""))))))</f>
        <v/>
      </c>
      <c r="T30" s="3">
        <f>SUM(tbl_individual[[#This Row],[R1 Pts]],tbl_individual[[#This Row],[R2 Pts]],tbl_individual[[#This Row],[R3 Pts]],tbl_individual[[#This Row],[R4 Pts]],tbl_individual[[#This Row],[R5 Pts]],tbl_individual[[#This Row],[R6 Pts]])</f>
        <v>198</v>
      </c>
      <c r="U30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30" s="3">
        <f>tbl_individual[[#This Row],[Total]]</f>
        <v>198</v>
      </c>
    </row>
    <row r="31" spans="1:22" x14ac:dyDescent="0.4">
      <c r="A31" t="s">
        <v>349</v>
      </c>
      <c r="B31" t="s">
        <v>29</v>
      </c>
      <c r="C31" t="s">
        <v>7</v>
      </c>
      <c r="D31" s="3">
        <v>831</v>
      </c>
      <c r="E31" s="3" t="s">
        <v>421</v>
      </c>
      <c r="G31" s="3" t="s">
        <v>403</v>
      </c>
      <c r="H31" s="3">
        <v>6</v>
      </c>
      <c r="I31" s="3">
        <f>IF(H31="","",IF(H31="DNS",0,IF(H31="DQ",0,IF(H31="DNF",1,IF(AND(ISNUMBER(H31),H31&gt;59),1,_xlfn.XLOOKUP(H31,tbl_points[Place],tbl_points[Points],""))))))</f>
        <v>75</v>
      </c>
      <c r="J31" s="3">
        <v>13</v>
      </c>
      <c r="K31" s="3">
        <f>IF(J31="","",IF(J31="DNS",0,IF(J31="DQ",0,IF(J31="DNF",1,IF(AND(ISNUMBER(J31),J31&gt;59),1,_xlfn.XLOOKUP(J31,tbl_points[Place],tbl_points[Points],""))))))</f>
        <v>49</v>
      </c>
      <c r="L31" s="3">
        <v>5</v>
      </c>
      <c r="M31" s="3">
        <f>IF(L31="","",IF(L31="DNS",0,IF(L31="DQ",0,IF(L31="DNF",1,IF(AND(ISNUMBER(L31),L31&gt;59),1,_xlfn.XLOOKUP(L31,tbl_points[Place],tbl_points[Points],""))))))</f>
        <v>80</v>
      </c>
      <c r="N31" s="3">
        <v>6</v>
      </c>
      <c r="O31" s="3">
        <f>IF(N31="","",IF(N31="DNS",0,IF(N31="DQ",0,IF(N31="DNF",1,IF(AND(ISNUMBER(N31),N31&gt;59),1,_xlfn.XLOOKUP(N31,tbl_points[Place],tbl_points[Points],""))))))</f>
        <v>75</v>
      </c>
      <c r="P31" s="3">
        <v>4</v>
      </c>
      <c r="Q31" s="3">
        <f>IF(P31="","",IF(P31="DNS",0,IF(P31="DQ",0,IF(P31="DNF",1,IF(AND(ISNUMBER(P31),P31&gt;59),1,_xlfn.XLOOKUP(P31,tbl_points[Place],tbl_points[Points],""))))))</f>
        <v>85</v>
      </c>
      <c r="S31" s="3" t="str">
        <f>IF(R31="","",IF(R31="DNS",0,IF(R31="DQ",0,IF(R31="DNF",1,IF(AND(ISNUMBER(R31),R31&gt;59),1,_xlfn.XLOOKUP(R31,tbl_points[Place],tbl_points[Points],""))))))</f>
        <v/>
      </c>
      <c r="T31" s="3">
        <f>SUM(tbl_individual[[#This Row],[R1 Pts]],tbl_individual[[#This Row],[R2 Pts]],tbl_individual[[#This Row],[R3 Pts]],tbl_individual[[#This Row],[R4 Pts]],tbl_individual[[#This Row],[R5 Pts]],tbl_individual[[#This Row],[R6 Pts]])</f>
        <v>364</v>
      </c>
      <c r="U31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1" s="3">
        <f>tbl_individual[[#This Row],[Total]]</f>
        <v>364</v>
      </c>
    </row>
    <row r="32" spans="1:22" x14ac:dyDescent="0.4">
      <c r="A32" t="s">
        <v>350</v>
      </c>
      <c r="B32" t="s">
        <v>29</v>
      </c>
      <c r="C32" t="s">
        <v>7</v>
      </c>
      <c r="D32" s="3">
        <v>832</v>
      </c>
      <c r="E32" s="3" t="s">
        <v>421</v>
      </c>
      <c r="G32" s="3" t="s">
        <v>403</v>
      </c>
      <c r="H32" s="3">
        <v>7</v>
      </c>
      <c r="I32" s="3">
        <f>IF(H32="","",IF(H32="DNS",0,IF(H32="DQ",0,IF(H32="DNF",1,IF(AND(ISNUMBER(H32),H32&gt;59),1,_xlfn.XLOOKUP(H32,tbl_points[Place],tbl_points[Points],""))))))</f>
        <v>70</v>
      </c>
      <c r="J32" s="3">
        <v>7</v>
      </c>
      <c r="K32" s="3">
        <f>IF(J32="","",IF(J32="DNS",0,IF(J32="DQ",0,IF(J32="DNF",1,IF(AND(ISNUMBER(J32),J32&gt;59),1,_xlfn.XLOOKUP(J32,tbl_points[Place],tbl_points[Points],""))))))</f>
        <v>70</v>
      </c>
      <c r="L32" s="3">
        <v>6</v>
      </c>
      <c r="M32" s="3">
        <f>IF(L32="","",IF(L32="DNS",0,IF(L32="DQ",0,IF(L32="DNF",1,IF(AND(ISNUMBER(L32),L32&gt;59),1,_xlfn.XLOOKUP(L32,tbl_points[Place],tbl_points[Points],""))))))</f>
        <v>75</v>
      </c>
      <c r="N32" s="3">
        <v>11</v>
      </c>
      <c r="O32" s="3">
        <f>IF(N32="","",IF(N32="DNS",0,IF(N32="DQ",0,IF(N32="DNF",1,IF(AND(ISNUMBER(N32),N32&gt;59),1,_xlfn.XLOOKUP(N32,tbl_points[Place],tbl_points[Points],""))))))</f>
        <v>53</v>
      </c>
      <c r="P32" s="3">
        <v>13</v>
      </c>
      <c r="Q32" s="3">
        <f>IF(P32="","",IF(P32="DNS",0,IF(P32="DQ",0,IF(P32="DNF",1,IF(AND(ISNUMBER(P32),P32&gt;59),1,_xlfn.XLOOKUP(P32,tbl_points[Place],tbl_points[Points],""))))))</f>
        <v>49</v>
      </c>
      <c r="S32" s="3" t="str">
        <f>IF(R32="","",IF(R32="DNS",0,IF(R32="DQ",0,IF(R32="DNF",1,IF(AND(ISNUMBER(R32),R32&gt;59),1,_xlfn.XLOOKUP(R32,tbl_points[Place],tbl_points[Points],""))))))</f>
        <v/>
      </c>
      <c r="T32" s="3">
        <f>SUM(tbl_individual[[#This Row],[R1 Pts]],tbl_individual[[#This Row],[R2 Pts]],tbl_individual[[#This Row],[R3 Pts]],tbl_individual[[#This Row],[R4 Pts]],tbl_individual[[#This Row],[R5 Pts]],tbl_individual[[#This Row],[R6 Pts]])</f>
        <v>317</v>
      </c>
      <c r="U32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2" s="3">
        <f>tbl_individual[[#This Row],[Total]]</f>
        <v>317</v>
      </c>
    </row>
    <row r="33" spans="1:22" x14ac:dyDescent="0.4">
      <c r="A33" t="s">
        <v>354</v>
      </c>
      <c r="B33" t="s">
        <v>30</v>
      </c>
      <c r="C33" t="s">
        <v>7</v>
      </c>
      <c r="D33" s="3">
        <v>833</v>
      </c>
      <c r="E33" s="3" t="s">
        <v>421</v>
      </c>
      <c r="G33" s="3" t="s">
        <v>403</v>
      </c>
      <c r="H33" s="3">
        <v>15</v>
      </c>
      <c r="I33" s="3">
        <f>IF(H33="","",IF(H33="DNS",0,IF(H33="DQ",0,IF(H33="DNF",1,IF(AND(ISNUMBER(H33),H33&gt;59),1,_xlfn.XLOOKUP(H33,tbl_points[Place],tbl_points[Points],""))))))</f>
        <v>45</v>
      </c>
      <c r="J33" s="3">
        <v>16</v>
      </c>
      <c r="K33" s="3">
        <f>IF(J33="","",IF(J33="DNS",0,IF(J33="DQ",0,IF(J33="DNF",1,IF(AND(ISNUMBER(J33),J33&gt;59),1,_xlfn.XLOOKUP(J33,tbl_points[Place],tbl_points[Points],""))))))</f>
        <v>44</v>
      </c>
      <c r="L33" s="3" t="s">
        <v>410</v>
      </c>
      <c r="M33" s="3">
        <f>IF(L33="","",IF(L33="DNS",0,IF(L33="DQ",0,IF(L33="DNF",1,IF(AND(ISNUMBER(L33),L33&gt;59),1,_xlfn.XLOOKUP(L33,tbl_points[Place],tbl_points[Points],""))))))</f>
        <v>0</v>
      </c>
      <c r="N33" s="3">
        <v>34</v>
      </c>
      <c r="O33" s="3">
        <f>IF(N33="","",IF(N33="DNS",0,IF(N33="DQ",0,IF(N33="DNF",1,IF(AND(ISNUMBER(N33),N33&gt;59),1,_xlfn.XLOOKUP(N33,tbl_points[Place],tbl_points[Points],""))))))</f>
        <v>26</v>
      </c>
      <c r="P33" s="3">
        <v>22</v>
      </c>
      <c r="Q33" s="3">
        <f>IF(P33="","",IF(P33="DNS",0,IF(P33="DQ",0,IF(P33="DNF",1,IF(AND(ISNUMBER(P33),P33&gt;59),1,_xlfn.XLOOKUP(P33,tbl_points[Place],tbl_points[Points],""))))))</f>
        <v>38</v>
      </c>
      <c r="S33" s="3" t="str">
        <f>IF(R33="","",IF(R33="DNS",0,IF(R33="DQ",0,IF(R33="DNF",1,IF(AND(ISNUMBER(R33),R33&gt;59),1,_xlfn.XLOOKUP(R33,tbl_points[Place],tbl_points[Points],""))))))</f>
        <v/>
      </c>
      <c r="T33" s="3">
        <f>SUM(tbl_individual[[#This Row],[R1 Pts]],tbl_individual[[#This Row],[R2 Pts]],tbl_individual[[#This Row],[R3 Pts]],tbl_individual[[#This Row],[R4 Pts]],tbl_individual[[#This Row],[R5 Pts]],tbl_individual[[#This Row],[R6 Pts]])</f>
        <v>153</v>
      </c>
      <c r="U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" s="3">
        <f>tbl_individual[[#This Row],[Total]]</f>
        <v>153</v>
      </c>
    </row>
    <row r="34" spans="1:22" x14ac:dyDescent="0.4">
      <c r="A34" t="s">
        <v>355</v>
      </c>
      <c r="B34" t="s">
        <v>30</v>
      </c>
      <c r="C34" t="s">
        <v>7</v>
      </c>
      <c r="D34" s="3">
        <v>834</v>
      </c>
      <c r="E34" s="3" t="s">
        <v>421</v>
      </c>
      <c r="G34" s="3" t="s">
        <v>403</v>
      </c>
      <c r="H34" s="3" t="s">
        <v>410</v>
      </c>
      <c r="I34" s="3">
        <f>IF(H34="","",IF(H34="DNS",0,IF(H34="DQ",0,IF(H34="DNF",1,IF(AND(ISNUMBER(H34),H34&gt;59),1,_xlfn.XLOOKUP(H34,tbl_points[Place],tbl_points[Points],""))))))</f>
        <v>0</v>
      </c>
      <c r="J34" s="3">
        <v>4</v>
      </c>
      <c r="K34" s="3">
        <f>IF(J34="","",IF(J34="DNS",0,IF(J34="DQ",0,IF(J34="DNF",1,IF(AND(ISNUMBER(J34),J34&gt;59),1,_xlfn.XLOOKUP(J34,tbl_points[Place],tbl_points[Points],""))))))</f>
        <v>85</v>
      </c>
      <c r="L34" s="3" t="s">
        <v>410</v>
      </c>
      <c r="M34" s="3">
        <f>IF(L34="","",IF(L34="DNS",0,IF(L34="DQ",0,IF(L34="DNF",1,IF(AND(ISNUMBER(L34),L34&gt;59),1,_xlfn.XLOOKUP(L34,tbl_points[Place],tbl_points[Points],""))))))</f>
        <v>0</v>
      </c>
      <c r="N34" s="3" t="s">
        <v>410</v>
      </c>
      <c r="O34" s="3">
        <f>IF(N34="","",IF(N34="DNS",0,IF(N34="DQ",0,IF(N34="DNF",1,IF(AND(ISNUMBER(N34),N34&gt;59),1,_xlfn.XLOOKUP(N34,tbl_points[Place],tbl_points[Points],""))))))</f>
        <v>0</v>
      </c>
      <c r="P34" s="3">
        <v>8</v>
      </c>
      <c r="Q34" s="3">
        <f>IF(P34="","",IF(P34="DNS",0,IF(P34="DQ",0,IF(P34="DNF",1,IF(AND(ISNUMBER(P34),P34&gt;59),1,_xlfn.XLOOKUP(P34,tbl_points[Place],tbl_points[Points],""))))))</f>
        <v>65</v>
      </c>
      <c r="S34" s="3" t="str">
        <f>IF(R34="","",IF(R34="DNS",0,IF(R34="DQ",0,IF(R34="DNF",1,IF(AND(ISNUMBER(R34),R34&gt;59),1,_xlfn.XLOOKUP(R34,tbl_points[Place],tbl_points[Points],""))))))</f>
        <v/>
      </c>
      <c r="T34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" s="3">
        <f>tbl_individual[[#This Row],[Total]]</f>
        <v>150</v>
      </c>
    </row>
    <row r="35" spans="1:22" x14ac:dyDescent="0.4">
      <c r="A35" t="s">
        <v>356</v>
      </c>
      <c r="B35" t="s">
        <v>30</v>
      </c>
      <c r="C35" t="s">
        <v>7</v>
      </c>
      <c r="D35" s="3">
        <v>835</v>
      </c>
      <c r="E35" s="3" t="s">
        <v>421</v>
      </c>
      <c r="G35" s="3" t="s">
        <v>403</v>
      </c>
      <c r="H35" s="3" t="s">
        <v>410</v>
      </c>
      <c r="I35" s="3">
        <f>IF(H35="","",IF(H35="DNS",0,IF(H35="DQ",0,IF(H35="DNF",1,IF(AND(ISNUMBER(H35),H35&gt;59),1,_xlfn.XLOOKUP(H35,tbl_points[Place],tbl_points[Points],""))))))</f>
        <v>0</v>
      </c>
      <c r="J35" s="3">
        <v>14</v>
      </c>
      <c r="K35" s="3">
        <f>IF(J35="","",IF(J35="DNS",0,IF(J35="DQ",0,IF(J35="DNF",1,IF(AND(ISNUMBER(J35),J35&gt;59),1,_xlfn.XLOOKUP(J35,tbl_points[Place],tbl_points[Points],""))))))</f>
        <v>47</v>
      </c>
      <c r="L35" s="3">
        <v>11</v>
      </c>
      <c r="M35" s="3">
        <f>IF(L35="","",IF(L35="DNS",0,IF(L35="DQ",0,IF(L35="DNF",1,IF(AND(ISNUMBER(L35),L35&gt;59),1,_xlfn.XLOOKUP(L35,tbl_points[Place],tbl_points[Points],""))))))</f>
        <v>53</v>
      </c>
      <c r="N35" s="3">
        <v>13</v>
      </c>
      <c r="O35" s="3">
        <f>IF(N35="","",IF(N35="DNS",0,IF(N35="DQ",0,IF(N35="DNF",1,IF(AND(ISNUMBER(N35),N35&gt;59),1,_xlfn.XLOOKUP(N35,tbl_points[Place],tbl_points[Points],""))))))</f>
        <v>49</v>
      </c>
      <c r="P35" s="3">
        <v>11</v>
      </c>
      <c r="Q35" s="3">
        <f>IF(P35="","",IF(P35="DNS",0,IF(P35="DQ",0,IF(P35="DNF",1,IF(AND(ISNUMBER(P35),P35&gt;59),1,_xlfn.XLOOKUP(P35,tbl_points[Place],tbl_points[Points],""))))))</f>
        <v>53</v>
      </c>
      <c r="S35" s="3" t="str">
        <f>IF(R35="","",IF(R35="DNS",0,IF(R35="DQ",0,IF(R35="DNF",1,IF(AND(ISNUMBER(R35),R35&gt;59),1,_xlfn.XLOOKUP(R35,tbl_points[Place],tbl_points[Points],""))))))</f>
        <v/>
      </c>
      <c r="T35" s="3">
        <f>SUM(tbl_individual[[#This Row],[R1 Pts]],tbl_individual[[#This Row],[R2 Pts]],tbl_individual[[#This Row],[R3 Pts]],tbl_individual[[#This Row],[R4 Pts]],tbl_individual[[#This Row],[R5 Pts]],tbl_individual[[#This Row],[R6 Pts]])</f>
        <v>202</v>
      </c>
      <c r="U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" s="3">
        <f>tbl_individual[[#This Row],[Total]]</f>
        <v>202</v>
      </c>
    </row>
    <row r="36" spans="1:22" x14ac:dyDescent="0.4">
      <c r="A36" t="s">
        <v>357</v>
      </c>
      <c r="B36" t="s">
        <v>30</v>
      </c>
      <c r="C36" t="s">
        <v>7</v>
      </c>
      <c r="D36" s="3">
        <v>836</v>
      </c>
      <c r="E36" s="3" t="s">
        <v>421</v>
      </c>
      <c r="G36" s="3" t="s">
        <v>407</v>
      </c>
      <c r="H36" s="3">
        <v>32</v>
      </c>
      <c r="I36" s="3">
        <f>IF(H36="","",IF(H36="DNS",0,IF(H36="DQ",0,IF(H36="DNF",1,IF(AND(ISNUMBER(H36),H36&gt;59),1,_xlfn.XLOOKUP(H36,tbl_points[Place],tbl_points[Points],""))))))</f>
        <v>28</v>
      </c>
      <c r="J36" s="3" t="s">
        <v>410</v>
      </c>
      <c r="K36" s="3">
        <f>IF(J36="","",IF(J36="DNS",0,IF(J36="DQ",0,IF(J36="DNF",1,IF(AND(ISNUMBER(J36),J36&gt;59),1,_xlfn.XLOOKUP(J36,tbl_points[Place],tbl_points[Points],""))))))</f>
        <v>0</v>
      </c>
      <c r="L36" s="3">
        <v>32</v>
      </c>
      <c r="M36" s="3">
        <f>IF(L36="","",IF(L36="DNS",0,IF(L36="DQ",0,IF(L36="DNF",1,IF(AND(ISNUMBER(L36),L36&gt;59),1,_xlfn.XLOOKUP(L36,tbl_points[Place],tbl_points[Points],""))))))</f>
        <v>28</v>
      </c>
      <c r="N36" s="3" t="s">
        <v>410</v>
      </c>
      <c r="O36" s="3">
        <f>IF(N36="","",IF(N36="DNS",0,IF(N36="DQ",0,IF(N36="DNF",1,IF(AND(ISNUMBER(N36),N36&gt;59),1,_xlfn.XLOOKUP(N36,tbl_points[Place],tbl_points[Points],""))))))</f>
        <v>0</v>
      </c>
      <c r="P36" s="3" t="s">
        <v>410</v>
      </c>
      <c r="Q36" s="3">
        <f>IF(P36="","",IF(P36="DNS",0,IF(P36="DQ",0,IF(P36="DNF",1,IF(AND(ISNUMBER(P36),P36&gt;59),1,_xlfn.XLOOKUP(P36,tbl_points[Place],tbl_points[Points],""))))))</f>
        <v>0</v>
      </c>
      <c r="S36" s="3" t="str">
        <f>IF(R36="","",IF(R36="DNS",0,IF(R36="DQ",0,IF(R36="DNF",1,IF(AND(ISNUMBER(R36),R36&gt;59),1,_xlfn.XLOOKUP(R36,tbl_points[Place],tbl_points[Points],""))))))</f>
        <v/>
      </c>
      <c r="T36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" s="3">
        <f>tbl_individual[[#This Row],[Total]]</f>
        <v>56</v>
      </c>
    </row>
    <row r="37" spans="1:22" x14ac:dyDescent="0.4">
      <c r="A37" t="s">
        <v>169</v>
      </c>
      <c r="B37" t="s">
        <v>17</v>
      </c>
      <c r="C37" t="s">
        <v>7</v>
      </c>
      <c r="D37" s="3">
        <v>837</v>
      </c>
      <c r="E37" s="3" t="s">
        <v>421</v>
      </c>
      <c r="G37" s="3" t="s">
        <v>403</v>
      </c>
      <c r="H37" s="3">
        <v>1</v>
      </c>
      <c r="I37" s="3">
        <f>IF(H37="","",IF(H37="DNS",0,IF(H37="DQ",0,IF(H37="DNF",1,IF(AND(ISNUMBER(H37),H37&gt;59),1,_xlfn.XLOOKUP(H37,tbl_points[Place],tbl_points[Points],""))))))</f>
        <v>100</v>
      </c>
      <c r="J37" s="3">
        <v>2</v>
      </c>
      <c r="K37" s="3">
        <f>IF(J37="","",IF(J37="DNS",0,IF(J37="DQ",0,IF(J37="DNF",1,IF(AND(ISNUMBER(J37),J37&gt;59),1,_xlfn.XLOOKUP(J37,tbl_points[Place],tbl_points[Points],""))))))</f>
        <v>95</v>
      </c>
      <c r="L37" s="3" t="s">
        <v>410</v>
      </c>
      <c r="M37" s="3">
        <f>IF(L37="","",IF(L37="DNS",0,IF(L37="DQ",0,IF(L37="DNF",1,IF(AND(ISNUMBER(L37),L37&gt;59),1,_xlfn.XLOOKUP(L37,tbl_points[Place],tbl_points[Points],""))))))</f>
        <v>0</v>
      </c>
      <c r="N37" s="3">
        <v>1</v>
      </c>
      <c r="O37" s="3">
        <f>IF(N37="","",IF(N37="DNS",0,IF(N37="DQ",0,IF(N37="DNF",1,IF(AND(ISNUMBER(N37),N37&gt;59),1,_xlfn.XLOOKUP(N37,tbl_points[Place],tbl_points[Points],""))))))</f>
        <v>100</v>
      </c>
      <c r="P37" s="3">
        <v>1</v>
      </c>
      <c r="Q37" s="3">
        <f>IF(P37="","",IF(P37="DNS",0,IF(P37="DQ",0,IF(P37="DNF",1,IF(AND(ISNUMBER(P37),P37&gt;59),1,_xlfn.XLOOKUP(P37,tbl_points[Place],tbl_points[Points],""))))))</f>
        <v>100</v>
      </c>
      <c r="S37" s="3" t="str">
        <f>IF(R37="","",IF(R37="DNS",0,IF(R37="DQ",0,IF(R37="DNF",1,IF(AND(ISNUMBER(R37),R37&gt;59),1,_xlfn.XLOOKUP(R37,tbl_points[Place],tbl_points[Points],""))))))</f>
        <v/>
      </c>
      <c r="T37" s="3">
        <f>SUM(tbl_individual[[#This Row],[R1 Pts]],tbl_individual[[#This Row],[R2 Pts]],tbl_individual[[#This Row],[R3 Pts]],tbl_individual[[#This Row],[R4 Pts]],tbl_individual[[#This Row],[R5 Pts]],tbl_individual[[#This Row],[R6 Pts]])</f>
        <v>395</v>
      </c>
      <c r="U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7" s="3">
        <f>tbl_individual[[#This Row],[Total]]</f>
        <v>395</v>
      </c>
    </row>
    <row r="38" spans="1:22" x14ac:dyDescent="0.4">
      <c r="A38" t="s">
        <v>170</v>
      </c>
      <c r="B38" t="s">
        <v>17</v>
      </c>
      <c r="C38" t="s">
        <v>7</v>
      </c>
      <c r="D38" s="3">
        <v>838</v>
      </c>
      <c r="E38" s="3" t="s">
        <v>421</v>
      </c>
      <c r="G38" s="3" t="s">
        <v>403</v>
      </c>
      <c r="H38" s="3">
        <v>2</v>
      </c>
      <c r="I38" s="3">
        <f>IF(H38="","",IF(H38="DNS",0,IF(H38="DQ",0,IF(H38="DNF",1,IF(AND(ISNUMBER(H38),H38&gt;59),1,_xlfn.XLOOKUP(H38,tbl_points[Place],tbl_points[Points],""))))))</f>
        <v>95</v>
      </c>
      <c r="J38" s="3">
        <v>9</v>
      </c>
      <c r="K38" s="3">
        <f>IF(J38="","",IF(J38="DNS",0,IF(J38="DQ",0,IF(J38="DNF",1,IF(AND(ISNUMBER(J38),J38&gt;59),1,_xlfn.XLOOKUP(J38,tbl_points[Place],tbl_points[Points],""))))))</f>
        <v>60</v>
      </c>
      <c r="L38" s="3">
        <v>4</v>
      </c>
      <c r="M38" s="3">
        <f>IF(L38="","",IF(L38="DNS",0,IF(L38="DQ",0,IF(L38="DNF",1,IF(AND(ISNUMBER(L38),L38&gt;59),1,_xlfn.XLOOKUP(L38,tbl_points[Place],tbl_points[Points],""))))))</f>
        <v>85</v>
      </c>
      <c r="N38" s="3">
        <v>5</v>
      </c>
      <c r="O38" s="3">
        <f>IF(N38="","",IF(N38="DNS",0,IF(N38="DQ",0,IF(N38="DNF",1,IF(AND(ISNUMBER(N38),N38&gt;59),1,_xlfn.XLOOKUP(N38,tbl_points[Place],tbl_points[Points],""))))))</f>
        <v>80</v>
      </c>
      <c r="P38" s="3">
        <v>5</v>
      </c>
      <c r="Q38" s="3">
        <f>IF(P38="","",IF(P38="DNS",0,IF(P38="DQ",0,IF(P38="DNF",1,IF(AND(ISNUMBER(P38),P38&gt;59),1,_xlfn.XLOOKUP(P38,tbl_points[Place],tbl_points[Points],""))))))</f>
        <v>80</v>
      </c>
      <c r="S38" s="3" t="str">
        <f>IF(R38="","",IF(R38="DNS",0,IF(R38="DQ",0,IF(R38="DNF",1,IF(AND(ISNUMBER(R38),R38&gt;59),1,_xlfn.XLOOKUP(R38,tbl_points[Place],tbl_points[Points],""))))))</f>
        <v/>
      </c>
      <c r="T38" s="3">
        <f>SUM(tbl_individual[[#This Row],[R1 Pts]],tbl_individual[[#This Row],[R2 Pts]],tbl_individual[[#This Row],[R3 Pts]],tbl_individual[[#This Row],[R4 Pts]],tbl_individual[[#This Row],[R5 Pts]],tbl_individual[[#This Row],[R6 Pts]])</f>
        <v>400</v>
      </c>
      <c r="U38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38" s="3">
        <f>tbl_individual[[#This Row],[Total]]</f>
        <v>400</v>
      </c>
    </row>
    <row r="39" spans="1:22" x14ac:dyDescent="0.4">
      <c r="A39" t="s">
        <v>408</v>
      </c>
      <c r="B39" t="s">
        <v>17</v>
      </c>
      <c r="C39" t="s">
        <v>7</v>
      </c>
      <c r="D39" s="3">
        <v>839</v>
      </c>
      <c r="E39" s="3" t="s">
        <v>421</v>
      </c>
      <c r="G39" s="3" t="s">
        <v>407</v>
      </c>
      <c r="H39" s="3">
        <v>4</v>
      </c>
      <c r="I39" s="3">
        <f>IF(H39="","",IF(H39="DNS",0,IF(H39="DQ",0,IF(H39="DNF",1,IF(AND(ISNUMBER(H39),H39&gt;59),1,_xlfn.XLOOKUP(H39,tbl_points[Place],tbl_points[Points],""))))))</f>
        <v>85</v>
      </c>
      <c r="J39" s="3" t="s">
        <v>410</v>
      </c>
      <c r="K39" s="3">
        <f>IF(J39="","",IF(J39="DNS",0,IF(J39="DQ",0,IF(J39="DNF",1,IF(AND(ISNUMBER(J39),J39&gt;59),1,_xlfn.XLOOKUP(J39,tbl_points[Place],tbl_points[Points],""))))))</f>
        <v>0</v>
      </c>
      <c r="L39" s="3" t="s">
        <v>410</v>
      </c>
      <c r="M39" s="3">
        <f>IF(L39="","",IF(L39="DNS",0,IF(L39="DQ",0,IF(L39="DNF",1,IF(AND(ISNUMBER(L39),L39&gt;59),1,_xlfn.XLOOKUP(L39,tbl_points[Place],tbl_points[Points],""))))))</f>
        <v>0</v>
      </c>
      <c r="N39" s="3">
        <v>3</v>
      </c>
      <c r="O39" s="3">
        <f>IF(N39="","",IF(N39="DNS",0,IF(N39="DQ",0,IF(N39="DNF",1,IF(AND(ISNUMBER(N39),N39&gt;59),1,_xlfn.XLOOKUP(N39,tbl_points[Place],tbl_points[Points],""))))))</f>
        <v>90</v>
      </c>
      <c r="P39" s="3">
        <v>7</v>
      </c>
      <c r="Q39" s="3">
        <f>IF(P39="","",IF(P39="DNS",0,IF(P39="DQ",0,IF(P39="DNF",1,IF(AND(ISNUMBER(P39),P39&gt;59),1,_xlfn.XLOOKUP(P39,tbl_points[Place],tbl_points[Points],""))))))</f>
        <v>70</v>
      </c>
      <c r="S39" s="3" t="str">
        <f>IF(R39="","",IF(R39="DNS",0,IF(R39="DQ",0,IF(R39="DNF",1,IF(AND(ISNUMBER(R39),R39&gt;59),1,_xlfn.XLOOKUP(R39,tbl_points[Place],tbl_points[Points],""))))))</f>
        <v/>
      </c>
      <c r="T39" s="3">
        <f>SUM(tbl_individual[[#This Row],[R1 Pts]],tbl_individual[[#This Row],[R2 Pts]],tbl_individual[[#This Row],[R3 Pts]],tbl_individual[[#This Row],[R4 Pts]],tbl_individual[[#This Row],[R5 Pts]],tbl_individual[[#This Row],[R6 Pts]])</f>
        <v>245</v>
      </c>
      <c r="U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9" s="3">
        <f>tbl_individual[[#This Row],[Total]]</f>
        <v>245</v>
      </c>
    </row>
    <row r="40" spans="1:22" x14ac:dyDescent="0.4">
      <c r="A40" t="s">
        <v>430</v>
      </c>
      <c r="B40" t="s">
        <v>15</v>
      </c>
      <c r="C40" t="s">
        <v>7</v>
      </c>
      <c r="D40" s="3">
        <v>840</v>
      </c>
      <c r="E40" s="3" t="s">
        <v>421</v>
      </c>
      <c r="F40" s="17" t="s">
        <v>438</v>
      </c>
      <c r="G40" s="3" t="s">
        <v>403</v>
      </c>
      <c r="H40" s="3" t="s">
        <v>410</v>
      </c>
      <c r="I40" s="3">
        <f>IF(H40="","",IF(H40="DNS",0,IF(H40="DQ",0,IF(H40="DNF",1,IF(AND(ISNUMBER(H40),H40&gt;59),1,_xlfn.XLOOKUP(H40,tbl_points[Place],tbl_points[Points],""))))))</f>
        <v>0</v>
      </c>
      <c r="J40" s="3">
        <v>39</v>
      </c>
      <c r="K40" s="3">
        <f>IF(J40="","",IF(J40="DNS",0,IF(J40="DQ",0,IF(J40="DNF",1,IF(AND(ISNUMBER(J40),J40&gt;59),1,_xlfn.XLOOKUP(J40,tbl_points[Place],tbl_points[Points],""))))))</f>
        <v>21</v>
      </c>
      <c r="L40" s="3" t="s">
        <v>410</v>
      </c>
      <c r="M40" s="3">
        <f>IF(L40="","",IF(L40="DNS",0,IF(L40="DQ",0,IF(L40="DNF",1,IF(AND(ISNUMBER(L40),L40&gt;59),1,_xlfn.XLOOKUP(L40,tbl_points[Place],tbl_points[Points],""))))))</f>
        <v>0</v>
      </c>
      <c r="N40" s="3" t="s">
        <v>410</v>
      </c>
      <c r="O40" s="3">
        <f>IF(N40="","",IF(N40="DNS",0,IF(N40="DQ",0,IF(N40="DNF",1,IF(AND(ISNUMBER(N40),N40&gt;59),1,_xlfn.XLOOKUP(N40,tbl_points[Place],tbl_points[Points],""))))))</f>
        <v>0</v>
      </c>
      <c r="P40" s="3">
        <v>35</v>
      </c>
      <c r="Q40" s="3">
        <f>IF(P40="","",IF(P40="DNS",0,IF(P40="DQ",0,IF(P40="DNF",1,IF(AND(ISNUMBER(P40),P40&gt;59),1,_xlfn.XLOOKUP(P40,tbl_points[Place],tbl_points[Points],""))))))</f>
        <v>25</v>
      </c>
      <c r="S40" s="3" t="str">
        <f>IF(R40="","",IF(R40="DNS",0,IF(R40="DQ",0,IF(R40="DNF",1,IF(AND(ISNUMBER(R40),R40&gt;59),1,_xlfn.XLOOKUP(R40,tbl_points[Place],tbl_points[Points],""))))))</f>
        <v/>
      </c>
      <c r="T40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0" s="3">
        <f>tbl_individual[[#This Row],[Total]]</f>
        <v>46</v>
      </c>
    </row>
    <row r="41" spans="1:22" x14ac:dyDescent="0.4">
      <c r="A41" t="s">
        <v>441</v>
      </c>
      <c r="B41" t="s">
        <v>17</v>
      </c>
      <c r="C41" t="s">
        <v>7</v>
      </c>
      <c r="D41" s="3">
        <v>841</v>
      </c>
      <c r="E41" s="3" t="s">
        <v>421</v>
      </c>
      <c r="F41" s="17" t="s">
        <v>442</v>
      </c>
      <c r="H41" s="3" t="s">
        <v>410</v>
      </c>
      <c r="I41" s="3">
        <f>IF(H41="","",IF(H41="DNS",0,IF(H41="DQ",0,IF(H41="DNF",1,IF(AND(ISNUMBER(H41),H41&gt;59),1,_xlfn.XLOOKUP(H41,tbl_points[Place],tbl_points[Points],""))))))</f>
        <v>0</v>
      </c>
      <c r="J41" s="3">
        <v>11</v>
      </c>
      <c r="K41" s="3">
        <f>IF(J41="","",IF(J41="DNS",0,IF(J41="DQ",0,IF(J41="DNF",1,IF(AND(ISNUMBER(J41),J41&gt;59),1,_xlfn.XLOOKUP(J41,tbl_points[Place],tbl_points[Points],""))))))</f>
        <v>53</v>
      </c>
      <c r="L41" s="3" t="s">
        <v>410</v>
      </c>
      <c r="M41" s="3">
        <f>IF(L41="","",IF(L41="DNS",0,IF(L41="DQ",0,IF(L41="DNF",1,IF(AND(ISNUMBER(L41),L41&gt;59),1,_xlfn.XLOOKUP(L41,tbl_points[Place],tbl_points[Points],""))))))</f>
        <v>0</v>
      </c>
      <c r="N41" s="3">
        <v>7</v>
      </c>
      <c r="O41" s="3">
        <f>IF(N41="","",IF(N41="DNS",0,IF(N41="DQ",0,IF(N41="DNF",1,IF(AND(ISNUMBER(N41),N41&gt;59),1,_xlfn.XLOOKUP(N41,tbl_points[Place],tbl_points[Points],""))))))</f>
        <v>70</v>
      </c>
      <c r="P41" s="3">
        <v>9</v>
      </c>
      <c r="Q41" s="3">
        <f>IF(P41="","",IF(P41="DNS",0,IF(P41="DQ",0,IF(P41="DNF",1,IF(AND(ISNUMBER(P41),P41&gt;59),1,_xlfn.XLOOKUP(P41,tbl_points[Place],tbl_points[Points],""))))))</f>
        <v>60</v>
      </c>
      <c r="S41" s="3" t="str">
        <f>IF(R41="","",IF(R41="DNS",0,IF(R41="DQ",0,IF(R41="DNF",1,IF(AND(ISNUMBER(R41),R41&gt;59),1,_xlfn.XLOOKUP(R41,tbl_points[Place],tbl_points[Points],""))))))</f>
        <v/>
      </c>
      <c r="T41" s="3">
        <f>SUM(tbl_individual[[#This Row],[R1 Pts]],tbl_individual[[#This Row],[R2 Pts]],tbl_individual[[#This Row],[R3 Pts]],tbl_individual[[#This Row],[R4 Pts]],tbl_individual[[#This Row],[R5 Pts]],tbl_individual[[#This Row],[R6 Pts]])</f>
        <v>183</v>
      </c>
      <c r="U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1" s="3">
        <f>tbl_individual[[#This Row],[Total]]</f>
        <v>183</v>
      </c>
    </row>
    <row r="42" spans="1:22" x14ac:dyDescent="0.4">
      <c r="A42" t="s">
        <v>1156</v>
      </c>
      <c r="B42" t="s">
        <v>14</v>
      </c>
      <c r="C42" t="s">
        <v>7</v>
      </c>
      <c r="D42" s="3">
        <v>843</v>
      </c>
      <c r="E42" s="3" t="s">
        <v>421</v>
      </c>
      <c r="F42" s="17" t="s">
        <v>1157</v>
      </c>
      <c r="H42" s="3" t="s">
        <v>410</v>
      </c>
      <c r="I42" s="3">
        <f>IF(H42="","",IF(H42="DNS",0,IF(H42="DQ",0,IF(H42="DNF",1,IF(AND(ISNUMBER(H42),H42&gt;59),1,_xlfn.XLOOKUP(H42,tbl_points[Place],tbl_points[Points],""))))))</f>
        <v>0</v>
      </c>
      <c r="J42" s="3" t="s">
        <v>410</v>
      </c>
      <c r="K42" s="3">
        <f>IF(J42="","",IF(J42="DNS",0,IF(J42="DQ",0,IF(J42="DNF",1,IF(AND(ISNUMBER(J42),J42&gt;59),1,_xlfn.XLOOKUP(J42,tbl_points[Place],tbl_points[Points],""))))))</f>
        <v>0</v>
      </c>
      <c r="L42" s="3" t="s">
        <v>410</v>
      </c>
      <c r="M42" s="3">
        <f>IF(L42="","",IF(L42="DNS",0,IF(L42="DQ",0,IF(L42="DNF",1,IF(AND(ISNUMBER(L42),L42&gt;59),1,_xlfn.XLOOKUP(L42,tbl_points[Place],tbl_points[Points],""))))))</f>
        <v>0</v>
      </c>
      <c r="N42" s="3">
        <v>24</v>
      </c>
      <c r="O42" s="3">
        <f>IF(N42="","",IF(N42="DNS",0,IF(N42="DQ",0,IF(N42="DNF",1,IF(AND(ISNUMBER(N42),N42&gt;59),1,_xlfn.XLOOKUP(N42,tbl_points[Place],tbl_points[Points],""))))))</f>
        <v>36</v>
      </c>
      <c r="P42" s="3">
        <v>37</v>
      </c>
      <c r="Q42" s="3">
        <f>IF(P42="","",IF(P42="DNS",0,IF(P42="DQ",0,IF(P42="DNF",1,IF(AND(ISNUMBER(P42),P42&gt;59),1,_xlfn.XLOOKUP(P42,tbl_points[Place],tbl_points[Points],""))))))</f>
        <v>23</v>
      </c>
      <c r="S42" s="3" t="str">
        <f>IF(R42="","",IF(R42="DNS",0,IF(R42="DQ",0,IF(R42="DNF",1,IF(AND(ISNUMBER(R42),R42&gt;59),1,_xlfn.XLOOKUP(R42,tbl_points[Place],tbl_points[Points],""))))))</f>
        <v/>
      </c>
      <c r="T42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2" s="3">
        <f>tbl_individual[[#This Row],[Total]]</f>
        <v>59</v>
      </c>
    </row>
    <row r="43" spans="1:22" x14ac:dyDescent="0.4">
      <c r="A43" t="s">
        <v>148</v>
      </c>
      <c r="B43" t="s">
        <v>15</v>
      </c>
      <c r="C43" t="s">
        <v>8</v>
      </c>
      <c r="D43" s="3">
        <v>854</v>
      </c>
      <c r="E43" s="3" t="s">
        <v>421</v>
      </c>
      <c r="F43" s="17" t="s">
        <v>425</v>
      </c>
      <c r="G43" s="3" t="s">
        <v>403</v>
      </c>
      <c r="H43" s="3">
        <v>6</v>
      </c>
      <c r="I43" s="3">
        <f>IF(H43="","",IF(H43="DNS",0,IF(H43="DQ",0,IF(H43="DNF",1,IF(AND(ISNUMBER(H43),H43&gt;59),1,_xlfn.XLOOKUP(H43,tbl_points[Place],tbl_points[Points],""))))))</f>
        <v>75</v>
      </c>
      <c r="J43" s="3" t="s">
        <v>410</v>
      </c>
      <c r="K43" s="3">
        <f>IF(J43="","",IF(J43="DNS",0,IF(J43="DQ",0,IF(J43="DNF",1,IF(AND(ISNUMBER(J43),J43&gt;59),1,_xlfn.XLOOKUP(J43,tbl_points[Place],tbl_points[Points],""))))))</f>
        <v>0</v>
      </c>
      <c r="L43" s="3">
        <v>7</v>
      </c>
      <c r="M43" s="3">
        <f>IF(L43="","",IF(L43="DNS",0,IF(L43="DQ",0,IF(L43="DNF",1,IF(AND(ISNUMBER(L43),L43&gt;59),1,_xlfn.XLOOKUP(L43,tbl_points[Place],tbl_points[Points],""))))))</f>
        <v>70</v>
      </c>
      <c r="N43" s="3" t="s">
        <v>410</v>
      </c>
      <c r="O43" s="3">
        <f>IF(N43="","",IF(N43="DNS",0,IF(N43="DQ",0,IF(N43="DNF",1,IF(AND(ISNUMBER(N43),N43&gt;59),1,_xlfn.XLOOKUP(N43,tbl_points[Place],tbl_points[Points],""))))))</f>
        <v>0</v>
      </c>
      <c r="P43" s="3">
        <v>9</v>
      </c>
      <c r="Q43" s="3">
        <f>IF(P43="","",IF(P43="DNS",0,IF(P43="DQ",0,IF(P43="DNF",1,IF(AND(ISNUMBER(P43),P43&gt;59),1,_xlfn.XLOOKUP(P43,tbl_points[Place],tbl_points[Points],""))))))</f>
        <v>60</v>
      </c>
      <c r="S43" s="3" t="str">
        <f>IF(R43="","",IF(R43="DNS",0,IF(R43="DQ",0,IF(R43="DNF",1,IF(AND(ISNUMBER(R43),R43&gt;59),1,_xlfn.XLOOKUP(R43,tbl_points[Place],tbl_points[Points],""))))))</f>
        <v/>
      </c>
      <c r="T43" s="3">
        <f>SUM(tbl_individual[[#This Row],[R1 Pts]],tbl_individual[[#This Row],[R2 Pts]],tbl_individual[[#This Row],[R3 Pts]],tbl_individual[[#This Row],[R4 Pts]],tbl_individual[[#This Row],[R5 Pts]],tbl_individual[[#This Row],[R6 Pts]])</f>
        <v>205</v>
      </c>
      <c r="U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3" s="3">
        <f>tbl_individual[[#This Row],[Total]]</f>
        <v>205</v>
      </c>
    </row>
    <row r="44" spans="1:22" x14ac:dyDescent="0.4">
      <c r="A44" t="s">
        <v>445</v>
      </c>
      <c r="B44" t="s">
        <v>17</v>
      </c>
      <c r="C44" t="s">
        <v>8</v>
      </c>
      <c r="D44" s="3">
        <v>859</v>
      </c>
      <c r="E44" s="3" t="s">
        <v>421</v>
      </c>
      <c r="H44" s="3" t="s">
        <v>410</v>
      </c>
      <c r="I44" s="3">
        <f>IF(H44="","",IF(H44="DNS",0,IF(H44="DQ",0,IF(H44="DNF",1,IF(AND(ISNUMBER(H44),H44&gt;59),1,_xlfn.XLOOKUP(H44,tbl_points[Place],tbl_points[Points],""))))))</f>
        <v>0</v>
      </c>
      <c r="J44" s="3" t="s">
        <v>410</v>
      </c>
      <c r="K44" s="3">
        <f>IF(J44="","",IF(J44="DNS",0,IF(J44="DQ",0,IF(J44="DNF",1,IF(AND(ISNUMBER(J44),J44&gt;59),1,_xlfn.XLOOKUP(J44,tbl_points[Place],tbl_points[Points],""))))))</f>
        <v>0</v>
      </c>
      <c r="L44" s="3">
        <v>2</v>
      </c>
      <c r="M44" s="3">
        <f>IF(L44="","",IF(L44="DNS",0,IF(L44="DQ",0,IF(L44="DNF",1,IF(AND(ISNUMBER(L44),L44&gt;59),1,_xlfn.XLOOKUP(L44,tbl_points[Place],tbl_points[Points],""))))))</f>
        <v>95</v>
      </c>
      <c r="N44" s="3" t="s">
        <v>410</v>
      </c>
      <c r="O44" s="3">
        <f>IF(N44="","",IF(N44="DNS",0,IF(N44="DQ",0,IF(N44="DNF",1,IF(AND(ISNUMBER(N44),N44&gt;59),1,_xlfn.XLOOKUP(N44,tbl_points[Place],tbl_points[Points],""))))))</f>
        <v>0</v>
      </c>
      <c r="P44" s="3">
        <v>2</v>
      </c>
      <c r="Q44" s="3">
        <f>IF(P44="","",IF(P44="DNS",0,IF(P44="DQ",0,IF(P44="DNF",1,IF(AND(ISNUMBER(P44),P44&gt;59),1,_xlfn.XLOOKUP(P44,tbl_points[Place],tbl_points[Points],""))))))</f>
        <v>95</v>
      </c>
      <c r="S44" s="3" t="str">
        <f>IF(R44="","",IF(R44="DNS",0,IF(R44="DQ",0,IF(R44="DNF",1,IF(AND(ISNUMBER(R44),R44&gt;59),1,_xlfn.XLOOKUP(R44,tbl_points[Place],tbl_points[Points],""))))))</f>
        <v/>
      </c>
      <c r="T44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4" s="3">
        <f>tbl_individual[[#This Row],[Total]]</f>
        <v>190</v>
      </c>
    </row>
    <row r="45" spans="1:22" x14ac:dyDescent="0.4">
      <c r="A45" t="s">
        <v>240</v>
      </c>
      <c r="B45" t="s">
        <v>23</v>
      </c>
      <c r="C45" t="s">
        <v>8</v>
      </c>
      <c r="D45" s="3">
        <v>862</v>
      </c>
      <c r="E45" s="3" t="s">
        <v>421</v>
      </c>
      <c r="G45" s="3" t="s">
        <v>407</v>
      </c>
      <c r="H45" s="3">
        <v>2</v>
      </c>
      <c r="I45" s="3">
        <f>IF(H45="","",IF(H45="DNS",0,IF(H45="DQ",0,IF(H45="DNF",1,IF(AND(ISNUMBER(H45),H45&gt;59),1,_xlfn.XLOOKUP(H45,tbl_points[Place],tbl_points[Points],""))))))</f>
        <v>95</v>
      </c>
      <c r="J45" s="3" t="s">
        <v>410</v>
      </c>
      <c r="K45" s="3">
        <f>IF(J45="","",IF(J45="DNS",0,IF(J45="DQ",0,IF(J45="DNF",1,IF(AND(ISNUMBER(J45),J45&gt;59),1,_xlfn.XLOOKUP(J45,tbl_points[Place],tbl_points[Points],""))))))</f>
        <v>0</v>
      </c>
      <c r="L45" s="3">
        <v>3</v>
      </c>
      <c r="M45" s="3">
        <f>IF(L45="","",IF(L45="DNS",0,IF(L45="DQ",0,IF(L45="DNF",1,IF(AND(ISNUMBER(L45),L45&gt;59),1,_xlfn.XLOOKUP(L45,tbl_points[Place],tbl_points[Points],""))))))</f>
        <v>90</v>
      </c>
      <c r="N45" s="3">
        <v>2</v>
      </c>
      <c r="O45" s="3">
        <f>IF(N45="","",IF(N45="DNS",0,IF(N45="DQ",0,IF(N45="DNF",1,IF(AND(ISNUMBER(N45),N45&gt;59),1,_xlfn.XLOOKUP(N45,tbl_points[Place],tbl_points[Points],""))))))</f>
        <v>95</v>
      </c>
      <c r="P45" s="3">
        <v>4</v>
      </c>
      <c r="Q45" s="3">
        <f>IF(P45="","",IF(P45="DNS",0,IF(P45="DQ",0,IF(P45="DNF",1,IF(AND(ISNUMBER(P45),P45&gt;59),1,_xlfn.XLOOKUP(P45,tbl_points[Place],tbl_points[Points],""))))))</f>
        <v>85</v>
      </c>
      <c r="S45" s="3" t="str">
        <f>IF(R45="","",IF(R45="DNS",0,IF(R45="DQ",0,IF(R45="DNF",1,IF(AND(ISNUMBER(R45),R45&gt;59),1,_xlfn.XLOOKUP(R45,tbl_points[Place],tbl_points[Points],""))))))</f>
        <v/>
      </c>
      <c r="T45" s="3">
        <f>SUM(tbl_individual[[#This Row],[R1 Pts]],tbl_individual[[#This Row],[R2 Pts]],tbl_individual[[#This Row],[R3 Pts]],tbl_individual[[#This Row],[R4 Pts]],tbl_individual[[#This Row],[R5 Pts]],tbl_individual[[#This Row],[R6 Pts]])</f>
        <v>365</v>
      </c>
      <c r="U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5" s="3">
        <f>tbl_individual[[#This Row],[Total]]</f>
        <v>365</v>
      </c>
    </row>
    <row r="46" spans="1:22" x14ac:dyDescent="0.4">
      <c r="A46" t="s">
        <v>241</v>
      </c>
      <c r="B46" t="s">
        <v>23</v>
      </c>
      <c r="C46" t="s">
        <v>8</v>
      </c>
      <c r="D46" s="3">
        <v>863</v>
      </c>
      <c r="E46" s="3" t="s">
        <v>421</v>
      </c>
      <c r="G46" s="3" t="s">
        <v>407</v>
      </c>
      <c r="H46" s="3">
        <v>4</v>
      </c>
      <c r="I46" s="3">
        <f>IF(H46="","",IF(H46="DNS",0,IF(H46="DQ",0,IF(H46="DNF",1,IF(AND(ISNUMBER(H46),H46&gt;59),1,_xlfn.XLOOKUP(H46,tbl_points[Place],tbl_points[Points],""))))))</f>
        <v>85</v>
      </c>
      <c r="J46" s="3" t="s">
        <v>410</v>
      </c>
      <c r="K46" s="3">
        <f>IF(J46="","",IF(J46="DNS",0,IF(J46="DQ",0,IF(J46="DNF",1,IF(AND(ISNUMBER(J46),J46&gt;59),1,_xlfn.XLOOKUP(J46,tbl_points[Place],tbl_points[Points],""))))))</f>
        <v>0</v>
      </c>
      <c r="L46" s="3">
        <v>6</v>
      </c>
      <c r="M46" s="3">
        <f>IF(L46="","",IF(L46="DNS",0,IF(L46="DQ",0,IF(L46="DNF",1,IF(AND(ISNUMBER(L46),L46&gt;59),1,_xlfn.XLOOKUP(L46,tbl_points[Place],tbl_points[Points],""))))))</f>
        <v>75</v>
      </c>
      <c r="N46" s="3" t="s">
        <v>410</v>
      </c>
      <c r="O46" s="3">
        <f>IF(N46="","",IF(N46="DNS",0,IF(N46="DQ",0,IF(N46="DNF",1,IF(AND(ISNUMBER(N46),N46&gt;59),1,_xlfn.XLOOKUP(N46,tbl_points[Place],tbl_points[Points],""))))))</f>
        <v>0</v>
      </c>
      <c r="P46" s="3">
        <v>8</v>
      </c>
      <c r="Q46" s="3">
        <f>IF(P46="","",IF(P46="DNS",0,IF(P46="DQ",0,IF(P46="DNF",1,IF(AND(ISNUMBER(P46),P46&gt;59),1,_xlfn.XLOOKUP(P46,tbl_points[Place],tbl_points[Points],""))))))</f>
        <v>65</v>
      </c>
      <c r="S46" s="3" t="str">
        <f>IF(R46="","",IF(R46="DNS",0,IF(R46="DQ",0,IF(R46="DNF",1,IF(AND(ISNUMBER(R46),R46&gt;59),1,_xlfn.XLOOKUP(R46,tbl_points[Place],tbl_points[Points],""))))))</f>
        <v/>
      </c>
      <c r="T46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6" s="3">
        <f>tbl_individual[[#This Row],[Total]]</f>
        <v>225</v>
      </c>
    </row>
    <row r="47" spans="1:22" x14ac:dyDescent="0.4">
      <c r="A47" t="s">
        <v>242</v>
      </c>
      <c r="B47" t="s">
        <v>23</v>
      </c>
      <c r="C47" t="s">
        <v>8</v>
      </c>
      <c r="D47" s="3">
        <v>864</v>
      </c>
      <c r="E47" s="3" t="s">
        <v>421</v>
      </c>
      <c r="G47" s="3" t="s">
        <v>407</v>
      </c>
      <c r="H47" s="3" t="s">
        <v>410</v>
      </c>
      <c r="I47" s="3">
        <f>IF(H47="","",IF(H47="DNS",0,IF(H47="DQ",0,IF(H47="DNF",1,IF(AND(ISNUMBER(H47),H47&gt;59),1,_xlfn.XLOOKUP(H47,tbl_points[Place],tbl_points[Points],""))))))</f>
        <v>0</v>
      </c>
      <c r="J47" s="3" t="s">
        <v>410</v>
      </c>
      <c r="K47" s="3">
        <f>IF(J47="","",IF(J47="DNS",0,IF(J47="DQ",0,IF(J47="DNF",1,IF(AND(ISNUMBER(J47),J47&gt;59),1,_xlfn.XLOOKUP(J47,tbl_points[Place],tbl_points[Points],""))))))</f>
        <v>0</v>
      </c>
      <c r="L47" s="3" t="s">
        <v>410</v>
      </c>
      <c r="M47" s="3">
        <f>IF(L47="","",IF(L47="DNS",0,IF(L47="DQ",0,IF(L47="DNF",1,IF(AND(ISNUMBER(L47),L47&gt;59),1,_xlfn.XLOOKUP(L47,tbl_points[Place],tbl_points[Points],""))))))</f>
        <v>0</v>
      </c>
      <c r="N47" s="3" t="s">
        <v>410</v>
      </c>
      <c r="O47" s="3">
        <f>IF(N47="","",IF(N47="DNS",0,IF(N47="DQ",0,IF(N47="DNF",1,IF(AND(ISNUMBER(N47),N47&gt;59),1,_xlfn.XLOOKUP(N47,tbl_points[Place],tbl_points[Points],""))))))</f>
        <v>0</v>
      </c>
      <c r="P47" s="3">
        <v>3</v>
      </c>
      <c r="Q47" s="3">
        <f>IF(P47="","",IF(P47="DNS",0,IF(P47="DQ",0,IF(P47="DNF",1,IF(AND(ISNUMBER(P47),P47&gt;59),1,_xlfn.XLOOKUP(P47,tbl_points[Place],tbl_points[Points],""))))))</f>
        <v>90</v>
      </c>
      <c r="S47" s="3" t="str">
        <f>IF(R47="","",IF(R47="DNS",0,IF(R47="DQ",0,IF(R47="DNF",1,IF(AND(ISNUMBER(R47),R47&gt;59),1,_xlfn.XLOOKUP(R47,tbl_points[Place],tbl_points[Points],""))))))</f>
        <v/>
      </c>
      <c r="T4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7" s="3">
        <f>tbl_individual[[#This Row],[Total]]</f>
        <v>90</v>
      </c>
    </row>
    <row r="48" spans="1:22" x14ac:dyDescent="0.4">
      <c r="A48" t="s">
        <v>285</v>
      </c>
      <c r="B48" t="s">
        <v>25</v>
      </c>
      <c r="C48" t="s">
        <v>8</v>
      </c>
      <c r="D48" s="3">
        <v>865</v>
      </c>
      <c r="E48" s="3" t="s">
        <v>421</v>
      </c>
      <c r="G48" s="3" t="s">
        <v>407</v>
      </c>
      <c r="H48" s="3">
        <v>1</v>
      </c>
      <c r="I48" s="3">
        <f>IF(H48="","",IF(H48="DNS",0,IF(H48="DQ",0,IF(H48="DNF",1,IF(AND(ISNUMBER(H48),H48&gt;59),1,_xlfn.XLOOKUP(H48,tbl_points[Place],tbl_points[Points],""))))))</f>
        <v>100</v>
      </c>
      <c r="J48" s="3" t="s">
        <v>410</v>
      </c>
      <c r="K48" s="3">
        <f>IF(J48="","",IF(J48="DNS",0,IF(J48="DQ",0,IF(J48="DNF",1,IF(AND(ISNUMBER(J48),J48&gt;59),1,_xlfn.XLOOKUP(J48,tbl_points[Place],tbl_points[Points],""))))))</f>
        <v>0</v>
      </c>
      <c r="L48" s="3" t="s">
        <v>410</v>
      </c>
      <c r="M48" s="3">
        <f>IF(L48="","",IF(L48="DNS",0,IF(L48="DQ",0,IF(L48="DNF",1,IF(AND(ISNUMBER(L48),L48&gt;59),1,_xlfn.XLOOKUP(L48,tbl_points[Place],tbl_points[Points],""))))))</f>
        <v>0</v>
      </c>
      <c r="N48" s="3" t="s">
        <v>410</v>
      </c>
      <c r="O48" s="3">
        <f>IF(N48="","",IF(N48="DNS",0,IF(N48="DQ",0,IF(N48="DNF",1,IF(AND(ISNUMBER(N48),N48&gt;59),1,_xlfn.XLOOKUP(N48,tbl_points[Place],tbl_points[Points],""))))))</f>
        <v>0</v>
      </c>
      <c r="P48" s="3" t="s">
        <v>410</v>
      </c>
      <c r="Q48" s="3">
        <f>IF(P48="","",IF(P48="DNS",0,IF(P48="DQ",0,IF(P48="DNF",1,IF(AND(ISNUMBER(P48),P48&gt;59),1,_xlfn.XLOOKUP(P48,tbl_points[Place],tbl_points[Points],""))))))</f>
        <v>0</v>
      </c>
      <c r="S48" s="3" t="str">
        <f>IF(R48="","",IF(R48="DNS",0,IF(R48="DQ",0,IF(R48="DNF",1,IF(AND(ISNUMBER(R48),R48&gt;59),1,_xlfn.XLOOKUP(R48,tbl_points[Place],tbl_points[Points],""))))))</f>
        <v/>
      </c>
      <c r="T48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8" s="3">
        <f>tbl_individual[[#This Row],[Total]]</f>
        <v>100</v>
      </c>
    </row>
    <row r="49" spans="1:22" x14ac:dyDescent="0.4">
      <c r="A49" t="s">
        <v>314</v>
      </c>
      <c r="B49" t="s">
        <v>27</v>
      </c>
      <c r="C49" t="s">
        <v>8</v>
      </c>
      <c r="D49" s="3">
        <v>866</v>
      </c>
      <c r="E49" s="3" t="s">
        <v>421</v>
      </c>
      <c r="G49" s="3" t="s">
        <v>407</v>
      </c>
      <c r="H49" s="3">
        <v>3</v>
      </c>
      <c r="I49" s="3">
        <f>IF(H49="","",IF(H49="DNS",0,IF(H49="DQ",0,IF(H49="DNF",1,IF(AND(ISNUMBER(H49),H49&gt;59),1,_xlfn.XLOOKUP(H49,tbl_points[Place],tbl_points[Points],""))))))</f>
        <v>90</v>
      </c>
      <c r="J49" s="3" t="s">
        <v>410</v>
      </c>
      <c r="K49" s="3">
        <f>IF(J49="","",IF(J49="DNS",0,IF(J49="DQ",0,IF(J49="DNF",1,IF(AND(ISNUMBER(J49),J49&gt;59),1,_xlfn.XLOOKUP(J49,tbl_points[Place],tbl_points[Points],""))))))</f>
        <v>0</v>
      </c>
      <c r="L49" s="3">
        <v>4</v>
      </c>
      <c r="M49" s="3">
        <f>IF(L49="","",IF(L49="DNS",0,IF(L49="DQ",0,IF(L49="DNF",1,IF(AND(ISNUMBER(L49),L49&gt;59),1,_xlfn.XLOOKUP(L49,tbl_points[Place],tbl_points[Points],""))))))</f>
        <v>85</v>
      </c>
      <c r="N49" s="3">
        <v>4</v>
      </c>
      <c r="O49" s="3">
        <f>IF(N49="","",IF(N49="DNS",0,IF(N49="DQ",0,IF(N49="DNF",1,IF(AND(ISNUMBER(N49),N49&gt;59),1,_xlfn.XLOOKUP(N49,tbl_points[Place],tbl_points[Points],""))))))</f>
        <v>85</v>
      </c>
      <c r="P49" s="3">
        <v>7</v>
      </c>
      <c r="Q49" s="3">
        <f>IF(P49="","",IF(P49="DNS",0,IF(P49="DQ",0,IF(P49="DNF",1,IF(AND(ISNUMBER(P49),P49&gt;59),1,_xlfn.XLOOKUP(P49,tbl_points[Place],tbl_points[Points],""))))))</f>
        <v>70</v>
      </c>
      <c r="S49" s="3" t="str">
        <f>IF(R49="","",IF(R49="DNS",0,IF(R49="DQ",0,IF(R49="DNF",1,IF(AND(ISNUMBER(R49),R49&gt;59),1,_xlfn.XLOOKUP(R49,tbl_points[Place],tbl_points[Points],""))))))</f>
        <v/>
      </c>
      <c r="T49" s="3">
        <f>SUM(tbl_individual[[#This Row],[R1 Pts]],tbl_individual[[#This Row],[R2 Pts]],tbl_individual[[#This Row],[R3 Pts]],tbl_individual[[#This Row],[R4 Pts]],tbl_individual[[#This Row],[R5 Pts]],tbl_individual[[#This Row],[R6 Pts]])</f>
        <v>330</v>
      </c>
      <c r="U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9" s="3">
        <f>tbl_individual[[#This Row],[Total]]</f>
        <v>330</v>
      </c>
    </row>
    <row r="50" spans="1:22" x14ac:dyDescent="0.4">
      <c r="A50" t="s">
        <v>315</v>
      </c>
      <c r="B50" t="s">
        <v>27</v>
      </c>
      <c r="C50" t="s">
        <v>8</v>
      </c>
      <c r="D50" s="3">
        <v>867</v>
      </c>
      <c r="E50" s="3" t="s">
        <v>421</v>
      </c>
      <c r="G50" s="3" t="s">
        <v>403</v>
      </c>
      <c r="H50" s="3" t="s">
        <v>410</v>
      </c>
      <c r="I50" s="3">
        <f>IF(H50="","",IF(H50="DNS",0,IF(H50="DQ",0,IF(H50="DNF",1,IF(AND(ISNUMBER(H50),H50&gt;59),1,_xlfn.XLOOKUP(H50,tbl_points[Place],tbl_points[Points],""))))))</f>
        <v>0</v>
      </c>
      <c r="J50" s="3">
        <v>1</v>
      </c>
      <c r="K50" s="3">
        <f>IF(J50="","",IF(J50="DNS",0,IF(J50="DQ",0,IF(J50="DNF",1,IF(AND(ISNUMBER(J50),J50&gt;59),1,_xlfn.XLOOKUP(J50,tbl_points[Place],tbl_points[Points],""))))))</f>
        <v>100</v>
      </c>
      <c r="L50" s="3">
        <v>1</v>
      </c>
      <c r="M50" s="3">
        <f>IF(L50="","",IF(L50="DNS",0,IF(L50="DQ",0,IF(L50="DNF",1,IF(AND(ISNUMBER(L50),L50&gt;59),1,_xlfn.XLOOKUP(L50,tbl_points[Place],tbl_points[Points],""))))))</f>
        <v>100</v>
      </c>
      <c r="N50" s="3">
        <v>1</v>
      </c>
      <c r="O50" s="3">
        <f>IF(N50="","",IF(N50="DNS",0,IF(N50="DQ",0,IF(N50="DNF",1,IF(AND(ISNUMBER(N50),N50&gt;59),1,_xlfn.XLOOKUP(N50,tbl_points[Place],tbl_points[Points],""))))))</f>
        <v>100</v>
      </c>
      <c r="P50" s="3">
        <v>1</v>
      </c>
      <c r="Q50" s="3">
        <f>IF(P50="","",IF(P50="DNS",0,IF(P50="DQ",0,IF(P50="DNF",1,IF(AND(ISNUMBER(P50),P50&gt;59),1,_xlfn.XLOOKUP(P50,tbl_points[Place],tbl_points[Points],""))))))</f>
        <v>100</v>
      </c>
      <c r="S50" s="3" t="str">
        <f>IF(R50="","",IF(R50="DNS",0,IF(R50="DQ",0,IF(R50="DNF",1,IF(AND(ISNUMBER(R50),R50&gt;59),1,_xlfn.XLOOKUP(R50,tbl_points[Place],tbl_points[Points],""))))))</f>
        <v/>
      </c>
      <c r="T50" s="3">
        <f>SUM(tbl_individual[[#This Row],[R1 Pts]],tbl_individual[[#This Row],[R2 Pts]],tbl_individual[[#This Row],[R3 Pts]],tbl_individual[[#This Row],[R4 Pts]],tbl_individual[[#This Row],[R5 Pts]],tbl_individual[[#This Row],[R6 Pts]])</f>
        <v>400</v>
      </c>
      <c r="U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0" s="3">
        <f>tbl_individual[[#This Row],[Total]]</f>
        <v>400</v>
      </c>
    </row>
    <row r="51" spans="1:22" x14ac:dyDescent="0.4">
      <c r="A51" t="s">
        <v>174</v>
      </c>
      <c r="B51" t="s">
        <v>18</v>
      </c>
      <c r="C51" t="s">
        <v>8</v>
      </c>
      <c r="D51" s="3">
        <v>868</v>
      </c>
      <c r="E51" s="3" t="s">
        <v>421</v>
      </c>
      <c r="G51" s="3" t="s">
        <v>403</v>
      </c>
      <c r="H51" s="3" t="s">
        <v>410</v>
      </c>
      <c r="I51" s="3">
        <f>IF(H51="","",IF(H51="DNS",0,IF(H51="DQ",0,IF(H51="DNF",1,IF(AND(ISNUMBER(H51),H51&gt;59),1,_xlfn.XLOOKUP(H51,tbl_points[Place],tbl_points[Points],""))))))</f>
        <v>0</v>
      </c>
      <c r="J51" s="3" t="s">
        <v>410</v>
      </c>
      <c r="K51" s="3">
        <f>IF(J51="","",IF(J51="DNS",0,IF(J51="DQ",0,IF(J51="DNF",1,IF(AND(ISNUMBER(J51),J51&gt;59),1,_xlfn.XLOOKUP(J51,tbl_points[Place],tbl_points[Points],""))))))</f>
        <v>0</v>
      </c>
      <c r="L51" s="3" t="s">
        <v>410</v>
      </c>
      <c r="M51" s="3">
        <f>IF(L51="","",IF(L51="DNS",0,IF(L51="DQ",0,IF(L51="DNF",1,IF(AND(ISNUMBER(L51),L51&gt;59),1,_xlfn.XLOOKUP(L51,tbl_points[Place],tbl_points[Points],""))))))</f>
        <v>0</v>
      </c>
      <c r="N51" s="3">
        <v>3</v>
      </c>
      <c r="O51" s="3">
        <f>IF(N51="","",IF(N51="DNS",0,IF(N51="DQ",0,IF(N51="DNF",1,IF(AND(ISNUMBER(N51),N51&gt;59),1,_xlfn.XLOOKUP(N51,tbl_points[Place],tbl_points[Points],""))))))</f>
        <v>90</v>
      </c>
      <c r="P51" s="3">
        <v>6</v>
      </c>
      <c r="Q51" s="3">
        <f>IF(P51="","",IF(P51="DNS",0,IF(P51="DQ",0,IF(P51="DNF",1,IF(AND(ISNUMBER(P51),P51&gt;59),1,_xlfn.XLOOKUP(P51,tbl_points[Place],tbl_points[Points],""))))))</f>
        <v>75</v>
      </c>
      <c r="S51" s="3" t="str">
        <f>IF(R51="","",IF(R51="DNS",0,IF(R51="DQ",0,IF(R51="DNF",1,IF(AND(ISNUMBER(R51),R51&gt;59),1,_xlfn.XLOOKUP(R51,tbl_points[Place],tbl_points[Points],""))))))</f>
        <v/>
      </c>
      <c r="T51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1" s="3">
        <f>tbl_individual[[#This Row],[Total]]</f>
        <v>165</v>
      </c>
    </row>
    <row r="52" spans="1:22" x14ac:dyDescent="0.4">
      <c r="A52" t="s">
        <v>251</v>
      </c>
      <c r="B52" t="s">
        <v>23</v>
      </c>
      <c r="C52" t="s">
        <v>5</v>
      </c>
      <c r="D52" s="3">
        <v>926</v>
      </c>
      <c r="E52" s="3" t="s">
        <v>421</v>
      </c>
      <c r="G52" s="3" t="s">
        <v>407</v>
      </c>
      <c r="H52" s="3" t="s">
        <v>410</v>
      </c>
      <c r="I52" s="3">
        <f>IF(H52="","",IF(H52="DNS",0,IF(H52="DQ",0,IF(H52="DNF",1,IF(AND(ISNUMBER(H52),H52&gt;59),1,_xlfn.XLOOKUP(H52,tbl_points[Place],tbl_points[Points],""))))))</f>
        <v>0</v>
      </c>
      <c r="J52" s="3" t="s">
        <v>410</v>
      </c>
      <c r="K52" s="3">
        <f>IF(J52="","",IF(J52="DNS",0,IF(J52="DQ",0,IF(J52="DNF",1,IF(AND(ISNUMBER(J52),J52&gt;59),1,_xlfn.XLOOKUP(J52,tbl_points[Place],tbl_points[Points],""))))))</f>
        <v>0</v>
      </c>
      <c r="L52" s="3" t="s">
        <v>410</v>
      </c>
      <c r="M52" s="3">
        <f>IF(L52="","",IF(L52="DNS",0,IF(L52="DQ",0,IF(L52="DNF",1,IF(AND(ISNUMBER(L52),L52&gt;59),1,_xlfn.XLOOKUP(L52,tbl_points[Place],tbl_points[Points],""))))))</f>
        <v>0</v>
      </c>
      <c r="N52" s="3" t="s">
        <v>410</v>
      </c>
      <c r="O52" s="3">
        <f>IF(N52="","",IF(N52="DNS",0,IF(N52="DQ",0,IF(N52="DNF",1,IF(AND(ISNUMBER(N52),N52&gt;59),1,_xlfn.XLOOKUP(N52,tbl_points[Place],tbl_points[Points],""))))))</f>
        <v>0</v>
      </c>
      <c r="P52" s="3">
        <v>1</v>
      </c>
      <c r="Q52" s="3">
        <f>IF(P52="","",IF(P52="DNS",0,IF(P52="DQ",0,IF(P52="DNF",1,IF(AND(ISNUMBER(P52),P52&gt;59),1,_xlfn.XLOOKUP(P52,tbl_points[Place],tbl_points[Points],""))))))</f>
        <v>100</v>
      </c>
      <c r="S52" s="3" t="str">
        <f>IF(R52="","",IF(R52="DNS",0,IF(R52="DQ",0,IF(R52="DNF",1,IF(AND(ISNUMBER(R52),R52&gt;59),1,_xlfn.XLOOKUP(R52,tbl_points[Place],tbl_points[Points],""))))))</f>
        <v/>
      </c>
      <c r="T52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2" s="3">
        <f>tbl_individual[[#This Row],[Total]]</f>
        <v>100</v>
      </c>
    </row>
    <row r="53" spans="1:22" x14ac:dyDescent="0.4">
      <c r="A53" t="s">
        <v>186</v>
      </c>
      <c r="B53" t="s">
        <v>20</v>
      </c>
      <c r="C53" t="s">
        <v>5</v>
      </c>
      <c r="D53" s="3">
        <v>919</v>
      </c>
      <c r="E53" s="3" t="s">
        <v>421</v>
      </c>
      <c r="G53" s="3" t="s">
        <v>403</v>
      </c>
      <c r="H53" s="3">
        <v>2</v>
      </c>
      <c r="I53" s="3">
        <f>IF(H53="","",IF(H53="DNS",0,IF(H53="DQ",0,IF(H53="DNF",1,IF(AND(ISNUMBER(H53),H53&gt;59),1,_xlfn.XLOOKUP(H53,tbl_points[Place],tbl_points[Points],""))))))</f>
        <v>95</v>
      </c>
      <c r="J53" s="3" t="s">
        <v>409</v>
      </c>
      <c r="K53" s="3">
        <f>IF(J53="","",IF(J53="DNS",0,IF(J53="DQ",0,IF(J53="DNF",1,IF(AND(ISNUMBER(J53),J53&gt;59),1,_xlfn.XLOOKUP(J53,tbl_points[Place],tbl_points[Points],""))))))</f>
        <v>1</v>
      </c>
      <c r="L53" s="3">
        <v>1</v>
      </c>
      <c r="M53" s="3">
        <f>IF(L53="","",IF(L53="DNS",0,IF(L53="DQ",0,IF(L53="DNF",1,IF(AND(ISNUMBER(L53),L53&gt;59),1,_xlfn.XLOOKUP(L53,tbl_points[Place],tbl_points[Points],""))))))</f>
        <v>100</v>
      </c>
      <c r="N53" s="3">
        <v>5</v>
      </c>
      <c r="O53" s="3">
        <f>IF(N53="","",IF(N53="DNS",0,IF(N53="DQ",0,IF(N53="DNF",1,IF(AND(ISNUMBER(N53),N53&gt;59),1,_xlfn.XLOOKUP(N53,tbl_points[Place],tbl_points[Points],""))))))</f>
        <v>80</v>
      </c>
      <c r="P53" s="3">
        <v>2</v>
      </c>
      <c r="Q53" s="3">
        <f>IF(P53="","",IF(P53="DNS",0,IF(P53="DQ",0,IF(P53="DNF",1,IF(AND(ISNUMBER(P53),P53&gt;59),1,_xlfn.XLOOKUP(P53,tbl_points[Place],tbl_points[Points],""))))))</f>
        <v>95</v>
      </c>
      <c r="S53" s="3" t="str">
        <f>IF(R53="","",IF(R53="DNS",0,IF(R53="DQ",0,IF(R53="DNF",1,IF(AND(ISNUMBER(R53),R53&gt;59),1,_xlfn.XLOOKUP(R53,tbl_points[Place],tbl_points[Points],""))))))</f>
        <v/>
      </c>
      <c r="T53" s="3">
        <f>SUM(tbl_individual[[#This Row],[R1 Pts]],tbl_individual[[#This Row],[R2 Pts]],tbl_individual[[#This Row],[R3 Pts]],tbl_individual[[#This Row],[R4 Pts]],tbl_individual[[#This Row],[R5 Pts]],tbl_individual[[#This Row],[R6 Pts]])</f>
        <v>371</v>
      </c>
      <c r="U5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53" s="3">
        <f>tbl_individual[[#This Row],[Total]]</f>
        <v>371</v>
      </c>
    </row>
    <row r="54" spans="1:22" x14ac:dyDescent="0.4">
      <c r="A54" t="s">
        <v>168</v>
      </c>
      <c r="B54" t="s">
        <v>17</v>
      </c>
      <c r="C54" t="s">
        <v>5</v>
      </c>
      <c r="D54" s="3">
        <v>959</v>
      </c>
      <c r="E54" s="3" t="s">
        <v>421</v>
      </c>
      <c r="G54" s="3" t="s">
        <v>403</v>
      </c>
      <c r="H54" s="3">
        <v>6</v>
      </c>
      <c r="I54" s="3">
        <f>IF(H54="","",IF(H54="DNS",0,IF(H54="DQ",0,IF(H54="DNF",1,IF(AND(ISNUMBER(H54),H54&gt;59),1,_xlfn.XLOOKUP(H54,tbl_points[Place],tbl_points[Points],""))))))</f>
        <v>75</v>
      </c>
      <c r="J54" s="3">
        <v>2</v>
      </c>
      <c r="K54" s="3">
        <f>IF(J54="","",IF(J54="DNS",0,IF(J54="DQ",0,IF(J54="DNF",1,IF(AND(ISNUMBER(J54),J54&gt;59),1,_xlfn.XLOOKUP(J54,tbl_points[Place],tbl_points[Points],""))))))</f>
        <v>95</v>
      </c>
      <c r="L54" s="3" t="s">
        <v>410</v>
      </c>
      <c r="M54" s="3">
        <f>IF(L54="","",IF(L54="DNS",0,IF(L54="DQ",0,IF(L54="DNF",1,IF(AND(ISNUMBER(L54),L54&gt;59),1,_xlfn.XLOOKUP(L54,tbl_points[Place],tbl_points[Points],""))))))</f>
        <v>0</v>
      </c>
      <c r="N54" s="3">
        <v>1</v>
      </c>
      <c r="O54" s="3">
        <f>IF(N54="","",IF(N54="DNS",0,IF(N54="DQ",0,IF(N54="DNF",1,IF(AND(ISNUMBER(N54),N54&gt;59),1,_xlfn.XLOOKUP(N54,tbl_points[Place],tbl_points[Points],""))))))</f>
        <v>100</v>
      </c>
      <c r="P54" s="3">
        <v>3</v>
      </c>
      <c r="Q54" s="3">
        <f>IF(P54="","",IF(P54="DNS",0,IF(P54="DQ",0,IF(P54="DNF",1,IF(AND(ISNUMBER(P54),P54&gt;59),1,_xlfn.XLOOKUP(P54,tbl_points[Place],tbl_points[Points],""))))))</f>
        <v>90</v>
      </c>
      <c r="S54" s="3" t="str">
        <f>IF(R54="","",IF(R54="DNS",0,IF(R54="DQ",0,IF(R54="DNF",1,IF(AND(ISNUMBER(R54),R54&gt;59),1,_xlfn.XLOOKUP(R54,tbl_points[Place],tbl_points[Points],""))))))</f>
        <v/>
      </c>
      <c r="T54" s="3">
        <f>SUM(tbl_individual[[#This Row],[R1 Pts]],tbl_individual[[#This Row],[R2 Pts]],tbl_individual[[#This Row],[R3 Pts]],tbl_individual[[#This Row],[R4 Pts]],tbl_individual[[#This Row],[R5 Pts]],tbl_individual[[#This Row],[R6 Pts]])</f>
        <v>360</v>
      </c>
      <c r="U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4" s="3">
        <f>tbl_individual[[#This Row],[Total]]</f>
        <v>360</v>
      </c>
    </row>
    <row r="55" spans="1:22" x14ac:dyDescent="0.4">
      <c r="A55" t="s">
        <v>167</v>
      </c>
      <c r="B55" t="s">
        <v>17</v>
      </c>
      <c r="C55" t="s">
        <v>5</v>
      </c>
      <c r="D55" s="3">
        <v>957</v>
      </c>
      <c r="E55" s="3" t="s">
        <v>421</v>
      </c>
      <c r="G55" s="3" t="s">
        <v>407</v>
      </c>
      <c r="H55" s="3" t="s">
        <v>410</v>
      </c>
      <c r="I55" s="3">
        <f>IF(H55="","",IF(H55="DNS",0,IF(H55="DQ",0,IF(H55="DNF",1,IF(AND(ISNUMBER(H55),H55&gt;59),1,_xlfn.XLOOKUP(H55,tbl_points[Place],tbl_points[Points],""))))))</f>
        <v>0</v>
      </c>
      <c r="J55" s="3" t="s">
        <v>410</v>
      </c>
      <c r="K55" s="3">
        <f>IF(J55="","",IF(J55="DNS",0,IF(J55="DQ",0,IF(J55="DNF",1,IF(AND(ISNUMBER(J55),J55&gt;59),1,_xlfn.XLOOKUP(J55,tbl_points[Place],tbl_points[Points],""))))))</f>
        <v>0</v>
      </c>
      <c r="L55" s="3">
        <v>7</v>
      </c>
      <c r="M55" s="3">
        <f>IF(L55="","",IF(L55="DNS",0,IF(L55="DQ",0,IF(L55="DNF",1,IF(AND(ISNUMBER(L55),L55&gt;59),1,_xlfn.XLOOKUP(L55,tbl_points[Place],tbl_points[Points],""))))))</f>
        <v>70</v>
      </c>
      <c r="N55" s="3" t="s">
        <v>410</v>
      </c>
      <c r="O55" s="3">
        <f>IF(N55="","",IF(N55="DNS",0,IF(N55="DQ",0,IF(N55="DNF",1,IF(AND(ISNUMBER(N55),N55&gt;59),1,_xlfn.XLOOKUP(N55,tbl_points[Place],tbl_points[Points],""))))))</f>
        <v>0</v>
      </c>
      <c r="P55" s="3">
        <v>4</v>
      </c>
      <c r="Q55" s="3">
        <f>IF(P55="","",IF(P55="DNS",0,IF(P55="DQ",0,IF(P55="DNF",1,IF(AND(ISNUMBER(P55),P55&gt;59),1,_xlfn.XLOOKUP(P55,tbl_points[Place],tbl_points[Points],""))))))</f>
        <v>85</v>
      </c>
      <c r="S55" s="3" t="str">
        <f>IF(R55="","",IF(R55="DNS",0,IF(R55="DQ",0,IF(R55="DNF",1,IF(AND(ISNUMBER(R55),R55&gt;59),1,_xlfn.XLOOKUP(R55,tbl_points[Place],tbl_points[Points],""))))))</f>
        <v/>
      </c>
      <c r="T55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5" s="3">
        <f>tbl_individual[[#This Row],[Total]]</f>
        <v>155</v>
      </c>
    </row>
    <row r="56" spans="1:22" x14ac:dyDescent="0.4">
      <c r="A56" t="s">
        <v>412</v>
      </c>
      <c r="B56" t="s">
        <v>10</v>
      </c>
      <c r="C56" t="s">
        <v>5</v>
      </c>
      <c r="D56" s="3">
        <v>960</v>
      </c>
      <c r="E56" s="3" t="s">
        <v>421</v>
      </c>
      <c r="G56" s="3" t="s">
        <v>407</v>
      </c>
      <c r="H56" s="3">
        <v>13</v>
      </c>
      <c r="I56" s="3">
        <f>IF(H56="","",IF(H56="DNS",0,IF(H56="DQ",0,IF(H56="DNF",1,IF(AND(ISNUMBER(H56),H56&gt;59),1,_xlfn.XLOOKUP(H56,tbl_points[Place],tbl_points[Points],""))))))</f>
        <v>49</v>
      </c>
      <c r="J56" s="3">
        <v>5</v>
      </c>
      <c r="K56" s="3">
        <f>IF(J56="","",IF(J56="DNS",0,IF(J56="DQ",0,IF(J56="DNF",1,IF(AND(ISNUMBER(J56),J56&gt;59),1,_xlfn.XLOOKUP(J56,tbl_points[Place],tbl_points[Points],""))))))</f>
        <v>80</v>
      </c>
      <c r="L56" s="3" t="s">
        <v>410</v>
      </c>
      <c r="M56" s="3">
        <f>IF(L56="","",IF(L56="DNS",0,IF(L56="DQ",0,IF(L56="DNF",1,IF(AND(ISNUMBER(L56),L56&gt;59),1,_xlfn.XLOOKUP(L56,tbl_points[Place],tbl_points[Points],""))))))</f>
        <v>0</v>
      </c>
      <c r="N56" s="3">
        <v>2</v>
      </c>
      <c r="O56" s="3">
        <f>IF(N56="","",IF(N56="DNS",0,IF(N56="DQ",0,IF(N56="DNF",1,IF(AND(ISNUMBER(N56),N56&gt;59),1,_xlfn.XLOOKUP(N56,tbl_points[Place],tbl_points[Points],""))))))</f>
        <v>95</v>
      </c>
      <c r="P56" s="3">
        <v>5</v>
      </c>
      <c r="Q56" s="3">
        <f>IF(P56="","",IF(P56="DNS",0,IF(P56="DQ",0,IF(P56="DNF",1,IF(AND(ISNUMBER(P56),P56&gt;59),1,_xlfn.XLOOKUP(P56,tbl_points[Place],tbl_points[Points],""))))))</f>
        <v>80</v>
      </c>
      <c r="S56" s="3" t="str">
        <f>IF(R56="","",IF(R56="DNS",0,IF(R56="DQ",0,IF(R56="DNF",1,IF(AND(ISNUMBER(R56),R56&gt;59),1,_xlfn.XLOOKUP(R56,tbl_points[Place],tbl_points[Points],""))))))</f>
        <v/>
      </c>
      <c r="T56" s="3">
        <f>SUM(tbl_individual[[#This Row],[R1 Pts]],tbl_individual[[#This Row],[R2 Pts]],tbl_individual[[#This Row],[R3 Pts]],tbl_individual[[#This Row],[R4 Pts]],tbl_individual[[#This Row],[R5 Pts]],tbl_individual[[#This Row],[R6 Pts]])</f>
        <v>304</v>
      </c>
      <c r="U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6" s="3">
        <f>tbl_individual[[#This Row],[Total]]</f>
        <v>304</v>
      </c>
    </row>
    <row r="57" spans="1:22" x14ac:dyDescent="0.4">
      <c r="A57" t="s">
        <v>72</v>
      </c>
      <c r="B57" t="s">
        <v>10</v>
      </c>
      <c r="C57" t="s">
        <v>5</v>
      </c>
      <c r="D57" s="3">
        <v>905</v>
      </c>
      <c r="E57" s="3" t="s">
        <v>421</v>
      </c>
      <c r="G57" s="3" t="s">
        <v>403</v>
      </c>
      <c r="H57" s="3">
        <v>3</v>
      </c>
      <c r="I57" s="3">
        <f>IF(H57="","",IF(H57="DNS",0,IF(H57="DQ",0,IF(H57="DNF",1,IF(AND(ISNUMBER(H57),H57&gt;59),1,_xlfn.XLOOKUP(H57,tbl_points[Place],tbl_points[Points],""))))))</f>
        <v>90</v>
      </c>
      <c r="J57" s="3">
        <v>3</v>
      </c>
      <c r="K57" s="3">
        <f>IF(J57="","",IF(J57="DNS",0,IF(J57="DQ",0,IF(J57="DNF",1,IF(AND(ISNUMBER(J57),J57&gt;59),1,_xlfn.XLOOKUP(J57,tbl_points[Place],tbl_points[Points],""))))))</f>
        <v>90</v>
      </c>
      <c r="L57" s="3">
        <v>3</v>
      </c>
      <c r="M57" s="3">
        <f>IF(L57="","",IF(L57="DNS",0,IF(L57="DQ",0,IF(L57="DNF",1,IF(AND(ISNUMBER(L57),L57&gt;59),1,_xlfn.XLOOKUP(L57,tbl_points[Place],tbl_points[Points],""))))))</f>
        <v>90</v>
      </c>
      <c r="N57" s="3">
        <v>4</v>
      </c>
      <c r="O57" s="3">
        <f>IF(N57="","",IF(N57="DNS",0,IF(N57="DQ",0,IF(N57="DNF",1,IF(AND(ISNUMBER(N57),N57&gt;59),1,_xlfn.XLOOKUP(N57,tbl_points[Place],tbl_points[Points],""))))))</f>
        <v>85</v>
      </c>
      <c r="P57" s="3">
        <v>6</v>
      </c>
      <c r="Q57" s="3">
        <f>IF(P57="","",IF(P57="DNS",0,IF(P57="DQ",0,IF(P57="DNF",1,IF(AND(ISNUMBER(P57),P57&gt;59),1,_xlfn.XLOOKUP(P57,tbl_points[Place],tbl_points[Points],""))))))</f>
        <v>75</v>
      </c>
      <c r="S57" s="3" t="str">
        <f>IF(R57="","",IF(R57="DNS",0,IF(R57="DQ",0,IF(R57="DNF",1,IF(AND(ISNUMBER(R57),R57&gt;59),1,_xlfn.XLOOKUP(R57,tbl_points[Place],tbl_points[Points],""))))))</f>
        <v/>
      </c>
      <c r="T57" s="3">
        <f>SUM(tbl_individual[[#This Row],[R1 Pts]],tbl_individual[[#This Row],[R2 Pts]],tbl_individual[[#This Row],[R3 Pts]],tbl_individual[[#This Row],[R4 Pts]],tbl_individual[[#This Row],[R5 Pts]],tbl_individual[[#This Row],[R6 Pts]])</f>
        <v>430</v>
      </c>
      <c r="U57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57" s="3">
        <f>tbl_individual[[#This Row],[Total]]</f>
        <v>430</v>
      </c>
    </row>
    <row r="58" spans="1:22" x14ac:dyDescent="0.4">
      <c r="A58" t="s">
        <v>165</v>
      </c>
      <c r="B58" t="s">
        <v>17</v>
      </c>
      <c r="C58" t="s">
        <v>5</v>
      </c>
      <c r="D58" s="3">
        <v>955</v>
      </c>
      <c r="E58" s="3" t="s">
        <v>421</v>
      </c>
      <c r="G58" s="3" t="s">
        <v>407</v>
      </c>
      <c r="H58" s="3" t="s">
        <v>410</v>
      </c>
      <c r="I58" s="3">
        <f>IF(H58="","",IF(H58="DNS",0,IF(H58="DQ",0,IF(H58="DNF",1,IF(AND(ISNUMBER(H58),H58&gt;59),1,_xlfn.XLOOKUP(H58,tbl_points[Place],tbl_points[Points],""))))))</f>
        <v>0</v>
      </c>
      <c r="J58" s="3" t="s">
        <v>410</v>
      </c>
      <c r="K58" s="3">
        <f>IF(J58="","",IF(J58="DNS",0,IF(J58="DQ",0,IF(J58="DNF",1,IF(AND(ISNUMBER(J58),J58&gt;59),1,_xlfn.XLOOKUP(J58,tbl_points[Place],tbl_points[Points],""))))))</f>
        <v>0</v>
      </c>
      <c r="L58" s="3" t="s">
        <v>410</v>
      </c>
      <c r="M58" s="3">
        <f>IF(L58="","",IF(L58="DNS",0,IF(L58="DQ",0,IF(L58="DNF",1,IF(AND(ISNUMBER(L58),L58&gt;59),1,_xlfn.XLOOKUP(L58,tbl_points[Place],tbl_points[Points],""))))))</f>
        <v>0</v>
      </c>
      <c r="N58" s="3">
        <v>12</v>
      </c>
      <c r="O58" s="3">
        <f>IF(N58="","",IF(N58="DNS",0,IF(N58="DQ",0,IF(N58="DNF",1,IF(AND(ISNUMBER(N58),N58&gt;59),1,_xlfn.XLOOKUP(N58,tbl_points[Place],tbl_points[Points],""))))))</f>
        <v>51</v>
      </c>
      <c r="P58" s="3">
        <v>7</v>
      </c>
      <c r="Q58" s="3">
        <f>IF(P58="","",IF(P58="DNS",0,IF(P58="DQ",0,IF(P58="DNF",1,IF(AND(ISNUMBER(P58),P58&gt;59),1,_xlfn.XLOOKUP(P58,tbl_points[Place],tbl_points[Points],""))))))</f>
        <v>70</v>
      </c>
      <c r="S58" s="3" t="str">
        <f>IF(R58="","",IF(R58="DNS",0,IF(R58="DQ",0,IF(R58="DNF",1,IF(AND(ISNUMBER(R58),R58&gt;59),1,_xlfn.XLOOKUP(R58,tbl_points[Place],tbl_points[Points],""))))))</f>
        <v/>
      </c>
      <c r="T58" s="3">
        <f>SUM(tbl_individual[[#This Row],[R1 Pts]],tbl_individual[[#This Row],[R2 Pts]],tbl_individual[[#This Row],[R3 Pts]],tbl_individual[[#This Row],[R4 Pts]],tbl_individual[[#This Row],[R5 Pts]],tbl_individual[[#This Row],[R6 Pts]])</f>
        <v>121</v>
      </c>
      <c r="U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8" s="3">
        <f>tbl_individual[[#This Row],[Total]]</f>
        <v>121</v>
      </c>
    </row>
    <row r="59" spans="1:22" x14ac:dyDescent="0.4">
      <c r="A59" t="s">
        <v>166</v>
      </c>
      <c r="B59" t="s">
        <v>17</v>
      </c>
      <c r="C59" t="s">
        <v>5</v>
      </c>
      <c r="D59" s="3">
        <v>956</v>
      </c>
      <c r="E59" s="3" t="s">
        <v>421</v>
      </c>
      <c r="G59" s="3" t="s">
        <v>403</v>
      </c>
      <c r="H59" s="3" t="s">
        <v>410</v>
      </c>
      <c r="I59" s="3">
        <f>IF(H59="","",IF(H59="DNS",0,IF(H59="DQ",0,IF(H59="DNF",1,IF(AND(ISNUMBER(H59),H59&gt;59),1,_xlfn.XLOOKUP(H59,tbl_points[Place],tbl_points[Points],""))))))</f>
        <v>0</v>
      </c>
      <c r="J59" s="3">
        <v>9</v>
      </c>
      <c r="K59" s="3">
        <f>IF(J59="","",IF(J59="DNS",0,IF(J59="DQ",0,IF(J59="DNF",1,IF(AND(ISNUMBER(J59),J59&gt;59),1,_xlfn.XLOOKUP(J59,tbl_points[Place],tbl_points[Points],""))))))</f>
        <v>60</v>
      </c>
      <c r="L59" s="3" t="s">
        <v>410</v>
      </c>
      <c r="M59" s="3">
        <f>IF(L59="","",IF(L59="DNS",0,IF(L59="DQ",0,IF(L59="DNF",1,IF(AND(ISNUMBER(L59),L59&gt;59),1,_xlfn.XLOOKUP(L59,tbl_points[Place],tbl_points[Points],""))))))</f>
        <v>0</v>
      </c>
      <c r="N59" s="3">
        <v>8</v>
      </c>
      <c r="O59" s="3">
        <f>IF(N59="","",IF(N59="DNS",0,IF(N59="DQ",0,IF(N59="DNF",1,IF(AND(ISNUMBER(N59),N59&gt;59),1,_xlfn.XLOOKUP(N59,tbl_points[Place],tbl_points[Points],""))))))</f>
        <v>65</v>
      </c>
      <c r="P59" s="3">
        <v>8</v>
      </c>
      <c r="Q59" s="3">
        <f>IF(P59="","",IF(P59="DNS",0,IF(P59="DQ",0,IF(P59="DNF",1,IF(AND(ISNUMBER(P59),P59&gt;59),1,_xlfn.XLOOKUP(P59,tbl_points[Place],tbl_points[Points],""))))))</f>
        <v>65</v>
      </c>
      <c r="S59" s="3" t="str">
        <f>IF(R59="","",IF(R59="DNS",0,IF(R59="DQ",0,IF(R59="DNF",1,IF(AND(ISNUMBER(R59),R59&gt;59),1,_xlfn.XLOOKUP(R59,tbl_points[Place],tbl_points[Points],""))))))</f>
        <v/>
      </c>
      <c r="T59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9" s="3">
        <f>tbl_individual[[#This Row],[Total]]</f>
        <v>190</v>
      </c>
    </row>
    <row r="60" spans="1:22" x14ac:dyDescent="0.4">
      <c r="A60" t="s">
        <v>70</v>
      </c>
      <c r="B60" t="s">
        <v>10</v>
      </c>
      <c r="C60" t="s">
        <v>5</v>
      </c>
      <c r="D60" s="3">
        <v>903</v>
      </c>
      <c r="E60" s="3" t="s">
        <v>421</v>
      </c>
      <c r="G60" s="3" t="s">
        <v>403</v>
      </c>
      <c r="H60" s="3">
        <v>11</v>
      </c>
      <c r="I60" s="3">
        <f>IF(H60="","",IF(H60="DNS",0,IF(H60="DQ",0,IF(H60="DNF",1,IF(AND(ISNUMBER(H60),H60&gt;59),1,_xlfn.XLOOKUP(H60,tbl_points[Place],tbl_points[Points],""))))))</f>
        <v>53</v>
      </c>
      <c r="J60" s="3">
        <v>6</v>
      </c>
      <c r="K60" s="3">
        <f>IF(J60="","",IF(J60="DNS",0,IF(J60="DQ",0,IF(J60="DNF",1,IF(AND(ISNUMBER(J60),J60&gt;59),1,_xlfn.XLOOKUP(J60,tbl_points[Place],tbl_points[Points],""))))))</f>
        <v>75</v>
      </c>
      <c r="L60" s="3">
        <v>8</v>
      </c>
      <c r="M60" s="3">
        <f>IF(L60="","",IF(L60="DNS",0,IF(L60="DQ",0,IF(L60="DNF",1,IF(AND(ISNUMBER(L60),L60&gt;59),1,_xlfn.XLOOKUP(L60,tbl_points[Place],tbl_points[Points],""))))))</f>
        <v>65</v>
      </c>
      <c r="N60" s="3">
        <v>3</v>
      </c>
      <c r="O60" s="3">
        <f>IF(N60="","",IF(N60="DNS",0,IF(N60="DQ",0,IF(N60="DNF",1,IF(AND(ISNUMBER(N60),N60&gt;59),1,_xlfn.XLOOKUP(N60,tbl_points[Place],tbl_points[Points],""))))))</f>
        <v>90</v>
      </c>
      <c r="P60" s="3">
        <v>9</v>
      </c>
      <c r="Q60" s="3">
        <f>IF(P60="","",IF(P60="DNS",0,IF(P60="DQ",0,IF(P60="DNF",1,IF(AND(ISNUMBER(P60),P60&gt;59),1,_xlfn.XLOOKUP(P60,tbl_points[Place],tbl_points[Points],""))))))</f>
        <v>60</v>
      </c>
      <c r="S60" s="3" t="str">
        <f>IF(R60="","",IF(R60="DNS",0,IF(R60="DQ",0,IF(R60="DNF",1,IF(AND(ISNUMBER(R60),R60&gt;59),1,_xlfn.XLOOKUP(R60,tbl_points[Place],tbl_points[Points],""))))))</f>
        <v/>
      </c>
      <c r="T60" s="3">
        <f>SUM(tbl_individual[[#This Row],[R1 Pts]],tbl_individual[[#This Row],[R2 Pts]],tbl_individual[[#This Row],[R3 Pts]],tbl_individual[[#This Row],[R4 Pts]],tbl_individual[[#This Row],[R5 Pts]],tbl_individual[[#This Row],[R6 Pts]])</f>
        <v>343</v>
      </c>
      <c r="U6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60" s="3">
        <f>tbl_individual[[#This Row],[Total]]</f>
        <v>343</v>
      </c>
    </row>
    <row r="61" spans="1:22" hidden="1" x14ac:dyDescent="0.4">
      <c r="A61" t="s">
        <v>75</v>
      </c>
      <c r="B61" t="s">
        <v>10</v>
      </c>
      <c r="C61" t="s">
        <v>5</v>
      </c>
      <c r="D61" s="3">
        <v>908</v>
      </c>
      <c r="E61" s="3" t="s">
        <v>422</v>
      </c>
      <c r="G61" s="3" t="s">
        <v>407</v>
      </c>
      <c r="H61" s="3" t="s">
        <v>410</v>
      </c>
      <c r="I61" s="3">
        <f>IF(H61="","",IF(H61="DNS",0,IF(H61="DQ",0,IF(H61="DNF",1,IF(AND(ISNUMBER(H61),H61&gt;59),1,_xlfn.XLOOKUP(H61,tbl_points[Place],tbl_points[Points],""))))))</f>
        <v>0</v>
      </c>
      <c r="J61" s="3" t="s">
        <v>410</v>
      </c>
      <c r="K61" s="3">
        <f>IF(J61="","",IF(J61="DNS",0,IF(J61="DQ",0,IF(J61="DNF",1,IF(AND(ISNUMBER(J61),J61&gt;59),1,_xlfn.XLOOKUP(J61,tbl_points[Place],tbl_points[Points],""))))))</f>
        <v>0</v>
      </c>
      <c r="M61" s="3" t="str">
        <f>IF(L61="","",IF(L61="DNS",0,IF(L61="DQ",0,IF(L61="DNF",1,IF(AND(ISNUMBER(L61),L61&gt;59),1,_xlfn.XLOOKUP(L61,tbl_points[Place],tbl_points[Points],""))))))</f>
        <v/>
      </c>
      <c r="O61" s="3" t="str">
        <f>IF(N61="","",IF(N61="DNS",0,IF(N61="DQ",0,IF(N61="DNF",1,IF(AND(ISNUMBER(N61),N61&gt;59),1,_xlfn.XLOOKUP(N61,tbl_points[Place],tbl_points[Points],""))))))</f>
        <v/>
      </c>
      <c r="Q61" s="3" t="str">
        <f>IF(P61="","",IF(P61="DNS",0,IF(P61="DQ",0,IF(P61="DNF",1,IF(AND(ISNUMBER(P61),P61&gt;59),1,_xlfn.XLOOKUP(P61,tbl_points[Place],tbl_points[Points],""))))))</f>
        <v/>
      </c>
      <c r="S61" s="3" t="str">
        <f>IF(R61="","",IF(R61="DNS",0,IF(R61="DQ",0,IF(R61="DNF",1,IF(AND(ISNUMBER(R61),R61&gt;59),1,_xlfn.XLOOKUP(R61,tbl_points[Place],tbl_points[Points],""))))))</f>
        <v/>
      </c>
      <c r="T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1" s="3">
        <f>tbl_individual[[#This Row],[Total]]</f>
        <v>0</v>
      </c>
    </row>
    <row r="62" spans="1:22" x14ac:dyDescent="0.4">
      <c r="A62" t="s">
        <v>158</v>
      </c>
      <c r="B62" t="s">
        <v>16</v>
      </c>
      <c r="C62" t="s">
        <v>5</v>
      </c>
      <c r="D62" s="3">
        <v>917</v>
      </c>
      <c r="E62" s="3" t="s">
        <v>421</v>
      </c>
      <c r="G62" s="3" t="s">
        <v>403</v>
      </c>
      <c r="H62" s="3">
        <v>4</v>
      </c>
      <c r="I62" s="3">
        <f>IF(H62="","",IF(H62="DNS",0,IF(H62="DQ",0,IF(H62="DNF",1,IF(AND(ISNUMBER(H62),H62&gt;59),1,_xlfn.XLOOKUP(H62,tbl_points[Place],tbl_points[Points],""))))))</f>
        <v>85</v>
      </c>
      <c r="J62" s="3">
        <v>11</v>
      </c>
      <c r="K62" s="3">
        <f>IF(J62="","",IF(J62="DNS",0,IF(J62="DQ",0,IF(J62="DNF",1,IF(AND(ISNUMBER(J62),J62&gt;59),1,_xlfn.XLOOKUP(J62,tbl_points[Place],tbl_points[Points],""))))))</f>
        <v>53</v>
      </c>
      <c r="L62" s="3">
        <v>2</v>
      </c>
      <c r="M62" s="3">
        <f>IF(L62="","",IF(L62="DNS",0,IF(L62="DQ",0,IF(L62="DNF",1,IF(AND(ISNUMBER(L62),L62&gt;59),1,_xlfn.XLOOKUP(L62,tbl_points[Place],tbl_points[Points],""))))))</f>
        <v>95</v>
      </c>
      <c r="N62" s="3">
        <v>9</v>
      </c>
      <c r="O62" s="3">
        <f>IF(N62="","",IF(N62="DNS",0,IF(N62="DQ",0,IF(N62="DNF",1,IF(AND(ISNUMBER(N62),N62&gt;59),1,_xlfn.XLOOKUP(N62,tbl_points[Place],tbl_points[Points],""))))))</f>
        <v>60</v>
      </c>
      <c r="P62" s="3">
        <v>10</v>
      </c>
      <c r="Q62" s="3">
        <f>IF(P62="","",IF(P62="DNS",0,IF(P62="DQ",0,IF(P62="DNF",1,IF(AND(ISNUMBER(P62),P62&gt;59),1,_xlfn.XLOOKUP(P62,tbl_points[Place],tbl_points[Points],""))))))</f>
        <v>55</v>
      </c>
      <c r="S62" s="3" t="str">
        <f>IF(R62="","",IF(R62="DNS",0,IF(R62="DQ",0,IF(R62="DNF",1,IF(AND(ISNUMBER(R62),R62&gt;59),1,_xlfn.XLOOKUP(R62,tbl_points[Place],tbl_points[Points],""))))))</f>
        <v/>
      </c>
      <c r="T62" s="3">
        <f>SUM(tbl_individual[[#This Row],[R1 Pts]],tbl_individual[[#This Row],[R2 Pts]],tbl_individual[[#This Row],[R3 Pts]],tbl_individual[[#This Row],[R4 Pts]],tbl_individual[[#This Row],[R5 Pts]],tbl_individual[[#This Row],[R6 Pts]])</f>
        <v>348</v>
      </c>
      <c r="U62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62" s="3">
        <f>tbl_individual[[#This Row],[Total]]</f>
        <v>348</v>
      </c>
    </row>
    <row r="63" spans="1:22" x14ac:dyDescent="0.4">
      <c r="A63" t="s">
        <v>157</v>
      </c>
      <c r="B63" t="s">
        <v>16</v>
      </c>
      <c r="C63" t="s">
        <v>5</v>
      </c>
      <c r="D63" s="3">
        <v>916</v>
      </c>
      <c r="E63" s="3" t="s">
        <v>421</v>
      </c>
      <c r="G63" s="3" t="s">
        <v>403</v>
      </c>
      <c r="H63" s="3">
        <v>20</v>
      </c>
      <c r="I63" s="3">
        <f>IF(H63="","",IF(H63="DNS",0,IF(H63="DQ",0,IF(H63="DNF",1,IF(AND(ISNUMBER(H63),H63&gt;59),1,_xlfn.XLOOKUP(H63,tbl_points[Place],tbl_points[Points],""))))))</f>
        <v>40</v>
      </c>
      <c r="J63" s="3">
        <v>8</v>
      </c>
      <c r="K63" s="3">
        <f>IF(J63="","",IF(J63="DNS",0,IF(J63="DQ",0,IF(J63="DNF",1,IF(AND(ISNUMBER(J63),J63&gt;59),1,_xlfn.XLOOKUP(J63,tbl_points[Place],tbl_points[Points],""))))))</f>
        <v>65</v>
      </c>
      <c r="L63" s="3">
        <v>12</v>
      </c>
      <c r="M63" s="3">
        <f>IF(L63="","",IF(L63="DNS",0,IF(L63="DQ",0,IF(L63="DNF",1,IF(AND(ISNUMBER(L63),L63&gt;59),1,_xlfn.XLOOKUP(L63,tbl_points[Place],tbl_points[Points],""))))))</f>
        <v>51</v>
      </c>
      <c r="N63" s="3">
        <v>7</v>
      </c>
      <c r="O63" s="3">
        <f>IF(N63="","",IF(N63="DNS",0,IF(N63="DQ",0,IF(N63="DNF",1,IF(AND(ISNUMBER(N63),N63&gt;59),1,_xlfn.XLOOKUP(N63,tbl_points[Place],tbl_points[Points],""))))))</f>
        <v>70</v>
      </c>
      <c r="P63" s="3">
        <v>11</v>
      </c>
      <c r="Q63" s="3">
        <f>IF(P63="","",IF(P63="DNS",0,IF(P63="DQ",0,IF(P63="DNF",1,IF(AND(ISNUMBER(P63),P63&gt;59),1,_xlfn.XLOOKUP(P63,tbl_points[Place],tbl_points[Points],""))))))</f>
        <v>53</v>
      </c>
      <c r="S63" s="3" t="str">
        <f>IF(R63="","",IF(R63="DNS",0,IF(R63="DQ",0,IF(R63="DNF",1,IF(AND(ISNUMBER(R63),R63&gt;59),1,_xlfn.XLOOKUP(R63,tbl_points[Place],tbl_points[Points],""))))))</f>
        <v/>
      </c>
      <c r="T63" s="3">
        <f>SUM(tbl_individual[[#This Row],[R1 Pts]],tbl_individual[[#This Row],[R2 Pts]],tbl_individual[[#This Row],[R3 Pts]],tbl_individual[[#This Row],[R4 Pts]],tbl_individual[[#This Row],[R5 Pts]],tbl_individual[[#This Row],[R6 Pts]])</f>
        <v>279</v>
      </c>
      <c r="U63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63" s="3">
        <f>tbl_individual[[#This Row],[Total]]</f>
        <v>279</v>
      </c>
    </row>
    <row r="64" spans="1:22" x14ac:dyDescent="0.4">
      <c r="A64" t="s">
        <v>69</v>
      </c>
      <c r="B64" t="s">
        <v>10</v>
      </c>
      <c r="C64" t="s">
        <v>5</v>
      </c>
      <c r="D64" s="3">
        <v>902</v>
      </c>
      <c r="E64" s="3" t="s">
        <v>421</v>
      </c>
      <c r="G64" s="3" t="s">
        <v>403</v>
      </c>
      <c r="H64" s="3">
        <v>12</v>
      </c>
      <c r="I64" s="3">
        <f>IF(H64="","",IF(H64="DNS",0,IF(H64="DQ",0,IF(H64="DNF",1,IF(AND(ISNUMBER(H64),H64&gt;59),1,_xlfn.XLOOKUP(H64,tbl_points[Place],tbl_points[Points],""))))))</f>
        <v>51</v>
      </c>
      <c r="J64" s="3">
        <v>17</v>
      </c>
      <c r="K64" s="3">
        <f>IF(J64="","",IF(J64="DNS",0,IF(J64="DQ",0,IF(J64="DNF",1,IF(AND(ISNUMBER(J64),J64&gt;59),1,_xlfn.XLOOKUP(J64,tbl_points[Place],tbl_points[Points],""))))))</f>
        <v>43</v>
      </c>
      <c r="L64" s="3">
        <v>9</v>
      </c>
      <c r="M64" s="3">
        <f>IF(L64="","",IF(L64="DNS",0,IF(L64="DQ",0,IF(L64="DNF",1,IF(AND(ISNUMBER(L64),L64&gt;59),1,_xlfn.XLOOKUP(L64,tbl_points[Place],tbl_points[Points],""))))))</f>
        <v>60</v>
      </c>
      <c r="N64" s="3" t="s">
        <v>410</v>
      </c>
      <c r="O64" s="3">
        <f>IF(N64="","",IF(N64="DNS",0,IF(N64="DQ",0,IF(N64="DNF",1,IF(AND(ISNUMBER(N64),N64&gt;59),1,_xlfn.XLOOKUP(N64,tbl_points[Place],tbl_points[Points],""))))))</f>
        <v>0</v>
      </c>
      <c r="P64" s="3">
        <v>12</v>
      </c>
      <c r="Q64" s="3">
        <f>IF(P64="","",IF(P64="DNS",0,IF(P64="DQ",0,IF(P64="DNF",1,IF(AND(ISNUMBER(P64),P64&gt;59),1,_xlfn.XLOOKUP(P64,tbl_points[Place],tbl_points[Points],""))))))</f>
        <v>51</v>
      </c>
      <c r="S64" s="3" t="str">
        <f>IF(R64="","",IF(R64="DNS",0,IF(R64="DQ",0,IF(R64="DNF",1,IF(AND(ISNUMBER(R64),R64&gt;59),1,_xlfn.XLOOKUP(R64,tbl_points[Place],tbl_points[Points],""))))))</f>
        <v/>
      </c>
      <c r="T64" s="3">
        <f>SUM(tbl_individual[[#This Row],[R1 Pts]],tbl_individual[[#This Row],[R2 Pts]],tbl_individual[[#This Row],[R3 Pts]],tbl_individual[[#This Row],[R4 Pts]],tbl_individual[[#This Row],[R5 Pts]],tbl_individual[[#This Row],[R6 Pts]])</f>
        <v>205</v>
      </c>
      <c r="U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4" s="3">
        <f>tbl_individual[[#This Row],[Total]]</f>
        <v>205</v>
      </c>
    </row>
    <row r="65" spans="1:22" x14ac:dyDescent="0.4">
      <c r="A65" t="s">
        <v>249</v>
      </c>
      <c r="B65" t="s">
        <v>23</v>
      </c>
      <c r="C65" t="s">
        <v>5</v>
      </c>
      <c r="D65" s="3">
        <v>924</v>
      </c>
      <c r="E65" s="3" t="s">
        <v>421</v>
      </c>
      <c r="G65" s="3" t="s">
        <v>403</v>
      </c>
      <c r="H65" s="3">
        <v>10</v>
      </c>
      <c r="I65" s="3">
        <f>IF(H65="","",IF(H65="DNS",0,IF(H65="DQ",0,IF(H65="DNF",1,IF(AND(ISNUMBER(H65),H65&gt;59),1,_xlfn.XLOOKUP(H65,tbl_points[Place],tbl_points[Points],""))))))</f>
        <v>55</v>
      </c>
      <c r="J65" s="3">
        <v>23</v>
      </c>
      <c r="K65" s="3">
        <f>IF(J65="","",IF(J65="DNS",0,IF(J65="DQ",0,IF(J65="DNF",1,IF(AND(ISNUMBER(J65),J65&gt;59),1,_xlfn.XLOOKUP(J65,tbl_points[Place],tbl_points[Points],""))))))</f>
        <v>37</v>
      </c>
      <c r="L65" s="3">
        <v>20</v>
      </c>
      <c r="M65" s="3">
        <f>IF(L65="","",IF(L65="DNS",0,IF(L65="DQ",0,IF(L65="DNF",1,IF(AND(ISNUMBER(L65),L65&gt;59),1,_xlfn.XLOOKUP(L65,tbl_points[Place],tbl_points[Points],""))))))</f>
        <v>40</v>
      </c>
      <c r="N65" s="3">
        <v>21</v>
      </c>
      <c r="O65" s="3">
        <f>IF(N65="","",IF(N65="DNS",0,IF(N65="DQ",0,IF(N65="DNF",1,IF(AND(ISNUMBER(N65),N65&gt;59),1,_xlfn.XLOOKUP(N65,tbl_points[Place],tbl_points[Points],""))))))</f>
        <v>39</v>
      </c>
      <c r="P65" s="3">
        <v>13</v>
      </c>
      <c r="Q65" s="3">
        <f>IF(P65="","",IF(P65="DNS",0,IF(P65="DQ",0,IF(P65="DNF",1,IF(AND(ISNUMBER(P65),P65&gt;59),1,_xlfn.XLOOKUP(P65,tbl_points[Place],tbl_points[Points],""))))))</f>
        <v>49</v>
      </c>
      <c r="S65" s="3" t="str">
        <f>IF(R65="","",IF(R65="DNS",0,IF(R65="DQ",0,IF(R65="DNF",1,IF(AND(ISNUMBER(R65),R65&gt;59),1,_xlfn.XLOOKUP(R65,tbl_points[Place],tbl_points[Points],""))))))</f>
        <v/>
      </c>
      <c r="T65" s="3">
        <f>SUM(tbl_individual[[#This Row],[R1 Pts]],tbl_individual[[#This Row],[R2 Pts]],tbl_individual[[#This Row],[R3 Pts]],tbl_individual[[#This Row],[R4 Pts]],tbl_individual[[#This Row],[R5 Pts]],tbl_individual[[#This Row],[R6 Pts]])</f>
        <v>220</v>
      </c>
      <c r="U65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65" s="3">
        <f>tbl_individual[[#This Row],[Total]]</f>
        <v>220</v>
      </c>
    </row>
    <row r="66" spans="1:22" x14ac:dyDescent="0.4">
      <c r="A66" t="s">
        <v>253</v>
      </c>
      <c r="B66" t="s">
        <v>23</v>
      </c>
      <c r="C66" t="s">
        <v>5</v>
      </c>
      <c r="D66" s="3">
        <v>928</v>
      </c>
      <c r="E66" s="3" t="s">
        <v>421</v>
      </c>
      <c r="G66" s="3" t="s">
        <v>403</v>
      </c>
      <c r="H66" s="3" t="s">
        <v>410</v>
      </c>
      <c r="I66" s="3">
        <f>IF(H66="","",IF(H66="DNS",0,IF(H66="DQ",0,IF(H66="DNF",1,IF(AND(ISNUMBER(H66),H66&gt;59),1,_xlfn.XLOOKUP(H66,tbl_points[Place],tbl_points[Points],""))))))</f>
        <v>0</v>
      </c>
      <c r="J66" s="3">
        <v>13</v>
      </c>
      <c r="K66" s="3">
        <f>IF(J66="","",IF(J66="DNS",0,IF(J66="DQ",0,IF(J66="DNF",1,IF(AND(ISNUMBER(J66),J66&gt;59),1,_xlfn.XLOOKUP(J66,tbl_points[Place],tbl_points[Points],""))))))</f>
        <v>49</v>
      </c>
      <c r="L66" s="3" t="s">
        <v>410</v>
      </c>
      <c r="M66" s="3">
        <f>IF(L66="","",IF(L66="DNS",0,IF(L66="DQ",0,IF(L66="DNF",1,IF(AND(ISNUMBER(L66),L66&gt;59),1,_xlfn.XLOOKUP(L66,tbl_points[Place],tbl_points[Points],""))))))</f>
        <v>0</v>
      </c>
      <c r="N66" s="3">
        <v>10</v>
      </c>
      <c r="O66" s="3">
        <f>IF(N66="","",IF(N66="DNS",0,IF(N66="DQ",0,IF(N66="DNF",1,IF(AND(ISNUMBER(N66),N66&gt;59),1,_xlfn.XLOOKUP(N66,tbl_points[Place],tbl_points[Points],""))))))</f>
        <v>55</v>
      </c>
      <c r="P66" s="3">
        <v>14</v>
      </c>
      <c r="Q66" s="3">
        <f>IF(P66="","",IF(P66="DNS",0,IF(P66="DQ",0,IF(P66="DNF",1,IF(AND(ISNUMBER(P66),P66&gt;59),1,_xlfn.XLOOKUP(P66,tbl_points[Place],tbl_points[Points],""))))))</f>
        <v>47</v>
      </c>
      <c r="S66" s="3" t="str">
        <f>IF(R66="","",IF(R66="DNS",0,IF(R66="DQ",0,IF(R66="DNF",1,IF(AND(ISNUMBER(R66),R66&gt;59),1,_xlfn.XLOOKUP(R66,tbl_points[Place],tbl_points[Points],""))))))</f>
        <v/>
      </c>
      <c r="T66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6" s="3">
        <f>tbl_individual[[#This Row],[Total]]</f>
        <v>151</v>
      </c>
    </row>
    <row r="67" spans="1:22" x14ac:dyDescent="0.4">
      <c r="A67" t="s">
        <v>187</v>
      </c>
      <c r="B67" t="s">
        <v>20</v>
      </c>
      <c r="C67" t="s">
        <v>5</v>
      </c>
      <c r="D67" s="3">
        <v>920</v>
      </c>
      <c r="E67" s="3" t="s">
        <v>421</v>
      </c>
      <c r="G67" s="3" t="s">
        <v>403</v>
      </c>
      <c r="H67" s="3" t="s">
        <v>410</v>
      </c>
      <c r="I67" s="3">
        <f>IF(H67="","",IF(H67="DNS",0,IF(H67="DQ",0,IF(H67="DNF",1,IF(AND(ISNUMBER(H67),H67&gt;59),1,_xlfn.XLOOKUP(H67,tbl_points[Place],tbl_points[Points],""))))))</f>
        <v>0</v>
      </c>
      <c r="J67" s="3">
        <v>22</v>
      </c>
      <c r="K67" s="3">
        <f>IF(J67="","",IF(J67="DNS",0,IF(J67="DQ",0,IF(J67="DNF",1,IF(AND(ISNUMBER(J67),J67&gt;59),1,_xlfn.XLOOKUP(J67,tbl_points[Place],tbl_points[Points],""))))))</f>
        <v>38</v>
      </c>
      <c r="L67" s="3">
        <v>4</v>
      </c>
      <c r="M67" s="3">
        <f>IF(L67="","",IF(L67="DNS",0,IF(L67="DQ",0,IF(L67="DNF",1,IF(AND(ISNUMBER(L67),L67&gt;59),1,_xlfn.XLOOKUP(L67,tbl_points[Place],tbl_points[Points],""))))))</f>
        <v>85</v>
      </c>
      <c r="N67" s="3">
        <v>14</v>
      </c>
      <c r="O67" s="3">
        <f>IF(N67="","",IF(N67="DNS",0,IF(N67="DQ",0,IF(N67="DNF",1,IF(AND(ISNUMBER(N67),N67&gt;59),1,_xlfn.XLOOKUP(N67,tbl_points[Place],tbl_points[Points],""))))))</f>
        <v>47</v>
      </c>
      <c r="P67" s="3">
        <v>15</v>
      </c>
      <c r="Q67" s="3">
        <f>IF(P67="","",IF(P67="DNS",0,IF(P67="DQ",0,IF(P67="DNF",1,IF(AND(ISNUMBER(P67),P67&gt;59),1,_xlfn.XLOOKUP(P67,tbl_points[Place],tbl_points[Points],""))))))</f>
        <v>45</v>
      </c>
      <c r="S67" s="3" t="str">
        <f>IF(R67="","",IF(R67="DNS",0,IF(R67="DQ",0,IF(R67="DNF",1,IF(AND(ISNUMBER(R67),R67&gt;59),1,_xlfn.XLOOKUP(R67,tbl_points[Place],tbl_points[Points],""))))))</f>
        <v/>
      </c>
      <c r="T67" s="3">
        <f>SUM(tbl_individual[[#This Row],[R1 Pts]],tbl_individual[[#This Row],[R2 Pts]],tbl_individual[[#This Row],[R3 Pts]],tbl_individual[[#This Row],[R4 Pts]],tbl_individual[[#This Row],[R5 Pts]],tbl_individual[[#This Row],[R6 Pts]])</f>
        <v>215</v>
      </c>
      <c r="U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7" s="3">
        <f>tbl_individual[[#This Row],[Total]]</f>
        <v>215</v>
      </c>
    </row>
    <row r="68" spans="1:22" x14ac:dyDescent="0.4">
      <c r="A68" t="s">
        <v>155</v>
      </c>
      <c r="B68" t="s">
        <v>16</v>
      </c>
      <c r="C68" t="s">
        <v>5</v>
      </c>
      <c r="D68" s="3">
        <v>914</v>
      </c>
      <c r="E68" s="3" t="s">
        <v>421</v>
      </c>
      <c r="G68" s="3" t="s">
        <v>403</v>
      </c>
      <c r="H68" s="3">
        <v>26</v>
      </c>
      <c r="I68" s="3">
        <f>IF(H68="","",IF(H68="DNS",0,IF(H68="DQ",0,IF(H68="DNF",1,IF(AND(ISNUMBER(H68),H68&gt;59),1,_xlfn.XLOOKUP(H68,tbl_points[Place],tbl_points[Points],""))))))</f>
        <v>34</v>
      </c>
      <c r="J68" s="3">
        <v>18</v>
      </c>
      <c r="K68" s="3">
        <f>IF(J68="","",IF(J68="DNS",0,IF(J68="DQ",0,IF(J68="DNF",1,IF(AND(ISNUMBER(J68),J68&gt;59),1,_xlfn.XLOOKUP(J68,tbl_points[Place],tbl_points[Points],""))))))</f>
        <v>42</v>
      </c>
      <c r="L68" s="3">
        <v>16</v>
      </c>
      <c r="M68" s="3">
        <f>IF(L68="","",IF(L68="DNS",0,IF(L68="DQ",0,IF(L68="DNF",1,IF(AND(ISNUMBER(L68),L68&gt;59),1,_xlfn.XLOOKUP(L68,tbl_points[Place],tbl_points[Points],""))))))</f>
        <v>44</v>
      </c>
      <c r="N68" s="3">
        <v>19</v>
      </c>
      <c r="O68" s="3">
        <f>IF(N68="","",IF(N68="DNS",0,IF(N68="DQ",0,IF(N68="DNF",1,IF(AND(ISNUMBER(N68),N68&gt;59),1,_xlfn.XLOOKUP(N68,tbl_points[Place],tbl_points[Points],""))))))</f>
        <v>41</v>
      </c>
      <c r="P68" s="3">
        <v>16</v>
      </c>
      <c r="Q68" s="3">
        <f>IF(P68="","",IF(P68="DNS",0,IF(P68="DQ",0,IF(P68="DNF",1,IF(AND(ISNUMBER(P68),P68&gt;59),1,_xlfn.XLOOKUP(P68,tbl_points[Place],tbl_points[Points],""))))))</f>
        <v>44</v>
      </c>
      <c r="S68" s="3" t="str">
        <f>IF(R68="","",IF(R68="DNS",0,IF(R68="DQ",0,IF(R68="DNF",1,IF(AND(ISNUMBER(R68),R68&gt;59),1,_xlfn.XLOOKUP(R68,tbl_points[Place],tbl_points[Points],""))))))</f>
        <v/>
      </c>
      <c r="T68" s="3">
        <f>SUM(tbl_individual[[#This Row],[R1 Pts]],tbl_individual[[#This Row],[R2 Pts]],tbl_individual[[#This Row],[R3 Pts]],tbl_individual[[#This Row],[R4 Pts]],tbl_individual[[#This Row],[R5 Pts]],tbl_individual[[#This Row],[R6 Pts]])</f>
        <v>205</v>
      </c>
      <c r="U68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68" s="3">
        <f>tbl_individual[[#This Row],[Total]]</f>
        <v>205</v>
      </c>
    </row>
    <row r="69" spans="1:22" x14ac:dyDescent="0.4">
      <c r="A69" t="s">
        <v>295</v>
      </c>
      <c r="B69" t="s">
        <v>25</v>
      </c>
      <c r="C69" t="s">
        <v>5</v>
      </c>
      <c r="D69" s="3">
        <v>938</v>
      </c>
      <c r="E69" s="3" t="s">
        <v>421</v>
      </c>
      <c r="G69" s="3" t="s">
        <v>403</v>
      </c>
      <c r="H69" s="3">
        <v>5</v>
      </c>
      <c r="I69" s="3">
        <f>IF(H69="","",IF(H69="DNS",0,IF(H69="DQ",0,IF(H69="DNF",1,IF(AND(ISNUMBER(H69),H69&gt;59),1,_xlfn.XLOOKUP(H69,tbl_points[Place],tbl_points[Points],""))))))</f>
        <v>80</v>
      </c>
      <c r="J69" s="3">
        <v>12</v>
      </c>
      <c r="K69" s="3">
        <f>IF(J69="","",IF(J69="DNS",0,IF(J69="DQ",0,IF(J69="DNF",1,IF(AND(ISNUMBER(J69),J69&gt;59),1,_xlfn.XLOOKUP(J69,tbl_points[Place],tbl_points[Points],""))))))</f>
        <v>51</v>
      </c>
      <c r="L69" s="3">
        <v>6</v>
      </c>
      <c r="M69" s="3">
        <f>IF(L69="","",IF(L69="DNS",0,IF(L69="DQ",0,IF(L69="DNF",1,IF(AND(ISNUMBER(L69),L69&gt;59),1,_xlfn.XLOOKUP(L69,tbl_points[Place],tbl_points[Points],""))))))</f>
        <v>75</v>
      </c>
      <c r="N69" s="3">
        <v>16</v>
      </c>
      <c r="O69" s="3">
        <f>IF(N69="","",IF(N69="DNS",0,IF(N69="DQ",0,IF(N69="DNF",1,IF(AND(ISNUMBER(N69),N69&gt;59),1,_xlfn.XLOOKUP(N69,tbl_points[Place],tbl_points[Points],""))))))</f>
        <v>44</v>
      </c>
      <c r="P69" s="3">
        <v>17</v>
      </c>
      <c r="Q69" s="3">
        <f>IF(P69="","",IF(P69="DNS",0,IF(P69="DQ",0,IF(P69="DNF",1,IF(AND(ISNUMBER(P69),P69&gt;59),1,_xlfn.XLOOKUP(P69,tbl_points[Place],tbl_points[Points],""))))))</f>
        <v>43</v>
      </c>
      <c r="S69" s="3" t="str">
        <f>IF(R69="","",IF(R69="DNS",0,IF(R69="DQ",0,IF(R69="DNF",1,IF(AND(ISNUMBER(R69),R69&gt;59),1,_xlfn.XLOOKUP(R69,tbl_points[Place],tbl_points[Points],""))))))</f>
        <v/>
      </c>
      <c r="T69" s="3">
        <f>SUM(tbl_individual[[#This Row],[R1 Pts]],tbl_individual[[#This Row],[R2 Pts]],tbl_individual[[#This Row],[R3 Pts]],tbl_individual[[#This Row],[R4 Pts]],tbl_individual[[#This Row],[R5 Pts]],tbl_individual[[#This Row],[R6 Pts]])</f>
        <v>293</v>
      </c>
      <c r="U69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69" s="3">
        <f>tbl_individual[[#This Row],[Total]]</f>
        <v>293</v>
      </c>
    </row>
    <row r="70" spans="1:22" x14ac:dyDescent="0.4">
      <c r="A70" t="s">
        <v>319</v>
      </c>
      <c r="B70" t="s">
        <v>27</v>
      </c>
      <c r="C70" t="s">
        <v>5</v>
      </c>
      <c r="D70" s="3">
        <v>944</v>
      </c>
      <c r="E70" s="3" t="s">
        <v>421</v>
      </c>
      <c r="G70" s="3" t="s">
        <v>407</v>
      </c>
      <c r="H70" s="3" t="s">
        <v>410</v>
      </c>
      <c r="I70" s="3">
        <f>IF(H70="","",IF(H70="DNS",0,IF(H70="DQ",0,IF(H70="DNF",1,IF(AND(ISNUMBER(H70),H70&gt;59),1,_xlfn.XLOOKUP(H70,tbl_points[Place],tbl_points[Points],""))))))</f>
        <v>0</v>
      </c>
      <c r="J70" s="3" t="s">
        <v>410</v>
      </c>
      <c r="K70" s="3">
        <f>IF(J70="","",IF(J70="DNS",0,IF(J70="DQ",0,IF(J70="DNF",1,IF(AND(ISNUMBER(J70),J70&gt;59),1,_xlfn.XLOOKUP(J70,tbl_points[Place],tbl_points[Points],""))))))</f>
        <v>0</v>
      </c>
      <c r="L70" s="3" t="s">
        <v>410</v>
      </c>
      <c r="M70" s="3">
        <f>IF(L70="","",IF(L70="DNS",0,IF(L70="DQ",0,IF(L70="DNF",1,IF(AND(ISNUMBER(L70),L70&gt;59),1,_xlfn.XLOOKUP(L70,tbl_points[Place],tbl_points[Points],""))))))</f>
        <v>0</v>
      </c>
      <c r="N70" s="3">
        <v>15</v>
      </c>
      <c r="O70" s="3">
        <f>IF(N70="","",IF(N70="DNS",0,IF(N70="DQ",0,IF(N70="DNF",1,IF(AND(ISNUMBER(N70),N70&gt;59),1,_xlfn.XLOOKUP(N70,tbl_points[Place],tbl_points[Points],""))))))</f>
        <v>45</v>
      </c>
      <c r="P70" s="3">
        <v>18</v>
      </c>
      <c r="Q70" s="3">
        <f>IF(P70="","",IF(P70="DNS",0,IF(P70="DQ",0,IF(P70="DNF",1,IF(AND(ISNUMBER(P70),P70&gt;59),1,_xlfn.XLOOKUP(P70,tbl_points[Place],tbl_points[Points],""))))))</f>
        <v>42</v>
      </c>
      <c r="S70" s="3" t="str">
        <f>IF(R70="","",IF(R70="DNS",0,IF(R70="DQ",0,IF(R70="DNF",1,IF(AND(ISNUMBER(R70),R70&gt;59),1,_xlfn.XLOOKUP(R70,tbl_points[Place],tbl_points[Points],""))))))</f>
        <v/>
      </c>
      <c r="T70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U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0" s="3">
        <f>tbl_individual[[#This Row],[Total]]</f>
        <v>87</v>
      </c>
    </row>
    <row r="71" spans="1:22" x14ac:dyDescent="0.4">
      <c r="A71" t="s">
        <v>291</v>
      </c>
      <c r="B71" t="s">
        <v>25</v>
      </c>
      <c r="C71" t="s">
        <v>5</v>
      </c>
      <c r="D71" s="3">
        <v>934</v>
      </c>
      <c r="E71" s="3" t="s">
        <v>421</v>
      </c>
      <c r="G71" s="3" t="s">
        <v>403</v>
      </c>
      <c r="H71" s="3">
        <v>8</v>
      </c>
      <c r="I71" s="3">
        <f>IF(H71="","",IF(H71="DNS",0,IF(H71="DQ",0,IF(H71="DNF",1,IF(AND(ISNUMBER(H71),H71&gt;59),1,_xlfn.XLOOKUP(H71,tbl_points[Place],tbl_points[Points],""))))))</f>
        <v>65</v>
      </c>
      <c r="J71" s="3">
        <v>4</v>
      </c>
      <c r="K71" s="3">
        <f>IF(J71="","",IF(J71="DNS",0,IF(J71="DQ",0,IF(J71="DNF",1,IF(AND(ISNUMBER(J71),J71&gt;59),1,_xlfn.XLOOKUP(J71,tbl_points[Place],tbl_points[Points],""))))))</f>
        <v>85</v>
      </c>
      <c r="L71" s="3">
        <v>5</v>
      </c>
      <c r="M71" s="3">
        <f>IF(L71="","",IF(L71="DNS",0,IF(L71="DQ",0,IF(L71="DNF",1,IF(AND(ISNUMBER(L71),L71&gt;59),1,_xlfn.XLOOKUP(L71,tbl_points[Place],tbl_points[Points],""))))))</f>
        <v>80</v>
      </c>
      <c r="N71" s="3">
        <v>6</v>
      </c>
      <c r="O71" s="3">
        <f>IF(N71="","",IF(N71="DNS",0,IF(N71="DQ",0,IF(N71="DNF",1,IF(AND(ISNUMBER(N71),N71&gt;59),1,_xlfn.XLOOKUP(N71,tbl_points[Place],tbl_points[Points],""))))))</f>
        <v>75</v>
      </c>
      <c r="P71" s="3">
        <v>19</v>
      </c>
      <c r="Q71" s="3">
        <f>IF(P71="","",IF(P71="DNS",0,IF(P71="DQ",0,IF(P71="DNF",1,IF(AND(ISNUMBER(P71),P71&gt;59),1,_xlfn.XLOOKUP(P71,tbl_points[Place],tbl_points[Points],""))))))</f>
        <v>41</v>
      </c>
      <c r="S71" s="3" t="str">
        <f>IF(R71="","",IF(R71="DNS",0,IF(R71="DQ",0,IF(R71="DNF",1,IF(AND(ISNUMBER(R71),R71&gt;59),1,_xlfn.XLOOKUP(R71,tbl_points[Place],tbl_points[Points],""))))))</f>
        <v/>
      </c>
      <c r="T71" s="3">
        <f>SUM(tbl_individual[[#This Row],[R1 Pts]],tbl_individual[[#This Row],[R2 Pts]],tbl_individual[[#This Row],[R3 Pts]],tbl_individual[[#This Row],[R4 Pts]],tbl_individual[[#This Row],[R5 Pts]],tbl_individual[[#This Row],[R6 Pts]])</f>
        <v>346</v>
      </c>
      <c r="U71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71" s="3">
        <f>tbl_individual[[#This Row],[Total]]</f>
        <v>346</v>
      </c>
    </row>
    <row r="72" spans="1:22" x14ac:dyDescent="0.4">
      <c r="A72" t="s">
        <v>74</v>
      </c>
      <c r="B72" t="s">
        <v>10</v>
      </c>
      <c r="C72" t="s">
        <v>5</v>
      </c>
      <c r="D72" s="3">
        <v>907</v>
      </c>
      <c r="E72" s="3" t="s">
        <v>421</v>
      </c>
      <c r="G72" s="3" t="s">
        <v>407</v>
      </c>
      <c r="H72" s="3">
        <v>27</v>
      </c>
      <c r="I72" s="3">
        <f>IF(H72="","",IF(H72="DNS",0,IF(H72="DQ",0,IF(H72="DNF",1,IF(AND(ISNUMBER(H72),H72&gt;59),1,_xlfn.XLOOKUP(H72,tbl_points[Place],tbl_points[Points],""))))))</f>
        <v>33</v>
      </c>
      <c r="J72" s="3">
        <v>16</v>
      </c>
      <c r="K72" s="3">
        <f>IF(J72="","",IF(J72="DNS",0,IF(J72="DQ",0,IF(J72="DNF",1,IF(AND(ISNUMBER(J72),J72&gt;59),1,_xlfn.XLOOKUP(J72,tbl_points[Place],tbl_points[Points],""))))))</f>
        <v>44</v>
      </c>
      <c r="L72" s="3">
        <v>27</v>
      </c>
      <c r="M72" s="3">
        <f>IF(L72="","",IF(L72="DNS",0,IF(L72="DQ",0,IF(L72="DNF",1,IF(AND(ISNUMBER(L72),L72&gt;59),1,_xlfn.XLOOKUP(L72,tbl_points[Place],tbl_points[Points],""))))))</f>
        <v>33</v>
      </c>
      <c r="N72" s="3">
        <v>46</v>
      </c>
      <c r="O72" s="3">
        <f>IF(N72="","",IF(N72="DNS",0,IF(N72="DQ",0,IF(N72="DNF",1,IF(AND(ISNUMBER(N72),N72&gt;59),1,_xlfn.XLOOKUP(N72,tbl_points[Place],tbl_points[Points],""))))))</f>
        <v>14</v>
      </c>
      <c r="P72" s="3">
        <v>20</v>
      </c>
      <c r="Q72" s="3">
        <f>IF(P72="","",IF(P72="DNS",0,IF(P72="DQ",0,IF(P72="DNF",1,IF(AND(ISNUMBER(P72),P72&gt;59),1,_xlfn.XLOOKUP(P72,tbl_points[Place],tbl_points[Points],""))))))</f>
        <v>40</v>
      </c>
      <c r="S72" s="3" t="str">
        <f>IF(R72="","",IF(R72="DNS",0,IF(R72="DQ",0,IF(R72="DNF",1,IF(AND(ISNUMBER(R72),R72&gt;59),1,_xlfn.XLOOKUP(R72,tbl_points[Place],tbl_points[Points],""))))))</f>
        <v/>
      </c>
      <c r="T72" s="3">
        <f>SUM(tbl_individual[[#This Row],[R1 Pts]],tbl_individual[[#This Row],[R2 Pts]],tbl_individual[[#This Row],[R3 Pts]],tbl_individual[[#This Row],[R4 Pts]],tbl_individual[[#This Row],[R5 Pts]],tbl_individual[[#This Row],[R6 Pts]])</f>
        <v>164</v>
      </c>
      <c r="U72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V72" s="3">
        <f>tbl_individual[[#This Row],[Total]]</f>
        <v>164</v>
      </c>
    </row>
    <row r="73" spans="1:22" x14ac:dyDescent="0.4">
      <c r="A73" t="s">
        <v>73</v>
      </c>
      <c r="B73" t="s">
        <v>10</v>
      </c>
      <c r="C73" t="s">
        <v>5</v>
      </c>
      <c r="D73" s="3">
        <v>906</v>
      </c>
      <c r="E73" s="3" t="s">
        <v>421</v>
      </c>
      <c r="G73" s="3" t="s">
        <v>403</v>
      </c>
      <c r="H73" s="3">
        <v>29</v>
      </c>
      <c r="I73" s="3">
        <f>IF(H73="","",IF(H73="DNS",0,IF(H73="DQ",0,IF(H73="DNF",1,IF(AND(ISNUMBER(H73),H73&gt;59),1,_xlfn.XLOOKUP(H73,tbl_points[Place],tbl_points[Points],""))))))</f>
        <v>31</v>
      </c>
      <c r="J73" s="3">
        <v>35</v>
      </c>
      <c r="K73" s="3">
        <f>IF(J73="","",IF(J73="DNS",0,IF(J73="DQ",0,IF(J73="DNF",1,IF(AND(ISNUMBER(J73),J73&gt;59),1,_xlfn.XLOOKUP(J73,tbl_points[Place],tbl_points[Points],""))))))</f>
        <v>25</v>
      </c>
      <c r="L73" s="3">
        <v>18</v>
      </c>
      <c r="M73" s="3">
        <f>IF(L73="","",IF(L73="DNS",0,IF(L73="DQ",0,IF(L73="DNF",1,IF(AND(ISNUMBER(L73),L73&gt;59),1,_xlfn.XLOOKUP(L73,tbl_points[Place],tbl_points[Points],""))))))</f>
        <v>42</v>
      </c>
      <c r="N73" s="3">
        <v>22</v>
      </c>
      <c r="O73" s="3">
        <f>IF(N73="","",IF(N73="DNS",0,IF(N73="DQ",0,IF(N73="DNF",1,IF(AND(ISNUMBER(N73),N73&gt;59),1,_xlfn.XLOOKUP(N73,tbl_points[Place],tbl_points[Points],""))))))</f>
        <v>38</v>
      </c>
      <c r="P73" s="3">
        <v>21</v>
      </c>
      <c r="Q73" s="3">
        <f>IF(P73="","",IF(P73="DNS",0,IF(P73="DQ",0,IF(P73="DNF",1,IF(AND(ISNUMBER(P73),P73&gt;59),1,_xlfn.XLOOKUP(P73,tbl_points[Place],tbl_points[Points],""))))))</f>
        <v>39</v>
      </c>
      <c r="S73" s="3" t="str">
        <f>IF(R73="","",IF(R73="DNS",0,IF(R73="DQ",0,IF(R73="DNF",1,IF(AND(ISNUMBER(R73),R73&gt;59),1,_xlfn.XLOOKUP(R73,tbl_points[Place],tbl_points[Points],""))))))</f>
        <v/>
      </c>
      <c r="T73" s="3">
        <f>SUM(tbl_individual[[#This Row],[R1 Pts]],tbl_individual[[#This Row],[R2 Pts]],tbl_individual[[#This Row],[R3 Pts]],tbl_individual[[#This Row],[R4 Pts]],tbl_individual[[#This Row],[R5 Pts]],tbl_individual[[#This Row],[R6 Pts]])</f>
        <v>175</v>
      </c>
      <c r="U7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73" s="3">
        <f>tbl_individual[[#This Row],[Total]]</f>
        <v>175</v>
      </c>
    </row>
    <row r="74" spans="1:22" x14ac:dyDescent="0.4">
      <c r="A74" t="s">
        <v>337</v>
      </c>
      <c r="B74" t="s">
        <v>28</v>
      </c>
      <c r="C74" t="s">
        <v>5</v>
      </c>
      <c r="D74" s="3">
        <v>947</v>
      </c>
      <c r="E74" s="3" t="s">
        <v>421</v>
      </c>
      <c r="G74" s="3" t="s">
        <v>403</v>
      </c>
      <c r="H74" s="3">
        <v>23</v>
      </c>
      <c r="I74" s="3">
        <f>IF(H74="","",IF(H74="DNS",0,IF(H74="DQ",0,IF(H74="DNF",1,IF(AND(ISNUMBER(H74),H74&gt;59),1,_xlfn.XLOOKUP(H74,tbl_points[Place],tbl_points[Points],""))))))</f>
        <v>37</v>
      </c>
      <c r="J74" s="3">
        <v>15</v>
      </c>
      <c r="K74" s="3">
        <f>IF(J74="","",IF(J74="DNS",0,IF(J74="DQ",0,IF(J74="DNF",1,IF(AND(ISNUMBER(J74),J74&gt;59),1,_xlfn.XLOOKUP(J74,tbl_points[Place],tbl_points[Points],""))))))</f>
        <v>45</v>
      </c>
      <c r="L74" s="3">
        <v>15</v>
      </c>
      <c r="M74" s="3">
        <f>IF(L74="","",IF(L74="DNS",0,IF(L74="DQ",0,IF(L74="DNF",1,IF(AND(ISNUMBER(L74),L74&gt;59),1,_xlfn.XLOOKUP(L74,tbl_points[Place],tbl_points[Points],""))))))</f>
        <v>45</v>
      </c>
      <c r="N74" s="3">
        <v>13</v>
      </c>
      <c r="O74" s="3">
        <f>IF(N74="","",IF(N74="DNS",0,IF(N74="DQ",0,IF(N74="DNF",1,IF(AND(ISNUMBER(N74),N74&gt;59),1,_xlfn.XLOOKUP(N74,tbl_points[Place],tbl_points[Points],""))))))</f>
        <v>49</v>
      </c>
      <c r="P74" s="3">
        <v>22</v>
      </c>
      <c r="Q74" s="3">
        <f>IF(P74="","",IF(P74="DNS",0,IF(P74="DQ",0,IF(P74="DNF",1,IF(AND(ISNUMBER(P74),P74&gt;59),1,_xlfn.XLOOKUP(P74,tbl_points[Place],tbl_points[Points],""))))))</f>
        <v>38</v>
      </c>
      <c r="S74" s="3" t="str">
        <f>IF(R74="","",IF(R74="DNS",0,IF(R74="DQ",0,IF(R74="DNF",1,IF(AND(ISNUMBER(R74),R74&gt;59),1,_xlfn.XLOOKUP(R74,tbl_points[Place],tbl_points[Points],""))))))</f>
        <v/>
      </c>
      <c r="T74" s="3">
        <f>SUM(tbl_individual[[#This Row],[R1 Pts]],tbl_individual[[#This Row],[R2 Pts]],tbl_individual[[#This Row],[R3 Pts]],tbl_individual[[#This Row],[R4 Pts]],tbl_individual[[#This Row],[R5 Pts]],tbl_individual[[#This Row],[R6 Pts]])</f>
        <v>214</v>
      </c>
      <c r="U74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74" s="3">
        <f>tbl_individual[[#This Row],[Total]]</f>
        <v>214</v>
      </c>
    </row>
    <row r="75" spans="1:22" x14ac:dyDescent="0.4">
      <c r="A75" t="s">
        <v>288</v>
      </c>
      <c r="B75" t="s">
        <v>25</v>
      </c>
      <c r="C75" t="s">
        <v>5</v>
      </c>
      <c r="D75" s="3">
        <v>931</v>
      </c>
      <c r="E75" s="3" t="s">
        <v>421</v>
      </c>
      <c r="G75" s="3" t="s">
        <v>403</v>
      </c>
      <c r="H75" s="3" t="s">
        <v>410</v>
      </c>
      <c r="I75" s="3">
        <f>IF(H75="","",IF(H75="DNS",0,IF(H75="DQ",0,IF(H75="DNF",1,IF(AND(ISNUMBER(H75),H75&gt;59),1,_xlfn.XLOOKUP(H75,tbl_points[Place],tbl_points[Points],""))))))</f>
        <v>0</v>
      </c>
      <c r="J75" s="3">
        <v>27</v>
      </c>
      <c r="K75" s="3">
        <f>IF(J75="","",IF(J75="DNS",0,IF(J75="DQ",0,IF(J75="DNF",1,IF(AND(ISNUMBER(J75),J75&gt;59),1,_xlfn.XLOOKUP(J75,tbl_points[Place],tbl_points[Points],""))))))</f>
        <v>33</v>
      </c>
      <c r="L75" s="3" t="s">
        <v>410</v>
      </c>
      <c r="M75" s="3">
        <f>IF(L75="","",IF(L75="DNS",0,IF(L75="DQ",0,IF(L75="DNF",1,IF(AND(ISNUMBER(L75),L75&gt;59),1,_xlfn.XLOOKUP(L75,tbl_points[Place],tbl_points[Points],""))))))</f>
        <v>0</v>
      </c>
      <c r="N75" s="3">
        <v>29</v>
      </c>
      <c r="O75" s="3">
        <f>IF(N75="","",IF(N75="DNS",0,IF(N75="DQ",0,IF(N75="DNF",1,IF(AND(ISNUMBER(N75),N75&gt;59),1,_xlfn.XLOOKUP(N75,tbl_points[Place],tbl_points[Points],""))))))</f>
        <v>31</v>
      </c>
      <c r="P75" s="3">
        <v>23</v>
      </c>
      <c r="Q75" s="3">
        <f>IF(P75="","",IF(P75="DNS",0,IF(P75="DQ",0,IF(P75="DNF",1,IF(AND(ISNUMBER(P75),P75&gt;59),1,_xlfn.XLOOKUP(P75,tbl_points[Place],tbl_points[Points],""))))))</f>
        <v>37</v>
      </c>
      <c r="S75" s="3" t="str">
        <f>IF(R75="","",IF(R75="DNS",0,IF(R75="DQ",0,IF(R75="DNF",1,IF(AND(ISNUMBER(R75),R75&gt;59),1,_xlfn.XLOOKUP(R75,tbl_points[Place],tbl_points[Points],""))))))</f>
        <v/>
      </c>
      <c r="T75" s="3">
        <f>SUM(tbl_individual[[#This Row],[R1 Pts]],tbl_individual[[#This Row],[R2 Pts]],tbl_individual[[#This Row],[R3 Pts]],tbl_individual[[#This Row],[R4 Pts]],tbl_individual[[#This Row],[R5 Pts]],tbl_individual[[#This Row],[R6 Pts]])</f>
        <v>101</v>
      </c>
      <c r="U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5" s="3">
        <f>tbl_individual[[#This Row],[Total]]</f>
        <v>101</v>
      </c>
    </row>
    <row r="76" spans="1:22" x14ac:dyDescent="0.4">
      <c r="A76" t="s">
        <v>294</v>
      </c>
      <c r="B76" t="s">
        <v>25</v>
      </c>
      <c r="C76" t="s">
        <v>5</v>
      </c>
      <c r="D76" s="3">
        <v>937</v>
      </c>
      <c r="E76" s="3" t="s">
        <v>421</v>
      </c>
      <c r="G76" s="3" t="s">
        <v>403</v>
      </c>
      <c r="H76" s="3">
        <v>30</v>
      </c>
      <c r="I76" s="3">
        <f>IF(H76="","",IF(H76="DNS",0,IF(H76="DQ",0,IF(H76="DNF",1,IF(AND(ISNUMBER(H76),H76&gt;59),1,_xlfn.XLOOKUP(H76,tbl_points[Place],tbl_points[Points],""))))))</f>
        <v>30</v>
      </c>
      <c r="J76" s="3">
        <v>24</v>
      </c>
      <c r="K76" s="3">
        <f>IF(J76="","",IF(J76="DNS",0,IF(J76="DQ",0,IF(J76="DNF",1,IF(AND(ISNUMBER(J76),J76&gt;59),1,_xlfn.XLOOKUP(J76,tbl_points[Place],tbl_points[Points],""))))))</f>
        <v>36</v>
      </c>
      <c r="L76" s="3" t="s">
        <v>410</v>
      </c>
      <c r="M76" s="3">
        <f>IF(L76="","",IF(L76="DNS",0,IF(L76="DQ",0,IF(L76="DNF",1,IF(AND(ISNUMBER(L76),L76&gt;59),1,_xlfn.XLOOKUP(L76,tbl_points[Place],tbl_points[Points],""))))))</f>
        <v>0</v>
      </c>
      <c r="N76" s="3">
        <v>27</v>
      </c>
      <c r="O76" s="3">
        <f>IF(N76="","",IF(N76="DNS",0,IF(N76="DQ",0,IF(N76="DNF",1,IF(AND(ISNUMBER(N76),N76&gt;59),1,_xlfn.XLOOKUP(N76,tbl_points[Place],tbl_points[Points],""))))))</f>
        <v>33</v>
      </c>
      <c r="P76" s="3">
        <v>24</v>
      </c>
      <c r="Q76" s="3">
        <f>IF(P76="","",IF(P76="DNS",0,IF(P76="DQ",0,IF(P76="DNF",1,IF(AND(ISNUMBER(P76),P76&gt;59),1,_xlfn.XLOOKUP(P76,tbl_points[Place],tbl_points[Points],""))))))</f>
        <v>36</v>
      </c>
      <c r="S76" s="3" t="str">
        <f>IF(R76="","",IF(R76="DNS",0,IF(R76="DQ",0,IF(R76="DNF",1,IF(AND(ISNUMBER(R76),R76&gt;59),1,_xlfn.XLOOKUP(R76,tbl_points[Place],tbl_points[Points],""))))))</f>
        <v/>
      </c>
      <c r="T76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6" s="3">
        <f>tbl_individual[[#This Row],[Total]]</f>
        <v>135</v>
      </c>
    </row>
    <row r="77" spans="1:22" hidden="1" x14ac:dyDescent="0.4">
      <c r="A77" t="s">
        <v>1304</v>
      </c>
      <c r="B77" t="s">
        <v>25</v>
      </c>
      <c r="C77" t="s">
        <v>5</v>
      </c>
      <c r="D77" s="3">
        <v>963</v>
      </c>
      <c r="H77" s="3" t="s">
        <v>410</v>
      </c>
      <c r="I77" s="53">
        <f>IF(H77="","",IF(H77="DNS",0,IF(H77="DQ",0,IF(H77="DNF",1,IF(AND(ISNUMBER(H77),H77&gt;59),1,_xlfn.XLOOKUP(H77,tbl_points[Place],tbl_points[Points],""))))))</f>
        <v>0</v>
      </c>
      <c r="J77" s="3" t="s">
        <v>410</v>
      </c>
      <c r="K77" s="53">
        <f>IF(J77="","",IF(J77="DNS",0,IF(J77="DQ",0,IF(J77="DNF",1,IF(AND(ISNUMBER(J77),J77&gt;59),1,_xlfn.XLOOKUP(J77,tbl_points[Place],tbl_points[Points],""))))))</f>
        <v>0</v>
      </c>
      <c r="L77" s="53" t="s">
        <v>410</v>
      </c>
      <c r="M77" s="53">
        <f>IF(L77="","",IF(L77="DNS",0,IF(L77="DQ",0,IF(L77="DNF",1,IF(AND(ISNUMBER(L77),L77&gt;59),1,_xlfn.XLOOKUP(L77,tbl_points[Place],tbl_points[Points],""))))))</f>
        <v>0</v>
      </c>
      <c r="N77" s="53" t="s">
        <v>410</v>
      </c>
      <c r="O77" s="53">
        <f>IF(N77="","",IF(N77="DNS",0,IF(N77="DQ",0,IF(N77="DNF",1,IF(AND(ISNUMBER(N77),N77&gt;59),1,_xlfn.XLOOKUP(N77,tbl_points[Place],tbl_points[Points],""))))))</f>
        <v>0</v>
      </c>
      <c r="P77" s="53">
        <v>25</v>
      </c>
      <c r="Q77" s="53">
        <f>IF(P77="","",IF(P77="DNS",0,IF(P77="DQ",0,IF(P77="DNF",1,IF(AND(ISNUMBER(P77),P77&gt;59),1,_xlfn.XLOOKUP(P77,tbl_points[Place],tbl_points[Points],""))))))</f>
        <v>35</v>
      </c>
      <c r="R77" s="53"/>
      <c r="S77" s="53" t="str">
        <f>IF(R77="","",IF(R77="DNS",0,IF(R77="DQ",0,IF(R77="DNF",1,IF(AND(ISNUMBER(R77),R77&gt;59),1,_xlfn.XLOOKUP(R77,tbl_points[Place],tbl_points[Points],""))))))</f>
        <v/>
      </c>
      <c r="T77" s="5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77" s="5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7" s="53">
        <f>tbl_individual[[#This Row],[Total]]</f>
        <v>35</v>
      </c>
    </row>
    <row r="78" spans="1:22" x14ac:dyDescent="0.4">
      <c r="A78" t="s">
        <v>339</v>
      </c>
      <c r="B78" t="s">
        <v>28</v>
      </c>
      <c r="C78" t="s">
        <v>5</v>
      </c>
      <c r="D78" s="3">
        <v>949</v>
      </c>
      <c r="E78" s="3" t="s">
        <v>421</v>
      </c>
      <c r="G78" s="3" t="s">
        <v>403</v>
      </c>
      <c r="H78" s="3">
        <v>34</v>
      </c>
      <c r="I78" s="3">
        <f>IF(H78="","",IF(H78="DNS",0,IF(H78="DQ",0,IF(H78="DNF",1,IF(AND(ISNUMBER(H78),H78&gt;59),1,_xlfn.XLOOKUP(H78,tbl_points[Place],tbl_points[Points],""))))))</f>
        <v>26</v>
      </c>
      <c r="J78" s="3">
        <v>30</v>
      </c>
      <c r="K78" s="3">
        <f>IF(J78="","",IF(J78="DNS",0,IF(J78="DQ",0,IF(J78="DNF",1,IF(AND(ISNUMBER(J78),J78&gt;59),1,_xlfn.XLOOKUP(J78,tbl_points[Place],tbl_points[Points],""))))))</f>
        <v>30</v>
      </c>
      <c r="L78" s="3" t="s">
        <v>410</v>
      </c>
      <c r="M78" s="3">
        <f>IF(L78="","",IF(L78="DNS",0,IF(L78="DQ",0,IF(L78="DNF",1,IF(AND(ISNUMBER(L78),L78&gt;59),1,_xlfn.XLOOKUP(L78,tbl_points[Place],tbl_points[Points],""))))))</f>
        <v>0</v>
      </c>
      <c r="N78" s="3">
        <v>24</v>
      </c>
      <c r="O78" s="3">
        <f>IF(N78="","",IF(N78="DNS",0,IF(N78="DQ",0,IF(N78="DNF",1,IF(AND(ISNUMBER(N78),N78&gt;59),1,_xlfn.XLOOKUP(N78,tbl_points[Place],tbl_points[Points],""))))))</f>
        <v>36</v>
      </c>
      <c r="P78" s="3">
        <v>26</v>
      </c>
      <c r="Q78" s="3">
        <f>IF(P78="","",IF(P78="DNS",0,IF(P78="DQ",0,IF(P78="DNF",1,IF(AND(ISNUMBER(P78),P78&gt;59),1,_xlfn.XLOOKUP(P78,tbl_points[Place],tbl_points[Points],""))))))</f>
        <v>34</v>
      </c>
      <c r="S78" s="3" t="str">
        <f>IF(R78="","",IF(R78="DNS",0,IF(R78="DQ",0,IF(R78="DNF",1,IF(AND(ISNUMBER(R78),R78&gt;59),1,_xlfn.XLOOKUP(R78,tbl_points[Place],tbl_points[Points],""))))))</f>
        <v/>
      </c>
      <c r="T78" s="3">
        <f>SUM(tbl_individual[[#This Row],[R1 Pts]],tbl_individual[[#This Row],[R2 Pts]],tbl_individual[[#This Row],[R3 Pts]],tbl_individual[[#This Row],[R4 Pts]],tbl_individual[[#This Row],[R5 Pts]],tbl_individual[[#This Row],[R6 Pts]])</f>
        <v>126</v>
      </c>
      <c r="U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8" s="3">
        <f>tbl_individual[[#This Row],[Total]]</f>
        <v>126</v>
      </c>
    </row>
    <row r="79" spans="1:22" x14ac:dyDescent="0.4">
      <c r="A79" t="s">
        <v>306</v>
      </c>
      <c r="B79" t="s">
        <v>26</v>
      </c>
      <c r="C79" t="s">
        <v>5</v>
      </c>
      <c r="D79" s="3">
        <v>940</v>
      </c>
      <c r="E79" s="3" t="s">
        <v>421</v>
      </c>
      <c r="G79" s="3" t="s">
        <v>403</v>
      </c>
      <c r="H79" s="3">
        <v>37</v>
      </c>
      <c r="I79" s="3">
        <f>IF(H79="","",IF(H79="DNS",0,IF(H79="DQ",0,IF(H79="DNF",1,IF(AND(ISNUMBER(H79),H79&gt;59),1,_xlfn.XLOOKUP(H79,tbl_points[Place],tbl_points[Points],""))))))</f>
        <v>23</v>
      </c>
      <c r="J79" s="3">
        <v>26</v>
      </c>
      <c r="K79" s="3">
        <f>IF(J79="","",IF(J79="DNS",0,IF(J79="DQ",0,IF(J79="DNF",1,IF(AND(ISNUMBER(J79),J79&gt;59),1,_xlfn.XLOOKUP(J79,tbl_points[Place],tbl_points[Points],""))))))</f>
        <v>34</v>
      </c>
      <c r="L79" s="3" t="s">
        <v>410</v>
      </c>
      <c r="M79" s="3">
        <f>IF(L79="","",IF(L79="DNS",0,IF(L79="DQ",0,IF(L79="DNF",1,IF(AND(ISNUMBER(L79),L79&gt;59),1,_xlfn.XLOOKUP(L79,tbl_points[Place],tbl_points[Points],""))))))</f>
        <v>0</v>
      </c>
      <c r="N79" s="3">
        <v>26</v>
      </c>
      <c r="O79" s="3">
        <f>IF(N79="","",IF(N79="DNS",0,IF(N79="DQ",0,IF(N79="DNF",1,IF(AND(ISNUMBER(N79),N79&gt;59),1,_xlfn.XLOOKUP(N79,tbl_points[Place],tbl_points[Points],""))))))</f>
        <v>34</v>
      </c>
      <c r="P79" s="3">
        <v>27</v>
      </c>
      <c r="Q79" s="3">
        <f>IF(P79="","",IF(P79="DNS",0,IF(P79="DQ",0,IF(P79="DNF",1,IF(AND(ISNUMBER(P79),P79&gt;59),1,_xlfn.XLOOKUP(P79,tbl_points[Place],tbl_points[Points],""))))))</f>
        <v>33</v>
      </c>
      <c r="S79" s="3" t="str">
        <f>IF(R79="","",IF(R79="DNS",0,IF(R79="DQ",0,IF(R79="DNF",1,IF(AND(ISNUMBER(R79),R79&gt;59),1,_xlfn.XLOOKUP(R79,tbl_points[Place],tbl_points[Points],""))))))</f>
        <v/>
      </c>
      <c r="T79" s="3">
        <f>SUM(tbl_individual[[#This Row],[R1 Pts]],tbl_individual[[#This Row],[R2 Pts]],tbl_individual[[#This Row],[R3 Pts]],tbl_individual[[#This Row],[R4 Pts]],tbl_individual[[#This Row],[R5 Pts]],tbl_individual[[#This Row],[R6 Pts]])</f>
        <v>124</v>
      </c>
      <c r="U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9" s="3">
        <f>tbl_individual[[#This Row],[Total]]</f>
        <v>124</v>
      </c>
    </row>
    <row r="80" spans="1:22" x14ac:dyDescent="0.4">
      <c r="A80" t="s">
        <v>156</v>
      </c>
      <c r="B80" t="s">
        <v>16</v>
      </c>
      <c r="C80" t="s">
        <v>5</v>
      </c>
      <c r="D80" s="3">
        <v>915</v>
      </c>
      <c r="E80" s="3" t="s">
        <v>421</v>
      </c>
      <c r="F80" s="17" t="s">
        <v>425</v>
      </c>
      <c r="G80" s="3" t="s">
        <v>403</v>
      </c>
      <c r="H80" s="3">
        <v>32</v>
      </c>
      <c r="I80" s="3">
        <f>IF(H80="","",IF(H80="DNS",0,IF(H80="DQ",0,IF(H80="DNF",1,IF(AND(ISNUMBER(H80),H80&gt;59),1,_xlfn.XLOOKUP(H80,tbl_points[Place],tbl_points[Points],""))))))</f>
        <v>28</v>
      </c>
      <c r="J80" s="3">
        <v>33</v>
      </c>
      <c r="K80" s="3">
        <f>IF(J80="","",IF(J80="DNS",0,IF(J80="DQ",0,IF(J80="DNF",1,IF(AND(ISNUMBER(J80),J80&gt;59),1,_xlfn.XLOOKUP(J80,tbl_points[Place],tbl_points[Points],""))))))</f>
        <v>27</v>
      </c>
      <c r="L80" s="3">
        <v>17</v>
      </c>
      <c r="M80" s="3">
        <f>IF(L80="","",IF(L80="DNS",0,IF(L80="DQ",0,IF(L80="DNF",1,IF(AND(ISNUMBER(L80),L80&gt;59),1,_xlfn.XLOOKUP(L80,tbl_points[Place],tbl_points[Points],""))))))</f>
        <v>43</v>
      </c>
      <c r="N80" s="3">
        <v>25</v>
      </c>
      <c r="O80" s="3">
        <f>IF(N80="","",IF(N80="DNS",0,IF(N80="DQ",0,IF(N80="DNF",1,IF(AND(ISNUMBER(N80),N80&gt;59),1,_xlfn.XLOOKUP(N80,tbl_points[Place],tbl_points[Points],""))))))</f>
        <v>35</v>
      </c>
      <c r="P80" s="3">
        <v>28</v>
      </c>
      <c r="Q80" s="3">
        <f>IF(P80="","",IF(P80="DNS",0,IF(P80="DQ",0,IF(P80="DNF",1,IF(AND(ISNUMBER(P80),P80&gt;59),1,_xlfn.XLOOKUP(P80,tbl_points[Place],tbl_points[Points],""))))))</f>
        <v>32</v>
      </c>
      <c r="S80" s="3" t="str">
        <f>IF(R80="","",IF(R80="DNS",0,IF(R80="DQ",0,IF(R80="DNF",1,IF(AND(ISNUMBER(R80),R80&gt;59),1,_xlfn.XLOOKUP(R80,tbl_points[Place],tbl_points[Points],""))))))</f>
        <v/>
      </c>
      <c r="T80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80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80" s="3">
        <f>tbl_individual[[#This Row],[Total]]</f>
        <v>165</v>
      </c>
    </row>
    <row r="81" spans="1:22" x14ac:dyDescent="0.4">
      <c r="A81" t="s">
        <v>335</v>
      </c>
      <c r="B81" t="s">
        <v>28</v>
      </c>
      <c r="C81" t="s">
        <v>5</v>
      </c>
      <c r="D81" s="3">
        <v>945</v>
      </c>
      <c r="E81" s="3" t="s">
        <v>421</v>
      </c>
      <c r="G81" s="3" t="s">
        <v>403</v>
      </c>
      <c r="H81" s="3" t="s">
        <v>410</v>
      </c>
      <c r="I81" s="3">
        <f>IF(H81="","",IF(H81="DNS",0,IF(H81="DQ",0,IF(H81="DNF",1,IF(AND(ISNUMBER(H81),H81&gt;59),1,_xlfn.XLOOKUP(H81,tbl_points[Place],tbl_points[Points],""))))))</f>
        <v>0</v>
      </c>
      <c r="J81" s="3">
        <v>28</v>
      </c>
      <c r="K81" s="3">
        <f>IF(J81="","",IF(J81="DNS",0,IF(J81="DQ",0,IF(J81="DNF",1,IF(AND(ISNUMBER(J81),J81&gt;59),1,_xlfn.XLOOKUP(J81,tbl_points[Place],tbl_points[Points],""))))))</f>
        <v>32</v>
      </c>
      <c r="L81" s="3">
        <v>24</v>
      </c>
      <c r="M81" s="3">
        <f>IF(L81="","",IF(L81="DNS",0,IF(L81="DQ",0,IF(L81="DNF",1,IF(AND(ISNUMBER(L81),L81&gt;59),1,_xlfn.XLOOKUP(L81,tbl_points[Place],tbl_points[Points],""))))))</f>
        <v>36</v>
      </c>
      <c r="N81" s="3">
        <v>37</v>
      </c>
      <c r="O81" s="3">
        <f>IF(N81="","",IF(N81="DNS",0,IF(N81="DQ",0,IF(N81="DNF",1,IF(AND(ISNUMBER(N81),N81&gt;59),1,_xlfn.XLOOKUP(N81,tbl_points[Place],tbl_points[Points],""))))))</f>
        <v>23</v>
      </c>
      <c r="P81" s="3">
        <v>29</v>
      </c>
      <c r="Q81" s="3">
        <f>IF(P81="","",IF(P81="DNS",0,IF(P81="DQ",0,IF(P81="DNF",1,IF(AND(ISNUMBER(P81),P81&gt;59),1,_xlfn.XLOOKUP(P81,tbl_points[Place],tbl_points[Points],""))))))</f>
        <v>31</v>
      </c>
      <c r="S81" s="3" t="str">
        <f>IF(R81="","",IF(R81="DNS",0,IF(R81="DQ",0,IF(R81="DNF",1,IF(AND(ISNUMBER(R81),R81&gt;59),1,_xlfn.XLOOKUP(R81,tbl_points[Place],tbl_points[Points],""))))))</f>
        <v/>
      </c>
      <c r="T81" s="3">
        <f>SUM(tbl_individual[[#This Row],[R1 Pts]],tbl_individual[[#This Row],[R2 Pts]],tbl_individual[[#This Row],[R3 Pts]],tbl_individual[[#This Row],[R4 Pts]],tbl_individual[[#This Row],[R5 Pts]],tbl_individual[[#This Row],[R6 Pts]])</f>
        <v>122</v>
      </c>
      <c r="U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1" s="3">
        <f>tbl_individual[[#This Row],[Total]]</f>
        <v>122</v>
      </c>
    </row>
    <row r="82" spans="1:22" x14ac:dyDescent="0.4">
      <c r="A82" t="s">
        <v>336</v>
      </c>
      <c r="B82" t="s">
        <v>28</v>
      </c>
      <c r="C82" t="s">
        <v>5</v>
      </c>
      <c r="D82" s="3">
        <v>946</v>
      </c>
      <c r="E82" s="3" t="s">
        <v>421</v>
      </c>
      <c r="G82" s="3" t="s">
        <v>403</v>
      </c>
      <c r="H82" s="3">
        <v>15</v>
      </c>
      <c r="I82" s="3">
        <f>IF(H82="","",IF(H82="DNS",0,IF(H82="DQ",0,IF(H82="DNF",1,IF(AND(ISNUMBER(H82),H82&gt;59),1,_xlfn.XLOOKUP(H82,tbl_points[Place],tbl_points[Points],""))))))</f>
        <v>45</v>
      </c>
      <c r="J82" s="3" t="s">
        <v>409</v>
      </c>
      <c r="K82" s="3">
        <f>IF(J82="","",IF(J82="DNS",0,IF(J82="DQ",0,IF(J82="DNF",1,IF(AND(ISNUMBER(J82),J82&gt;59),1,_xlfn.XLOOKUP(J82,tbl_points[Place],tbl_points[Points],""))))))</f>
        <v>1</v>
      </c>
      <c r="L82" s="3">
        <v>14</v>
      </c>
      <c r="M82" s="3">
        <f>IF(L82="","",IF(L82="DNS",0,IF(L82="DQ",0,IF(L82="DNF",1,IF(AND(ISNUMBER(L82),L82&gt;59),1,_xlfn.XLOOKUP(L82,tbl_points[Place],tbl_points[Points],""))))))</f>
        <v>47</v>
      </c>
      <c r="N82" s="3">
        <v>36</v>
      </c>
      <c r="O82" s="3">
        <f>IF(N82="","",IF(N82="DNS",0,IF(N82="DQ",0,IF(N82="DNF",1,IF(AND(ISNUMBER(N82),N82&gt;59),1,_xlfn.XLOOKUP(N82,tbl_points[Place],tbl_points[Points],""))))))</f>
        <v>24</v>
      </c>
      <c r="P82" s="3">
        <v>30</v>
      </c>
      <c r="Q82" s="3">
        <f>IF(P82="","",IF(P82="DNS",0,IF(P82="DQ",0,IF(P82="DNF",1,IF(AND(ISNUMBER(P82),P82&gt;59),1,_xlfn.XLOOKUP(P82,tbl_points[Place],tbl_points[Points],""))))))</f>
        <v>30</v>
      </c>
      <c r="S82" s="3" t="str">
        <f>IF(R82="","",IF(R82="DNS",0,IF(R82="DQ",0,IF(R82="DNF",1,IF(AND(ISNUMBER(R82),R82&gt;59),1,_xlfn.XLOOKUP(R82,tbl_points[Place],tbl_points[Points],""))))))</f>
        <v/>
      </c>
      <c r="T82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8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82" s="3">
        <f>tbl_individual[[#This Row],[Total]]</f>
        <v>147</v>
      </c>
    </row>
    <row r="83" spans="1:22" x14ac:dyDescent="0.4">
      <c r="A83" t="s">
        <v>71</v>
      </c>
      <c r="B83" t="s">
        <v>10</v>
      </c>
      <c r="C83" t="s">
        <v>5</v>
      </c>
      <c r="D83" s="3">
        <v>904</v>
      </c>
      <c r="E83" s="3" t="s">
        <v>421</v>
      </c>
      <c r="G83" s="3" t="s">
        <v>407</v>
      </c>
      <c r="H83" s="3">
        <v>16</v>
      </c>
      <c r="I83" s="3">
        <f>IF(H83="","",IF(H83="DNS",0,IF(H83="DQ",0,IF(H83="DNF",1,IF(AND(ISNUMBER(H83),H83&gt;59),1,_xlfn.XLOOKUP(H83,tbl_points[Place],tbl_points[Points],""))))))</f>
        <v>44</v>
      </c>
      <c r="J83" s="3">
        <v>40</v>
      </c>
      <c r="K83" s="3">
        <f>IF(J83="","",IF(J83="DNS",0,IF(J83="DQ",0,IF(J83="DNF",1,IF(AND(ISNUMBER(J83),J83&gt;59),1,_xlfn.XLOOKUP(J83,tbl_points[Place],tbl_points[Points],""))))))</f>
        <v>20</v>
      </c>
      <c r="L83" s="3">
        <v>13</v>
      </c>
      <c r="M83" s="3">
        <f>IF(L83="","",IF(L83="DNS",0,IF(L83="DQ",0,IF(L83="DNF",1,IF(AND(ISNUMBER(L83),L83&gt;59),1,_xlfn.XLOOKUP(L83,tbl_points[Place],tbl_points[Points],""))))))</f>
        <v>49</v>
      </c>
      <c r="N83" s="3">
        <v>38</v>
      </c>
      <c r="O83" s="3">
        <f>IF(N83="","",IF(N83="DNS",0,IF(N83="DQ",0,IF(N83="DNF",1,IF(AND(ISNUMBER(N83),N83&gt;59),1,_xlfn.XLOOKUP(N83,tbl_points[Place],tbl_points[Points],""))))))</f>
        <v>22</v>
      </c>
      <c r="P83" s="3">
        <v>31</v>
      </c>
      <c r="Q83" s="3">
        <f>IF(P83="","",IF(P83="DNS",0,IF(P83="DQ",0,IF(P83="DNF",1,IF(AND(ISNUMBER(P83),P83&gt;59),1,_xlfn.XLOOKUP(P83,tbl_points[Place],tbl_points[Points],""))))))</f>
        <v>29</v>
      </c>
      <c r="S83" s="3" t="str">
        <f>IF(R83="","",IF(R83="DNS",0,IF(R83="DQ",0,IF(R83="DNF",1,IF(AND(ISNUMBER(R83),R83&gt;59),1,_xlfn.XLOOKUP(R83,tbl_points[Place],tbl_points[Points],""))))))</f>
        <v/>
      </c>
      <c r="T83" s="3">
        <f>SUM(tbl_individual[[#This Row],[R1 Pts]],tbl_individual[[#This Row],[R2 Pts]],tbl_individual[[#This Row],[R3 Pts]],tbl_individual[[#This Row],[R4 Pts]],tbl_individual[[#This Row],[R5 Pts]],tbl_individual[[#This Row],[R6 Pts]])</f>
        <v>164</v>
      </c>
      <c r="U83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83" s="3">
        <f>tbl_individual[[#This Row],[Total]]</f>
        <v>164</v>
      </c>
    </row>
    <row r="84" spans="1:22" x14ac:dyDescent="0.4">
      <c r="A84" t="s">
        <v>289</v>
      </c>
      <c r="B84" t="s">
        <v>25</v>
      </c>
      <c r="C84" t="s">
        <v>5</v>
      </c>
      <c r="D84" s="3">
        <v>932</v>
      </c>
      <c r="E84" s="3" t="s">
        <v>421</v>
      </c>
      <c r="G84" s="3" t="s">
        <v>403</v>
      </c>
      <c r="H84" s="3">
        <v>36</v>
      </c>
      <c r="I84" s="3">
        <f>IF(H84="","",IF(H84="DNS",0,IF(H84="DQ",0,IF(H84="DNF",1,IF(AND(ISNUMBER(H84),H84&gt;59),1,_xlfn.XLOOKUP(H84,tbl_points[Place],tbl_points[Points],""))))))</f>
        <v>24</v>
      </c>
      <c r="J84" s="3">
        <v>29</v>
      </c>
      <c r="K84" s="3">
        <f>IF(J84="","",IF(J84="DNS",0,IF(J84="DQ",0,IF(J84="DNF",1,IF(AND(ISNUMBER(J84),J84&gt;59),1,_xlfn.XLOOKUP(J84,tbl_points[Place],tbl_points[Points],""))))))</f>
        <v>31</v>
      </c>
      <c r="L84" s="3" t="s">
        <v>410</v>
      </c>
      <c r="M84" s="3">
        <f>IF(L84="","",IF(L84="DNS",0,IF(L84="DQ",0,IF(L84="DNF",1,IF(AND(ISNUMBER(L84),L84&gt;59),1,_xlfn.XLOOKUP(L84,tbl_points[Place],tbl_points[Points],""))))))</f>
        <v>0</v>
      </c>
      <c r="N84" s="3">
        <v>33</v>
      </c>
      <c r="O84" s="3">
        <f>IF(N84="","",IF(N84="DNS",0,IF(N84="DQ",0,IF(N84="DNF",1,IF(AND(ISNUMBER(N84),N84&gt;59),1,_xlfn.XLOOKUP(N84,tbl_points[Place],tbl_points[Points],""))))))</f>
        <v>27</v>
      </c>
      <c r="P84" s="3">
        <v>32</v>
      </c>
      <c r="Q84" s="3">
        <f>IF(P84="","",IF(P84="DNS",0,IF(P84="DQ",0,IF(P84="DNF",1,IF(AND(ISNUMBER(P84),P84&gt;59),1,_xlfn.XLOOKUP(P84,tbl_points[Place],tbl_points[Points],""))))))</f>
        <v>28</v>
      </c>
      <c r="S84" s="3" t="str">
        <f>IF(R84="","",IF(R84="DNS",0,IF(R84="DQ",0,IF(R84="DNF",1,IF(AND(ISNUMBER(R84),R84&gt;59),1,_xlfn.XLOOKUP(R84,tbl_points[Place],tbl_points[Points],""))))))</f>
        <v/>
      </c>
      <c r="T84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4" s="3">
        <f>tbl_individual[[#This Row],[Total]]</f>
        <v>110</v>
      </c>
    </row>
    <row r="85" spans="1:22" x14ac:dyDescent="0.4">
      <c r="A85" t="s">
        <v>286</v>
      </c>
      <c r="B85" t="s">
        <v>25</v>
      </c>
      <c r="C85" t="s">
        <v>5</v>
      </c>
      <c r="D85" s="3">
        <v>929</v>
      </c>
      <c r="E85" s="3" t="s">
        <v>421</v>
      </c>
      <c r="G85" s="3" t="s">
        <v>403</v>
      </c>
      <c r="H85" s="3" t="s">
        <v>410</v>
      </c>
      <c r="I85" s="3">
        <f>IF(H85="","",IF(H85="DNS",0,IF(H85="DQ",0,IF(H85="DNF",1,IF(AND(ISNUMBER(H85),H85&gt;59),1,_xlfn.XLOOKUP(H85,tbl_points[Place],tbl_points[Points],""))))))</f>
        <v>0</v>
      </c>
      <c r="J85" s="3">
        <v>31</v>
      </c>
      <c r="K85" s="3">
        <f>IF(J85="","",IF(J85="DNS",0,IF(J85="DQ",0,IF(J85="DNF",1,IF(AND(ISNUMBER(J85),J85&gt;59),1,_xlfn.XLOOKUP(J85,tbl_points[Place],tbl_points[Points],""))))))</f>
        <v>29</v>
      </c>
      <c r="L85" s="3" t="s">
        <v>410</v>
      </c>
      <c r="M85" s="3">
        <f>IF(L85="","",IF(L85="DNS",0,IF(L85="DQ",0,IF(L85="DNF",1,IF(AND(ISNUMBER(L85),L85&gt;59),1,_xlfn.XLOOKUP(L85,tbl_points[Place],tbl_points[Points],""))))))</f>
        <v>0</v>
      </c>
      <c r="N85" s="3">
        <v>28</v>
      </c>
      <c r="O85" s="3">
        <f>IF(N85="","",IF(N85="DNS",0,IF(N85="DQ",0,IF(N85="DNF",1,IF(AND(ISNUMBER(N85),N85&gt;59),1,_xlfn.XLOOKUP(N85,tbl_points[Place],tbl_points[Points],""))))))</f>
        <v>32</v>
      </c>
      <c r="P85" s="3">
        <v>33</v>
      </c>
      <c r="Q85" s="3">
        <f>IF(P85="","",IF(P85="DNS",0,IF(P85="DQ",0,IF(P85="DNF",1,IF(AND(ISNUMBER(P85),P85&gt;59),1,_xlfn.XLOOKUP(P85,tbl_points[Place],tbl_points[Points],""))))))</f>
        <v>27</v>
      </c>
      <c r="S85" s="3" t="str">
        <f>IF(R85="","",IF(R85="DNS",0,IF(R85="DQ",0,IF(R85="DNF",1,IF(AND(ISNUMBER(R85),R85&gt;59),1,_xlfn.XLOOKUP(R85,tbl_points[Place],tbl_points[Points],""))))))</f>
        <v/>
      </c>
      <c r="T85" s="3">
        <f>SUM(tbl_individual[[#This Row],[R1 Pts]],tbl_individual[[#This Row],[R2 Pts]],tbl_individual[[#This Row],[R3 Pts]],tbl_individual[[#This Row],[R4 Pts]],tbl_individual[[#This Row],[R5 Pts]],tbl_individual[[#This Row],[R6 Pts]])</f>
        <v>88</v>
      </c>
      <c r="U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5" s="3">
        <f>tbl_individual[[#This Row],[Total]]</f>
        <v>88</v>
      </c>
    </row>
    <row r="86" spans="1:22" x14ac:dyDescent="0.4">
      <c r="A86" t="s">
        <v>123</v>
      </c>
      <c r="B86" t="s">
        <v>13</v>
      </c>
      <c r="C86" t="s">
        <v>5</v>
      </c>
      <c r="D86" s="3">
        <v>912</v>
      </c>
      <c r="E86" s="3" t="s">
        <v>421</v>
      </c>
      <c r="G86" s="3" t="s">
        <v>403</v>
      </c>
      <c r="H86" s="3">
        <v>31</v>
      </c>
      <c r="I86" s="3">
        <f>IF(H86="","",IF(H86="DNS",0,IF(H86="DQ",0,IF(H86="DNF",1,IF(AND(ISNUMBER(H86),H86&gt;59),1,_xlfn.XLOOKUP(H86,tbl_points[Place],tbl_points[Points],""))))))</f>
        <v>29</v>
      </c>
      <c r="J86" s="3">
        <v>39</v>
      </c>
      <c r="K86" s="3">
        <f>IF(J86="","",IF(J86="DNS",0,IF(J86="DQ",0,IF(J86="DNF",1,IF(AND(ISNUMBER(J86),J86&gt;59),1,_xlfn.XLOOKUP(J86,tbl_points[Place],tbl_points[Points],""))))))</f>
        <v>21</v>
      </c>
      <c r="L86" s="3">
        <v>25</v>
      </c>
      <c r="M86" s="3">
        <f>IF(L86="","",IF(L86="DNS",0,IF(L86="DQ",0,IF(L86="DNF",1,IF(AND(ISNUMBER(L86),L86&gt;59),1,_xlfn.XLOOKUP(L86,tbl_points[Place],tbl_points[Points],""))))))</f>
        <v>35</v>
      </c>
      <c r="N86" s="3">
        <v>39</v>
      </c>
      <c r="O86" s="3">
        <f>IF(N86="","",IF(N86="DNS",0,IF(N86="DQ",0,IF(N86="DNF",1,IF(AND(ISNUMBER(N86),N86&gt;59),1,_xlfn.XLOOKUP(N86,tbl_points[Place],tbl_points[Points],""))))))</f>
        <v>21</v>
      </c>
      <c r="P86" s="3">
        <v>34</v>
      </c>
      <c r="Q86" s="3">
        <f>IF(P86="","",IF(P86="DNS",0,IF(P86="DQ",0,IF(P86="DNF",1,IF(AND(ISNUMBER(P86),P86&gt;59),1,_xlfn.XLOOKUP(P86,tbl_points[Place],tbl_points[Points],""))))))</f>
        <v>26</v>
      </c>
      <c r="S86" s="3" t="str">
        <f>IF(R86="","",IF(R86="DNS",0,IF(R86="DQ",0,IF(R86="DNF",1,IF(AND(ISNUMBER(R86),R86&gt;59),1,_xlfn.XLOOKUP(R86,tbl_points[Place],tbl_points[Points],""))))))</f>
        <v/>
      </c>
      <c r="T86" s="3">
        <f>SUM(tbl_individual[[#This Row],[R1 Pts]],tbl_individual[[#This Row],[R2 Pts]],tbl_individual[[#This Row],[R3 Pts]],tbl_individual[[#This Row],[R4 Pts]],tbl_individual[[#This Row],[R5 Pts]],tbl_individual[[#This Row],[R6 Pts]])</f>
        <v>132</v>
      </c>
      <c r="U86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86" s="3">
        <f>tbl_individual[[#This Row],[Total]]</f>
        <v>132</v>
      </c>
    </row>
    <row r="87" spans="1:22" x14ac:dyDescent="0.4">
      <c r="A87" t="s">
        <v>67</v>
      </c>
      <c r="B87" t="s">
        <v>10</v>
      </c>
      <c r="C87" t="s">
        <v>5</v>
      </c>
      <c r="D87" s="3">
        <v>900</v>
      </c>
      <c r="E87" s="3" t="s">
        <v>421</v>
      </c>
      <c r="G87" s="3" t="s">
        <v>403</v>
      </c>
      <c r="H87" s="3" t="s">
        <v>410</v>
      </c>
      <c r="I87" s="3">
        <f>IF(H87="","",IF(H87="DNS",0,IF(H87="DQ",0,IF(H87="DNF",1,IF(AND(ISNUMBER(H87),H87&gt;59),1,_xlfn.XLOOKUP(H87,tbl_points[Place],tbl_points[Points],""))))))</f>
        <v>0</v>
      </c>
      <c r="J87" s="3">
        <v>41</v>
      </c>
      <c r="K87" s="3">
        <f>IF(J87="","",IF(J87="DNS",0,IF(J87="DQ",0,IF(J87="DNF",1,IF(AND(ISNUMBER(J87),J87&gt;59),1,_xlfn.XLOOKUP(J87,tbl_points[Place],tbl_points[Points],""))))))</f>
        <v>19</v>
      </c>
      <c r="L87" s="3">
        <v>28</v>
      </c>
      <c r="M87" s="3">
        <f>IF(L87="","",IF(L87="DNS",0,IF(L87="DQ",0,IF(L87="DNF",1,IF(AND(ISNUMBER(L87),L87&gt;59),1,_xlfn.XLOOKUP(L87,tbl_points[Place],tbl_points[Points],""))))))</f>
        <v>32</v>
      </c>
      <c r="N87" s="3">
        <v>41</v>
      </c>
      <c r="O87" s="3">
        <f>IF(N87="","",IF(N87="DNS",0,IF(N87="DQ",0,IF(N87="DNF",1,IF(AND(ISNUMBER(N87),N87&gt;59),1,_xlfn.XLOOKUP(N87,tbl_points[Place],tbl_points[Points],""))))))</f>
        <v>19</v>
      </c>
      <c r="P87" s="3">
        <v>35</v>
      </c>
      <c r="Q87" s="3">
        <f>IF(P87="","",IF(P87="DNS",0,IF(P87="DQ",0,IF(P87="DNF",1,IF(AND(ISNUMBER(P87),P87&gt;59),1,_xlfn.XLOOKUP(P87,tbl_points[Place],tbl_points[Points],""))))))</f>
        <v>25</v>
      </c>
      <c r="S87" s="3" t="str">
        <f>IF(R87="","",IF(R87="DNS",0,IF(R87="DQ",0,IF(R87="DNF",1,IF(AND(ISNUMBER(R87),R87&gt;59),1,_xlfn.XLOOKUP(R87,tbl_points[Place],tbl_points[Points],""))))))</f>
        <v/>
      </c>
      <c r="T87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7" s="3">
        <f>tbl_individual[[#This Row],[Total]]</f>
        <v>95</v>
      </c>
    </row>
    <row r="88" spans="1:22" x14ac:dyDescent="0.4">
      <c r="A88" t="s">
        <v>352</v>
      </c>
      <c r="B88" t="s">
        <v>29</v>
      </c>
      <c r="C88" t="s">
        <v>5</v>
      </c>
      <c r="D88" s="3">
        <v>951</v>
      </c>
      <c r="E88" s="3" t="s">
        <v>421</v>
      </c>
      <c r="G88" s="3" t="s">
        <v>403</v>
      </c>
      <c r="H88" s="3">
        <v>19</v>
      </c>
      <c r="I88" s="3">
        <f>IF(H88="","",IF(H88="DNS",0,IF(H88="DQ",0,IF(H88="DNF",1,IF(AND(ISNUMBER(H88),H88&gt;59),1,_xlfn.XLOOKUP(H88,tbl_points[Place],tbl_points[Points],""))))))</f>
        <v>41</v>
      </c>
      <c r="J88" s="3">
        <v>45</v>
      </c>
      <c r="K88" s="3">
        <f>IF(J88="","",IF(J88="DNS",0,IF(J88="DQ",0,IF(J88="DNF",1,IF(AND(ISNUMBER(J88),J88&gt;59),1,_xlfn.XLOOKUP(J88,tbl_points[Place],tbl_points[Points],""))))))</f>
        <v>15</v>
      </c>
      <c r="L88" s="3">
        <v>10</v>
      </c>
      <c r="M88" s="3">
        <f>IF(L88="","",IF(L88="DNS",0,IF(L88="DQ",0,IF(L88="DNF",1,IF(AND(ISNUMBER(L88),L88&gt;59),1,_xlfn.XLOOKUP(L88,tbl_points[Place],tbl_points[Points],""))))))</f>
        <v>55</v>
      </c>
      <c r="N88" s="3">
        <v>44</v>
      </c>
      <c r="O88" s="3">
        <f>IF(N88="","",IF(N88="DNS",0,IF(N88="DQ",0,IF(N88="DNF",1,IF(AND(ISNUMBER(N88),N88&gt;59),1,_xlfn.XLOOKUP(N88,tbl_points[Place],tbl_points[Points],""))))))</f>
        <v>16</v>
      </c>
      <c r="P88" s="3">
        <v>36</v>
      </c>
      <c r="Q88" s="3">
        <f>IF(P88="","",IF(P88="DNS",0,IF(P88="DQ",0,IF(P88="DNF",1,IF(AND(ISNUMBER(P88),P88&gt;59),1,_xlfn.XLOOKUP(P88,tbl_points[Place],tbl_points[Points],""))))))</f>
        <v>24</v>
      </c>
      <c r="S88" s="3" t="str">
        <f>IF(R88="","",IF(R88="DNS",0,IF(R88="DQ",0,IF(R88="DNF",1,IF(AND(ISNUMBER(R88),R88&gt;59),1,_xlfn.XLOOKUP(R88,tbl_points[Place],tbl_points[Points],""))))))</f>
        <v/>
      </c>
      <c r="T88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88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88" s="3">
        <f>tbl_individual[[#This Row],[Total]]</f>
        <v>151</v>
      </c>
    </row>
    <row r="89" spans="1:22" x14ac:dyDescent="0.4">
      <c r="A89" t="s">
        <v>411</v>
      </c>
      <c r="B89" t="s">
        <v>25</v>
      </c>
      <c r="C89" t="s">
        <v>5</v>
      </c>
      <c r="D89" s="3">
        <v>958</v>
      </c>
      <c r="E89" s="3" t="s">
        <v>421</v>
      </c>
      <c r="G89" s="3" t="s">
        <v>403</v>
      </c>
      <c r="H89" s="3" t="s">
        <v>409</v>
      </c>
      <c r="I89" s="3">
        <f>IF(H89="","",IF(H89="DNS",0,IF(H89="DQ",0,IF(H89="DNF",1,IF(AND(ISNUMBER(H89),H89&gt;59),1,_xlfn.XLOOKUP(H89,tbl_points[Place],tbl_points[Points],""))))))</f>
        <v>1</v>
      </c>
      <c r="J89" s="3">
        <v>34</v>
      </c>
      <c r="K89" s="3">
        <f>IF(J89="","",IF(J89="DNS",0,IF(J89="DQ",0,IF(J89="DNF",1,IF(AND(ISNUMBER(J89),J89&gt;59),1,_xlfn.XLOOKUP(J89,tbl_points[Place],tbl_points[Points],""))))))</f>
        <v>26</v>
      </c>
      <c r="L89" s="3" t="s">
        <v>410</v>
      </c>
      <c r="M89" s="3">
        <f>IF(L89="","",IF(L89="DNS",0,IF(L89="DQ",0,IF(L89="DNF",1,IF(AND(ISNUMBER(L89),L89&gt;59),1,_xlfn.XLOOKUP(L89,tbl_points[Place],tbl_points[Points],""))))))</f>
        <v>0</v>
      </c>
      <c r="N89" s="3" t="s">
        <v>410</v>
      </c>
      <c r="O89" s="3">
        <f>IF(N89="","",IF(N89="DNS",0,IF(N89="DQ",0,IF(N89="DNF",1,IF(AND(ISNUMBER(N89),N89&gt;59),1,_xlfn.XLOOKUP(N89,tbl_points[Place],tbl_points[Points],""))))))</f>
        <v>0</v>
      </c>
      <c r="P89" s="3">
        <v>37</v>
      </c>
      <c r="Q89" s="3">
        <f>IF(P89="","",IF(P89="DNS",0,IF(P89="DQ",0,IF(P89="DNF",1,IF(AND(ISNUMBER(P89),P89&gt;59),1,_xlfn.XLOOKUP(P89,tbl_points[Place],tbl_points[Points],""))))))</f>
        <v>23</v>
      </c>
      <c r="S89" s="3" t="str">
        <f>IF(R89="","",IF(R89="DNS",0,IF(R89="DQ",0,IF(R89="DNF",1,IF(AND(ISNUMBER(R89),R89&gt;59),1,_xlfn.XLOOKUP(R89,tbl_points[Place],tbl_points[Points],""))))))</f>
        <v/>
      </c>
      <c r="T89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9" s="3">
        <f>tbl_individual[[#This Row],[Total]]</f>
        <v>50</v>
      </c>
    </row>
    <row r="90" spans="1:22" x14ac:dyDescent="0.4">
      <c r="A90" t="s">
        <v>77</v>
      </c>
      <c r="B90" t="s">
        <v>10</v>
      </c>
      <c r="C90" t="s">
        <v>5</v>
      </c>
      <c r="D90" s="3">
        <v>910</v>
      </c>
      <c r="E90" s="3" t="s">
        <v>421</v>
      </c>
      <c r="G90" s="3" t="s">
        <v>403</v>
      </c>
      <c r="H90" s="3">
        <v>35</v>
      </c>
      <c r="I90" s="3">
        <f>IF(H90="","",IF(H90="DNS",0,IF(H90="DQ",0,IF(H90="DNF",1,IF(AND(ISNUMBER(H90),H90&gt;59),1,_xlfn.XLOOKUP(H90,tbl_points[Place],tbl_points[Points],""))))))</f>
        <v>25</v>
      </c>
      <c r="J90" s="3">
        <v>25</v>
      </c>
      <c r="K90" s="3">
        <f>IF(J90="","",IF(J90="DNS",0,IF(J90="DQ",0,IF(J90="DNF",1,IF(AND(ISNUMBER(J90),J90&gt;59),1,_xlfn.XLOOKUP(J90,tbl_points[Place],tbl_points[Points],""))))))</f>
        <v>35</v>
      </c>
      <c r="L90" s="3">
        <v>21</v>
      </c>
      <c r="M90" s="3">
        <f>IF(L90="","",IF(L90="DNS",0,IF(L90="DQ",0,IF(L90="DNF",1,IF(AND(ISNUMBER(L90),L90&gt;59),1,_xlfn.XLOOKUP(L90,tbl_points[Place],tbl_points[Points],""))))))</f>
        <v>39</v>
      </c>
      <c r="N90" s="3">
        <v>23</v>
      </c>
      <c r="O90" s="3">
        <f>IF(N90="","",IF(N90="DNS",0,IF(N90="DQ",0,IF(N90="DNF",1,IF(AND(ISNUMBER(N90),N90&gt;59),1,_xlfn.XLOOKUP(N90,tbl_points[Place],tbl_points[Points],""))))))</f>
        <v>37</v>
      </c>
      <c r="P90" s="3">
        <v>38</v>
      </c>
      <c r="Q90" s="3">
        <f>IF(P90="","",IF(P90="DNS",0,IF(P90="DQ",0,IF(P90="DNF",1,IF(AND(ISNUMBER(P90),P90&gt;59),1,_xlfn.XLOOKUP(P90,tbl_points[Place],tbl_points[Points],""))))))</f>
        <v>22</v>
      </c>
      <c r="S90" s="3" t="str">
        <f>IF(R90="","",IF(R90="DNS",0,IF(R90="DQ",0,IF(R90="DNF",1,IF(AND(ISNUMBER(R90),R90&gt;59),1,_xlfn.XLOOKUP(R90,tbl_points[Place],tbl_points[Points],""))))))</f>
        <v/>
      </c>
      <c r="T90" s="3">
        <f>SUM(tbl_individual[[#This Row],[R1 Pts]],tbl_individual[[#This Row],[R2 Pts]],tbl_individual[[#This Row],[R3 Pts]],tbl_individual[[#This Row],[R4 Pts]],tbl_individual[[#This Row],[R5 Pts]],tbl_individual[[#This Row],[R6 Pts]])</f>
        <v>158</v>
      </c>
      <c r="U90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90" s="3">
        <f>tbl_individual[[#This Row],[Total]]</f>
        <v>158</v>
      </c>
    </row>
    <row r="91" spans="1:22" x14ac:dyDescent="0.4">
      <c r="A91" t="s">
        <v>252</v>
      </c>
      <c r="B91" t="s">
        <v>23</v>
      </c>
      <c r="C91" t="s">
        <v>5</v>
      </c>
      <c r="D91" s="3">
        <v>927</v>
      </c>
      <c r="E91" s="3" t="s">
        <v>421</v>
      </c>
      <c r="G91" s="3" t="s">
        <v>403</v>
      </c>
      <c r="H91" s="3" t="s">
        <v>410</v>
      </c>
      <c r="I91" s="3">
        <f>IF(H91="","",IF(H91="DNS",0,IF(H91="DQ",0,IF(H91="DNF",1,IF(AND(ISNUMBER(H91),H91&gt;59),1,_xlfn.XLOOKUP(H91,tbl_points[Place],tbl_points[Points],""))))))</f>
        <v>0</v>
      </c>
      <c r="J91" s="3">
        <v>10</v>
      </c>
      <c r="K91" s="3">
        <f>IF(J91="","",IF(J91="DNS",0,IF(J91="DQ",0,IF(J91="DNF",1,IF(AND(ISNUMBER(J91),J91&gt;59),1,_xlfn.XLOOKUP(J91,tbl_points[Place],tbl_points[Points],""))))))</f>
        <v>55</v>
      </c>
      <c r="L91" s="3" t="s">
        <v>410</v>
      </c>
      <c r="M91" s="3">
        <f>IF(L91="","",IF(L91="DNS",0,IF(L91="DQ",0,IF(L91="DNF",1,IF(AND(ISNUMBER(L91),L91&gt;59),1,_xlfn.XLOOKUP(L91,tbl_points[Place],tbl_points[Points],""))))))</f>
        <v>0</v>
      </c>
      <c r="N91" s="3" t="s">
        <v>410</v>
      </c>
      <c r="O91" s="3">
        <f>IF(N91="","",IF(N91="DNS",0,IF(N91="DQ",0,IF(N91="DNF",1,IF(AND(ISNUMBER(N91),N91&gt;59),1,_xlfn.XLOOKUP(N91,tbl_points[Place],tbl_points[Points],""))))))</f>
        <v>0</v>
      </c>
      <c r="P91" s="3">
        <v>39</v>
      </c>
      <c r="Q91" s="3">
        <f>IF(P91="","",IF(P91="DNS",0,IF(P91="DQ",0,IF(P91="DNF",1,IF(AND(ISNUMBER(P91),P91&gt;59),1,_xlfn.XLOOKUP(P91,tbl_points[Place],tbl_points[Points],""))))))</f>
        <v>21</v>
      </c>
      <c r="S91" s="3" t="str">
        <f>IF(R91="","",IF(R91="DNS",0,IF(R91="DQ",0,IF(R91="DNF",1,IF(AND(ISNUMBER(R91),R91&gt;59),1,_xlfn.XLOOKUP(R91,tbl_points[Place],tbl_points[Points],""))))))</f>
        <v/>
      </c>
      <c r="T91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1" s="3">
        <f>tbl_individual[[#This Row],[Total]]</f>
        <v>76</v>
      </c>
    </row>
    <row r="92" spans="1:22" x14ac:dyDescent="0.4">
      <c r="A92" t="s">
        <v>287</v>
      </c>
      <c r="B92" t="s">
        <v>25</v>
      </c>
      <c r="C92" t="s">
        <v>5</v>
      </c>
      <c r="D92" s="3">
        <v>930</v>
      </c>
      <c r="E92" s="3" t="s">
        <v>421</v>
      </c>
      <c r="G92" s="3" t="s">
        <v>403</v>
      </c>
      <c r="H92" s="3">
        <v>38</v>
      </c>
      <c r="I92" s="3">
        <f>IF(H92="","",IF(H92="DNS",0,IF(H92="DQ",0,IF(H92="DNF",1,IF(AND(ISNUMBER(H92),H92&gt;59),1,_xlfn.XLOOKUP(H92,tbl_points[Place],tbl_points[Points],""))))))</f>
        <v>22</v>
      </c>
      <c r="J92" s="3">
        <v>37</v>
      </c>
      <c r="K92" s="3">
        <f>IF(J92="","",IF(J92="DNS",0,IF(J92="DQ",0,IF(J92="DNF",1,IF(AND(ISNUMBER(J92),J92&gt;59),1,_xlfn.XLOOKUP(J92,tbl_points[Place],tbl_points[Points],""))))))</f>
        <v>23</v>
      </c>
      <c r="L92" s="3" t="s">
        <v>410</v>
      </c>
      <c r="M92" s="3">
        <f>IF(L92="","",IF(L92="DNS",0,IF(L92="DQ",0,IF(L92="DNF",1,IF(AND(ISNUMBER(L92),L92&gt;59),1,_xlfn.XLOOKUP(L92,tbl_points[Place],tbl_points[Points],""))))))</f>
        <v>0</v>
      </c>
      <c r="N92" s="3">
        <v>43</v>
      </c>
      <c r="O92" s="3">
        <f>IF(N92="","",IF(N92="DNS",0,IF(N92="DQ",0,IF(N92="DNF",1,IF(AND(ISNUMBER(N92),N92&gt;59),1,_xlfn.XLOOKUP(N92,tbl_points[Place],tbl_points[Points],""))))))</f>
        <v>17</v>
      </c>
      <c r="P92" s="3">
        <v>40</v>
      </c>
      <c r="Q92" s="3">
        <f>IF(P92="","",IF(P92="DNS",0,IF(P92="DQ",0,IF(P92="DNF",1,IF(AND(ISNUMBER(P92),P92&gt;59),1,_xlfn.XLOOKUP(P92,tbl_points[Place],tbl_points[Points],""))))))</f>
        <v>20</v>
      </c>
      <c r="S92" s="3" t="str">
        <f>IF(R92="","",IF(R92="DNS",0,IF(R92="DQ",0,IF(R92="DNF",1,IF(AND(ISNUMBER(R92),R92&gt;59),1,_xlfn.XLOOKUP(R92,tbl_points[Place],tbl_points[Points],""))))))</f>
        <v/>
      </c>
      <c r="T92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2" s="3">
        <f>tbl_individual[[#This Row],[Total]]</f>
        <v>82</v>
      </c>
    </row>
    <row r="93" spans="1:22" x14ac:dyDescent="0.4">
      <c r="A93" t="s">
        <v>444</v>
      </c>
      <c r="B93" t="s">
        <v>29</v>
      </c>
      <c r="C93" t="s">
        <v>5</v>
      </c>
      <c r="D93" s="3">
        <v>962</v>
      </c>
      <c r="E93" s="3" t="s">
        <v>421</v>
      </c>
      <c r="F93" s="17" t="s">
        <v>438</v>
      </c>
      <c r="G93" s="3" t="s">
        <v>403</v>
      </c>
      <c r="H93" s="3" t="s">
        <v>410</v>
      </c>
      <c r="I93" s="3">
        <f>IF(H93="","",IF(H93="DNS",0,IF(H93="DQ",0,IF(H93="DNF",1,IF(AND(ISNUMBER(H93),H93&gt;59),1,_xlfn.XLOOKUP(H93,tbl_points[Place],tbl_points[Points],""))))))</f>
        <v>0</v>
      </c>
      <c r="J93" s="3">
        <v>42</v>
      </c>
      <c r="K93" s="3">
        <f>IF(J93="","",IF(J93="DNS",0,IF(J93="DQ",0,IF(J93="DNF",1,IF(AND(ISNUMBER(J93),J93&gt;59),1,_xlfn.XLOOKUP(J93,tbl_points[Place],tbl_points[Points],""))))))</f>
        <v>18</v>
      </c>
      <c r="L93" s="3">
        <v>29</v>
      </c>
      <c r="M93" s="3">
        <f>IF(L93="","",IF(L93="DNS",0,IF(L93="DQ",0,IF(L93="DNF",1,IF(AND(ISNUMBER(L93),L93&gt;59),1,_xlfn.XLOOKUP(L93,tbl_points[Place],tbl_points[Points],""))))))</f>
        <v>31</v>
      </c>
      <c r="N93" s="3">
        <v>45</v>
      </c>
      <c r="O93" s="3">
        <f>IF(N93="","",IF(N93="DNS",0,IF(N93="DQ",0,IF(N93="DNF",1,IF(AND(ISNUMBER(N93),N93&gt;59),1,_xlfn.XLOOKUP(N93,tbl_points[Place],tbl_points[Points],""))))))</f>
        <v>15</v>
      </c>
      <c r="P93" s="3">
        <v>41</v>
      </c>
      <c r="Q93" s="3">
        <f>IF(P93="","",IF(P93="DNS",0,IF(P93="DQ",0,IF(P93="DNF",1,IF(AND(ISNUMBER(P93),P93&gt;59),1,_xlfn.XLOOKUP(P93,tbl_points[Place],tbl_points[Points],""))))))</f>
        <v>19</v>
      </c>
      <c r="S93" s="3" t="str">
        <f>IF(R93="","",IF(R93="DNS",0,IF(R93="DQ",0,IF(R93="DNF",1,IF(AND(ISNUMBER(R93),R93&gt;59),1,_xlfn.XLOOKUP(R93,tbl_points[Place],tbl_points[Points],""))))))</f>
        <v/>
      </c>
      <c r="T93" s="3">
        <f>SUM(tbl_individual[[#This Row],[R1 Pts]],tbl_individual[[#This Row],[R2 Pts]],tbl_individual[[#This Row],[R3 Pts]],tbl_individual[[#This Row],[R4 Pts]],tbl_individual[[#This Row],[R5 Pts]],tbl_individual[[#This Row],[R6 Pts]])</f>
        <v>83</v>
      </c>
      <c r="U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3" s="3">
        <f>tbl_individual[[#This Row],[Total]]</f>
        <v>83</v>
      </c>
    </row>
    <row r="94" spans="1:22" x14ac:dyDescent="0.4">
      <c r="A94" t="s">
        <v>104</v>
      </c>
      <c r="B94" t="s">
        <v>11</v>
      </c>
      <c r="C94" t="s">
        <v>5</v>
      </c>
      <c r="D94" s="3">
        <v>911</v>
      </c>
      <c r="E94" s="3" t="s">
        <v>421</v>
      </c>
      <c r="G94" s="3" t="s">
        <v>403</v>
      </c>
      <c r="H94" s="3" t="s">
        <v>410</v>
      </c>
      <c r="I94" s="3">
        <f>IF(H94="","",IF(H94="DNS",0,IF(H94="DQ",0,IF(H94="DNF",1,IF(AND(ISNUMBER(H94),H94&gt;59),1,_xlfn.XLOOKUP(H94,tbl_points[Place],tbl_points[Points],""))))))</f>
        <v>0</v>
      </c>
      <c r="J94" s="3">
        <v>46</v>
      </c>
      <c r="K94" s="3">
        <f>IF(J94="","",IF(J94="DNS",0,IF(J94="DQ",0,IF(J94="DNF",1,IF(AND(ISNUMBER(J94),J94&gt;59),1,_xlfn.XLOOKUP(J94,tbl_points[Place],tbl_points[Points],""))))))</f>
        <v>14</v>
      </c>
      <c r="L94" s="3" t="s">
        <v>410</v>
      </c>
      <c r="M94" s="3">
        <f>IF(L94="","",IF(L94="DNS",0,IF(L94="DQ",0,IF(L94="DNF",1,IF(AND(ISNUMBER(L94),L94&gt;59),1,_xlfn.XLOOKUP(L94,tbl_points[Place],tbl_points[Points],""))))))</f>
        <v>0</v>
      </c>
      <c r="N94" s="3" t="s">
        <v>410</v>
      </c>
      <c r="O94" s="3">
        <f>IF(N94="","",IF(N94="DNS",0,IF(N94="DQ",0,IF(N94="DNF",1,IF(AND(ISNUMBER(N94),N94&gt;59),1,_xlfn.XLOOKUP(N94,tbl_points[Place],tbl_points[Points],""))))))</f>
        <v>0</v>
      </c>
      <c r="P94" s="3">
        <v>42</v>
      </c>
      <c r="Q94" s="3">
        <f>IF(P94="","",IF(P94="DNS",0,IF(P94="DQ",0,IF(P94="DNF",1,IF(AND(ISNUMBER(P94),P94&gt;59),1,_xlfn.XLOOKUP(P94,tbl_points[Place],tbl_points[Points],""))))))</f>
        <v>18</v>
      </c>
      <c r="S94" s="3" t="str">
        <f>IF(R94="","",IF(R94="DNS",0,IF(R94="DQ",0,IF(R94="DNF",1,IF(AND(ISNUMBER(R94),R94&gt;59),1,_xlfn.XLOOKUP(R94,tbl_points[Place],tbl_points[Points],""))))))</f>
        <v/>
      </c>
      <c r="T94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4" s="3">
        <f>tbl_individual[[#This Row],[Total]]</f>
        <v>32</v>
      </c>
    </row>
    <row r="95" spans="1:22" x14ac:dyDescent="0.4">
      <c r="A95" t="s">
        <v>68</v>
      </c>
      <c r="B95" t="s">
        <v>10</v>
      </c>
      <c r="C95" t="s">
        <v>5</v>
      </c>
      <c r="D95" s="3">
        <v>901</v>
      </c>
      <c r="E95" s="3" t="s">
        <v>421</v>
      </c>
      <c r="G95" s="3" t="s">
        <v>403</v>
      </c>
      <c r="H95" s="3">
        <v>14</v>
      </c>
      <c r="I95" s="3">
        <f>IF(H95="","",IF(H95="DNS",0,IF(H95="DQ",0,IF(H95="DNF",1,IF(AND(ISNUMBER(H95),H95&gt;59),1,_xlfn.XLOOKUP(H95,tbl_points[Place],tbl_points[Points],""))))))</f>
        <v>47</v>
      </c>
      <c r="J95" s="3" t="s">
        <v>410</v>
      </c>
      <c r="K95" s="3">
        <f>IF(J95="","",IF(J95="DNS",0,IF(J95="DQ",0,IF(J95="DNF",1,IF(AND(ISNUMBER(J95),J95&gt;59),1,_xlfn.XLOOKUP(J95,tbl_points[Place],tbl_points[Points],""))))))</f>
        <v>0</v>
      </c>
      <c r="L95" s="3" t="s">
        <v>409</v>
      </c>
      <c r="M95" s="3">
        <f>IF(L95="","",IF(L95="DNS",0,IF(L95="DQ",0,IF(L95="DNF",1,IF(AND(ISNUMBER(L95),L95&gt;59),1,_xlfn.XLOOKUP(L95,tbl_points[Place],tbl_points[Points],""))))))</f>
        <v>1</v>
      </c>
      <c r="N95" s="3">
        <v>34</v>
      </c>
      <c r="O95" s="3">
        <f>IF(N95="","",IF(N95="DNS",0,IF(N95="DQ",0,IF(N95="DNF",1,IF(AND(ISNUMBER(N95),N95&gt;59),1,_xlfn.XLOOKUP(N95,tbl_points[Place],tbl_points[Points],""))))))</f>
        <v>26</v>
      </c>
      <c r="P95" s="3">
        <v>43</v>
      </c>
      <c r="Q95" s="3">
        <f>IF(P95="","",IF(P95="DNS",0,IF(P95="DQ",0,IF(P95="DNF",1,IF(AND(ISNUMBER(P95),P95&gt;59),1,_xlfn.XLOOKUP(P95,tbl_points[Place],tbl_points[Points],""))))))</f>
        <v>17</v>
      </c>
      <c r="S95" s="3" t="str">
        <f>IF(R95="","",IF(R95="DNS",0,IF(R95="DQ",0,IF(R95="DNF",1,IF(AND(ISNUMBER(R95),R95&gt;59),1,_xlfn.XLOOKUP(R95,tbl_points[Place],tbl_points[Points],""))))))</f>
        <v/>
      </c>
      <c r="T95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5" s="3">
        <f>tbl_individual[[#This Row],[Total]]</f>
        <v>91</v>
      </c>
    </row>
    <row r="96" spans="1:22" x14ac:dyDescent="0.4">
      <c r="A96" t="s">
        <v>189</v>
      </c>
      <c r="B96" t="s">
        <v>20</v>
      </c>
      <c r="C96" t="s">
        <v>5</v>
      </c>
      <c r="D96" s="3">
        <v>922</v>
      </c>
      <c r="E96" s="3" t="s">
        <v>421</v>
      </c>
      <c r="G96" s="3" t="s">
        <v>403</v>
      </c>
      <c r="H96" s="3">
        <v>17</v>
      </c>
      <c r="I96" s="3">
        <f>IF(H96="","",IF(H96="DNS",0,IF(H96="DQ",0,IF(H96="DNF",1,IF(AND(ISNUMBER(H96),H96&gt;59),1,_xlfn.XLOOKUP(H96,tbl_points[Place],tbl_points[Points],""))))))</f>
        <v>43</v>
      </c>
      <c r="J96" s="3">
        <v>44</v>
      </c>
      <c r="K96" s="3">
        <f>IF(J96="","",IF(J96="DNS",0,IF(J96="DQ",0,IF(J96="DNF",1,IF(AND(ISNUMBER(J96),J96&gt;59),1,_xlfn.XLOOKUP(J96,tbl_points[Place],tbl_points[Points],""))))))</f>
        <v>16</v>
      </c>
      <c r="L96" s="3">
        <v>11</v>
      </c>
      <c r="M96" s="3">
        <f>IF(L96="","",IF(L96="DNS",0,IF(L96="DQ",0,IF(L96="DNF",1,IF(AND(ISNUMBER(L96),L96&gt;59),1,_xlfn.XLOOKUP(L96,tbl_points[Place],tbl_points[Points],""))))))</f>
        <v>53</v>
      </c>
      <c r="N96" s="3">
        <v>40</v>
      </c>
      <c r="O96" s="3">
        <f>IF(N96="","",IF(N96="DNS",0,IF(N96="DQ",0,IF(N96="DNF",1,IF(AND(ISNUMBER(N96),N96&gt;59),1,_xlfn.XLOOKUP(N96,tbl_points[Place],tbl_points[Points],""))))))</f>
        <v>20</v>
      </c>
      <c r="P96" s="3">
        <v>44</v>
      </c>
      <c r="Q96" s="3">
        <f>IF(P96="","",IF(P96="DNS",0,IF(P96="DQ",0,IF(P96="DNF",1,IF(AND(ISNUMBER(P96),P96&gt;59),1,_xlfn.XLOOKUP(P96,tbl_points[Place],tbl_points[Points],""))))))</f>
        <v>16</v>
      </c>
      <c r="S96" s="3" t="str">
        <f>IF(R96="","",IF(R96="DNS",0,IF(R96="DQ",0,IF(R96="DNF",1,IF(AND(ISNUMBER(R96),R96&gt;59),1,_xlfn.XLOOKUP(R96,tbl_points[Place],tbl_points[Points],""))))))</f>
        <v/>
      </c>
      <c r="T96" s="3">
        <f>SUM(tbl_individual[[#This Row],[R1 Pts]],tbl_individual[[#This Row],[R2 Pts]],tbl_individual[[#This Row],[R3 Pts]],tbl_individual[[#This Row],[R4 Pts]],tbl_individual[[#This Row],[R5 Pts]],tbl_individual[[#This Row],[R6 Pts]])</f>
        <v>148</v>
      </c>
      <c r="U96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96" s="3">
        <f>tbl_individual[[#This Row],[Total]]</f>
        <v>148</v>
      </c>
    </row>
    <row r="97" spans="1:22" x14ac:dyDescent="0.4">
      <c r="A97" t="s">
        <v>351</v>
      </c>
      <c r="B97" t="s">
        <v>29</v>
      </c>
      <c r="C97" t="s">
        <v>5</v>
      </c>
      <c r="D97" s="3">
        <v>950</v>
      </c>
      <c r="E97" s="3" t="s">
        <v>421</v>
      </c>
      <c r="G97" s="3" t="s">
        <v>403</v>
      </c>
      <c r="H97" s="3">
        <v>18</v>
      </c>
      <c r="I97" s="3">
        <f>IF(H97="","",IF(H97="DNS",0,IF(H97="DQ",0,IF(H97="DNF",1,IF(AND(ISNUMBER(H97),H97&gt;59),1,_xlfn.XLOOKUP(H97,tbl_points[Place],tbl_points[Points],""))))))</f>
        <v>42</v>
      </c>
      <c r="J97" s="3">
        <v>43</v>
      </c>
      <c r="K97" s="3">
        <f>IF(J97="","",IF(J97="DNS",0,IF(J97="DQ",0,IF(J97="DNF",1,IF(AND(ISNUMBER(J97),J97&gt;59),1,_xlfn.XLOOKUP(J97,tbl_points[Place],tbl_points[Points],""))))))</f>
        <v>17</v>
      </c>
      <c r="L97" s="3" t="s">
        <v>410</v>
      </c>
      <c r="M97" s="3">
        <f>IF(L97="","",IF(L97="DNS",0,IF(L97="DQ",0,IF(L97="DNF",1,IF(AND(ISNUMBER(L97),L97&gt;59),1,_xlfn.XLOOKUP(L97,tbl_points[Place],tbl_points[Points],""))))))</f>
        <v>0</v>
      </c>
      <c r="N97" s="3">
        <v>42</v>
      </c>
      <c r="O97" s="3">
        <f>IF(N97="","",IF(N97="DNS",0,IF(N97="DQ",0,IF(N97="DNF",1,IF(AND(ISNUMBER(N97),N97&gt;59),1,_xlfn.XLOOKUP(N97,tbl_points[Place],tbl_points[Points],""))))))</f>
        <v>18</v>
      </c>
      <c r="P97" s="3">
        <v>45</v>
      </c>
      <c r="Q97" s="3">
        <f>IF(P97="","",IF(P97="DNS",0,IF(P97="DQ",0,IF(P97="DNF",1,IF(AND(ISNUMBER(P97),P97&gt;59),1,_xlfn.XLOOKUP(P97,tbl_points[Place],tbl_points[Points],""))))))</f>
        <v>15</v>
      </c>
      <c r="S97" s="3" t="str">
        <f>IF(R97="","",IF(R97="DNS",0,IF(R97="DQ",0,IF(R97="DNF",1,IF(AND(ISNUMBER(R97),R97&gt;59),1,_xlfn.XLOOKUP(R97,tbl_points[Place],tbl_points[Points],""))))))</f>
        <v/>
      </c>
      <c r="T97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7" s="3">
        <f>tbl_individual[[#This Row],[Total]]</f>
        <v>92</v>
      </c>
    </row>
    <row r="98" spans="1:22" x14ac:dyDescent="0.4">
      <c r="A98" t="s">
        <v>124</v>
      </c>
      <c r="B98" t="s">
        <v>13</v>
      </c>
      <c r="C98" t="s">
        <v>5</v>
      </c>
      <c r="D98" s="3">
        <v>913</v>
      </c>
      <c r="E98" s="3" t="s">
        <v>421</v>
      </c>
      <c r="G98" s="3" t="s">
        <v>403</v>
      </c>
      <c r="H98" s="3">
        <v>33</v>
      </c>
      <c r="I98" s="3">
        <f>IF(H98="","",IF(H98="DNS",0,IF(H98="DQ",0,IF(H98="DNF",1,IF(AND(ISNUMBER(H98),H98&gt;59),1,_xlfn.XLOOKUP(H98,tbl_points[Place],tbl_points[Points],""))))))</f>
        <v>27</v>
      </c>
      <c r="J98" s="3">
        <v>21</v>
      </c>
      <c r="K98" s="3">
        <f>IF(J98="","",IF(J98="DNS",0,IF(J98="DQ",0,IF(J98="DNF",1,IF(AND(ISNUMBER(J98),J98&gt;59),1,_xlfn.XLOOKUP(J98,tbl_points[Place],tbl_points[Points],""))))))</f>
        <v>39</v>
      </c>
      <c r="L98" s="3">
        <v>23</v>
      </c>
      <c r="M98" s="3">
        <f>IF(L98="","",IF(L98="DNS",0,IF(L98="DQ",0,IF(L98="DNF",1,IF(AND(ISNUMBER(L98),L98&gt;59),1,_xlfn.XLOOKUP(L98,tbl_points[Place],tbl_points[Points],""))))))</f>
        <v>37</v>
      </c>
      <c r="N98" s="3">
        <v>17</v>
      </c>
      <c r="O98" s="3">
        <f>IF(N98="","",IF(N98="DNS",0,IF(N98="DQ",0,IF(N98="DNF",1,IF(AND(ISNUMBER(N98),N98&gt;59),1,_xlfn.XLOOKUP(N98,tbl_points[Place],tbl_points[Points],""))))))</f>
        <v>43</v>
      </c>
      <c r="P98" s="3" t="s">
        <v>409</v>
      </c>
      <c r="Q98" s="3">
        <f>IF(P98="","",IF(P98="DNS",0,IF(P98="DQ",0,IF(P98="DNF",1,IF(AND(ISNUMBER(P98),P98&gt;59),1,_xlfn.XLOOKUP(P98,tbl_points[Place],tbl_points[Points],""))))))</f>
        <v>1</v>
      </c>
      <c r="S98" s="3" t="str">
        <f>IF(R98="","",IF(R98="DNS",0,IF(R98="DQ",0,IF(R98="DNF",1,IF(AND(ISNUMBER(R98),R98&gt;59),1,_xlfn.XLOOKUP(R98,tbl_points[Place],tbl_points[Points],""))))))</f>
        <v/>
      </c>
      <c r="T98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9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98" s="3">
        <f>tbl_individual[[#This Row],[Total]]</f>
        <v>147</v>
      </c>
    </row>
    <row r="99" spans="1:22" x14ac:dyDescent="0.4">
      <c r="A99" t="s">
        <v>139</v>
      </c>
      <c r="B99" t="s">
        <v>14</v>
      </c>
      <c r="C99" t="s">
        <v>5</v>
      </c>
      <c r="D99" s="3">
        <v>961</v>
      </c>
      <c r="E99" s="3" t="s">
        <v>421</v>
      </c>
      <c r="F99" s="17" t="s">
        <v>428</v>
      </c>
      <c r="G99" s="3" t="s">
        <v>403</v>
      </c>
      <c r="H99" s="3">
        <v>3</v>
      </c>
      <c r="I99" s="3">
        <f>IF(H99="","",IF(H99="DNS",0,IF(H99="DQ",0,IF(H99="DNF",1,IF(AND(ISNUMBER(H99),H99&gt;59),1,_xlfn.XLOOKUP(H99,tbl_points[Place],tbl_points[Points],""))))))</f>
        <v>90</v>
      </c>
      <c r="J99" s="3" t="s">
        <v>410</v>
      </c>
      <c r="K99" s="3">
        <f>IF(J99="","",IF(J99="DNS",0,IF(J99="DQ",0,IF(J99="DNF",1,IF(AND(ISNUMBER(J99),J99&gt;59),1,_xlfn.XLOOKUP(J99,tbl_points[Place],tbl_points[Points],""))))))</f>
        <v>0</v>
      </c>
      <c r="L99" s="3" t="s">
        <v>410</v>
      </c>
      <c r="M99" s="3">
        <f>IF(L99="","",IF(L99="DNS",0,IF(L99="DQ",0,IF(L99="DNF",1,IF(AND(ISNUMBER(L99),L99&gt;59),1,_xlfn.XLOOKUP(L99,tbl_points[Place],tbl_points[Points],""))))))</f>
        <v>0</v>
      </c>
      <c r="N99" s="3" t="s">
        <v>410</v>
      </c>
      <c r="O99" s="3">
        <f>IF(N99="","",IF(N99="DNS",0,IF(N99="DQ",0,IF(N99="DNF",1,IF(AND(ISNUMBER(N99),N99&gt;59),1,_xlfn.XLOOKUP(N99,tbl_points[Place],tbl_points[Points],""))))))</f>
        <v>0</v>
      </c>
      <c r="P99" s="3" t="s">
        <v>409</v>
      </c>
      <c r="Q99" s="3">
        <f>IF(P99="","",IF(P99="DNS",0,IF(P99="DQ",0,IF(P99="DNF",1,IF(AND(ISNUMBER(P99),P99&gt;59),1,_xlfn.XLOOKUP(P99,tbl_points[Place],tbl_points[Points],""))))))</f>
        <v>1</v>
      </c>
      <c r="S99" s="3" t="str">
        <f>IF(R99="","",IF(R99="DNS",0,IF(R99="DQ",0,IF(R99="DNF",1,IF(AND(ISNUMBER(R99),R99&gt;59),1,_xlfn.XLOOKUP(R99,tbl_points[Place],tbl_points[Points],""))))))</f>
        <v/>
      </c>
      <c r="T99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9" s="3">
        <f>tbl_individual[[#This Row],[Total]]</f>
        <v>91</v>
      </c>
    </row>
    <row r="100" spans="1:22" x14ac:dyDescent="0.4">
      <c r="A100" t="s">
        <v>188</v>
      </c>
      <c r="B100" t="s">
        <v>20</v>
      </c>
      <c r="C100" t="s">
        <v>5</v>
      </c>
      <c r="D100" s="3">
        <v>921</v>
      </c>
      <c r="E100" s="3" t="s">
        <v>421</v>
      </c>
      <c r="G100" s="3" t="s">
        <v>403</v>
      </c>
      <c r="H100" s="3">
        <v>25</v>
      </c>
      <c r="I100" s="3">
        <f>IF(H100="","",IF(H100="DNS",0,IF(H100="DQ",0,IF(H100="DNF",1,IF(AND(ISNUMBER(H100),H100&gt;59),1,_xlfn.XLOOKUP(H100,tbl_points[Place],tbl_points[Points],""))))))</f>
        <v>35</v>
      </c>
      <c r="J100" s="3">
        <v>14</v>
      </c>
      <c r="K100" s="3">
        <f>IF(J100="","",IF(J100="DNS",0,IF(J100="DQ",0,IF(J100="DNF",1,IF(AND(ISNUMBER(J100),J100&gt;59),1,_xlfn.XLOOKUP(J100,tbl_points[Place],tbl_points[Points],""))))))</f>
        <v>47</v>
      </c>
      <c r="L100" s="3">
        <v>22</v>
      </c>
      <c r="M100" s="3">
        <f>IF(L100="","",IF(L100="DNS",0,IF(L100="DQ",0,IF(L100="DNF",1,IF(AND(ISNUMBER(L100),L100&gt;59),1,_xlfn.XLOOKUP(L100,tbl_points[Place],tbl_points[Points],""))))))</f>
        <v>38</v>
      </c>
      <c r="N100" s="3">
        <v>48</v>
      </c>
      <c r="O100" s="3">
        <f>IF(N100="","",IF(N100="DNS",0,IF(N100="DQ",0,IF(N100="DNF",1,IF(AND(ISNUMBER(N100),N100&gt;59),1,_xlfn.XLOOKUP(N100,tbl_points[Place],tbl_points[Points],""))))))</f>
        <v>12</v>
      </c>
      <c r="P100" s="3" t="s">
        <v>409</v>
      </c>
      <c r="Q100" s="3">
        <f>IF(P100="","",IF(P100="DNS",0,IF(P100="DQ",0,IF(P100="DNF",1,IF(AND(ISNUMBER(P100),P100&gt;59),1,_xlfn.XLOOKUP(P100,tbl_points[Place],tbl_points[Points],""))))))</f>
        <v>1</v>
      </c>
      <c r="S100" s="3" t="str">
        <f>IF(R100="","",IF(R100="DNS",0,IF(R100="DQ",0,IF(R100="DNF",1,IF(AND(ISNUMBER(R100),R100&gt;59),1,_xlfn.XLOOKUP(R100,tbl_points[Place],tbl_points[Points],""))))))</f>
        <v/>
      </c>
      <c r="T100" s="3">
        <f>SUM(tbl_individual[[#This Row],[R1 Pts]],tbl_individual[[#This Row],[R2 Pts]],tbl_individual[[#This Row],[R3 Pts]],tbl_individual[[#This Row],[R4 Pts]],tbl_individual[[#This Row],[R5 Pts]],tbl_individual[[#This Row],[R6 Pts]])</f>
        <v>133</v>
      </c>
      <c r="U10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0" s="3">
        <f>tbl_individual[[#This Row],[Total]]</f>
        <v>133</v>
      </c>
    </row>
    <row r="101" spans="1:22" x14ac:dyDescent="0.4">
      <c r="A101" t="s">
        <v>338</v>
      </c>
      <c r="B101" t="s">
        <v>28</v>
      </c>
      <c r="C101" t="s">
        <v>5</v>
      </c>
      <c r="D101" s="3">
        <v>948</v>
      </c>
      <c r="E101" s="3" t="s">
        <v>421</v>
      </c>
      <c r="G101" s="3" t="s">
        <v>403</v>
      </c>
      <c r="H101" s="3">
        <v>24</v>
      </c>
      <c r="I101" s="3">
        <f>IF(H101="","",IF(H101="DNS",0,IF(H101="DQ",0,IF(H101="DNF",1,IF(AND(ISNUMBER(H101),H101&gt;59),1,_xlfn.XLOOKUP(H101,tbl_points[Place],tbl_points[Points],""))))))</f>
        <v>36</v>
      </c>
      <c r="J101" s="3">
        <v>19</v>
      </c>
      <c r="K101" s="3">
        <f>IF(J101="","",IF(J101="DNS",0,IF(J101="DQ",0,IF(J101="DNF",1,IF(AND(ISNUMBER(J101),J101&gt;59),1,_xlfn.XLOOKUP(J101,tbl_points[Place],tbl_points[Points],""))))))</f>
        <v>41</v>
      </c>
      <c r="L101" s="3">
        <v>19</v>
      </c>
      <c r="M101" s="3">
        <f>IF(L101="","",IF(L101="DNS",0,IF(L101="DQ",0,IF(L101="DNF",1,IF(AND(ISNUMBER(L101),L101&gt;59),1,_xlfn.XLOOKUP(L101,tbl_points[Place],tbl_points[Points],""))))))</f>
        <v>41</v>
      </c>
      <c r="N101" s="3">
        <v>11</v>
      </c>
      <c r="O101" s="3">
        <f>IF(N101="","",IF(N101="DNS",0,IF(N101="DQ",0,IF(N101="DNF",1,IF(AND(ISNUMBER(N101),N101&gt;59),1,_xlfn.XLOOKUP(N101,tbl_points[Place],tbl_points[Points],""))))))</f>
        <v>53</v>
      </c>
      <c r="P101" s="3" t="s">
        <v>409</v>
      </c>
      <c r="Q101" s="3">
        <f>IF(P101="","",IF(P101="DNS",0,IF(P101="DQ",0,IF(P101="DNF",1,IF(AND(ISNUMBER(P101),P101&gt;59),1,_xlfn.XLOOKUP(P101,tbl_points[Place],tbl_points[Points],""))))))</f>
        <v>1</v>
      </c>
      <c r="S101" s="3" t="str">
        <f>IF(R101="","",IF(R101="DNS",0,IF(R101="DQ",0,IF(R101="DNF",1,IF(AND(ISNUMBER(R101),R101&gt;59),1,_xlfn.XLOOKUP(R101,tbl_points[Place],tbl_points[Points],""))))))</f>
        <v/>
      </c>
      <c r="T101" s="3">
        <f>SUM(tbl_individual[[#This Row],[R1 Pts]],tbl_individual[[#This Row],[R2 Pts]],tbl_individual[[#This Row],[R3 Pts]],tbl_individual[[#This Row],[R4 Pts]],tbl_individual[[#This Row],[R5 Pts]],tbl_individual[[#This Row],[R6 Pts]])</f>
        <v>172</v>
      </c>
      <c r="U10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1" s="3">
        <f>tbl_individual[[#This Row],[Total]]</f>
        <v>172</v>
      </c>
    </row>
    <row r="102" spans="1:22" x14ac:dyDescent="0.4">
      <c r="A102" t="s">
        <v>76</v>
      </c>
      <c r="B102" t="s">
        <v>10</v>
      </c>
      <c r="C102" t="s">
        <v>5</v>
      </c>
      <c r="D102" s="3">
        <v>909</v>
      </c>
      <c r="E102" s="3" t="s">
        <v>421</v>
      </c>
      <c r="G102" s="3" t="s">
        <v>403</v>
      </c>
      <c r="H102" s="3">
        <v>1</v>
      </c>
      <c r="I102" s="3">
        <f>IF(H102="","",IF(H102="DNS",0,IF(H102="DQ",0,IF(H102="DNF",1,IF(AND(ISNUMBER(H102),H102&gt;59),1,_xlfn.XLOOKUP(H102,tbl_points[Place],tbl_points[Points],""))))))</f>
        <v>100</v>
      </c>
      <c r="J102" s="3">
        <v>1</v>
      </c>
      <c r="K102" s="3">
        <f>IF(J102="","",IF(J102="DNS",0,IF(J102="DQ",0,IF(J102="DNF",1,IF(AND(ISNUMBER(J102),J102&gt;59),1,_xlfn.XLOOKUP(J102,tbl_points[Place],tbl_points[Points],""))))))</f>
        <v>100</v>
      </c>
      <c r="L102" s="3" t="s">
        <v>410</v>
      </c>
      <c r="M102" s="3">
        <f>IF(L102="","",IF(L102="DNS",0,IF(L102="DQ",0,IF(L102="DNF",1,IF(AND(ISNUMBER(L102),L102&gt;59),1,_xlfn.XLOOKUP(L102,tbl_points[Place],tbl_points[Points],""))))))</f>
        <v>0</v>
      </c>
      <c r="N102" s="3" t="s">
        <v>410</v>
      </c>
      <c r="O102" s="3">
        <f>IF(N102="","",IF(N102="DNS",0,IF(N102="DQ",0,IF(N102="DNF",1,IF(AND(ISNUMBER(N102),N102&gt;59),1,_xlfn.XLOOKUP(N102,tbl_points[Place],tbl_points[Points],""))))))</f>
        <v>0</v>
      </c>
      <c r="P102" s="3" t="s">
        <v>410</v>
      </c>
      <c r="Q102" s="3">
        <f>IF(P102="","",IF(P102="DNS",0,IF(P102="DQ",0,IF(P102="DNF",1,IF(AND(ISNUMBER(P102),P102&gt;59),1,_xlfn.XLOOKUP(P102,tbl_points[Place],tbl_points[Points],""))))))</f>
        <v>0</v>
      </c>
      <c r="S102" s="3" t="str">
        <f>IF(R102="","",IF(R102="DNS",0,IF(R102="DQ",0,IF(R102="DNF",1,IF(AND(ISNUMBER(R102),R102&gt;59),1,_xlfn.XLOOKUP(R102,tbl_points[Place],tbl_points[Points],""))))))</f>
        <v/>
      </c>
      <c r="T102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2" s="3">
        <f>tbl_individual[[#This Row],[Total]]</f>
        <v>200</v>
      </c>
    </row>
    <row r="103" spans="1:22" x14ac:dyDescent="0.4">
      <c r="A103" t="s">
        <v>176</v>
      </c>
      <c r="B103" t="s">
        <v>19</v>
      </c>
      <c r="C103" t="s">
        <v>5</v>
      </c>
      <c r="D103" s="3">
        <v>918</v>
      </c>
      <c r="E103" s="3" t="s">
        <v>421</v>
      </c>
      <c r="G103" s="3" t="s">
        <v>407</v>
      </c>
      <c r="H103" s="3" t="s">
        <v>410</v>
      </c>
      <c r="I103" s="3">
        <f>IF(H103="","",IF(H103="DNS",0,IF(H103="DQ",0,IF(H103="DNF",1,IF(AND(ISNUMBER(H103),H103&gt;59),1,_xlfn.XLOOKUP(H103,tbl_points[Place],tbl_points[Points],""))))))</f>
        <v>0</v>
      </c>
      <c r="J103" s="3" t="s">
        <v>410</v>
      </c>
      <c r="K103" s="3">
        <f>IF(J103="","",IF(J103="DNS",0,IF(J103="DQ",0,IF(J103="DNF",1,IF(AND(ISNUMBER(J103),J103&gt;59),1,_xlfn.XLOOKUP(J103,tbl_points[Place],tbl_points[Points],""))))))</f>
        <v>0</v>
      </c>
      <c r="L103" s="3" t="s">
        <v>410</v>
      </c>
      <c r="M103" s="3">
        <f>IF(L103="","",IF(L103="DNS",0,IF(L103="DQ",0,IF(L103="DNF",1,IF(AND(ISNUMBER(L103),L103&gt;59),1,_xlfn.XLOOKUP(L103,tbl_points[Place],tbl_points[Points],""))))))</f>
        <v>0</v>
      </c>
      <c r="N103" s="3" t="s">
        <v>410</v>
      </c>
      <c r="O103" s="3">
        <f>IF(N103="","",IF(N103="DNS",0,IF(N103="DQ",0,IF(N103="DNF",1,IF(AND(ISNUMBER(N103),N103&gt;59),1,_xlfn.XLOOKUP(N103,tbl_points[Place],tbl_points[Points],""))))))</f>
        <v>0</v>
      </c>
      <c r="P103" s="3" t="s">
        <v>410</v>
      </c>
      <c r="Q103" s="3">
        <f>IF(P103="","",IF(P103="DNS",0,IF(P103="DQ",0,IF(P103="DNF",1,IF(AND(ISNUMBER(P103),P103&gt;59),1,_xlfn.XLOOKUP(P103,tbl_points[Place],tbl_points[Points],""))))))</f>
        <v>0</v>
      </c>
      <c r="S103" s="3" t="str">
        <f>IF(R103="","",IF(R103="DNS",0,IF(R103="DQ",0,IF(R103="DNF",1,IF(AND(ISNUMBER(R103),R103&gt;59),1,_xlfn.XLOOKUP(R103,tbl_points[Place],tbl_points[Points],""))))))</f>
        <v/>
      </c>
      <c r="T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3" s="3">
        <f>tbl_individual[[#This Row],[Total]]</f>
        <v>0</v>
      </c>
    </row>
    <row r="104" spans="1:22" x14ac:dyDescent="0.4">
      <c r="A104" t="s">
        <v>237</v>
      </c>
      <c r="B104" t="s">
        <v>22</v>
      </c>
      <c r="C104" t="s">
        <v>5</v>
      </c>
      <c r="D104" s="3">
        <v>923</v>
      </c>
      <c r="E104" s="3" t="s">
        <v>421</v>
      </c>
      <c r="G104" s="3" t="s">
        <v>407</v>
      </c>
      <c r="H104" s="3">
        <v>9</v>
      </c>
      <c r="I104" s="3">
        <f>IF(H104="","",IF(H104="DNS",0,IF(H104="DQ",0,IF(H104="DNF",1,IF(AND(ISNUMBER(H104),H104&gt;59),1,_xlfn.XLOOKUP(H104,tbl_points[Place],tbl_points[Points],""))))))</f>
        <v>60</v>
      </c>
      <c r="J104" s="3" t="s">
        <v>410</v>
      </c>
      <c r="K104" s="3">
        <f>IF(J104="","",IF(J104="DNS",0,IF(J104="DQ",0,IF(J104="DNF",1,IF(AND(ISNUMBER(J104),J104&gt;59),1,_xlfn.XLOOKUP(J104,tbl_points[Place],tbl_points[Points],""))))))</f>
        <v>0</v>
      </c>
      <c r="L104" s="3" t="s">
        <v>410</v>
      </c>
      <c r="M104" s="3">
        <f>IF(L104="","",IF(L104="DNS",0,IF(L104="DQ",0,IF(L104="DNF",1,IF(AND(ISNUMBER(L104),L104&gt;59),1,_xlfn.XLOOKUP(L104,tbl_points[Place],tbl_points[Points],""))))))</f>
        <v>0</v>
      </c>
      <c r="N104" s="3">
        <v>30</v>
      </c>
      <c r="O104" s="3">
        <f>IF(N104="","",IF(N104="DNS",0,IF(N104="DQ",0,IF(N104="DNF",1,IF(AND(ISNUMBER(N104),N104&gt;59),1,_xlfn.XLOOKUP(N104,tbl_points[Place],tbl_points[Points],""))))))</f>
        <v>30</v>
      </c>
      <c r="P104" s="3" t="s">
        <v>410</v>
      </c>
      <c r="Q104" s="3">
        <f>IF(P104="","",IF(P104="DNS",0,IF(P104="DQ",0,IF(P104="DNF",1,IF(AND(ISNUMBER(P104),P104&gt;59),1,_xlfn.XLOOKUP(P104,tbl_points[Place],tbl_points[Points],""))))))</f>
        <v>0</v>
      </c>
      <c r="S104" s="3" t="str">
        <f>IF(R104="","",IF(R104="DNS",0,IF(R104="DQ",0,IF(R104="DNF",1,IF(AND(ISNUMBER(R104),R104&gt;59),1,_xlfn.XLOOKUP(R104,tbl_points[Place],tbl_points[Points],""))))))</f>
        <v/>
      </c>
      <c r="T104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4" s="3">
        <f>tbl_individual[[#This Row],[Total]]</f>
        <v>90</v>
      </c>
    </row>
    <row r="105" spans="1:22" x14ac:dyDescent="0.4">
      <c r="A105" t="s">
        <v>250</v>
      </c>
      <c r="B105" t="s">
        <v>23</v>
      </c>
      <c r="C105" t="s">
        <v>5</v>
      </c>
      <c r="D105" s="3">
        <v>925</v>
      </c>
      <c r="E105" s="3" t="s">
        <v>421</v>
      </c>
      <c r="G105" s="3" t="s">
        <v>407</v>
      </c>
      <c r="H105" s="3" t="s">
        <v>410</v>
      </c>
      <c r="I105" s="3">
        <f>IF(H105="","",IF(H105="DNS",0,IF(H105="DQ",0,IF(H105="DNF",1,IF(AND(ISNUMBER(H105),H105&gt;59),1,_xlfn.XLOOKUP(H105,tbl_points[Place],tbl_points[Points],""))))))</f>
        <v>0</v>
      </c>
      <c r="J105" s="3" t="s">
        <v>410</v>
      </c>
      <c r="K105" s="3">
        <f>IF(J105="","",IF(J105="DNS",0,IF(J105="DQ",0,IF(J105="DNF",1,IF(AND(ISNUMBER(J105),J105&gt;59),1,_xlfn.XLOOKUP(J105,tbl_points[Place],tbl_points[Points],""))))))</f>
        <v>0</v>
      </c>
      <c r="L105" s="3" t="s">
        <v>410</v>
      </c>
      <c r="M105" s="3">
        <f>IF(L105="","",IF(L105="DNS",0,IF(L105="DQ",0,IF(L105="DNF",1,IF(AND(ISNUMBER(L105),L105&gt;59),1,_xlfn.XLOOKUP(L105,tbl_points[Place],tbl_points[Points],""))))))</f>
        <v>0</v>
      </c>
      <c r="N105" s="3" t="s">
        <v>410</v>
      </c>
      <c r="O105" s="3">
        <f>IF(N105="","",IF(N105="DNS",0,IF(N105="DQ",0,IF(N105="DNF",1,IF(AND(ISNUMBER(N105),N105&gt;59),1,_xlfn.XLOOKUP(N105,tbl_points[Place],tbl_points[Points],""))))))</f>
        <v>0</v>
      </c>
      <c r="P105" s="3" t="s">
        <v>410</v>
      </c>
      <c r="Q105" s="3">
        <f>IF(P105="","",IF(P105="DNS",0,IF(P105="DQ",0,IF(P105="DNF",1,IF(AND(ISNUMBER(P105),P105&gt;59),1,_xlfn.XLOOKUP(P105,tbl_points[Place],tbl_points[Points],""))))))</f>
        <v>0</v>
      </c>
      <c r="S105" s="3" t="str">
        <f>IF(R105="","",IF(R105="DNS",0,IF(R105="DQ",0,IF(R105="DNF",1,IF(AND(ISNUMBER(R105),R105&gt;59),1,_xlfn.XLOOKUP(R105,tbl_points[Place],tbl_points[Points],""))))))</f>
        <v/>
      </c>
      <c r="T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5" s="3">
        <f>tbl_individual[[#This Row],[Total]]</f>
        <v>0</v>
      </c>
    </row>
    <row r="106" spans="1:22" x14ac:dyDescent="0.4">
      <c r="A106" t="s">
        <v>290</v>
      </c>
      <c r="B106" t="s">
        <v>25</v>
      </c>
      <c r="C106" t="s">
        <v>5</v>
      </c>
      <c r="D106" s="3">
        <v>933</v>
      </c>
      <c r="E106" s="3" t="s">
        <v>421</v>
      </c>
      <c r="G106" s="3" t="s">
        <v>403</v>
      </c>
      <c r="H106" s="3">
        <v>7</v>
      </c>
      <c r="I106" s="3">
        <f>IF(H106="","",IF(H106="DNS",0,IF(H106="DQ",0,IF(H106="DNF",1,IF(AND(ISNUMBER(H106),H106&gt;59),1,_xlfn.XLOOKUP(H106,tbl_points[Place],tbl_points[Points],""))))))</f>
        <v>70</v>
      </c>
      <c r="J106" s="3">
        <v>7</v>
      </c>
      <c r="K106" s="3">
        <f>IF(J106="","",IF(J106="DNS",0,IF(J106="DQ",0,IF(J106="DNF",1,IF(AND(ISNUMBER(J106),J106&gt;59),1,_xlfn.XLOOKUP(J106,tbl_points[Place],tbl_points[Points],""))))))</f>
        <v>70</v>
      </c>
      <c r="L106" s="3" t="s">
        <v>410</v>
      </c>
      <c r="M106" s="3">
        <f>IF(L106="","",IF(L106="DNS",0,IF(L106="DQ",0,IF(L106="DNF",1,IF(AND(ISNUMBER(L106),L106&gt;59),1,_xlfn.XLOOKUP(L106,tbl_points[Place],tbl_points[Points],""))))))</f>
        <v>0</v>
      </c>
      <c r="N106" s="3">
        <v>18</v>
      </c>
      <c r="O106" s="3">
        <f>IF(N106="","",IF(N106="DNS",0,IF(N106="DQ",0,IF(N106="DNF",1,IF(AND(ISNUMBER(N106),N106&gt;59),1,_xlfn.XLOOKUP(N106,tbl_points[Place],tbl_points[Points],""))))))</f>
        <v>42</v>
      </c>
      <c r="P106" s="3" t="s">
        <v>410</v>
      </c>
      <c r="Q106" s="3">
        <f>IF(P106="","",IF(P106="DNS",0,IF(P106="DQ",0,IF(P106="DNF",1,IF(AND(ISNUMBER(P106),P106&gt;59),1,_xlfn.XLOOKUP(P106,tbl_points[Place],tbl_points[Points],""))))))</f>
        <v>0</v>
      </c>
      <c r="S106" s="3" t="str">
        <f>IF(R106="","",IF(R106="DNS",0,IF(R106="DQ",0,IF(R106="DNF",1,IF(AND(ISNUMBER(R106),R106&gt;59),1,_xlfn.XLOOKUP(R106,tbl_points[Place],tbl_points[Points],""))))))</f>
        <v/>
      </c>
      <c r="T106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6" s="3">
        <f>tbl_individual[[#This Row],[Total]]</f>
        <v>182</v>
      </c>
    </row>
    <row r="107" spans="1:22" x14ac:dyDescent="0.4">
      <c r="A107" t="s">
        <v>292</v>
      </c>
      <c r="B107" t="s">
        <v>25</v>
      </c>
      <c r="C107" t="s">
        <v>5</v>
      </c>
      <c r="D107" s="3">
        <v>935</v>
      </c>
      <c r="E107" s="3" t="s">
        <v>421</v>
      </c>
      <c r="G107" s="3" t="s">
        <v>403</v>
      </c>
      <c r="H107" s="3">
        <v>22</v>
      </c>
      <c r="I107" s="3">
        <f>IF(H107="","",IF(H107="DNS",0,IF(H107="DQ",0,IF(H107="DNF",1,IF(AND(ISNUMBER(H107),H107&gt;59),1,_xlfn.XLOOKUP(H107,tbl_points[Place],tbl_points[Points],""))))))</f>
        <v>38</v>
      </c>
      <c r="J107" s="3">
        <v>20</v>
      </c>
      <c r="K107" s="3">
        <f>IF(J107="","",IF(J107="DNS",0,IF(J107="DQ",0,IF(J107="DNF",1,IF(AND(ISNUMBER(J107),J107&gt;59),1,_xlfn.XLOOKUP(J107,tbl_points[Place],tbl_points[Points],""))))))</f>
        <v>40</v>
      </c>
      <c r="L107" s="3" t="s">
        <v>410</v>
      </c>
      <c r="M107" s="3">
        <f>IF(L107="","",IF(L107="DNS",0,IF(L107="DQ",0,IF(L107="DNF",1,IF(AND(ISNUMBER(L107),L107&gt;59),1,_xlfn.XLOOKUP(L107,tbl_points[Place],tbl_points[Points],""))))))</f>
        <v>0</v>
      </c>
      <c r="N107" s="3">
        <v>20</v>
      </c>
      <c r="O107" s="3">
        <f>IF(N107="","",IF(N107="DNS",0,IF(N107="DQ",0,IF(N107="DNF",1,IF(AND(ISNUMBER(N107),N107&gt;59),1,_xlfn.XLOOKUP(N107,tbl_points[Place],tbl_points[Points],""))))))</f>
        <v>40</v>
      </c>
      <c r="P107" s="3" t="s">
        <v>410</v>
      </c>
      <c r="Q107" s="3">
        <f>IF(P107="","",IF(P107="DNS",0,IF(P107="DQ",0,IF(P107="DNF",1,IF(AND(ISNUMBER(P107),P107&gt;59),1,_xlfn.XLOOKUP(P107,tbl_points[Place],tbl_points[Points],""))))))</f>
        <v>0</v>
      </c>
      <c r="S107" s="3" t="str">
        <f>IF(R107="","",IF(R107="DNS",0,IF(R107="DQ",0,IF(R107="DNF",1,IF(AND(ISNUMBER(R107),R107&gt;59),1,_xlfn.XLOOKUP(R107,tbl_points[Place],tbl_points[Points],""))))))</f>
        <v/>
      </c>
      <c r="T107" s="3">
        <f>SUM(tbl_individual[[#This Row],[R1 Pts]],tbl_individual[[#This Row],[R2 Pts]],tbl_individual[[#This Row],[R3 Pts]],tbl_individual[[#This Row],[R4 Pts]],tbl_individual[[#This Row],[R5 Pts]],tbl_individual[[#This Row],[R6 Pts]])</f>
        <v>118</v>
      </c>
      <c r="U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7" s="3">
        <f>tbl_individual[[#This Row],[Total]]</f>
        <v>118</v>
      </c>
    </row>
    <row r="108" spans="1:22" x14ac:dyDescent="0.4">
      <c r="A108" t="s">
        <v>293</v>
      </c>
      <c r="B108" t="s">
        <v>25</v>
      </c>
      <c r="C108" t="s">
        <v>5</v>
      </c>
      <c r="D108" s="3">
        <v>936</v>
      </c>
      <c r="E108" s="3" t="s">
        <v>421</v>
      </c>
      <c r="G108" s="3" t="s">
        <v>403</v>
      </c>
      <c r="H108" s="3" t="s">
        <v>410</v>
      </c>
      <c r="I108" s="3">
        <f>IF(H108="","",IF(H108="DNS",0,IF(H108="DQ",0,IF(H108="DNF",1,IF(AND(ISNUMBER(H108),H108&gt;59),1,_xlfn.XLOOKUP(H108,tbl_points[Place],tbl_points[Points],""))))))</f>
        <v>0</v>
      </c>
      <c r="J108" s="3" t="s">
        <v>410</v>
      </c>
      <c r="K108" s="3">
        <f>IF(J108="","",IF(J108="DNS",0,IF(J108="DQ",0,IF(J108="DNF",1,IF(AND(ISNUMBER(J108),J108&gt;59),1,_xlfn.XLOOKUP(J108,tbl_points[Place],tbl_points[Points],""))))))</f>
        <v>0</v>
      </c>
      <c r="L108" s="3" t="s">
        <v>410</v>
      </c>
      <c r="M108" s="3">
        <f>IF(L108="","",IF(L108="DNS",0,IF(L108="DQ",0,IF(L108="DNF",1,IF(AND(ISNUMBER(L108),L108&gt;59),1,_xlfn.XLOOKUP(L108,tbl_points[Place],tbl_points[Points],""))))))</f>
        <v>0</v>
      </c>
      <c r="N108" s="3" t="s">
        <v>447</v>
      </c>
      <c r="O108" s="3">
        <f>IF(N108="","",IF(N108="DNS",0,IF(N108="DQ",0,IF(N108="DNF",1,IF(AND(ISNUMBER(N108),N108&gt;59),1,_xlfn.XLOOKUP(N108,tbl_points[Place],tbl_points[Points],""))))))</f>
        <v>0</v>
      </c>
      <c r="P108" s="3" t="s">
        <v>410</v>
      </c>
      <c r="Q108" s="3">
        <f>IF(P108="","",IF(P108="DNS",0,IF(P108="DQ",0,IF(P108="DNF",1,IF(AND(ISNUMBER(P108),P108&gt;59),1,_xlfn.XLOOKUP(P108,tbl_points[Place],tbl_points[Points],""))))))</f>
        <v>0</v>
      </c>
      <c r="S108" s="3" t="str">
        <f>IF(R108="","",IF(R108="DNS",0,IF(R108="DQ",0,IF(R108="DNF",1,IF(AND(ISNUMBER(R108),R108&gt;59),1,_xlfn.XLOOKUP(R108,tbl_points[Place],tbl_points[Points],""))))))</f>
        <v/>
      </c>
      <c r="T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8" s="3">
        <f>tbl_individual[[#This Row],[Total]]</f>
        <v>0</v>
      </c>
    </row>
    <row r="109" spans="1:22" x14ac:dyDescent="0.4">
      <c r="A109" t="s">
        <v>443</v>
      </c>
      <c r="B109" t="s">
        <v>25</v>
      </c>
      <c r="C109" t="s">
        <v>5</v>
      </c>
      <c r="D109" s="3">
        <v>941</v>
      </c>
      <c r="E109" s="3" t="s">
        <v>421</v>
      </c>
      <c r="F109" s="17" t="s">
        <v>442</v>
      </c>
      <c r="H109" s="3" t="s">
        <v>410</v>
      </c>
      <c r="I109" s="3">
        <f>IF(H109="","",IF(H109="DNS",0,IF(H109="DQ",0,IF(H109="DNF",1,IF(AND(ISNUMBER(H109),H109&gt;59),1,_xlfn.XLOOKUP(H109,tbl_points[Place],tbl_points[Points],""))))))</f>
        <v>0</v>
      </c>
      <c r="J109" s="3">
        <v>40</v>
      </c>
      <c r="K109" s="3">
        <f>IF(J109="","",IF(J109="DNS",0,IF(J109="DQ",0,IF(J109="DNF",1,IF(AND(ISNUMBER(J109),J109&gt;59),1,_xlfn.XLOOKUP(J109,tbl_points[Place],tbl_points[Points],""))))))</f>
        <v>20</v>
      </c>
      <c r="L109" s="3" t="s">
        <v>410</v>
      </c>
      <c r="M109" s="3">
        <f>IF(L109="","",IF(L109="DNS",0,IF(L109="DQ",0,IF(L109="DNF",1,IF(AND(ISNUMBER(L109),L109&gt;59),1,_xlfn.XLOOKUP(L109,tbl_points[Place],tbl_points[Points],""))))))</f>
        <v>0</v>
      </c>
      <c r="N109" s="3">
        <v>47</v>
      </c>
      <c r="O109" s="3">
        <f>IF(N109="","",IF(N109="DNS",0,IF(N109="DQ",0,IF(N109="DNF",1,IF(AND(ISNUMBER(N109),N109&gt;59),1,_xlfn.XLOOKUP(N109,tbl_points[Place],tbl_points[Points],""))))))</f>
        <v>13</v>
      </c>
      <c r="P109" s="3" t="s">
        <v>410</v>
      </c>
      <c r="Q109" s="3">
        <f>IF(P109="","",IF(P109="DNS",0,IF(P109="DQ",0,IF(P109="DNF",1,IF(AND(ISNUMBER(P109),P109&gt;59),1,_xlfn.XLOOKUP(P109,tbl_points[Place],tbl_points[Points],""))))))</f>
        <v>0</v>
      </c>
      <c r="S109" s="3" t="str">
        <f>IF(R109="","",IF(R109="DNS",0,IF(R109="DQ",0,IF(R109="DNF",1,IF(AND(ISNUMBER(R109),R109&gt;59),1,_xlfn.XLOOKUP(R109,tbl_points[Place],tbl_points[Points],""))))))</f>
        <v/>
      </c>
      <c r="T109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9" s="3">
        <f>tbl_individual[[#This Row],[Total]]</f>
        <v>33</v>
      </c>
    </row>
    <row r="110" spans="1:22" hidden="1" x14ac:dyDescent="0.4">
      <c r="A110" t="s">
        <v>316</v>
      </c>
      <c r="B110" t="s">
        <v>27</v>
      </c>
      <c r="C110" t="s">
        <v>5</v>
      </c>
      <c r="D110" s="3">
        <v>941</v>
      </c>
      <c r="E110" s="3" t="s">
        <v>422</v>
      </c>
      <c r="G110" s="3" t="s">
        <v>407</v>
      </c>
      <c r="H110" s="3" t="s">
        <v>410</v>
      </c>
      <c r="I110" s="3">
        <f>IF(H110="","",IF(H110="DNS",0,IF(H110="DQ",0,IF(H110="DNF",1,IF(AND(ISNUMBER(H110),H110&gt;59),1,_xlfn.XLOOKUP(H110,tbl_points[Place],tbl_points[Points],""))))))</f>
        <v>0</v>
      </c>
      <c r="J110" s="3" t="s">
        <v>410</v>
      </c>
      <c r="K110" s="3">
        <f>IF(J110="","",IF(J110="DNS",0,IF(J110="DQ",0,IF(J110="DNF",1,IF(AND(ISNUMBER(J110),J110&gt;59),1,_xlfn.XLOOKUP(J110,tbl_points[Place],tbl_points[Points],""))))))</f>
        <v>0</v>
      </c>
      <c r="L110" s="3" t="s">
        <v>410</v>
      </c>
      <c r="M110" s="3">
        <f>IF(L110="","",IF(L110="DNS",0,IF(L110="DQ",0,IF(L110="DNF",1,IF(AND(ISNUMBER(L110),L110&gt;59),1,_xlfn.XLOOKUP(L110,tbl_points[Place],tbl_points[Points],""))))))</f>
        <v>0</v>
      </c>
      <c r="O110" s="3" t="str">
        <f>IF(N110="","",IF(N110="DNS",0,IF(N110="DQ",0,IF(N110="DNF",1,IF(AND(ISNUMBER(N110),N110&gt;59),1,_xlfn.XLOOKUP(N110,tbl_points[Place],tbl_points[Points],""))))))</f>
        <v/>
      </c>
      <c r="Q110" s="3" t="str">
        <f>IF(P110="","",IF(P110="DNS",0,IF(P110="DQ",0,IF(P110="DNF",1,IF(AND(ISNUMBER(P110),P110&gt;59),1,_xlfn.XLOOKUP(P110,tbl_points[Place],tbl_points[Points],""))))))</f>
        <v/>
      </c>
      <c r="S110" s="3" t="str">
        <f>IF(R110="","",IF(R110="DNS",0,IF(R110="DQ",0,IF(R110="DNF",1,IF(AND(ISNUMBER(R110),R110&gt;59),1,_xlfn.XLOOKUP(R110,tbl_points[Place],tbl_points[Points],""))))))</f>
        <v/>
      </c>
      <c r="T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0" s="3">
        <f>tbl_individual[[#This Row],[Total]]</f>
        <v>0</v>
      </c>
    </row>
    <row r="111" spans="1:22" x14ac:dyDescent="0.4">
      <c r="A111" t="s">
        <v>305</v>
      </c>
      <c r="B111" t="s">
        <v>26</v>
      </c>
      <c r="C111" t="s">
        <v>5</v>
      </c>
      <c r="D111" s="3">
        <v>939</v>
      </c>
      <c r="E111" s="3" t="s">
        <v>421</v>
      </c>
      <c r="G111" s="3" t="s">
        <v>403</v>
      </c>
      <c r="H111" s="3" t="s">
        <v>410</v>
      </c>
      <c r="I111" s="3">
        <f>IF(H111="","",IF(H111="DNS",0,IF(H111="DQ",0,IF(H111="DNF",1,IF(AND(ISNUMBER(H111),H111&gt;59),1,_xlfn.XLOOKUP(H111,tbl_points[Place],tbl_points[Points],""))))))</f>
        <v>0</v>
      </c>
      <c r="J111" s="3">
        <v>32</v>
      </c>
      <c r="K111" s="3">
        <f>IF(J111="","",IF(J111="DNS",0,IF(J111="DQ",0,IF(J111="DNF",1,IF(AND(ISNUMBER(J111),J111&gt;59),1,_xlfn.XLOOKUP(J111,tbl_points[Place],tbl_points[Points],""))))))</f>
        <v>28</v>
      </c>
      <c r="L111" s="3">
        <v>26</v>
      </c>
      <c r="M111" s="3">
        <f>IF(L111="","",IF(L111="DNS",0,IF(L111="DQ",0,IF(L111="DNF",1,IF(AND(ISNUMBER(L111),L111&gt;59),1,_xlfn.XLOOKUP(L111,tbl_points[Place],tbl_points[Points],""))))))</f>
        <v>34</v>
      </c>
      <c r="N111" s="3">
        <v>32</v>
      </c>
      <c r="O111" s="3">
        <f>IF(N111="","",IF(N111="DNS",0,IF(N111="DQ",0,IF(N111="DNF",1,IF(AND(ISNUMBER(N111),N111&gt;59),1,_xlfn.XLOOKUP(N111,tbl_points[Place],tbl_points[Points],""))))))</f>
        <v>28</v>
      </c>
      <c r="P111" s="3" t="s">
        <v>410</v>
      </c>
      <c r="Q111" s="3">
        <f>IF(P111="","",IF(P111="DNS",0,IF(P111="DQ",0,IF(P111="DNF",1,IF(AND(ISNUMBER(P111),P111&gt;59),1,_xlfn.XLOOKUP(P111,tbl_points[Place],tbl_points[Points],""))))))</f>
        <v>0</v>
      </c>
      <c r="S111" s="3" t="str">
        <f>IF(R111="","",IF(R111="DNS",0,IF(R111="DQ",0,IF(R111="DNF",1,IF(AND(ISNUMBER(R111),R111&gt;59),1,_xlfn.XLOOKUP(R111,tbl_points[Place],tbl_points[Points],""))))))</f>
        <v/>
      </c>
      <c r="T111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1" s="3">
        <f>tbl_individual[[#This Row],[Total]]</f>
        <v>90</v>
      </c>
    </row>
    <row r="112" spans="1:22" hidden="1" x14ac:dyDescent="0.4">
      <c r="A112" s="11" t="s">
        <v>318</v>
      </c>
      <c r="B112" s="11" t="s">
        <v>27</v>
      </c>
      <c r="C112" s="11" t="s">
        <v>5</v>
      </c>
      <c r="D112" s="15">
        <v>943</v>
      </c>
      <c r="E112" s="3" t="s">
        <v>422</v>
      </c>
      <c r="I112" s="3" t="str">
        <f>IF(H112="","",IF(H112="DNS",0,IF(H112="DQ",0,IF(H112="DNF",1,IF(AND(ISNUMBER(H112),H112&gt;59),1,_xlfn.XLOOKUP(H112,tbl_points[Place],tbl_points[Points],""))))))</f>
        <v/>
      </c>
      <c r="K112" s="3" t="str">
        <f>IF(J112="","",IF(J112="DNS",0,IF(J112="DQ",0,IF(J112="DNF",1,IF(AND(ISNUMBER(J112),J112&gt;59),1,_xlfn.XLOOKUP(J112,tbl_points[Place],tbl_points[Points],""))))))</f>
        <v/>
      </c>
      <c r="M112" s="3" t="str">
        <f>IF(L112="","",IF(L112="DNS",0,IF(L112="DQ",0,IF(L112="DNF",1,IF(AND(ISNUMBER(L112),L112&gt;59),1,_xlfn.XLOOKUP(L112,tbl_points[Place],tbl_points[Points],""))))))</f>
        <v/>
      </c>
      <c r="O112" s="3" t="str">
        <f>IF(N112="","",IF(N112="DNS",0,IF(N112="DQ",0,IF(N112="DNF",1,IF(AND(ISNUMBER(N112),N112&gt;59),1,_xlfn.XLOOKUP(N112,tbl_points[Place],tbl_points[Points],""))))))</f>
        <v/>
      </c>
      <c r="Q112" s="3" t="str">
        <f>IF(P112="","",IF(P112="DNS",0,IF(P112="DQ",0,IF(P112="DNF",1,IF(AND(ISNUMBER(P112),P112&gt;59),1,_xlfn.XLOOKUP(P112,tbl_points[Place],tbl_points[Points],""))))))</f>
        <v/>
      </c>
      <c r="S112" s="3" t="str">
        <f>IF(R112="","",IF(R112="DNS",0,IF(R112="DQ",0,IF(R112="DNF",1,IF(AND(ISNUMBER(R112),R112&gt;59),1,_xlfn.XLOOKUP(R112,tbl_points[Place],tbl_points[Points],""))))))</f>
        <v/>
      </c>
      <c r="T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2" s="3">
        <f>tbl_individual[[#This Row],[Total]]</f>
        <v>0</v>
      </c>
    </row>
    <row r="113" spans="1:22" x14ac:dyDescent="0.4">
      <c r="A113" t="s">
        <v>317</v>
      </c>
      <c r="B113" t="s">
        <v>27</v>
      </c>
      <c r="C113" t="s">
        <v>5</v>
      </c>
      <c r="D113" s="3">
        <v>942</v>
      </c>
      <c r="E113" s="3" t="s">
        <v>421</v>
      </c>
      <c r="G113" s="3" t="s">
        <v>403</v>
      </c>
      <c r="H113" s="3">
        <v>21</v>
      </c>
      <c r="I113" s="3">
        <f>IF(H113="","",IF(H113="DNS",0,IF(H113="DQ",0,IF(H113="DNF",1,IF(AND(ISNUMBER(H113),H113&gt;59),1,_xlfn.XLOOKUP(H113,tbl_points[Place],tbl_points[Points],""))))))</f>
        <v>39</v>
      </c>
      <c r="J113" s="3">
        <v>38</v>
      </c>
      <c r="K113" s="3">
        <f>IF(J113="","",IF(J113="DNS",0,IF(J113="DQ",0,IF(J113="DNF",1,IF(AND(ISNUMBER(J113),J113&gt;59),1,_xlfn.XLOOKUP(J113,tbl_points[Place],tbl_points[Points],""))))))</f>
        <v>22</v>
      </c>
      <c r="L113" s="3" t="s">
        <v>410</v>
      </c>
      <c r="M113" s="3">
        <f>IF(L113="","",IF(L113="DNS",0,IF(L113="DQ",0,IF(L113="DNF",1,IF(AND(ISNUMBER(L113),L113&gt;59),1,_xlfn.XLOOKUP(L113,tbl_points[Place],tbl_points[Points],""))))))</f>
        <v>0</v>
      </c>
      <c r="N113" s="3">
        <v>35</v>
      </c>
      <c r="O113" s="3">
        <f>IF(N113="","",IF(N113="DNS",0,IF(N113="DQ",0,IF(N113="DNF",1,IF(AND(ISNUMBER(N113),N113&gt;59),1,_xlfn.XLOOKUP(N113,tbl_points[Place],tbl_points[Points],""))))))</f>
        <v>25</v>
      </c>
      <c r="P113" s="3" t="s">
        <v>410</v>
      </c>
      <c r="Q113" s="3">
        <f>IF(P113="","",IF(P113="DNS",0,IF(P113="DQ",0,IF(P113="DNF",1,IF(AND(ISNUMBER(P113),P113&gt;59),1,_xlfn.XLOOKUP(P113,tbl_points[Place],tbl_points[Points],""))))))</f>
        <v>0</v>
      </c>
      <c r="S113" s="3" t="str">
        <f>IF(R113="","",IF(R113="DNS",0,IF(R113="DQ",0,IF(R113="DNF",1,IF(AND(ISNUMBER(R113),R113&gt;59),1,_xlfn.XLOOKUP(R113,tbl_points[Place],tbl_points[Points],""))))))</f>
        <v/>
      </c>
      <c r="T113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3" s="3">
        <f>tbl_individual[[#This Row],[Total]]</f>
        <v>86</v>
      </c>
    </row>
    <row r="114" spans="1:22" x14ac:dyDescent="0.4">
      <c r="A114" t="s">
        <v>380</v>
      </c>
      <c r="B114" t="s">
        <v>31</v>
      </c>
      <c r="C114" t="s">
        <v>5</v>
      </c>
      <c r="D114" s="3">
        <v>952</v>
      </c>
      <c r="E114" s="3" t="s">
        <v>421</v>
      </c>
      <c r="G114" s="3" t="s">
        <v>407</v>
      </c>
      <c r="H114" s="3" t="s">
        <v>410</v>
      </c>
      <c r="I114" s="3">
        <f>IF(H114="","",IF(H114="DNS",0,IF(H114="DQ",0,IF(H114="DNF",1,IF(AND(ISNUMBER(H114),H114&gt;59),1,_xlfn.XLOOKUP(H114,tbl_points[Place],tbl_points[Points],""))))))</f>
        <v>0</v>
      </c>
      <c r="J114" s="3" t="s">
        <v>410</v>
      </c>
      <c r="K114" s="3">
        <f>IF(J114="","",IF(J114="DNS",0,IF(J114="DQ",0,IF(J114="DNF",1,IF(AND(ISNUMBER(J114),J114&gt;59),1,_xlfn.XLOOKUP(J114,tbl_points[Place],tbl_points[Points],""))))))</f>
        <v>0</v>
      </c>
      <c r="L114" s="3" t="s">
        <v>410</v>
      </c>
      <c r="M114" s="3">
        <f>IF(L114="","",IF(L114="DNS",0,IF(L114="DQ",0,IF(L114="DNF",1,IF(AND(ISNUMBER(L114),L114&gt;59),1,_xlfn.XLOOKUP(L114,tbl_points[Place],tbl_points[Points],""))))))</f>
        <v>0</v>
      </c>
      <c r="N114" s="3" t="s">
        <v>410</v>
      </c>
      <c r="O114" s="3">
        <f>IF(N114="","",IF(N114="DNS",0,IF(N114="DQ",0,IF(N114="DNF",1,IF(AND(ISNUMBER(N114),N114&gt;59),1,_xlfn.XLOOKUP(N114,tbl_points[Place],tbl_points[Points],""))))))</f>
        <v>0</v>
      </c>
      <c r="P114" s="3" t="s">
        <v>410</v>
      </c>
      <c r="Q114" s="3">
        <f>IF(P114="","",IF(P114="DNS",0,IF(P114="DQ",0,IF(P114="DNF",1,IF(AND(ISNUMBER(P114),P114&gt;59),1,_xlfn.XLOOKUP(P114,tbl_points[Place],tbl_points[Points],""))))))</f>
        <v>0</v>
      </c>
      <c r="S114" s="3" t="str">
        <f>IF(R114="","",IF(R114="DNS",0,IF(R114="DQ",0,IF(R114="DNF",1,IF(AND(ISNUMBER(R114),R114&gt;59),1,_xlfn.XLOOKUP(R114,tbl_points[Place],tbl_points[Points],""))))))</f>
        <v/>
      </c>
      <c r="T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4" s="3">
        <f>tbl_individual[[#This Row],[Total]]</f>
        <v>0</v>
      </c>
    </row>
    <row r="115" spans="1:22" x14ac:dyDescent="0.4">
      <c r="A115" t="s">
        <v>381</v>
      </c>
      <c r="B115" t="s">
        <v>31</v>
      </c>
      <c r="C115" t="s">
        <v>5</v>
      </c>
      <c r="D115" s="3">
        <v>953</v>
      </c>
      <c r="E115" s="3" t="s">
        <v>421</v>
      </c>
      <c r="G115" s="3" t="s">
        <v>407</v>
      </c>
      <c r="H115" s="3" t="s">
        <v>410</v>
      </c>
      <c r="I115" s="3">
        <f>IF(H115="","",IF(H115="DNS",0,IF(H115="DQ",0,IF(H115="DNF",1,IF(AND(ISNUMBER(H115),H115&gt;59),1,_xlfn.XLOOKUP(H115,tbl_points[Place],tbl_points[Points],""))))))</f>
        <v>0</v>
      </c>
      <c r="J115" s="3" t="s">
        <v>410</v>
      </c>
      <c r="K115" s="3">
        <f>IF(J115="","",IF(J115="DNS",0,IF(J115="DQ",0,IF(J115="DNF",1,IF(AND(ISNUMBER(J115),J115&gt;59),1,_xlfn.XLOOKUP(J115,tbl_points[Place],tbl_points[Points],""))))))</f>
        <v>0</v>
      </c>
      <c r="L115" s="3" t="s">
        <v>410</v>
      </c>
      <c r="M115" s="3">
        <f>IF(L115="","",IF(L115="DNS",0,IF(L115="DQ",0,IF(L115="DNF",1,IF(AND(ISNUMBER(L115),L115&gt;59),1,_xlfn.XLOOKUP(L115,tbl_points[Place],tbl_points[Points],""))))))</f>
        <v>0</v>
      </c>
      <c r="N115" s="3" t="s">
        <v>410</v>
      </c>
      <c r="O115" s="3">
        <f>IF(N115="","",IF(N115="DNS",0,IF(N115="DQ",0,IF(N115="DNF",1,IF(AND(ISNUMBER(N115),N115&gt;59),1,_xlfn.XLOOKUP(N115,tbl_points[Place],tbl_points[Points],""))))))</f>
        <v>0</v>
      </c>
      <c r="P115" s="3" t="s">
        <v>410</v>
      </c>
      <c r="Q115" s="3">
        <f>IF(P115="","",IF(P115="DNS",0,IF(P115="DQ",0,IF(P115="DNF",1,IF(AND(ISNUMBER(P115),P115&gt;59),1,_xlfn.XLOOKUP(P115,tbl_points[Place],tbl_points[Points],""))))))</f>
        <v>0</v>
      </c>
      <c r="S115" s="3" t="str">
        <f>IF(R115="","",IF(R115="DNS",0,IF(R115="DQ",0,IF(R115="DNF",1,IF(AND(ISNUMBER(R115),R115&gt;59),1,_xlfn.XLOOKUP(R115,tbl_points[Place],tbl_points[Points],""))))))</f>
        <v/>
      </c>
      <c r="T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5" s="3">
        <f>tbl_individual[[#This Row],[Total]]</f>
        <v>0</v>
      </c>
    </row>
    <row r="116" spans="1:22" x14ac:dyDescent="0.4">
      <c r="A116" t="s">
        <v>382</v>
      </c>
      <c r="B116" t="s">
        <v>31</v>
      </c>
      <c r="C116" t="s">
        <v>5</v>
      </c>
      <c r="D116" s="3">
        <v>954</v>
      </c>
      <c r="E116" s="3" t="s">
        <v>421</v>
      </c>
      <c r="G116" s="3" t="s">
        <v>403</v>
      </c>
      <c r="H116" s="3">
        <v>39</v>
      </c>
      <c r="I116" s="3">
        <f>IF(H116="","",IF(H116="DNS",0,IF(H116="DQ",0,IF(H116="DNF",1,IF(AND(ISNUMBER(H116),H116&gt;59),1,_xlfn.XLOOKUP(H116,tbl_points[Place],tbl_points[Points],""))))))</f>
        <v>21</v>
      </c>
      <c r="J116" s="3">
        <v>36</v>
      </c>
      <c r="K116" s="3">
        <f>IF(J116="","",IF(J116="DNS",0,IF(J116="DQ",0,IF(J116="DNF",1,IF(AND(ISNUMBER(J116),J116&gt;59),1,_xlfn.XLOOKUP(J116,tbl_points[Place],tbl_points[Points],""))))))</f>
        <v>24</v>
      </c>
      <c r="L116" s="3" t="s">
        <v>410</v>
      </c>
      <c r="M116" s="3">
        <f>IF(L116="","",IF(L116="DNS",0,IF(L116="DQ",0,IF(L116="DNF",1,IF(AND(ISNUMBER(L116),L116&gt;59),1,_xlfn.XLOOKUP(L116,tbl_points[Place],tbl_points[Points],""))))))</f>
        <v>0</v>
      </c>
      <c r="N116" s="3">
        <v>31</v>
      </c>
      <c r="O116" s="3">
        <f>IF(N116="","",IF(N116="DNS",0,IF(N116="DQ",0,IF(N116="DNF",1,IF(AND(ISNUMBER(N116),N116&gt;59),1,_xlfn.XLOOKUP(N116,tbl_points[Place],tbl_points[Points],""))))))</f>
        <v>29</v>
      </c>
      <c r="P116" s="3" t="s">
        <v>410</v>
      </c>
      <c r="Q116" s="3">
        <f>IF(P116="","",IF(P116="DNS",0,IF(P116="DQ",0,IF(P116="DNF",1,IF(AND(ISNUMBER(P116),P116&gt;59),1,_xlfn.XLOOKUP(P116,tbl_points[Place],tbl_points[Points],""))))))</f>
        <v>0</v>
      </c>
      <c r="S116" s="3" t="str">
        <f>IF(R116="","",IF(R116="DNS",0,IF(R116="DQ",0,IF(R116="DNF",1,IF(AND(ISNUMBER(R116),R116&gt;59),1,_xlfn.XLOOKUP(R116,tbl_points[Place],tbl_points[Points],""))))))</f>
        <v/>
      </c>
      <c r="T116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6" s="3">
        <f>tbl_individual[[#This Row],[Total]]</f>
        <v>74</v>
      </c>
    </row>
    <row r="117" spans="1:22" x14ac:dyDescent="0.4">
      <c r="A117" t="s">
        <v>213</v>
      </c>
      <c r="B117" t="s">
        <v>21</v>
      </c>
      <c r="C117" t="s">
        <v>4</v>
      </c>
      <c r="D117" s="3">
        <v>1035</v>
      </c>
      <c r="E117" s="3" t="s">
        <v>421</v>
      </c>
      <c r="G117" s="3" t="s">
        <v>403</v>
      </c>
      <c r="H117" s="3" t="s">
        <v>410</v>
      </c>
      <c r="I117" s="3">
        <f>IF(H117="","",IF(H117="DNS",0,IF(H117="DQ",0,IF(H117="DNF",1,IF(AND(ISNUMBER(H117),H117&gt;59),1,_xlfn.XLOOKUP(H117,tbl_points[Place],tbl_points[Points],""))))))</f>
        <v>0</v>
      </c>
      <c r="J117" s="3">
        <v>1</v>
      </c>
      <c r="K117" s="3">
        <f>IF(J117="","",IF(J117="DNS",0,IF(J117="DQ",0,IF(J117="DNF",1,IF(AND(ISNUMBER(J117),J117&gt;59),1,_xlfn.XLOOKUP(J117,tbl_points[Place],tbl_points[Points],""))))))</f>
        <v>100</v>
      </c>
      <c r="L117" s="3" t="s">
        <v>410</v>
      </c>
      <c r="M117" s="3">
        <f>IF(L117="","",IF(L117="DNS",0,IF(L117="DQ",0,IF(L117="DNF",1,IF(AND(ISNUMBER(L117),L117&gt;59),1,_xlfn.XLOOKUP(L117,tbl_points[Place],tbl_points[Points],""))))))</f>
        <v>0</v>
      </c>
      <c r="N117" s="3">
        <v>1</v>
      </c>
      <c r="O117" s="3">
        <f>IF(N117="","",IF(N117="DNS",0,IF(N117="DQ",0,IF(N117="DNF",1,IF(AND(ISNUMBER(N117),N117&gt;59),1,_xlfn.XLOOKUP(N117,tbl_points[Place],tbl_points[Points],""))))))</f>
        <v>100</v>
      </c>
      <c r="P117" s="3">
        <v>1</v>
      </c>
      <c r="Q117" s="3">
        <f>IF(P117="","",IF(P117="DNS",0,IF(P117="DQ",0,IF(P117="DNF",1,IF(AND(ISNUMBER(P117),P117&gt;59),1,_xlfn.XLOOKUP(P117,tbl_points[Place],tbl_points[Points],""))))))</f>
        <v>100</v>
      </c>
      <c r="S117" s="3" t="str">
        <f>IF(R117="","",IF(R117="DNS",0,IF(R117="DQ",0,IF(R117="DNF",1,IF(AND(ISNUMBER(R117),R117&gt;59),1,_xlfn.XLOOKUP(R117,tbl_points[Place],tbl_points[Points],""))))))</f>
        <v/>
      </c>
      <c r="T117" s="3">
        <f>SUM(tbl_individual[[#This Row],[R1 Pts]],tbl_individual[[#This Row],[R2 Pts]],tbl_individual[[#This Row],[R3 Pts]],tbl_individual[[#This Row],[R4 Pts]],tbl_individual[[#This Row],[R5 Pts]],tbl_individual[[#This Row],[R6 Pts]])</f>
        <v>300</v>
      </c>
      <c r="U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7" s="3">
        <f>tbl_individual[[#This Row],[Total]]</f>
        <v>300</v>
      </c>
    </row>
    <row r="118" spans="1:22" x14ac:dyDescent="0.4">
      <c r="A118" t="s">
        <v>254</v>
      </c>
      <c r="B118" t="s">
        <v>23</v>
      </c>
      <c r="C118" t="s">
        <v>4</v>
      </c>
      <c r="D118" s="3">
        <v>1036</v>
      </c>
      <c r="E118" s="3" t="s">
        <v>421</v>
      </c>
      <c r="G118" s="3" t="s">
        <v>403</v>
      </c>
      <c r="H118" s="3">
        <v>7</v>
      </c>
      <c r="I118" s="3">
        <f>IF(H118="","",IF(H118="DNS",0,IF(H118="DQ",0,IF(H118="DNF",1,IF(AND(ISNUMBER(H118),H118&gt;59),1,_xlfn.XLOOKUP(H118,tbl_points[Place],tbl_points[Points],""))))))</f>
        <v>70</v>
      </c>
      <c r="J118" s="3">
        <v>2</v>
      </c>
      <c r="K118" s="3">
        <f>IF(J118="","",IF(J118="DNS",0,IF(J118="DQ",0,IF(J118="DNF",1,IF(AND(ISNUMBER(J118),J118&gt;59),1,_xlfn.XLOOKUP(J118,tbl_points[Place],tbl_points[Points],""))))))</f>
        <v>95</v>
      </c>
      <c r="L118" s="3">
        <v>2</v>
      </c>
      <c r="M118" s="3">
        <f>IF(L118="","",IF(L118="DNS",0,IF(L118="DQ",0,IF(L118="DNF",1,IF(AND(ISNUMBER(L118),L118&gt;59),1,_xlfn.XLOOKUP(L118,tbl_points[Place],tbl_points[Points],""))))))</f>
        <v>95</v>
      </c>
      <c r="N118" s="3">
        <v>2</v>
      </c>
      <c r="O118" s="3">
        <f>IF(N118="","",IF(N118="DNS",0,IF(N118="DQ",0,IF(N118="DNF",1,IF(AND(ISNUMBER(N118),N118&gt;59),1,_xlfn.XLOOKUP(N118,tbl_points[Place],tbl_points[Points],""))))))</f>
        <v>95</v>
      </c>
      <c r="P118" s="3">
        <v>2</v>
      </c>
      <c r="Q118" s="3">
        <f>IF(P118="","",IF(P118="DNS",0,IF(P118="DQ",0,IF(P118="DNF",1,IF(AND(ISNUMBER(P118),P118&gt;59),1,_xlfn.XLOOKUP(P118,tbl_points[Place],tbl_points[Points],""))))))</f>
        <v>95</v>
      </c>
      <c r="S118" s="3" t="str">
        <f>IF(R118="","",IF(R118="DNS",0,IF(R118="DQ",0,IF(R118="DNF",1,IF(AND(ISNUMBER(R118),R118&gt;59),1,_xlfn.XLOOKUP(R118,tbl_points[Place],tbl_points[Points],""))))))</f>
        <v/>
      </c>
      <c r="T118" s="3">
        <f>SUM(tbl_individual[[#This Row],[R1 Pts]],tbl_individual[[#This Row],[R2 Pts]],tbl_individual[[#This Row],[R3 Pts]],tbl_individual[[#This Row],[R4 Pts]],tbl_individual[[#This Row],[R5 Pts]],tbl_individual[[#This Row],[R6 Pts]])</f>
        <v>450</v>
      </c>
      <c r="U118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18" s="3">
        <f>tbl_individual[[#This Row],[Total]]</f>
        <v>450</v>
      </c>
    </row>
    <row r="119" spans="1:22" x14ac:dyDescent="0.4">
      <c r="A119" t="s">
        <v>297</v>
      </c>
      <c r="B119" t="s">
        <v>25</v>
      </c>
      <c r="C119" t="s">
        <v>4</v>
      </c>
      <c r="D119" s="3">
        <v>1031</v>
      </c>
      <c r="E119" s="3" t="s">
        <v>421</v>
      </c>
      <c r="G119" s="3" t="s">
        <v>403</v>
      </c>
      <c r="H119" s="3">
        <v>1</v>
      </c>
      <c r="I119" s="3">
        <f>IF(H119="","",IF(H119="DNS",0,IF(H119="DQ",0,IF(H119="DNF",1,IF(AND(ISNUMBER(H119),H119&gt;59),1,_xlfn.XLOOKUP(H119,tbl_points[Place],tbl_points[Points],""))))))</f>
        <v>100</v>
      </c>
      <c r="J119" s="3">
        <v>3</v>
      </c>
      <c r="K119" s="3">
        <f>IF(J119="","",IF(J119="DNS",0,IF(J119="DQ",0,IF(J119="DNF",1,IF(AND(ISNUMBER(J119),J119&gt;59),1,_xlfn.XLOOKUP(J119,tbl_points[Place],tbl_points[Points],""))))))</f>
        <v>90</v>
      </c>
      <c r="L119" s="3">
        <v>1</v>
      </c>
      <c r="M119" s="3">
        <f>IF(L119="","",IF(L119="DNS",0,IF(L119="DQ",0,IF(L119="DNF",1,IF(AND(ISNUMBER(L119),L119&gt;59),1,_xlfn.XLOOKUP(L119,tbl_points[Place],tbl_points[Points],""))))))</f>
        <v>100</v>
      </c>
      <c r="N119" s="3">
        <v>5</v>
      </c>
      <c r="O119" s="3">
        <f>IF(N119="","",IF(N119="DNS",0,IF(N119="DQ",0,IF(N119="DNF",1,IF(AND(ISNUMBER(N119),N119&gt;59),1,_xlfn.XLOOKUP(N119,tbl_points[Place],tbl_points[Points],""))))))</f>
        <v>80</v>
      </c>
      <c r="P119" s="3">
        <v>3</v>
      </c>
      <c r="Q119" s="3">
        <f>IF(P119="","",IF(P119="DNS",0,IF(P119="DQ",0,IF(P119="DNF",1,IF(AND(ISNUMBER(P119),P119&gt;59),1,_xlfn.XLOOKUP(P119,tbl_points[Place],tbl_points[Points],""))))))</f>
        <v>90</v>
      </c>
      <c r="S119" s="3" t="str">
        <f>IF(R119="","",IF(R119="DNS",0,IF(R119="DQ",0,IF(R119="DNF",1,IF(AND(ISNUMBER(R119),R119&gt;59),1,_xlfn.XLOOKUP(R119,tbl_points[Place],tbl_points[Points],""))))))</f>
        <v/>
      </c>
      <c r="T119" s="3">
        <f>SUM(tbl_individual[[#This Row],[R1 Pts]],tbl_individual[[#This Row],[R2 Pts]],tbl_individual[[#This Row],[R3 Pts]],tbl_individual[[#This Row],[R4 Pts]],tbl_individual[[#This Row],[R5 Pts]],tbl_individual[[#This Row],[R6 Pts]])</f>
        <v>460</v>
      </c>
      <c r="U11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19" s="3">
        <f>tbl_individual[[#This Row],[Total]]</f>
        <v>460</v>
      </c>
    </row>
    <row r="120" spans="1:22" x14ac:dyDescent="0.4">
      <c r="A120" t="s">
        <v>257</v>
      </c>
      <c r="B120" t="s">
        <v>23</v>
      </c>
      <c r="C120" t="s">
        <v>4</v>
      </c>
      <c r="D120" s="3">
        <v>1039</v>
      </c>
      <c r="E120" s="3" t="s">
        <v>421</v>
      </c>
      <c r="G120" s="3" t="s">
        <v>429</v>
      </c>
      <c r="H120" s="3">
        <v>4</v>
      </c>
      <c r="I120" s="3">
        <f>IF(H120="","",IF(H120="DNS",0,IF(H120="DQ",0,IF(H120="DNF",1,IF(AND(ISNUMBER(H120),H120&gt;59),1,_xlfn.XLOOKUP(H120,tbl_points[Place],tbl_points[Points],""))))))</f>
        <v>85</v>
      </c>
      <c r="J120" s="3" t="s">
        <v>410</v>
      </c>
      <c r="K120" s="3">
        <f>IF(J120="","",IF(J120="DNS",0,IF(J120="DQ",0,IF(J120="DNF",1,IF(AND(ISNUMBER(J120),J120&gt;59),1,_xlfn.XLOOKUP(J120,tbl_points[Place],tbl_points[Points],""))))))</f>
        <v>0</v>
      </c>
      <c r="L120" s="3">
        <v>5</v>
      </c>
      <c r="M120" s="3">
        <f>IF(L120="","",IF(L120="DNS",0,IF(L120="DQ",0,IF(L120="DNF",1,IF(AND(ISNUMBER(L120),L120&gt;59),1,_xlfn.XLOOKUP(L120,tbl_points[Place],tbl_points[Points],""))))))</f>
        <v>80</v>
      </c>
      <c r="N120" s="3">
        <v>4</v>
      </c>
      <c r="O120" s="3">
        <f>IF(N120="","",IF(N120="DNS",0,IF(N120="DQ",0,IF(N120="DNF",1,IF(AND(ISNUMBER(N120),N120&gt;59),1,_xlfn.XLOOKUP(N120,tbl_points[Place],tbl_points[Points],""))))))</f>
        <v>85</v>
      </c>
      <c r="P120" s="3">
        <v>4</v>
      </c>
      <c r="Q120" s="3">
        <f>IF(P120="","",IF(P120="DNS",0,IF(P120="DQ",0,IF(P120="DNF",1,IF(AND(ISNUMBER(P120),P120&gt;59),1,_xlfn.XLOOKUP(P120,tbl_points[Place],tbl_points[Points],""))))))</f>
        <v>85</v>
      </c>
      <c r="S120" s="3" t="str">
        <f>IF(R120="","",IF(R120="DNS",0,IF(R120="DQ",0,IF(R120="DNF",1,IF(AND(ISNUMBER(R120),R120&gt;59),1,_xlfn.XLOOKUP(R120,tbl_points[Place],tbl_points[Points],""))))))</f>
        <v/>
      </c>
      <c r="T120" s="3">
        <f>SUM(tbl_individual[[#This Row],[R1 Pts]],tbl_individual[[#This Row],[R2 Pts]],tbl_individual[[#This Row],[R3 Pts]],tbl_individual[[#This Row],[R4 Pts]],tbl_individual[[#This Row],[R5 Pts]],tbl_individual[[#This Row],[R6 Pts]])</f>
        <v>335</v>
      </c>
      <c r="U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0" s="3">
        <f>tbl_individual[[#This Row],[Total]]</f>
        <v>335</v>
      </c>
    </row>
    <row r="121" spans="1:22" x14ac:dyDescent="0.4">
      <c r="A121" t="s">
        <v>363</v>
      </c>
      <c r="B121" t="s">
        <v>30</v>
      </c>
      <c r="C121" t="s">
        <v>4</v>
      </c>
      <c r="D121" s="3">
        <v>1041</v>
      </c>
      <c r="E121" s="3" t="s">
        <v>421</v>
      </c>
      <c r="G121" s="3" t="s">
        <v>403</v>
      </c>
      <c r="H121" s="3" t="s">
        <v>409</v>
      </c>
      <c r="I121" s="3">
        <f>IF(H121="","",IF(H121="DNS",0,IF(H121="DQ",0,IF(H121="DNF",1,IF(AND(ISNUMBER(H121),H121&gt;59),1,_xlfn.XLOOKUP(H121,tbl_points[Place],tbl_points[Points],""))))))</f>
        <v>1</v>
      </c>
      <c r="J121" s="3">
        <v>4</v>
      </c>
      <c r="K121" s="3">
        <f>IF(J121="","",IF(J121="DNS",0,IF(J121="DQ",0,IF(J121="DNF",1,IF(AND(ISNUMBER(J121),J121&gt;59),1,_xlfn.XLOOKUP(J121,tbl_points[Place],tbl_points[Points],""))))))</f>
        <v>85</v>
      </c>
      <c r="L121" s="3" t="s">
        <v>410</v>
      </c>
      <c r="M121" s="3">
        <f>IF(L121="","",IF(L121="DNS",0,IF(L121="DQ",0,IF(L121="DNF",1,IF(AND(ISNUMBER(L121),L121&gt;59),1,_xlfn.XLOOKUP(L121,tbl_points[Place],tbl_points[Points],""))))))</f>
        <v>0</v>
      </c>
      <c r="N121" s="3">
        <v>3</v>
      </c>
      <c r="O121" s="3">
        <f>IF(N121="","",IF(N121="DNS",0,IF(N121="DQ",0,IF(N121="DNF",1,IF(AND(ISNUMBER(N121),N121&gt;59),1,_xlfn.XLOOKUP(N121,tbl_points[Place],tbl_points[Points],""))))))</f>
        <v>90</v>
      </c>
      <c r="P121" s="3">
        <v>5</v>
      </c>
      <c r="Q121" s="3">
        <f>IF(P121="","",IF(P121="DNS",0,IF(P121="DQ",0,IF(P121="DNF",1,IF(AND(ISNUMBER(P121),P121&gt;59),1,_xlfn.XLOOKUP(P121,tbl_points[Place],tbl_points[Points],""))))))</f>
        <v>80</v>
      </c>
      <c r="S121" s="3" t="str">
        <f>IF(R121="","",IF(R121="DNS",0,IF(R121="DQ",0,IF(R121="DNF",1,IF(AND(ISNUMBER(R121),R121&gt;59),1,_xlfn.XLOOKUP(R121,tbl_points[Place],tbl_points[Points],""))))))</f>
        <v/>
      </c>
      <c r="T121" s="3">
        <f>SUM(tbl_individual[[#This Row],[R1 Pts]],tbl_individual[[#This Row],[R2 Pts]],tbl_individual[[#This Row],[R3 Pts]],tbl_individual[[#This Row],[R4 Pts]],tbl_individual[[#This Row],[R5 Pts]],tbl_individual[[#This Row],[R6 Pts]])</f>
        <v>256</v>
      </c>
      <c r="U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1" s="3">
        <f>tbl_individual[[#This Row],[Total]]</f>
        <v>256</v>
      </c>
    </row>
    <row r="122" spans="1:22" x14ac:dyDescent="0.4">
      <c r="A122" t="s">
        <v>212</v>
      </c>
      <c r="B122" t="s">
        <v>21</v>
      </c>
      <c r="C122" t="s">
        <v>4</v>
      </c>
      <c r="D122" s="3">
        <v>1034</v>
      </c>
      <c r="E122" s="3" t="s">
        <v>421</v>
      </c>
      <c r="G122" s="3" t="s">
        <v>403</v>
      </c>
      <c r="H122" s="3">
        <v>2</v>
      </c>
      <c r="I122" s="3">
        <f>IF(H122="","",IF(H122="DNS",0,IF(H122="DQ",0,IF(H122="DNF",1,IF(AND(ISNUMBER(H122),H122&gt;59),1,_xlfn.XLOOKUP(H122,tbl_points[Place],tbl_points[Points],""))))))</f>
        <v>95</v>
      </c>
      <c r="J122" s="3" t="s">
        <v>410</v>
      </c>
      <c r="K122" s="3">
        <f>IF(J122="","",IF(J122="DNS",0,IF(J122="DQ",0,IF(J122="DNF",1,IF(AND(ISNUMBER(J122),J122&gt;59),1,_xlfn.XLOOKUP(J122,tbl_points[Place],tbl_points[Points],""))))))</f>
        <v>0</v>
      </c>
      <c r="L122" s="3">
        <v>3</v>
      </c>
      <c r="M122" s="3">
        <f>IF(L122="","",IF(L122="DNS",0,IF(L122="DQ",0,IF(L122="DNF",1,IF(AND(ISNUMBER(L122),L122&gt;59),1,_xlfn.XLOOKUP(L122,tbl_points[Place],tbl_points[Points],""))))))</f>
        <v>90</v>
      </c>
      <c r="N122" s="3" t="s">
        <v>410</v>
      </c>
      <c r="O122" s="3">
        <f>IF(N122="","",IF(N122="DNS",0,IF(N122="DQ",0,IF(N122="DNF",1,IF(AND(ISNUMBER(N122),N122&gt;59),1,_xlfn.XLOOKUP(N122,tbl_points[Place],tbl_points[Points],""))))))</f>
        <v>0</v>
      </c>
      <c r="P122" s="3">
        <v>6</v>
      </c>
      <c r="Q122" s="3">
        <f>IF(P122="","",IF(P122="DNS",0,IF(P122="DQ",0,IF(P122="DNF",1,IF(AND(ISNUMBER(P122),P122&gt;59),1,_xlfn.XLOOKUP(P122,tbl_points[Place],tbl_points[Points],""))))))</f>
        <v>75</v>
      </c>
      <c r="S122" s="3" t="str">
        <f>IF(R122="","",IF(R122="DNS",0,IF(R122="DQ",0,IF(R122="DNF",1,IF(AND(ISNUMBER(R122),R122&gt;59),1,_xlfn.XLOOKUP(R122,tbl_points[Place],tbl_points[Points],""))))))</f>
        <v/>
      </c>
      <c r="T122" s="3">
        <f>SUM(tbl_individual[[#This Row],[R1 Pts]],tbl_individual[[#This Row],[R2 Pts]],tbl_individual[[#This Row],[R3 Pts]],tbl_individual[[#This Row],[R4 Pts]],tbl_individual[[#This Row],[R5 Pts]],tbl_individual[[#This Row],[R6 Pts]])</f>
        <v>260</v>
      </c>
      <c r="U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2" s="3">
        <f>tbl_individual[[#This Row],[Total]]</f>
        <v>260</v>
      </c>
    </row>
    <row r="123" spans="1:22" x14ac:dyDescent="0.4">
      <c r="A123" t="s">
        <v>82</v>
      </c>
      <c r="B123" t="s">
        <v>10</v>
      </c>
      <c r="C123" t="s">
        <v>4</v>
      </c>
      <c r="D123" s="3">
        <v>1029</v>
      </c>
      <c r="E123" s="3" t="s">
        <v>421</v>
      </c>
      <c r="G123" s="3" t="s">
        <v>403</v>
      </c>
      <c r="H123" s="3">
        <v>8</v>
      </c>
      <c r="I123" s="3">
        <f>IF(H123="","",IF(H123="DNS",0,IF(H123="DQ",0,IF(H123="DNF",1,IF(AND(ISNUMBER(H123),H123&gt;59),1,_xlfn.XLOOKUP(H123,tbl_points[Place],tbl_points[Points],""))))))</f>
        <v>65</v>
      </c>
      <c r="J123" s="3">
        <v>9</v>
      </c>
      <c r="K123" s="3">
        <f>IF(J123="","",IF(J123="DNS",0,IF(J123="DQ",0,IF(J123="DNF",1,IF(AND(ISNUMBER(J123),J123&gt;59),1,_xlfn.XLOOKUP(J123,tbl_points[Place],tbl_points[Points],""))))))</f>
        <v>60</v>
      </c>
      <c r="L123" s="3">
        <v>8</v>
      </c>
      <c r="M123" s="3">
        <f>IF(L123="","",IF(L123="DNS",0,IF(L123="DQ",0,IF(L123="DNF",1,IF(AND(ISNUMBER(L123),L123&gt;59),1,_xlfn.XLOOKUP(L123,tbl_points[Place],tbl_points[Points],""))))))</f>
        <v>65</v>
      </c>
      <c r="N123" s="3">
        <v>7</v>
      </c>
      <c r="O123" s="3">
        <f>IF(N123="","",IF(N123="DNS",0,IF(N123="DQ",0,IF(N123="DNF",1,IF(AND(ISNUMBER(N123),N123&gt;59),1,_xlfn.XLOOKUP(N123,tbl_points[Place],tbl_points[Points],""))))))</f>
        <v>70</v>
      </c>
      <c r="P123" s="3">
        <v>7</v>
      </c>
      <c r="Q123" s="3">
        <f>IF(P123="","",IF(P123="DNS",0,IF(P123="DQ",0,IF(P123="DNF",1,IF(AND(ISNUMBER(P123),P123&gt;59),1,_xlfn.XLOOKUP(P123,tbl_points[Place],tbl_points[Points],""))))))</f>
        <v>70</v>
      </c>
      <c r="S123" s="3" t="str">
        <f>IF(R123="","",IF(R123="DNS",0,IF(R123="DQ",0,IF(R123="DNF",1,IF(AND(ISNUMBER(R123),R123&gt;59),1,_xlfn.XLOOKUP(R123,tbl_points[Place],tbl_points[Points],""))))))</f>
        <v/>
      </c>
      <c r="T123" s="3">
        <f>SUM(tbl_individual[[#This Row],[R1 Pts]],tbl_individual[[#This Row],[R2 Pts]],tbl_individual[[#This Row],[R3 Pts]],tbl_individual[[#This Row],[R4 Pts]],tbl_individual[[#This Row],[R5 Pts]],tbl_individual[[#This Row],[R6 Pts]])</f>
        <v>330</v>
      </c>
      <c r="U12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23" s="3">
        <f>tbl_individual[[#This Row],[Total]]</f>
        <v>330</v>
      </c>
    </row>
    <row r="124" spans="1:22" x14ac:dyDescent="0.4">
      <c r="A124" t="s">
        <v>211</v>
      </c>
      <c r="B124" t="s">
        <v>21</v>
      </c>
      <c r="C124" t="s">
        <v>4</v>
      </c>
      <c r="D124" s="3">
        <v>1033</v>
      </c>
      <c r="E124" s="3" t="s">
        <v>421</v>
      </c>
      <c r="G124" s="3" t="s">
        <v>403</v>
      </c>
      <c r="H124" s="3">
        <v>3</v>
      </c>
      <c r="I124" s="3">
        <f>IF(H124="","",IF(H124="DNS",0,IF(H124="DQ",0,IF(H124="DNF",1,IF(AND(ISNUMBER(H124),H124&gt;59),1,_xlfn.XLOOKUP(H124,tbl_points[Place],tbl_points[Points],""))))))</f>
        <v>90</v>
      </c>
      <c r="J124" s="3">
        <v>11</v>
      </c>
      <c r="K124" s="3">
        <f>IF(J124="","",IF(J124="DNS",0,IF(J124="DQ",0,IF(J124="DNF",1,IF(AND(ISNUMBER(J124),J124&gt;59),1,_xlfn.XLOOKUP(J124,tbl_points[Place],tbl_points[Points],""))))))</f>
        <v>53</v>
      </c>
      <c r="L124" s="3">
        <v>4</v>
      </c>
      <c r="M124" s="3">
        <f>IF(L124="","",IF(L124="DNS",0,IF(L124="DQ",0,IF(L124="DNF",1,IF(AND(ISNUMBER(L124),L124&gt;59),1,_xlfn.XLOOKUP(L124,tbl_points[Place],tbl_points[Points],""))))))</f>
        <v>85</v>
      </c>
      <c r="N124" s="3" t="s">
        <v>410</v>
      </c>
      <c r="O124" s="3">
        <f>IF(N124="","",IF(N124="DNS",0,IF(N124="DQ",0,IF(N124="DNF",1,IF(AND(ISNUMBER(N124),N124&gt;59),1,_xlfn.XLOOKUP(N124,tbl_points[Place],tbl_points[Points],""))))))</f>
        <v>0</v>
      </c>
      <c r="P124" s="3">
        <v>8</v>
      </c>
      <c r="Q124" s="3">
        <f>IF(P124="","",IF(P124="DNS",0,IF(P124="DQ",0,IF(P124="DNF",1,IF(AND(ISNUMBER(P124),P124&gt;59),1,_xlfn.XLOOKUP(P124,tbl_points[Place],tbl_points[Points],""))))))</f>
        <v>65</v>
      </c>
      <c r="S124" s="3" t="str">
        <f>IF(R124="","",IF(R124="DNS",0,IF(R124="DQ",0,IF(R124="DNF",1,IF(AND(ISNUMBER(R124),R124&gt;59),1,_xlfn.XLOOKUP(R124,tbl_points[Place],tbl_points[Points],""))))))</f>
        <v/>
      </c>
      <c r="T124" s="3">
        <f>SUM(tbl_individual[[#This Row],[R1 Pts]],tbl_individual[[#This Row],[R2 Pts]],tbl_individual[[#This Row],[R3 Pts]],tbl_individual[[#This Row],[R4 Pts]],tbl_individual[[#This Row],[R5 Pts]],tbl_individual[[#This Row],[R6 Pts]])</f>
        <v>293</v>
      </c>
      <c r="U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4" s="3">
        <f>tbl_individual[[#This Row],[Total]]</f>
        <v>293</v>
      </c>
    </row>
    <row r="125" spans="1:22" x14ac:dyDescent="0.4">
      <c r="A125" t="s">
        <v>384</v>
      </c>
      <c r="B125" t="s">
        <v>31</v>
      </c>
      <c r="C125" t="s">
        <v>4</v>
      </c>
      <c r="D125" s="3">
        <v>1044</v>
      </c>
      <c r="E125" s="3" t="s">
        <v>421</v>
      </c>
      <c r="G125" s="3" t="s">
        <v>403</v>
      </c>
      <c r="H125" s="3" t="s">
        <v>410</v>
      </c>
      <c r="I125" s="3">
        <f>IF(H125="","",IF(H125="DNS",0,IF(H125="DQ",0,IF(H125="DNF",1,IF(AND(ISNUMBER(H125),H125&gt;59),1,_xlfn.XLOOKUP(H125,tbl_points[Place],tbl_points[Points],""))))))</f>
        <v>0</v>
      </c>
      <c r="J125" s="3">
        <v>5</v>
      </c>
      <c r="K125" s="3">
        <f>IF(J125="","",IF(J125="DNS",0,IF(J125="DQ",0,IF(J125="DNF",1,IF(AND(ISNUMBER(J125),J125&gt;59),1,_xlfn.XLOOKUP(J125,tbl_points[Place],tbl_points[Points],""))))))</f>
        <v>80</v>
      </c>
      <c r="L125" s="3">
        <v>6</v>
      </c>
      <c r="M125" s="3">
        <f>IF(L125="","",IF(L125="DNS",0,IF(L125="DQ",0,IF(L125="DNF",1,IF(AND(ISNUMBER(L125),L125&gt;59),1,_xlfn.XLOOKUP(L125,tbl_points[Place],tbl_points[Points],""))))))</f>
        <v>75</v>
      </c>
      <c r="N125" s="3">
        <v>9</v>
      </c>
      <c r="O125" s="3">
        <f>IF(N125="","",IF(N125="DNS",0,IF(N125="DQ",0,IF(N125="DNF",1,IF(AND(ISNUMBER(N125),N125&gt;59),1,_xlfn.XLOOKUP(N125,tbl_points[Place],tbl_points[Points],""))))))</f>
        <v>60</v>
      </c>
      <c r="P125" s="3">
        <v>9</v>
      </c>
      <c r="Q125" s="3">
        <f>IF(P125="","",IF(P125="DNS",0,IF(P125="DQ",0,IF(P125="DNF",1,IF(AND(ISNUMBER(P125),P125&gt;59),1,_xlfn.XLOOKUP(P125,tbl_points[Place],tbl_points[Points],""))))))</f>
        <v>60</v>
      </c>
      <c r="S125" s="3" t="str">
        <f>IF(R125="","",IF(R125="DNS",0,IF(R125="DQ",0,IF(R125="DNF",1,IF(AND(ISNUMBER(R125),R125&gt;59),1,_xlfn.XLOOKUP(R125,tbl_points[Place],tbl_points[Points],""))))))</f>
        <v/>
      </c>
      <c r="T125" s="3">
        <f>SUM(tbl_individual[[#This Row],[R1 Pts]],tbl_individual[[#This Row],[R2 Pts]],tbl_individual[[#This Row],[R3 Pts]],tbl_individual[[#This Row],[R4 Pts]],tbl_individual[[#This Row],[R5 Pts]],tbl_individual[[#This Row],[R6 Pts]])</f>
        <v>275</v>
      </c>
      <c r="U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5" s="3">
        <f>tbl_individual[[#This Row],[Total]]</f>
        <v>275</v>
      </c>
    </row>
    <row r="126" spans="1:22" x14ac:dyDescent="0.4">
      <c r="A126" t="s">
        <v>83</v>
      </c>
      <c r="B126" t="s">
        <v>10</v>
      </c>
      <c r="C126" t="s">
        <v>4</v>
      </c>
      <c r="D126" s="3">
        <v>1030</v>
      </c>
      <c r="E126" s="3" t="s">
        <v>421</v>
      </c>
      <c r="G126" s="3" t="s">
        <v>403</v>
      </c>
      <c r="H126" s="3">
        <v>5</v>
      </c>
      <c r="I126" s="3">
        <f>IF(H126="","",IF(H126="DNS",0,IF(H126="DQ",0,IF(H126="DNF",1,IF(AND(ISNUMBER(H126),H126&gt;59),1,_xlfn.XLOOKUP(H126,tbl_points[Place],tbl_points[Points],""))))))</f>
        <v>80</v>
      </c>
      <c r="J126" s="3">
        <v>10</v>
      </c>
      <c r="K126" s="3">
        <f>IF(J126="","",IF(J126="DNS",0,IF(J126="DQ",0,IF(J126="DNF",1,IF(AND(ISNUMBER(J126),J126&gt;59),1,_xlfn.XLOOKUP(J126,tbl_points[Place],tbl_points[Points],""))))))</f>
        <v>55</v>
      </c>
      <c r="L126" s="3">
        <v>7</v>
      </c>
      <c r="M126" s="3">
        <f>IF(L126="","",IF(L126="DNS",0,IF(L126="DQ",0,IF(L126="DNF",1,IF(AND(ISNUMBER(L126),L126&gt;59),1,_xlfn.XLOOKUP(L126,tbl_points[Place],tbl_points[Points],""))))))</f>
        <v>70</v>
      </c>
      <c r="N126" s="3">
        <v>11</v>
      </c>
      <c r="O126" s="3">
        <f>IF(N126="","",IF(N126="DNS",0,IF(N126="DQ",0,IF(N126="DNF",1,IF(AND(ISNUMBER(N126),N126&gt;59),1,_xlfn.XLOOKUP(N126,tbl_points[Place],tbl_points[Points],""))))))</f>
        <v>53</v>
      </c>
      <c r="P126" s="3">
        <v>10</v>
      </c>
      <c r="Q126" s="3">
        <f>IF(P126="","",IF(P126="DNS",0,IF(P126="DQ",0,IF(P126="DNF",1,IF(AND(ISNUMBER(P126),P126&gt;59),1,_xlfn.XLOOKUP(P126,tbl_points[Place],tbl_points[Points],""))))))</f>
        <v>55</v>
      </c>
      <c r="S126" s="3" t="str">
        <f>IF(R126="","",IF(R126="DNS",0,IF(R126="DQ",0,IF(R126="DNF",1,IF(AND(ISNUMBER(R126),R126&gt;59),1,_xlfn.XLOOKUP(R126,tbl_points[Place],tbl_points[Points],""))))))</f>
        <v/>
      </c>
      <c r="T126" s="3">
        <f>SUM(tbl_individual[[#This Row],[R1 Pts]],tbl_individual[[#This Row],[R2 Pts]],tbl_individual[[#This Row],[R3 Pts]],tbl_individual[[#This Row],[R4 Pts]],tbl_individual[[#This Row],[R5 Pts]],tbl_individual[[#This Row],[R6 Pts]])</f>
        <v>313</v>
      </c>
      <c r="U12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26" s="3">
        <f>tbl_individual[[#This Row],[Total]]</f>
        <v>313</v>
      </c>
    </row>
    <row r="127" spans="1:22" x14ac:dyDescent="0.4">
      <c r="A127" t="s">
        <v>79</v>
      </c>
      <c r="B127" t="s">
        <v>10</v>
      </c>
      <c r="C127" t="s">
        <v>4</v>
      </c>
      <c r="D127" s="3">
        <v>1020</v>
      </c>
      <c r="E127" s="3" t="s">
        <v>421</v>
      </c>
      <c r="G127" s="3" t="s">
        <v>403</v>
      </c>
      <c r="H127" s="3">
        <v>10</v>
      </c>
      <c r="I127" s="3">
        <f>IF(H127="","",IF(H127="DNS",0,IF(H127="DQ",0,IF(H127="DNF",1,IF(AND(ISNUMBER(H127),H127&gt;59),1,_xlfn.XLOOKUP(H127,tbl_points[Place],tbl_points[Points],""))))))</f>
        <v>55</v>
      </c>
      <c r="J127" s="3">
        <v>7</v>
      </c>
      <c r="K127" s="3">
        <f>IF(J127="","",IF(J127="DNS",0,IF(J127="DQ",0,IF(J127="DNF",1,IF(AND(ISNUMBER(J127),J127&gt;59),1,_xlfn.XLOOKUP(J127,tbl_points[Place],tbl_points[Points],""))))))</f>
        <v>70</v>
      </c>
      <c r="L127" s="3">
        <v>10</v>
      </c>
      <c r="M127" s="3">
        <f>IF(L127="","",IF(L127="DNS",0,IF(L127="DQ",0,IF(L127="DNF",1,IF(AND(ISNUMBER(L127),L127&gt;59),1,_xlfn.XLOOKUP(L127,tbl_points[Place],tbl_points[Points],""))))))</f>
        <v>55</v>
      </c>
      <c r="N127" s="3">
        <v>8</v>
      </c>
      <c r="O127" s="3">
        <f>IF(N127="","",IF(N127="DNS",0,IF(N127="DQ",0,IF(N127="DNF",1,IF(AND(ISNUMBER(N127),N127&gt;59),1,_xlfn.XLOOKUP(N127,tbl_points[Place],tbl_points[Points],""))))))</f>
        <v>65</v>
      </c>
      <c r="P127" s="3">
        <v>11</v>
      </c>
      <c r="Q127" s="3">
        <f>IF(P127="","",IF(P127="DNS",0,IF(P127="DQ",0,IF(P127="DNF",1,IF(AND(ISNUMBER(P127),P127&gt;59),1,_xlfn.XLOOKUP(P127,tbl_points[Place],tbl_points[Points],""))))))</f>
        <v>53</v>
      </c>
      <c r="S127" s="3" t="str">
        <f>IF(R127="","",IF(R127="DNS",0,IF(R127="DQ",0,IF(R127="DNF",1,IF(AND(ISNUMBER(R127),R127&gt;59),1,_xlfn.XLOOKUP(R127,tbl_points[Place],tbl_points[Points],""))))))</f>
        <v/>
      </c>
      <c r="T127" s="3">
        <f>SUM(tbl_individual[[#This Row],[R1 Pts]],tbl_individual[[#This Row],[R2 Pts]],tbl_individual[[#This Row],[R3 Pts]],tbl_individual[[#This Row],[R4 Pts]],tbl_individual[[#This Row],[R5 Pts]],tbl_individual[[#This Row],[R6 Pts]])</f>
        <v>298</v>
      </c>
      <c r="U127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27" s="3">
        <f>tbl_individual[[#This Row],[Total]]</f>
        <v>298</v>
      </c>
    </row>
    <row r="128" spans="1:22" x14ac:dyDescent="0.4">
      <c r="A128" t="s">
        <v>321</v>
      </c>
      <c r="B128" t="s">
        <v>27</v>
      </c>
      <c r="C128" t="s">
        <v>4</v>
      </c>
      <c r="D128" s="3">
        <v>1040</v>
      </c>
      <c r="E128" s="3" t="s">
        <v>421</v>
      </c>
      <c r="G128" s="3" t="s">
        <v>403</v>
      </c>
      <c r="H128" s="3" t="s">
        <v>410</v>
      </c>
      <c r="I128" s="3">
        <f>IF(H128="","",IF(H128="DNS",0,IF(H128="DQ",0,IF(H128="DNF",1,IF(AND(ISNUMBER(H128),H128&gt;59),1,_xlfn.XLOOKUP(H128,tbl_points[Place],tbl_points[Points],""))))))</f>
        <v>0</v>
      </c>
      <c r="J128" s="3">
        <v>12</v>
      </c>
      <c r="K128" s="3">
        <f>IF(J128="","",IF(J128="DNS",0,IF(J128="DQ",0,IF(J128="DNF",1,IF(AND(ISNUMBER(J128),J128&gt;59),1,_xlfn.XLOOKUP(J128,tbl_points[Place],tbl_points[Points],""))))))</f>
        <v>51</v>
      </c>
      <c r="L128" s="3" t="s">
        <v>410</v>
      </c>
      <c r="M128" s="3">
        <f>IF(L128="","",IF(L128="DNS",0,IF(L128="DQ",0,IF(L128="DNF",1,IF(AND(ISNUMBER(L128),L128&gt;59),1,_xlfn.XLOOKUP(L128,tbl_points[Place],tbl_points[Points],""))))))</f>
        <v>0</v>
      </c>
      <c r="N128" s="3" t="s">
        <v>410</v>
      </c>
      <c r="O128" s="3">
        <f>IF(N128="","",IF(N128="DNS",0,IF(N128="DQ",0,IF(N128="DNF",1,IF(AND(ISNUMBER(N128),N128&gt;59),1,_xlfn.XLOOKUP(N128,tbl_points[Place],tbl_points[Points],""))))))</f>
        <v>0</v>
      </c>
      <c r="P128" s="3">
        <v>12</v>
      </c>
      <c r="Q128" s="3">
        <f>IF(P128="","",IF(P128="DNS",0,IF(P128="DQ",0,IF(P128="DNF",1,IF(AND(ISNUMBER(P128),P128&gt;59),1,_xlfn.XLOOKUP(P128,tbl_points[Place],tbl_points[Points],""))))))</f>
        <v>51</v>
      </c>
      <c r="S128" s="3" t="str">
        <f>IF(R128="","",IF(R128="DNS",0,IF(R128="DQ",0,IF(R128="DNF",1,IF(AND(ISNUMBER(R128),R128&gt;59),1,_xlfn.XLOOKUP(R128,tbl_points[Place],tbl_points[Points],""))))))</f>
        <v/>
      </c>
      <c r="T128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8" s="3">
        <f>tbl_individual[[#This Row],[Total]]</f>
        <v>102</v>
      </c>
    </row>
    <row r="129" spans="1:22" x14ac:dyDescent="0.4">
      <c r="A129" t="s">
        <v>256</v>
      </c>
      <c r="B129" t="s">
        <v>23</v>
      </c>
      <c r="C129" t="s">
        <v>4</v>
      </c>
      <c r="D129" s="3">
        <v>1038</v>
      </c>
      <c r="E129" s="3" t="s">
        <v>421</v>
      </c>
      <c r="G129" s="3" t="s">
        <v>403</v>
      </c>
      <c r="H129" s="3" t="s">
        <v>410</v>
      </c>
      <c r="I129" s="3">
        <f>IF(H129="","",IF(H129="DNS",0,IF(H129="DQ",0,IF(H129="DNF",1,IF(AND(ISNUMBER(H129),H129&gt;59),1,_xlfn.XLOOKUP(H129,tbl_points[Place],tbl_points[Points],""))))))</f>
        <v>0</v>
      </c>
      <c r="J129" s="3">
        <v>14</v>
      </c>
      <c r="K129" s="3">
        <f>IF(J129="","",IF(J129="DNS",0,IF(J129="DQ",0,IF(J129="DNF",1,IF(AND(ISNUMBER(J129),J129&gt;59),1,_xlfn.XLOOKUP(J129,tbl_points[Place],tbl_points[Points],""))))))</f>
        <v>47</v>
      </c>
      <c r="L129" s="3" t="s">
        <v>410</v>
      </c>
      <c r="M129" s="3">
        <f>IF(L129="","",IF(L129="DNS",0,IF(L129="DQ",0,IF(L129="DNF",1,IF(AND(ISNUMBER(L129),L129&gt;59),1,_xlfn.XLOOKUP(L129,tbl_points[Place],tbl_points[Points],""))))))</f>
        <v>0</v>
      </c>
      <c r="N129" s="3">
        <v>12</v>
      </c>
      <c r="O129" s="3">
        <f>IF(N129="","",IF(N129="DNS",0,IF(N129="DQ",0,IF(N129="DNF",1,IF(AND(ISNUMBER(N129),N129&gt;59),1,_xlfn.XLOOKUP(N129,tbl_points[Place],tbl_points[Points],""))))))</f>
        <v>51</v>
      </c>
      <c r="P129" s="3">
        <v>13</v>
      </c>
      <c r="Q129" s="3">
        <f>IF(P129="","",IF(P129="DNS",0,IF(P129="DQ",0,IF(P129="DNF",1,IF(AND(ISNUMBER(P129),P129&gt;59),1,_xlfn.XLOOKUP(P129,tbl_points[Place],tbl_points[Points],""))))))</f>
        <v>49</v>
      </c>
      <c r="S129" s="3" t="str">
        <f>IF(R129="","",IF(R129="DNS",0,IF(R129="DQ",0,IF(R129="DNF",1,IF(AND(ISNUMBER(R129),R129&gt;59),1,_xlfn.XLOOKUP(R129,tbl_points[Place],tbl_points[Points],""))))))</f>
        <v/>
      </c>
      <c r="T129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9" s="3">
        <f>tbl_individual[[#This Row],[Total]]</f>
        <v>147</v>
      </c>
    </row>
    <row r="130" spans="1:22" x14ac:dyDescent="0.4">
      <c r="A130" t="s">
        <v>78</v>
      </c>
      <c r="B130" t="s">
        <v>10</v>
      </c>
      <c r="C130" t="s">
        <v>4</v>
      </c>
      <c r="D130" s="3">
        <v>1019</v>
      </c>
      <c r="E130" s="3" t="s">
        <v>421</v>
      </c>
      <c r="G130" s="3" t="s">
        <v>407</v>
      </c>
      <c r="H130" s="3" t="s">
        <v>410</v>
      </c>
      <c r="I130" s="3">
        <f>IF(H130="","",IF(H130="DNS",0,IF(H130="DQ",0,IF(H130="DNF",1,IF(AND(ISNUMBER(H130),H130&gt;59),1,_xlfn.XLOOKUP(H130,tbl_points[Place],tbl_points[Points],""))))))</f>
        <v>0</v>
      </c>
      <c r="J130" s="3" t="s">
        <v>410</v>
      </c>
      <c r="K130" s="3">
        <f>IF(J130="","",IF(J130="DNS",0,IF(J130="DQ",0,IF(J130="DNF",1,IF(AND(ISNUMBER(J130),J130&gt;59),1,_xlfn.XLOOKUP(J130,tbl_points[Place],tbl_points[Points],""))))))</f>
        <v>0</v>
      </c>
      <c r="L130" s="3" t="s">
        <v>410</v>
      </c>
      <c r="M130" s="3">
        <f>IF(L130="","",IF(L130="DNS",0,IF(L130="DQ",0,IF(L130="DNF",1,IF(AND(ISNUMBER(L130),L130&gt;59),1,_xlfn.XLOOKUP(L130,tbl_points[Place],tbl_points[Points],""))))))</f>
        <v>0</v>
      </c>
      <c r="N130" s="3" t="s">
        <v>410</v>
      </c>
      <c r="O130" s="3">
        <f>IF(N130="","",IF(N130="DNS",0,IF(N130="DQ",0,IF(N130="DNF",1,IF(AND(ISNUMBER(N130),N130&gt;59),1,_xlfn.XLOOKUP(N130,tbl_points[Place],tbl_points[Points],""))))))</f>
        <v>0</v>
      </c>
      <c r="P130" s="3" t="s">
        <v>410</v>
      </c>
      <c r="Q130" s="3">
        <f>IF(P130="","",IF(P130="DNS",0,IF(P130="DQ",0,IF(P130="DNF",1,IF(AND(ISNUMBER(P130),P130&gt;59),1,_xlfn.XLOOKUP(P130,tbl_points[Place],tbl_points[Points],""))))))</f>
        <v>0</v>
      </c>
      <c r="S130" s="3" t="str">
        <f>IF(R130="","",IF(R130="DNS",0,IF(R130="DQ",0,IF(R130="DNF",1,IF(AND(ISNUMBER(R130),R130&gt;59),1,_xlfn.XLOOKUP(R130,tbl_points[Place],tbl_points[Points],""))))))</f>
        <v/>
      </c>
      <c r="T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0" s="3">
        <f>tbl_individual[[#This Row],[Total]]</f>
        <v>0</v>
      </c>
    </row>
    <row r="131" spans="1:22" x14ac:dyDescent="0.4">
      <c r="A131" t="s">
        <v>80</v>
      </c>
      <c r="B131" t="s">
        <v>10</v>
      </c>
      <c r="C131" t="s">
        <v>4</v>
      </c>
      <c r="D131" s="3">
        <v>1027</v>
      </c>
      <c r="E131" s="3" t="s">
        <v>421</v>
      </c>
      <c r="G131" s="3" t="s">
        <v>403</v>
      </c>
      <c r="H131" s="3">
        <v>9</v>
      </c>
      <c r="I131" s="3">
        <f>IF(H131="","",IF(H131="DNS",0,IF(H131="DQ",0,IF(H131="DNF",1,IF(AND(ISNUMBER(H131),H131&gt;59),1,_xlfn.XLOOKUP(H131,tbl_points[Place],tbl_points[Points],""))))))</f>
        <v>60</v>
      </c>
      <c r="J131" s="3">
        <v>8</v>
      </c>
      <c r="K131" s="3">
        <f>IF(J131="","",IF(J131="DNS",0,IF(J131="DQ",0,IF(J131="DNF",1,IF(AND(ISNUMBER(J131),J131&gt;59),1,_xlfn.XLOOKUP(J131,tbl_points[Place],tbl_points[Points],""))))))</f>
        <v>65</v>
      </c>
      <c r="L131" s="3">
        <v>9</v>
      </c>
      <c r="M131" s="3">
        <f>IF(L131="","",IF(L131="DNS",0,IF(L131="DQ",0,IF(L131="DNF",1,IF(AND(ISNUMBER(L131),L131&gt;59),1,_xlfn.XLOOKUP(L131,tbl_points[Place],tbl_points[Points],""))))))</f>
        <v>60</v>
      </c>
      <c r="N131" s="3">
        <v>10</v>
      </c>
      <c r="O131" s="3">
        <f>IF(N131="","",IF(N131="DNS",0,IF(N131="DQ",0,IF(N131="DNF",1,IF(AND(ISNUMBER(N131),N131&gt;59),1,_xlfn.XLOOKUP(N131,tbl_points[Place],tbl_points[Points],""))))))</f>
        <v>55</v>
      </c>
      <c r="P131" s="3" t="s">
        <v>410</v>
      </c>
      <c r="Q131" s="3">
        <f>IF(P131="","",IF(P131="DNS",0,IF(P131="DQ",0,IF(P131="DNF",1,IF(AND(ISNUMBER(P131),P131&gt;59),1,_xlfn.XLOOKUP(P131,tbl_points[Place],tbl_points[Points],""))))))</f>
        <v>0</v>
      </c>
      <c r="S131" s="3" t="str">
        <f>IF(R131="","",IF(R131="DNS",0,IF(R131="DQ",0,IF(R131="DNF",1,IF(AND(ISNUMBER(R131),R131&gt;59),1,_xlfn.XLOOKUP(R131,tbl_points[Place],tbl_points[Points],""))))))</f>
        <v/>
      </c>
      <c r="T131" s="3">
        <f>SUM(tbl_individual[[#This Row],[R1 Pts]],tbl_individual[[#This Row],[R2 Pts]],tbl_individual[[#This Row],[R3 Pts]],tbl_individual[[#This Row],[R4 Pts]],tbl_individual[[#This Row],[R5 Pts]],tbl_individual[[#This Row],[R6 Pts]])</f>
        <v>240</v>
      </c>
      <c r="U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1" s="3">
        <f>tbl_individual[[#This Row],[Total]]</f>
        <v>240</v>
      </c>
    </row>
    <row r="132" spans="1:22" x14ac:dyDescent="0.4">
      <c r="A132" t="s">
        <v>81</v>
      </c>
      <c r="B132" t="s">
        <v>10</v>
      </c>
      <c r="C132" t="s">
        <v>4</v>
      </c>
      <c r="D132" s="3">
        <v>1028</v>
      </c>
      <c r="E132" s="3" t="s">
        <v>421</v>
      </c>
      <c r="G132" s="3" t="s">
        <v>403</v>
      </c>
      <c r="H132" s="3" t="s">
        <v>410</v>
      </c>
      <c r="I132" s="3">
        <f>IF(H132="","",IF(H132="DNS",0,IF(H132="DQ",0,IF(H132="DNF",1,IF(AND(ISNUMBER(H132),H132&gt;59),1,_xlfn.XLOOKUP(H132,tbl_points[Place],tbl_points[Points],""))))))</f>
        <v>0</v>
      </c>
      <c r="J132" s="3">
        <v>6</v>
      </c>
      <c r="K132" s="3">
        <f>IF(J132="","",IF(J132="DNS",0,IF(J132="DQ",0,IF(J132="DNF",1,IF(AND(ISNUMBER(J132),J132&gt;59),1,_xlfn.XLOOKUP(J132,tbl_points[Place],tbl_points[Points],""))))))</f>
        <v>75</v>
      </c>
      <c r="L132" s="3" t="s">
        <v>410</v>
      </c>
      <c r="M132" s="3">
        <f>IF(L132="","",IF(L132="DNS",0,IF(L132="DQ",0,IF(L132="DNF",1,IF(AND(ISNUMBER(L132),L132&gt;59),1,_xlfn.XLOOKUP(L132,tbl_points[Place],tbl_points[Points],""))))))</f>
        <v>0</v>
      </c>
      <c r="N132" s="3" t="s">
        <v>409</v>
      </c>
      <c r="O132" s="3">
        <f>IF(N132="","",IF(N132="DNS",0,IF(N132="DQ",0,IF(N132="DNF",1,IF(AND(ISNUMBER(N132),N132&gt;59),1,_xlfn.XLOOKUP(N132,tbl_points[Place],tbl_points[Points],""))))))</f>
        <v>1</v>
      </c>
      <c r="P132" s="3" t="s">
        <v>410</v>
      </c>
      <c r="Q132" s="3">
        <f>IF(P132="","",IF(P132="DNS",0,IF(P132="DQ",0,IF(P132="DNF",1,IF(AND(ISNUMBER(P132),P132&gt;59),1,_xlfn.XLOOKUP(P132,tbl_points[Place],tbl_points[Points],""))))))</f>
        <v>0</v>
      </c>
      <c r="S132" s="3" t="str">
        <f>IF(R132="","",IF(R132="DNS",0,IF(R132="DQ",0,IF(R132="DNF",1,IF(AND(ISNUMBER(R132),R132&gt;59),1,_xlfn.XLOOKUP(R132,tbl_points[Place],tbl_points[Points],""))))))</f>
        <v/>
      </c>
      <c r="T132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2" s="3">
        <f>tbl_individual[[#This Row],[Total]]</f>
        <v>76</v>
      </c>
    </row>
    <row r="133" spans="1:22" x14ac:dyDescent="0.4">
      <c r="A133" t="s">
        <v>175</v>
      </c>
      <c r="B133" t="s">
        <v>18</v>
      </c>
      <c r="C133" t="s">
        <v>4</v>
      </c>
      <c r="D133" s="3">
        <v>1032</v>
      </c>
      <c r="E133" s="3" t="s">
        <v>421</v>
      </c>
      <c r="G133" s="3" t="s">
        <v>403</v>
      </c>
      <c r="H133" s="3" t="s">
        <v>410</v>
      </c>
      <c r="I133" s="3">
        <f>IF(H133="","",IF(H133="DNS",0,IF(H133="DQ",0,IF(H133="DNF",1,IF(AND(ISNUMBER(H133),H133&gt;59),1,_xlfn.XLOOKUP(H133,tbl_points[Place],tbl_points[Points],""))))))</f>
        <v>0</v>
      </c>
      <c r="J133" s="3" t="s">
        <v>410</v>
      </c>
      <c r="K133" s="3">
        <f>IF(J133="","",IF(J133="DNS",0,IF(J133="DQ",0,IF(J133="DNF",1,IF(AND(ISNUMBER(J133),J133&gt;59),1,_xlfn.XLOOKUP(J133,tbl_points[Place],tbl_points[Points],""))))))</f>
        <v>0</v>
      </c>
      <c r="L133" s="3">
        <v>11</v>
      </c>
      <c r="M133" s="3">
        <f>IF(L133="","",IF(L133="DNS",0,IF(L133="DQ",0,IF(L133="DNF",1,IF(AND(ISNUMBER(L133),L133&gt;59),1,_xlfn.XLOOKUP(L133,tbl_points[Place],tbl_points[Points],""))))))</f>
        <v>53</v>
      </c>
      <c r="N133" s="3">
        <v>13</v>
      </c>
      <c r="O133" s="3">
        <f>IF(N133="","",IF(N133="DNS",0,IF(N133="DQ",0,IF(N133="DNF",1,IF(AND(ISNUMBER(N133),N133&gt;59),1,_xlfn.XLOOKUP(N133,tbl_points[Place],tbl_points[Points],""))))))</f>
        <v>49</v>
      </c>
      <c r="P133" s="3" t="s">
        <v>410</v>
      </c>
      <c r="Q133" s="3">
        <f>IF(P133="","",IF(P133="DNS",0,IF(P133="DQ",0,IF(P133="DNF",1,IF(AND(ISNUMBER(P133),P133&gt;59),1,_xlfn.XLOOKUP(P133,tbl_points[Place],tbl_points[Points],""))))))</f>
        <v>0</v>
      </c>
      <c r="S133" s="3" t="str">
        <f>IF(R133="","",IF(R133="DNS",0,IF(R133="DQ",0,IF(R133="DNF",1,IF(AND(ISNUMBER(R133),R133&gt;59),1,_xlfn.XLOOKUP(R133,tbl_points[Place],tbl_points[Points],""))))))</f>
        <v/>
      </c>
      <c r="T133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3" s="3">
        <f>tbl_individual[[#This Row],[Total]]</f>
        <v>102</v>
      </c>
    </row>
    <row r="134" spans="1:22" x14ac:dyDescent="0.4">
      <c r="A134" t="s">
        <v>255</v>
      </c>
      <c r="B134" t="s">
        <v>23</v>
      </c>
      <c r="C134" t="s">
        <v>4</v>
      </c>
      <c r="D134" s="3">
        <v>1037</v>
      </c>
      <c r="E134" s="3" t="s">
        <v>421</v>
      </c>
      <c r="G134" s="3" t="s">
        <v>407</v>
      </c>
      <c r="H134" s="3">
        <v>6</v>
      </c>
      <c r="I134" s="3">
        <f>IF(H134="","",IF(H134="DNS",0,IF(H134="DQ",0,IF(H134="DNF",1,IF(AND(ISNUMBER(H134),H134&gt;59),1,_xlfn.XLOOKUP(H134,tbl_points[Place],tbl_points[Points],""))))))</f>
        <v>75</v>
      </c>
      <c r="J134" s="3" t="s">
        <v>410</v>
      </c>
      <c r="K134" s="3">
        <f>IF(J134="","",IF(J134="DNS",0,IF(J134="DQ",0,IF(J134="DNF",1,IF(AND(ISNUMBER(J134),J134&gt;59),1,_xlfn.XLOOKUP(J134,tbl_points[Place],tbl_points[Points],""))))))</f>
        <v>0</v>
      </c>
      <c r="L134" s="3" t="s">
        <v>410</v>
      </c>
      <c r="M134" s="3">
        <f>IF(L134="","",IF(L134="DNS",0,IF(L134="DQ",0,IF(L134="DNF",1,IF(AND(ISNUMBER(L134),L134&gt;59),1,_xlfn.XLOOKUP(L134,tbl_points[Place],tbl_points[Points],""))))))</f>
        <v>0</v>
      </c>
      <c r="N134" s="3" t="s">
        <v>410</v>
      </c>
      <c r="O134" s="3">
        <f>IF(N134="","",IF(N134="DNS",0,IF(N134="DQ",0,IF(N134="DNF",1,IF(AND(ISNUMBER(N134),N134&gt;59),1,_xlfn.XLOOKUP(N134,tbl_points[Place],tbl_points[Points],""))))))</f>
        <v>0</v>
      </c>
      <c r="P134" s="3" t="s">
        <v>410</v>
      </c>
      <c r="Q134" s="3">
        <f>IF(P134="","",IF(P134="DNS",0,IF(P134="DQ",0,IF(P134="DNF",1,IF(AND(ISNUMBER(P134),P134&gt;59),1,_xlfn.XLOOKUP(P134,tbl_points[Place],tbl_points[Points],""))))))</f>
        <v>0</v>
      </c>
      <c r="S134" s="3" t="str">
        <f>IF(R134="","",IF(R134="DNS",0,IF(R134="DQ",0,IF(R134="DNF",1,IF(AND(ISNUMBER(R134),R134&gt;59),1,_xlfn.XLOOKUP(R134,tbl_points[Place],tbl_points[Points],""))))))</f>
        <v/>
      </c>
      <c r="T13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4" s="3">
        <f>tbl_individual[[#This Row],[Total]]</f>
        <v>75</v>
      </c>
    </row>
    <row r="135" spans="1:22" x14ac:dyDescent="0.4">
      <c r="A135" t="s">
        <v>364</v>
      </c>
      <c r="B135" t="s">
        <v>30</v>
      </c>
      <c r="C135" t="s">
        <v>4</v>
      </c>
      <c r="D135" s="3">
        <v>1042</v>
      </c>
      <c r="E135" s="3" t="s">
        <v>421</v>
      </c>
      <c r="G135" s="3" t="s">
        <v>403</v>
      </c>
      <c r="H135" s="3" t="s">
        <v>410</v>
      </c>
      <c r="I135" s="3">
        <f>IF(H135="","",IF(H135="DNS",0,IF(H135="DQ",0,IF(H135="DNF",1,IF(AND(ISNUMBER(H135),H135&gt;59),1,_xlfn.XLOOKUP(H135,tbl_points[Place],tbl_points[Points],""))))))</f>
        <v>0</v>
      </c>
      <c r="J135" s="3">
        <v>13</v>
      </c>
      <c r="K135" s="3">
        <f>IF(J135="","",IF(J135="DNS",0,IF(J135="DQ",0,IF(J135="DNF",1,IF(AND(ISNUMBER(J135),J135&gt;59),1,_xlfn.XLOOKUP(J135,tbl_points[Place],tbl_points[Points],""))))))</f>
        <v>49</v>
      </c>
      <c r="L135" s="3" t="s">
        <v>410</v>
      </c>
      <c r="M135" s="3">
        <f>IF(L135="","",IF(L135="DNS",0,IF(L135="DQ",0,IF(L135="DNF",1,IF(AND(ISNUMBER(L135),L135&gt;59),1,_xlfn.XLOOKUP(L135,tbl_points[Place],tbl_points[Points],""))))))</f>
        <v>0</v>
      </c>
      <c r="N135" s="3" t="s">
        <v>409</v>
      </c>
      <c r="O135" s="3">
        <f>IF(N135="","",IF(N135="DNS",0,IF(N135="DQ",0,IF(N135="DNF",1,IF(AND(ISNUMBER(N135),N135&gt;59),1,_xlfn.XLOOKUP(N135,tbl_points[Place],tbl_points[Points],""))))))</f>
        <v>1</v>
      </c>
      <c r="P135" s="3" t="s">
        <v>410</v>
      </c>
      <c r="Q135" s="3">
        <f>IF(P135="","",IF(P135="DNS",0,IF(P135="DQ",0,IF(P135="DNF",1,IF(AND(ISNUMBER(P135),P135&gt;59),1,_xlfn.XLOOKUP(P135,tbl_points[Place],tbl_points[Points],""))))))</f>
        <v>0</v>
      </c>
      <c r="S135" s="3" t="str">
        <f>IF(R135="","",IF(R135="DNS",0,IF(R135="DQ",0,IF(R135="DNF",1,IF(AND(ISNUMBER(R135),R135&gt;59),1,_xlfn.XLOOKUP(R135,tbl_points[Place],tbl_points[Points],""))))))</f>
        <v/>
      </c>
      <c r="T135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5" s="3">
        <f>tbl_individual[[#This Row],[Total]]</f>
        <v>50</v>
      </c>
    </row>
    <row r="136" spans="1:22" x14ac:dyDescent="0.4">
      <c r="A136" t="s">
        <v>365</v>
      </c>
      <c r="B136" t="s">
        <v>30</v>
      </c>
      <c r="C136" t="s">
        <v>4</v>
      </c>
      <c r="D136" s="3">
        <v>1043</v>
      </c>
      <c r="E136" s="3" t="s">
        <v>421</v>
      </c>
      <c r="G136" s="3" t="s">
        <v>407</v>
      </c>
      <c r="H136" s="3" t="s">
        <v>410</v>
      </c>
      <c r="I136" s="3">
        <f>IF(H136="","",IF(H136="DNS",0,IF(H136="DQ",0,IF(H136="DNF",1,IF(AND(ISNUMBER(H136),H136&gt;59),1,_xlfn.XLOOKUP(H136,tbl_points[Place],tbl_points[Points],""))))))</f>
        <v>0</v>
      </c>
      <c r="J136" s="3" t="s">
        <v>410</v>
      </c>
      <c r="K136" s="3">
        <f>IF(J136="","",IF(J136="DNS",0,IF(J136="DQ",0,IF(J136="DNF",1,IF(AND(ISNUMBER(J136),J136&gt;59),1,_xlfn.XLOOKUP(J136,tbl_points[Place],tbl_points[Points],""))))))</f>
        <v>0</v>
      </c>
      <c r="L136" s="3" t="s">
        <v>410</v>
      </c>
      <c r="M136" s="3">
        <f>IF(L136="","",IF(L136="DNS",0,IF(L136="DQ",0,IF(L136="DNF",1,IF(AND(ISNUMBER(L136),L136&gt;59),1,_xlfn.XLOOKUP(L136,tbl_points[Place],tbl_points[Points],""))))))</f>
        <v>0</v>
      </c>
      <c r="N136" s="3">
        <v>6</v>
      </c>
      <c r="O136" s="3">
        <f>IF(N136="","",IF(N136="DNS",0,IF(N136="DQ",0,IF(N136="DNF",1,IF(AND(ISNUMBER(N136),N136&gt;59),1,_xlfn.XLOOKUP(N136,tbl_points[Place],tbl_points[Points],""))))))</f>
        <v>75</v>
      </c>
      <c r="P136" s="3" t="s">
        <v>410</v>
      </c>
      <c r="Q136" s="3">
        <f>IF(P136="","",IF(P136="DNS",0,IF(P136="DQ",0,IF(P136="DNF",1,IF(AND(ISNUMBER(P136),P136&gt;59),1,_xlfn.XLOOKUP(P136,tbl_points[Place],tbl_points[Points],""))))))</f>
        <v>0</v>
      </c>
      <c r="S136" s="3" t="str">
        <f>IF(R136="","",IF(R136="DNS",0,IF(R136="DQ",0,IF(R136="DNF",1,IF(AND(ISNUMBER(R136),R136&gt;59),1,_xlfn.XLOOKUP(R136,tbl_points[Place],tbl_points[Points],""))))))</f>
        <v/>
      </c>
      <c r="T13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6" s="3">
        <f>tbl_individual[[#This Row],[Total]]</f>
        <v>75</v>
      </c>
    </row>
    <row r="137" spans="1:22" x14ac:dyDescent="0.4">
      <c r="A137" t="s">
        <v>387</v>
      </c>
      <c r="B137" t="s">
        <v>31</v>
      </c>
      <c r="C137" t="s">
        <v>2</v>
      </c>
      <c r="D137" s="3">
        <v>1248</v>
      </c>
      <c r="E137" s="3" t="s">
        <v>421</v>
      </c>
      <c r="G137" s="3" t="s">
        <v>403</v>
      </c>
      <c r="H137" s="3">
        <v>1</v>
      </c>
      <c r="I137" s="3">
        <f>IF(H137="","",IF(H137="DNS",0,IF(H137="DQ",0,IF(H137="DNF",1,IF(AND(ISNUMBER(H137),H137&gt;59),1,_xlfn.XLOOKUP(H137,tbl_points[Place],tbl_points[Points],""))))))</f>
        <v>100</v>
      </c>
      <c r="J137" s="3">
        <v>4</v>
      </c>
      <c r="K137" s="3">
        <f>IF(J137="","",IF(J137="DNS",0,IF(J137="DQ",0,IF(J137="DNF",1,IF(AND(ISNUMBER(J137),J137&gt;59),1,_xlfn.XLOOKUP(J137,tbl_points[Place],tbl_points[Points],""))))))</f>
        <v>85</v>
      </c>
      <c r="L137" s="3">
        <v>1</v>
      </c>
      <c r="M137" s="3">
        <f>IF(L137="","",IF(L137="DNS",0,IF(L137="DQ",0,IF(L137="DNF",1,IF(AND(ISNUMBER(L137),L137&gt;59),1,_xlfn.XLOOKUP(L137,tbl_points[Place],tbl_points[Points],""))))))</f>
        <v>100</v>
      </c>
      <c r="N137" s="3">
        <v>4</v>
      </c>
      <c r="O137" s="3">
        <f>IF(N137="","",IF(N137="DNS",0,IF(N137="DQ",0,IF(N137="DNF",1,IF(AND(ISNUMBER(N137),N137&gt;59),1,_xlfn.XLOOKUP(N137,tbl_points[Place],tbl_points[Points],""))))))</f>
        <v>85</v>
      </c>
      <c r="P137" s="3">
        <v>1</v>
      </c>
      <c r="Q137" s="3">
        <f>IF(P137="","",IF(P137="DNS",0,IF(P137="DQ",0,IF(P137="DNF",1,IF(AND(ISNUMBER(P137),P137&gt;59),1,_xlfn.XLOOKUP(P137,tbl_points[Place],tbl_points[Points],""))))))</f>
        <v>100</v>
      </c>
      <c r="S137" s="3" t="str">
        <f>IF(R137="","",IF(R137="DNS",0,IF(R137="DQ",0,IF(R137="DNF",1,IF(AND(ISNUMBER(R137),R137&gt;59),1,_xlfn.XLOOKUP(R137,tbl_points[Place],tbl_points[Points],""))))))</f>
        <v/>
      </c>
      <c r="T137" s="3">
        <f>SUM(tbl_individual[[#This Row],[R1 Pts]],tbl_individual[[#This Row],[R2 Pts]],tbl_individual[[#This Row],[R3 Pts]],tbl_individual[[#This Row],[R4 Pts]],tbl_individual[[#This Row],[R5 Pts]],tbl_individual[[#This Row],[R6 Pts]])</f>
        <v>470</v>
      </c>
      <c r="U137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137" s="3">
        <f>tbl_individual[[#This Row],[Total]]</f>
        <v>470</v>
      </c>
    </row>
    <row r="138" spans="1:22" x14ac:dyDescent="0.4">
      <c r="A138" t="s">
        <v>210</v>
      </c>
      <c r="B138" t="s">
        <v>20</v>
      </c>
      <c r="C138" t="s">
        <v>2</v>
      </c>
      <c r="D138" s="3">
        <v>1236</v>
      </c>
      <c r="E138" s="3" t="s">
        <v>421</v>
      </c>
      <c r="G138" s="3" t="s">
        <v>403</v>
      </c>
      <c r="H138" s="3">
        <v>7</v>
      </c>
      <c r="I138" s="3">
        <f>IF(H138="","",IF(H138="DNS",0,IF(H138="DQ",0,IF(H138="DNF",1,IF(AND(ISNUMBER(H138),H138&gt;59),1,_xlfn.XLOOKUP(H138,tbl_points[Place],tbl_points[Points],""))))))</f>
        <v>70</v>
      </c>
      <c r="J138" s="3">
        <v>5</v>
      </c>
      <c r="K138" s="3">
        <f>IF(J138="","",IF(J138="DNS",0,IF(J138="DQ",0,IF(J138="DNF",1,IF(AND(ISNUMBER(J138),J138&gt;59),1,_xlfn.XLOOKUP(J138,tbl_points[Place],tbl_points[Points],""))))))</f>
        <v>80</v>
      </c>
      <c r="L138" s="3" t="s">
        <v>410</v>
      </c>
      <c r="M138" s="3">
        <f>IF(L138="","",IF(L138="DNS",0,IF(L138="DQ",0,IF(L138="DNF",1,IF(AND(ISNUMBER(L138),L138&gt;59),1,_xlfn.XLOOKUP(L138,tbl_points[Place],tbl_points[Points],""))))))</f>
        <v>0</v>
      </c>
      <c r="N138" s="3">
        <v>2</v>
      </c>
      <c r="O138" s="3">
        <f>IF(N138="","",IF(N138="DNS",0,IF(N138="DQ",0,IF(N138="DNF",1,IF(AND(ISNUMBER(N138),N138&gt;59),1,_xlfn.XLOOKUP(N138,tbl_points[Place],tbl_points[Points],""))))))</f>
        <v>95</v>
      </c>
      <c r="P138" s="3">
        <v>2</v>
      </c>
      <c r="Q138" s="3">
        <f>IF(P138="","",IF(P138="DNS",0,IF(P138="DQ",0,IF(P138="DNF",1,IF(AND(ISNUMBER(P138),P138&gt;59),1,_xlfn.XLOOKUP(P138,tbl_points[Place],tbl_points[Points],""))))))</f>
        <v>95</v>
      </c>
      <c r="S138" s="3" t="str">
        <f>IF(R138="","",IF(R138="DNS",0,IF(R138="DQ",0,IF(R138="DNF",1,IF(AND(ISNUMBER(R138),R138&gt;59),1,_xlfn.XLOOKUP(R138,tbl_points[Place],tbl_points[Points],""))))))</f>
        <v/>
      </c>
      <c r="T138" s="3">
        <f>SUM(tbl_individual[[#This Row],[R1 Pts]],tbl_individual[[#This Row],[R2 Pts]],tbl_individual[[#This Row],[R3 Pts]],tbl_individual[[#This Row],[R4 Pts]],tbl_individual[[#This Row],[R5 Pts]],tbl_individual[[#This Row],[R6 Pts]])</f>
        <v>340</v>
      </c>
      <c r="U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8" s="3">
        <f>tbl_individual[[#This Row],[Total]]</f>
        <v>340</v>
      </c>
    </row>
    <row r="139" spans="1:22" x14ac:dyDescent="0.4">
      <c r="A139" t="s">
        <v>388</v>
      </c>
      <c r="B139" t="s">
        <v>31</v>
      </c>
      <c r="C139" t="s">
        <v>2</v>
      </c>
      <c r="D139" s="3">
        <v>1249</v>
      </c>
      <c r="E139" s="3" t="s">
        <v>421</v>
      </c>
      <c r="G139" s="3" t="s">
        <v>403</v>
      </c>
      <c r="H139" s="3">
        <v>6</v>
      </c>
      <c r="I139" s="3">
        <f>IF(H139="","",IF(H139="DNS",0,IF(H139="DQ",0,IF(H139="DNF",1,IF(AND(ISNUMBER(H139),H139&gt;59),1,_xlfn.XLOOKUP(H139,tbl_points[Place],tbl_points[Points],""))))))</f>
        <v>75</v>
      </c>
      <c r="J139" s="3">
        <v>9</v>
      </c>
      <c r="K139" s="3">
        <f>IF(J139="","",IF(J139="DNS",0,IF(J139="DQ",0,IF(J139="DNF",1,IF(AND(ISNUMBER(J139),J139&gt;59),1,_xlfn.XLOOKUP(J139,tbl_points[Place],tbl_points[Points],""))))))</f>
        <v>60</v>
      </c>
      <c r="L139" s="3">
        <v>3</v>
      </c>
      <c r="M139" s="3">
        <f>IF(L139="","",IF(L139="DNS",0,IF(L139="DQ",0,IF(L139="DNF",1,IF(AND(ISNUMBER(L139),L139&gt;59),1,_xlfn.XLOOKUP(L139,tbl_points[Place],tbl_points[Points],""))))))</f>
        <v>90</v>
      </c>
      <c r="N139" s="3">
        <v>5</v>
      </c>
      <c r="O139" s="3">
        <f>IF(N139="","",IF(N139="DNS",0,IF(N139="DQ",0,IF(N139="DNF",1,IF(AND(ISNUMBER(N139),N139&gt;59),1,_xlfn.XLOOKUP(N139,tbl_points[Place],tbl_points[Points],""))))))</f>
        <v>80</v>
      </c>
      <c r="P139" s="3">
        <v>3</v>
      </c>
      <c r="Q139" s="3">
        <f>IF(P139="","",IF(P139="DNS",0,IF(P139="DQ",0,IF(P139="DNF",1,IF(AND(ISNUMBER(P139),P139&gt;59),1,_xlfn.XLOOKUP(P139,tbl_points[Place],tbl_points[Points],""))))))</f>
        <v>90</v>
      </c>
      <c r="S139" s="3" t="str">
        <f>IF(R139="","",IF(R139="DNS",0,IF(R139="DQ",0,IF(R139="DNF",1,IF(AND(ISNUMBER(R139),R139&gt;59),1,_xlfn.XLOOKUP(R139,tbl_points[Place],tbl_points[Points],""))))))</f>
        <v/>
      </c>
      <c r="T139" s="3">
        <f>SUM(tbl_individual[[#This Row],[R1 Pts]],tbl_individual[[#This Row],[R2 Pts]],tbl_individual[[#This Row],[R3 Pts]],tbl_individual[[#This Row],[R4 Pts]],tbl_individual[[#This Row],[R5 Pts]],tbl_individual[[#This Row],[R6 Pts]])</f>
        <v>395</v>
      </c>
      <c r="U139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39" s="3">
        <f>tbl_individual[[#This Row],[Total]]</f>
        <v>395</v>
      </c>
    </row>
    <row r="140" spans="1:22" x14ac:dyDescent="0.4">
      <c r="A140" t="s">
        <v>1159</v>
      </c>
      <c r="B140" t="s">
        <v>30</v>
      </c>
      <c r="C140" t="s">
        <v>2</v>
      </c>
      <c r="D140" s="3">
        <v>1245</v>
      </c>
      <c r="E140" s="3" t="s">
        <v>421</v>
      </c>
      <c r="G140" s="3" t="s">
        <v>403</v>
      </c>
      <c r="H140" s="3">
        <v>5</v>
      </c>
      <c r="I140" s="3">
        <f>IF(H140="","",IF(H140="DNS",0,IF(H140="DQ",0,IF(H140="DNF",1,IF(AND(ISNUMBER(H140),H140&gt;59),1,_xlfn.XLOOKUP(H140,tbl_points[Place],tbl_points[Points],""))))))</f>
        <v>80</v>
      </c>
      <c r="J140" s="3">
        <v>11</v>
      </c>
      <c r="K140" s="3">
        <f>IF(J140="","",IF(J140="DNS",0,IF(J140="DQ",0,IF(J140="DNF",1,IF(AND(ISNUMBER(J140),J140&gt;59),1,_xlfn.XLOOKUP(J140,tbl_points[Place],tbl_points[Points],""))))))</f>
        <v>53</v>
      </c>
      <c r="L140" s="3">
        <v>4</v>
      </c>
      <c r="M140" s="3">
        <f>IF(L140="","",IF(L140="DNS",0,IF(L140="DQ",0,IF(L140="DNF",1,IF(AND(ISNUMBER(L140),L140&gt;59),1,_xlfn.XLOOKUP(L140,tbl_points[Place],tbl_points[Points],""))))))</f>
        <v>85</v>
      </c>
      <c r="N140" s="3">
        <v>6</v>
      </c>
      <c r="O140" s="3">
        <f>IF(N140="","",IF(N140="DNS",0,IF(N140="DQ",0,IF(N140="DNF",1,IF(AND(ISNUMBER(N140),N140&gt;59),1,_xlfn.XLOOKUP(N140,tbl_points[Place],tbl_points[Points],""))))))</f>
        <v>75</v>
      </c>
      <c r="P140" s="3">
        <v>4</v>
      </c>
      <c r="Q140" s="3">
        <f>IF(P140="","",IF(P140="DNS",0,IF(P140="DQ",0,IF(P140="DNF",1,IF(AND(ISNUMBER(P140),P140&gt;59),1,_xlfn.XLOOKUP(P140,tbl_points[Place],tbl_points[Points],""))))))</f>
        <v>85</v>
      </c>
      <c r="S140" s="3" t="str">
        <f>IF(R140="","",IF(R140="DNS",0,IF(R140="DQ",0,IF(R140="DNF",1,IF(AND(ISNUMBER(R140),R140&gt;59),1,_xlfn.XLOOKUP(R140,tbl_points[Place],tbl_points[Points],""))))))</f>
        <v/>
      </c>
      <c r="T140" s="3">
        <f>SUM(tbl_individual[[#This Row],[R1 Pts]],tbl_individual[[#This Row],[R2 Pts]],tbl_individual[[#This Row],[R3 Pts]],tbl_individual[[#This Row],[R4 Pts]],tbl_individual[[#This Row],[R5 Pts]],tbl_individual[[#This Row],[R6 Pts]])</f>
        <v>378</v>
      </c>
      <c r="U14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40" s="3">
        <f>tbl_individual[[#This Row],[Total]]</f>
        <v>378</v>
      </c>
    </row>
    <row r="141" spans="1:22" x14ac:dyDescent="0.4">
      <c r="A141" t="s">
        <v>209</v>
      </c>
      <c r="B141" t="s">
        <v>20</v>
      </c>
      <c r="C141" t="s">
        <v>2</v>
      </c>
      <c r="D141" s="3">
        <v>1235</v>
      </c>
      <c r="E141" s="3" t="s">
        <v>421</v>
      </c>
      <c r="G141" s="3" t="s">
        <v>403</v>
      </c>
      <c r="H141" s="3">
        <v>2</v>
      </c>
      <c r="I141" s="3">
        <f>IF(H141="","",IF(H141="DNS",0,IF(H141="DQ",0,IF(H141="DNF",1,IF(AND(ISNUMBER(H141),H141&gt;59),1,_xlfn.XLOOKUP(H141,tbl_points[Place],tbl_points[Points],""))))))</f>
        <v>95</v>
      </c>
      <c r="J141" s="3">
        <v>8</v>
      </c>
      <c r="K141" s="3">
        <f>IF(J141="","",IF(J141="DNS",0,IF(J141="DQ",0,IF(J141="DNF",1,IF(AND(ISNUMBER(J141),J141&gt;59),1,_xlfn.XLOOKUP(J141,tbl_points[Place],tbl_points[Points],""))))))</f>
        <v>65</v>
      </c>
      <c r="L141" s="3">
        <v>2</v>
      </c>
      <c r="M141" s="3">
        <f>IF(L141="","",IF(L141="DNS",0,IF(L141="DQ",0,IF(L141="DNF",1,IF(AND(ISNUMBER(L141),L141&gt;59),1,_xlfn.XLOOKUP(L141,tbl_points[Place],tbl_points[Points],""))))))</f>
        <v>95</v>
      </c>
      <c r="N141" s="3">
        <v>3</v>
      </c>
      <c r="O141" s="3">
        <f>IF(N141="","",IF(N141="DNS",0,IF(N141="DQ",0,IF(N141="DNF",1,IF(AND(ISNUMBER(N141),N141&gt;59),1,_xlfn.XLOOKUP(N141,tbl_points[Place],tbl_points[Points],""))))))</f>
        <v>90</v>
      </c>
      <c r="P141" s="3">
        <v>5</v>
      </c>
      <c r="Q141" s="3">
        <f>IF(P141="","",IF(P141="DNS",0,IF(P141="DQ",0,IF(P141="DNF",1,IF(AND(ISNUMBER(P141),P141&gt;59),1,_xlfn.XLOOKUP(P141,tbl_points[Place],tbl_points[Points],""))))))</f>
        <v>80</v>
      </c>
      <c r="S141" s="3" t="str">
        <f>IF(R141="","",IF(R141="DNS",0,IF(R141="DQ",0,IF(R141="DNF",1,IF(AND(ISNUMBER(R141),R141&gt;59),1,_xlfn.XLOOKUP(R141,tbl_points[Place],tbl_points[Points],""))))))</f>
        <v/>
      </c>
      <c r="T141" s="3">
        <f>SUM(tbl_individual[[#This Row],[R1 Pts]],tbl_individual[[#This Row],[R2 Pts]],tbl_individual[[#This Row],[R3 Pts]],tbl_individual[[#This Row],[R4 Pts]],tbl_individual[[#This Row],[R5 Pts]],tbl_individual[[#This Row],[R6 Pts]])</f>
        <v>425</v>
      </c>
      <c r="U141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41" s="3">
        <f>tbl_individual[[#This Row],[Total]]</f>
        <v>425</v>
      </c>
    </row>
    <row r="142" spans="1:22" x14ac:dyDescent="0.4">
      <c r="A142" t="s">
        <v>267</v>
      </c>
      <c r="B142" t="s">
        <v>23</v>
      </c>
      <c r="C142" t="s">
        <v>2</v>
      </c>
      <c r="D142" s="3">
        <v>1242</v>
      </c>
      <c r="E142" s="3" t="s">
        <v>421</v>
      </c>
      <c r="G142" s="3" t="s">
        <v>407</v>
      </c>
      <c r="H142" s="3">
        <v>9</v>
      </c>
      <c r="I142" s="3">
        <f>IF(H142="","",IF(H142="DNS",0,IF(H142="DQ",0,IF(H142="DNF",1,IF(AND(ISNUMBER(H142),H142&gt;59),1,_xlfn.XLOOKUP(H142,tbl_points[Place],tbl_points[Points],""))))))</f>
        <v>60</v>
      </c>
      <c r="J142" s="3">
        <v>3</v>
      </c>
      <c r="K142" s="3">
        <f>IF(J142="","",IF(J142="DNS",0,IF(J142="DQ",0,IF(J142="DNF",1,IF(AND(ISNUMBER(J142),J142&gt;59),1,_xlfn.XLOOKUP(J142,tbl_points[Place],tbl_points[Points],""))))))</f>
        <v>90</v>
      </c>
      <c r="L142" s="3" t="s">
        <v>410</v>
      </c>
      <c r="M142" s="3">
        <f>IF(L142="","",IF(L142="DNS",0,IF(L142="DQ",0,IF(L142="DNF",1,IF(AND(ISNUMBER(L142),L142&gt;59),1,_xlfn.XLOOKUP(L142,tbl_points[Place],tbl_points[Points],""))))))</f>
        <v>0</v>
      </c>
      <c r="N142" s="3" t="s">
        <v>410</v>
      </c>
      <c r="O142" s="3">
        <f>IF(N142="","",IF(N142="DNS",0,IF(N142="DQ",0,IF(N142="DNF",1,IF(AND(ISNUMBER(N142),N142&gt;59),1,_xlfn.XLOOKUP(N142,tbl_points[Place],tbl_points[Points],""))))))</f>
        <v>0</v>
      </c>
      <c r="P142" s="3">
        <v>6</v>
      </c>
      <c r="Q142" s="3">
        <f>IF(P142="","",IF(P142="DNS",0,IF(P142="DQ",0,IF(P142="DNF",1,IF(AND(ISNUMBER(P142),P142&gt;59),1,_xlfn.XLOOKUP(P142,tbl_points[Place],tbl_points[Points],""))))))</f>
        <v>75</v>
      </c>
      <c r="S142" s="3" t="str">
        <f>IF(R142="","",IF(R142="DNS",0,IF(R142="DQ",0,IF(R142="DNF",1,IF(AND(ISNUMBER(R142),R142&gt;59),1,_xlfn.XLOOKUP(R142,tbl_points[Place],tbl_points[Points],""))))))</f>
        <v/>
      </c>
      <c r="T142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2" s="3">
        <f>tbl_individual[[#This Row],[Total]]</f>
        <v>225</v>
      </c>
    </row>
    <row r="143" spans="1:22" x14ac:dyDescent="0.4">
      <c r="A143" t="s">
        <v>265</v>
      </c>
      <c r="B143" t="s">
        <v>23</v>
      </c>
      <c r="C143" t="s">
        <v>2</v>
      </c>
      <c r="D143" s="3">
        <v>1240</v>
      </c>
      <c r="E143" s="3" t="s">
        <v>421</v>
      </c>
      <c r="G143" s="3" t="s">
        <v>407</v>
      </c>
      <c r="H143" s="3">
        <v>10</v>
      </c>
      <c r="I143" s="3">
        <f>IF(H143="","",IF(H143="DNS",0,IF(H143="DQ",0,IF(H143="DNF",1,IF(AND(ISNUMBER(H143),H143&gt;59),1,_xlfn.XLOOKUP(H143,tbl_points[Place],tbl_points[Points],""))))))</f>
        <v>55</v>
      </c>
      <c r="J143" s="3">
        <v>7</v>
      </c>
      <c r="K143" s="3">
        <f>IF(J143="","",IF(J143="DNS",0,IF(J143="DQ",0,IF(J143="DNF",1,IF(AND(ISNUMBER(J143),J143&gt;59),1,_xlfn.XLOOKUP(J143,tbl_points[Place],tbl_points[Points],""))))))</f>
        <v>70</v>
      </c>
      <c r="L143" s="3">
        <v>6</v>
      </c>
      <c r="M143" s="3">
        <f>IF(L143="","",IF(L143="DNS",0,IF(L143="DQ",0,IF(L143="DNF",1,IF(AND(ISNUMBER(L143),L143&gt;59),1,_xlfn.XLOOKUP(L143,tbl_points[Place],tbl_points[Points],""))))))</f>
        <v>75</v>
      </c>
      <c r="N143" s="3">
        <v>8</v>
      </c>
      <c r="O143" s="3">
        <f>IF(N143="","",IF(N143="DNS",0,IF(N143="DQ",0,IF(N143="DNF",1,IF(AND(ISNUMBER(N143),N143&gt;59),1,_xlfn.XLOOKUP(N143,tbl_points[Place],tbl_points[Points],""))))))</f>
        <v>65</v>
      </c>
      <c r="P143" s="3">
        <v>7</v>
      </c>
      <c r="Q143" s="3">
        <f>IF(P143="","",IF(P143="DNS",0,IF(P143="DQ",0,IF(P143="DNF",1,IF(AND(ISNUMBER(P143),P143&gt;59),1,_xlfn.XLOOKUP(P143,tbl_points[Place],tbl_points[Points],""))))))</f>
        <v>70</v>
      </c>
      <c r="S143" s="3" t="str">
        <f>IF(R143="","",IF(R143="DNS",0,IF(R143="DQ",0,IF(R143="DNF",1,IF(AND(ISNUMBER(R143),R143&gt;59),1,_xlfn.XLOOKUP(R143,tbl_points[Place],tbl_points[Points],""))))))</f>
        <v/>
      </c>
      <c r="T143" s="3">
        <f>SUM(tbl_individual[[#This Row],[R1 Pts]],tbl_individual[[#This Row],[R2 Pts]],tbl_individual[[#This Row],[R3 Pts]],tbl_individual[[#This Row],[R4 Pts]],tbl_individual[[#This Row],[R5 Pts]],tbl_individual[[#This Row],[R6 Pts]])</f>
        <v>335</v>
      </c>
      <c r="U14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43" s="3">
        <f>tbl_individual[[#This Row],[Total]]</f>
        <v>335</v>
      </c>
    </row>
    <row r="144" spans="1:22" x14ac:dyDescent="0.4">
      <c r="A144" t="s">
        <v>266</v>
      </c>
      <c r="B144" t="s">
        <v>23</v>
      </c>
      <c r="C144" t="s">
        <v>2</v>
      </c>
      <c r="D144" s="3">
        <v>1241</v>
      </c>
      <c r="E144" s="3" t="s">
        <v>421</v>
      </c>
      <c r="G144" s="3" t="s">
        <v>407</v>
      </c>
      <c r="H144" s="3">
        <v>8</v>
      </c>
      <c r="I144" s="3">
        <f>IF(H144="","",IF(H144="DNS",0,IF(H144="DQ",0,IF(H144="DNF",1,IF(AND(ISNUMBER(H144),H144&gt;59),1,_xlfn.XLOOKUP(H144,tbl_points[Place],tbl_points[Points],""))))))</f>
        <v>65</v>
      </c>
      <c r="J144" s="3">
        <v>10</v>
      </c>
      <c r="K144" s="3">
        <f>IF(J144="","",IF(J144="DNS",0,IF(J144="DQ",0,IF(J144="DNF",1,IF(AND(ISNUMBER(J144),J144&gt;59),1,_xlfn.XLOOKUP(J144,tbl_points[Place],tbl_points[Points],""))))))</f>
        <v>55</v>
      </c>
      <c r="L144" s="3">
        <v>7</v>
      </c>
      <c r="M144" s="3">
        <f>IF(L144="","",IF(L144="DNS",0,IF(L144="DQ",0,IF(L144="DNF",1,IF(AND(ISNUMBER(L144),L144&gt;59),1,_xlfn.XLOOKUP(L144,tbl_points[Place],tbl_points[Points],""))))))</f>
        <v>70</v>
      </c>
      <c r="N144" s="3">
        <v>7</v>
      </c>
      <c r="O144" s="3">
        <f>IF(N144="","",IF(N144="DNS",0,IF(N144="DQ",0,IF(N144="DNF",1,IF(AND(ISNUMBER(N144),N144&gt;59),1,_xlfn.XLOOKUP(N144,tbl_points[Place],tbl_points[Points],""))))))</f>
        <v>70</v>
      </c>
      <c r="P144" s="3">
        <v>8</v>
      </c>
      <c r="Q144" s="3">
        <f>IF(P144="","",IF(P144="DNS",0,IF(P144="DQ",0,IF(P144="DNF",1,IF(AND(ISNUMBER(P144),P144&gt;59),1,_xlfn.XLOOKUP(P144,tbl_points[Place],tbl_points[Points],""))))))</f>
        <v>65</v>
      </c>
      <c r="S144" s="3" t="str">
        <f>IF(R144="","",IF(R144="DNS",0,IF(R144="DQ",0,IF(R144="DNF",1,IF(AND(ISNUMBER(R144),R144&gt;59),1,_xlfn.XLOOKUP(R144,tbl_points[Place],tbl_points[Points],""))))))</f>
        <v/>
      </c>
      <c r="T144" s="3">
        <f>SUM(tbl_individual[[#This Row],[R1 Pts]],tbl_individual[[#This Row],[R2 Pts]],tbl_individual[[#This Row],[R3 Pts]],tbl_individual[[#This Row],[R4 Pts]],tbl_individual[[#This Row],[R5 Pts]],tbl_individual[[#This Row],[R6 Pts]])</f>
        <v>325</v>
      </c>
      <c r="U144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44" s="3">
        <f>tbl_individual[[#This Row],[Total]]</f>
        <v>325</v>
      </c>
    </row>
    <row r="145" spans="1:22" x14ac:dyDescent="0.4">
      <c r="A145" t="s">
        <v>341</v>
      </c>
      <c r="B145" t="s">
        <v>28</v>
      </c>
      <c r="C145" t="s">
        <v>2</v>
      </c>
      <c r="D145" s="3">
        <v>1244</v>
      </c>
      <c r="E145" s="3" t="s">
        <v>421</v>
      </c>
      <c r="G145" s="3" t="s">
        <v>407</v>
      </c>
      <c r="H145" s="3" t="s">
        <v>410</v>
      </c>
      <c r="I145" s="3">
        <f>IF(H145="","",IF(H145="DNS",0,IF(H145="DQ",0,IF(H145="DNF",1,IF(AND(ISNUMBER(H145),H145&gt;59),1,_xlfn.XLOOKUP(H145,tbl_points[Place],tbl_points[Points],""))))))</f>
        <v>0</v>
      </c>
      <c r="J145" s="3">
        <v>6</v>
      </c>
      <c r="K145" s="3">
        <f>IF(J145="","",IF(J145="DNS",0,IF(J145="DQ",0,IF(J145="DNF",1,IF(AND(ISNUMBER(J145),J145&gt;59),1,_xlfn.XLOOKUP(J145,tbl_points[Place],tbl_points[Points],""))))))</f>
        <v>75</v>
      </c>
      <c r="L145" s="3" t="s">
        <v>410</v>
      </c>
      <c r="M145" s="3">
        <f>IF(L145="","",IF(L145="DNS",0,IF(L145="DQ",0,IF(L145="DNF",1,IF(AND(ISNUMBER(L145),L145&gt;59),1,_xlfn.XLOOKUP(L145,tbl_points[Place],tbl_points[Points],""))))))</f>
        <v>0</v>
      </c>
      <c r="N145" s="3" t="s">
        <v>410</v>
      </c>
      <c r="O145" s="3">
        <f>IF(N145="","",IF(N145="DNS",0,IF(N145="DQ",0,IF(N145="DNF",1,IF(AND(ISNUMBER(N145),N145&gt;59),1,_xlfn.XLOOKUP(N145,tbl_points[Place],tbl_points[Points],""))))))</f>
        <v>0</v>
      </c>
      <c r="P145" s="3">
        <v>9</v>
      </c>
      <c r="Q145" s="3">
        <f>IF(P145="","",IF(P145="DNS",0,IF(P145="DQ",0,IF(P145="DNF",1,IF(AND(ISNUMBER(P145),P145&gt;59),1,_xlfn.XLOOKUP(P145,tbl_points[Place],tbl_points[Points],""))))))</f>
        <v>60</v>
      </c>
      <c r="S145" s="3" t="str">
        <f>IF(R145="","",IF(R145="DNS",0,IF(R145="DQ",0,IF(R145="DNF",1,IF(AND(ISNUMBER(R145),R145&gt;59),1,_xlfn.XLOOKUP(R145,tbl_points[Place],tbl_points[Points],""))))))</f>
        <v/>
      </c>
      <c r="T145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5" s="3">
        <f>tbl_individual[[#This Row],[Total]]</f>
        <v>135</v>
      </c>
    </row>
    <row r="146" spans="1:22" x14ac:dyDescent="0.4">
      <c r="A146" t="s">
        <v>1160</v>
      </c>
      <c r="B146" t="s">
        <v>30</v>
      </c>
      <c r="C146" t="s">
        <v>2</v>
      </c>
      <c r="D146" s="3">
        <v>1246</v>
      </c>
      <c r="E146" s="3" t="s">
        <v>421</v>
      </c>
      <c r="G146" s="3" t="s">
        <v>407</v>
      </c>
      <c r="H146" s="3">
        <v>12</v>
      </c>
      <c r="I146" s="3">
        <f>IF(H146="","",IF(H146="DNS",0,IF(H146="DQ",0,IF(H146="DNF",1,IF(AND(ISNUMBER(H146),H146&gt;59),1,_xlfn.XLOOKUP(H146,tbl_points[Place],tbl_points[Points],""))))))</f>
        <v>51</v>
      </c>
      <c r="J146" s="3" t="s">
        <v>410</v>
      </c>
      <c r="K146" s="3">
        <f>IF(J146="","",IF(J146="DNS",0,IF(J146="DQ",0,IF(J146="DNF",1,IF(AND(ISNUMBER(J146),J146&gt;59),1,_xlfn.XLOOKUP(J146,tbl_points[Place],tbl_points[Points],""))))))</f>
        <v>0</v>
      </c>
      <c r="L146" s="3" t="s">
        <v>410</v>
      </c>
      <c r="M146" s="3">
        <f>IF(L146="","",IF(L146="DNS",0,IF(L146="DQ",0,IF(L146="DNF",1,IF(AND(ISNUMBER(L146),L146&gt;59),1,_xlfn.XLOOKUP(L146,tbl_points[Place],tbl_points[Points],""))))))</f>
        <v>0</v>
      </c>
      <c r="N146" s="3">
        <v>9</v>
      </c>
      <c r="O146" s="3">
        <f>IF(N146="","",IF(N146="DNS",0,IF(N146="DQ",0,IF(N146="DNF",1,IF(AND(ISNUMBER(N146),N146&gt;59),1,_xlfn.XLOOKUP(N146,tbl_points[Place],tbl_points[Points],""))))))</f>
        <v>60</v>
      </c>
      <c r="P146" s="3">
        <v>10</v>
      </c>
      <c r="Q146" s="3">
        <f>IF(P146="","",IF(P146="DNS",0,IF(P146="DQ",0,IF(P146="DNF",1,IF(AND(ISNUMBER(P146),P146&gt;59),1,_xlfn.XLOOKUP(P146,tbl_points[Place],tbl_points[Points],""))))))</f>
        <v>55</v>
      </c>
      <c r="S146" s="3" t="str">
        <f>IF(R146="","",IF(R146="DNS",0,IF(R146="DQ",0,IF(R146="DNF",1,IF(AND(ISNUMBER(R146),R146&gt;59),1,_xlfn.XLOOKUP(R146,tbl_points[Place],tbl_points[Points],""))))))</f>
        <v/>
      </c>
      <c r="T146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6" s="3">
        <f>tbl_individual[[#This Row],[Total]]</f>
        <v>166</v>
      </c>
    </row>
    <row r="147" spans="1:22" x14ac:dyDescent="0.4">
      <c r="A147" t="s">
        <v>134</v>
      </c>
      <c r="B147" t="s">
        <v>13</v>
      </c>
      <c r="C147" t="s">
        <v>2</v>
      </c>
      <c r="D147" s="3">
        <v>1230</v>
      </c>
      <c r="E147" s="3" t="s">
        <v>421</v>
      </c>
      <c r="G147" s="3" t="s">
        <v>407</v>
      </c>
      <c r="H147" s="3" t="s">
        <v>410</v>
      </c>
      <c r="I147" s="3">
        <f>IF(H147="","",IF(H147="DNS",0,IF(H147="DQ",0,IF(H147="DNF",1,IF(AND(ISNUMBER(H147),H147&gt;59),1,_xlfn.XLOOKUP(H147,tbl_points[Place],tbl_points[Points],""))))))</f>
        <v>0</v>
      </c>
      <c r="J147" s="3" t="s">
        <v>410</v>
      </c>
      <c r="K147" s="3">
        <f>IF(J147="","",IF(J147="DNS",0,IF(J147="DQ",0,IF(J147="DNF",1,IF(AND(ISNUMBER(J147),J147&gt;59),1,_xlfn.XLOOKUP(J147,tbl_points[Place],tbl_points[Points],""))))))</f>
        <v>0</v>
      </c>
      <c r="L147" s="3">
        <v>8</v>
      </c>
      <c r="M147" s="3">
        <f>IF(L147="","",IF(L147="DNS",0,IF(L147="DQ",0,IF(L147="DNF",1,IF(AND(ISNUMBER(L147),L147&gt;59),1,_xlfn.XLOOKUP(L147,tbl_points[Place],tbl_points[Points],""))))))</f>
        <v>65</v>
      </c>
      <c r="N147" s="3">
        <v>10</v>
      </c>
      <c r="O147" s="3">
        <f>IF(N147="","",IF(N147="DNS",0,IF(N147="DQ",0,IF(N147="DNF",1,IF(AND(ISNUMBER(N147),N147&gt;59),1,_xlfn.XLOOKUP(N147,tbl_points[Place],tbl_points[Points],""))))))</f>
        <v>55</v>
      </c>
      <c r="P147" s="3">
        <v>11</v>
      </c>
      <c r="Q147" s="3">
        <f>IF(P147="","",IF(P147="DNS",0,IF(P147="DQ",0,IF(P147="DNF",1,IF(AND(ISNUMBER(P147),P147&gt;59),1,_xlfn.XLOOKUP(P147,tbl_points[Place],tbl_points[Points],""))))))</f>
        <v>53</v>
      </c>
      <c r="S147" s="3" t="str">
        <f>IF(R147="","",IF(R147="DNS",0,IF(R147="DQ",0,IF(R147="DNF",1,IF(AND(ISNUMBER(R147),R147&gt;59),1,_xlfn.XLOOKUP(R147,tbl_points[Place],tbl_points[Points],""))))))</f>
        <v/>
      </c>
      <c r="T147" s="3">
        <f>SUM(tbl_individual[[#This Row],[R1 Pts]],tbl_individual[[#This Row],[R2 Pts]],tbl_individual[[#This Row],[R3 Pts]],tbl_individual[[#This Row],[R4 Pts]],tbl_individual[[#This Row],[R5 Pts]],tbl_individual[[#This Row],[R6 Pts]])</f>
        <v>173</v>
      </c>
      <c r="U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7" s="3">
        <f>tbl_individual[[#This Row],[Total]]</f>
        <v>173</v>
      </c>
    </row>
    <row r="148" spans="1:22" x14ac:dyDescent="0.4">
      <c r="A148" t="s">
        <v>135</v>
      </c>
      <c r="B148" t="s">
        <v>13</v>
      </c>
      <c r="C148" t="s">
        <v>2</v>
      </c>
      <c r="D148" s="3">
        <v>1231</v>
      </c>
      <c r="E148" s="3" t="s">
        <v>421</v>
      </c>
      <c r="G148" s="3" t="s">
        <v>403</v>
      </c>
      <c r="H148" s="3" t="s">
        <v>410</v>
      </c>
      <c r="I148" s="3">
        <f>IF(H148="","",IF(H148="DNS",0,IF(H148="DQ",0,IF(H148="DNF",1,IF(AND(ISNUMBER(H148),H148&gt;59),1,_xlfn.XLOOKUP(H148,tbl_points[Place],tbl_points[Points],""))))))</f>
        <v>0</v>
      </c>
      <c r="J148" s="3" t="s">
        <v>410</v>
      </c>
      <c r="K148" s="3">
        <f>IF(J148="","",IF(J148="DNS",0,IF(J148="DQ",0,IF(J148="DNF",1,IF(AND(ISNUMBER(J148),J148&gt;59),1,_xlfn.XLOOKUP(J148,tbl_points[Place],tbl_points[Points],""))))))</f>
        <v>0</v>
      </c>
      <c r="L148" s="3" t="s">
        <v>410</v>
      </c>
      <c r="M148" s="3">
        <f>IF(L148="","",IF(L148="DNS",0,IF(L148="DQ",0,IF(L148="DNF",1,IF(AND(ISNUMBER(L148),L148&gt;59),1,_xlfn.XLOOKUP(L148,tbl_points[Place],tbl_points[Points],""))))))</f>
        <v>0</v>
      </c>
      <c r="N148" s="3" t="s">
        <v>409</v>
      </c>
      <c r="O148" s="3">
        <f>IF(N148="","",IF(N148="DNS",0,IF(N148="DQ",0,IF(N148="DNF",1,IF(AND(ISNUMBER(N148),N148&gt;59),1,_xlfn.XLOOKUP(N148,tbl_points[Place],tbl_points[Points],""))))))</f>
        <v>1</v>
      </c>
      <c r="P148" s="3" t="s">
        <v>409</v>
      </c>
      <c r="Q148" s="3">
        <f>IF(P148="","",IF(P148="DNS",0,IF(P148="DQ",0,IF(P148="DNF",1,IF(AND(ISNUMBER(P148),P148&gt;59),1,_xlfn.XLOOKUP(P148,tbl_points[Place],tbl_points[Points],""))))))</f>
        <v>1</v>
      </c>
      <c r="S148" s="3" t="str">
        <f>IF(R148="","",IF(R148="DNS",0,IF(R148="DQ",0,IF(R148="DNF",1,IF(AND(ISNUMBER(R148),R148&gt;59),1,_xlfn.XLOOKUP(R148,tbl_points[Place],tbl_points[Points],""))))))</f>
        <v/>
      </c>
      <c r="T148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8" s="3">
        <f>tbl_individual[[#This Row],[Total]]</f>
        <v>2</v>
      </c>
    </row>
    <row r="149" spans="1:22" x14ac:dyDescent="0.4">
      <c r="A149" t="s">
        <v>136</v>
      </c>
      <c r="B149" t="s">
        <v>13</v>
      </c>
      <c r="C149" t="s">
        <v>2</v>
      </c>
      <c r="D149" s="3">
        <v>1232</v>
      </c>
      <c r="E149" s="3" t="s">
        <v>421</v>
      </c>
      <c r="G149" s="3" t="s">
        <v>403</v>
      </c>
      <c r="H149" s="3" t="s">
        <v>410</v>
      </c>
      <c r="I149" s="3">
        <f>IF(H149="","",IF(H149="DNS",0,IF(H149="DQ",0,IF(H149="DNF",1,IF(AND(ISNUMBER(H149),H149&gt;59),1,_xlfn.XLOOKUP(H149,tbl_points[Place],tbl_points[Points],""))))))</f>
        <v>0</v>
      </c>
      <c r="J149" s="3">
        <v>1</v>
      </c>
      <c r="K149" s="3">
        <f>IF(J149="","",IF(J149="DNS",0,IF(J149="DQ",0,IF(J149="DNF",1,IF(AND(ISNUMBER(J149),J149&gt;59),1,_xlfn.XLOOKUP(J149,tbl_points[Place],tbl_points[Points],""))))))</f>
        <v>100</v>
      </c>
      <c r="L149" s="3" t="s">
        <v>410</v>
      </c>
      <c r="M149" s="3">
        <f>IF(L149="","",IF(L149="DNS",0,IF(L149="DQ",0,IF(L149="DNF",1,IF(AND(ISNUMBER(L149),L149&gt;59),1,_xlfn.XLOOKUP(L149,tbl_points[Place],tbl_points[Points],""))))))</f>
        <v>0</v>
      </c>
      <c r="N149" s="3">
        <v>1</v>
      </c>
      <c r="O149" s="3">
        <f>IF(N149="","",IF(N149="DNS",0,IF(N149="DQ",0,IF(N149="DNF",1,IF(AND(ISNUMBER(N149),N149&gt;59),1,_xlfn.XLOOKUP(N149,tbl_points[Place],tbl_points[Points],""))))))</f>
        <v>100</v>
      </c>
      <c r="P149" s="3" t="s">
        <v>409</v>
      </c>
      <c r="Q149" s="3">
        <f>IF(P149="","",IF(P149="DNS",0,IF(P149="DQ",0,IF(P149="DNF",1,IF(AND(ISNUMBER(P149),P149&gt;59),1,_xlfn.XLOOKUP(P149,tbl_points[Place],tbl_points[Points],""))))))</f>
        <v>1</v>
      </c>
      <c r="S149" s="3" t="str">
        <f>IF(R149="","",IF(R149="DNS",0,IF(R149="DQ",0,IF(R149="DNF",1,IF(AND(ISNUMBER(R149),R149&gt;59),1,_xlfn.XLOOKUP(R149,tbl_points[Place],tbl_points[Points],""))))))</f>
        <v/>
      </c>
      <c r="T149" s="3">
        <f>SUM(tbl_individual[[#This Row],[R1 Pts]],tbl_individual[[#This Row],[R2 Pts]],tbl_individual[[#This Row],[R3 Pts]],tbl_individual[[#This Row],[R4 Pts]],tbl_individual[[#This Row],[R5 Pts]],tbl_individual[[#This Row],[R6 Pts]])</f>
        <v>201</v>
      </c>
      <c r="U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9" s="3">
        <f>tbl_individual[[#This Row],[Total]]</f>
        <v>201</v>
      </c>
    </row>
    <row r="150" spans="1:22" x14ac:dyDescent="0.4">
      <c r="A150" t="s">
        <v>120</v>
      </c>
      <c r="B150" t="s">
        <v>12</v>
      </c>
      <c r="C150" t="s">
        <v>2</v>
      </c>
      <c r="D150" s="3">
        <v>1227</v>
      </c>
      <c r="E150" s="3" t="s">
        <v>421</v>
      </c>
      <c r="G150" s="3" t="s">
        <v>403</v>
      </c>
      <c r="H150" s="3">
        <v>3</v>
      </c>
      <c r="I150" s="3">
        <f>IF(H150="","",IF(H150="DNS",0,IF(H150="DQ",0,IF(H150="DNF",1,IF(AND(ISNUMBER(H150),H150&gt;59),1,_xlfn.XLOOKUP(H150,tbl_points[Place],tbl_points[Points],""))))))</f>
        <v>90</v>
      </c>
      <c r="J150" s="3" t="s">
        <v>410</v>
      </c>
      <c r="K150" s="3">
        <f>IF(J150="","",IF(J150="DNS",0,IF(J150="DQ",0,IF(J150="DNF",1,IF(AND(ISNUMBER(J150),J150&gt;59),1,_xlfn.XLOOKUP(J150,tbl_points[Place],tbl_points[Points],""))))))</f>
        <v>0</v>
      </c>
      <c r="L150" s="3" t="s">
        <v>410</v>
      </c>
      <c r="M150" s="3">
        <f>IF(L150="","",IF(L150="DNS",0,IF(L150="DQ",0,IF(L150="DNF",1,IF(AND(ISNUMBER(L150),L150&gt;59),1,_xlfn.XLOOKUP(L150,tbl_points[Place],tbl_points[Points],""))))))</f>
        <v>0</v>
      </c>
      <c r="N150" s="3" t="s">
        <v>410</v>
      </c>
      <c r="O150" s="3">
        <f>IF(N150="","",IF(N150="DNS",0,IF(N150="DQ",0,IF(N150="DNF",1,IF(AND(ISNUMBER(N150),N150&gt;59),1,_xlfn.XLOOKUP(N150,tbl_points[Place],tbl_points[Points],""))))))</f>
        <v>0</v>
      </c>
      <c r="P150" s="3" t="s">
        <v>410</v>
      </c>
      <c r="Q150" s="3">
        <f>IF(P150="","",IF(P150="DNS",0,IF(P150="DQ",0,IF(P150="DNF",1,IF(AND(ISNUMBER(P150),P150&gt;59),1,_xlfn.XLOOKUP(P150,tbl_points[Place],tbl_points[Points],""))))))</f>
        <v>0</v>
      </c>
      <c r="S150" s="3" t="str">
        <f>IF(R150="","",IF(R150="DNS",0,IF(R150="DQ",0,IF(R150="DNF",1,IF(AND(ISNUMBER(R150),R150&gt;59),1,_xlfn.XLOOKUP(R150,tbl_points[Place],tbl_points[Points],""))))))</f>
        <v/>
      </c>
      <c r="T15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0" s="3">
        <f>tbl_individual[[#This Row],[Total]]</f>
        <v>90</v>
      </c>
    </row>
    <row r="151" spans="1:22" x14ac:dyDescent="0.4">
      <c r="A151" t="s">
        <v>137</v>
      </c>
      <c r="B151" t="s">
        <v>13</v>
      </c>
      <c r="C151" t="s">
        <v>2</v>
      </c>
      <c r="D151" s="3">
        <v>1233</v>
      </c>
      <c r="E151" s="3" t="s">
        <v>421</v>
      </c>
      <c r="G151" s="3" t="s">
        <v>407</v>
      </c>
      <c r="H151" s="3">
        <v>4</v>
      </c>
      <c r="I151" s="3">
        <f>IF(H151="","",IF(H151="DNS",0,IF(H151="DQ",0,IF(H151="DNF",1,IF(AND(ISNUMBER(H151),H151&gt;59),1,_xlfn.XLOOKUP(H151,tbl_points[Place],tbl_points[Points],""))))))</f>
        <v>85</v>
      </c>
      <c r="J151" s="3" t="s">
        <v>410</v>
      </c>
      <c r="K151" s="3">
        <f>IF(J151="","",IF(J151="DNS",0,IF(J151="DQ",0,IF(J151="DNF",1,IF(AND(ISNUMBER(J151),J151&gt;59),1,_xlfn.XLOOKUP(J151,tbl_points[Place],tbl_points[Points],""))))))</f>
        <v>0</v>
      </c>
      <c r="L151" s="3">
        <v>5</v>
      </c>
      <c r="M151" s="3">
        <f>IF(L151="","",IF(L151="DNS",0,IF(L151="DQ",0,IF(L151="DNF",1,IF(AND(ISNUMBER(L151),L151&gt;59),1,_xlfn.XLOOKUP(L151,tbl_points[Place],tbl_points[Points],""))))))</f>
        <v>80</v>
      </c>
      <c r="N151" s="3" t="s">
        <v>409</v>
      </c>
      <c r="O151" s="3">
        <f>IF(N151="","",IF(N151="DNS",0,IF(N151="DQ",0,IF(N151="DNF",1,IF(AND(ISNUMBER(N151),N151&gt;59),1,_xlfn.XLOOKUP(N151,tbl_points[Place],tbl_points[Points],""))))))</f>
        <v>1</v>
      </c>
      <c r="P151" s="3" t="s">
        <v>410</v>
      </c>
      <c r="Q151" s="3">
        <f>IF(P151="","",IF(P151="DNS",0,IF(P151="DQ",0,IF(P151="DNF",1,IF(AND(ISNUMBER(P151),P151&gt;59),1,_xlfn.XLOOKUP(P151,tbl_points[Place],tbl_points[Points],""))))))</f>
        <v>0</v>
      </c>
      <c r="S151" s="3" t="str">
        <f>IF(R151="","",IF(R151="DNS",0,IF(R151="DQ",0,IF(R151="DNF",1,IF(AND(ISNUMBER(R151),R151&gt;59),1,_xlfn.XLOOKUP(R151,tbl_points[Place],tbl_points[Points],""))))))</f>
        <v/>
      </c>
      <c r="T151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1" s="3">
        <f>tbl_individual[[#This Row],[Total]]</f>
        <v>166</v>
      </c>
    </row>
    <row r="152" spans="1:22" x14ac:dyDescent="0.4">
      <c r="A152" t="s">
        <v>221</v>
      </c>
      <c r="B152" t="s">
        <v>21</v>
      </c>
      <c r="C152" t="s">
        <v>2</v>
      </c>
      <c r="D152" s="3">
        <v>1237</v>
      </c>
      <c r="E152" s="3" t="s">
        <v>421</v>
      </c>
      <c r="G152" s="3" t="s">
        <v>407</v>
      </c>
      <c r="H152" s="3">
        <v>11</v>
      </c>
      <c r="I152" s="3">
        <f>IF(H152="","",IF(H152="DNS",0,IF(H152="DQ",0,IF(H152="DNF",1,IF(AND(ISNUMBER(H152),H152&gt;59),1,_xlfn.XLOOKUP(H152,tbl_points[Place],tbl_points[Points],""))))))</f>
        <v>53</v>
      </c>
      <c r="J152" s="3" t="s">
        <v>410</v>
      </c>
      <c r="K152" s="3">
        <f>IF(J152="","",IF(J152="DNS",0,IF(J152="DQ",0,IF(J152="DNF",1,IF(AND(ISNUMBER(J152),J152&gt;59),1,_xlfn.XLOOKUP(J152,tbl_points[Place],tbl_points[Points],""))))))</f>
        <v>0</v>
      </c>
      <c r="L152" s="3" t="s">
        <v>410</v>
      </c>
      <c r="M152" s="3">
        <f>IF(L152="","",IF(L152="DNS",0,IF(L152="DQ",0,IF(L152="DNF",1,IF(AND(ISNUMBER(L152),L152&gt;59),1,_xlfn.XLOOKUP(L152,tbl_points[Place],tbl_points[Points],""))))))</f>
        <v>0</v>
      </c>
      <c r="N152" s="3" t="s">
        <v>410</v>
      </c>
      <c r="O152" s="3">
        <f>IF(N152="","",IF(N152="DNS",0,IF(N152="DQ",0,IF(N152="DNF",1,IF(AND(ISNUMBER(N152),N152&gt;59),1,_xlfn.XLOOKUP(N152,tbl_points[Place],tbl_points[Points],""))))))</f>
        <v>0</v>
      </c>
      <c r="P152" s="3" t="s">
        <v>410</v>
      </c>
      <c r="Q152" s="3">
        <f>IF(P152="","",IF(P152="DNS",0,IF(P152="DQ",0,IF(P152="DNF",1,IF(AND(ISNUMBER(P152),P152&gt;59),1,_xlfn.XLOOKUP(P152,tbl_points[Place],tbl_points[Points],""))))))</f>
        <v>0</v>
      </c>
      <c r="S152" s="3" t="str">
        <f>IF(R152="","",IF(R152="DNS",0,IF(R152="DQ",0,IF(R152="DNF",1,IF(AND(ISNUMBER(R152),R152&gt;59),1,_xlfn.XLOOKUP(R152,tbl_points[Place],tbl_points[Points],""))))))</f>
        <v/>
      </c>
      <c r="T152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2" s="3">
        <f>tbl_individual[[#This Row],[Total]]</f>
        <v>53</v>
      </c>
    </row>
    <row r="153" spans="1:22" x14ac:dyDescent="0.4">
      <c r="A153" t="s">
        <v>222</v>
      </c>
      <c r="B153" t="s">
        <v>21</v>
      </c>
      <c r="C153" t="s">
        <v>2</v>
      </c>
      <c r="D153" s="3">
        <v>1238</v>
      </c>
      <c r="E153" s="3" t="s">
        <v>421</v>
      </c>
      <c r="G153" s="3" t="s">
        <v>403</v>
      </c>
      <c r="H153" s="3" t="s">
        <v>410</v>
      </c>
      <c r="I153" s="3">
        <f>IF(H153="","",IF(H153="DNS",0,IF(H153="DQ",0,IF(H153="DNF",1,IF(AND(ISNUMBER(H153),H153&gt;59),1,_xlfn.XLOOKUP(H153,tbl_points[Place],tbl_points[Points],""))))))</f>
        <v>0</v>
      </c>
      <c r="J153" s="3">
        <v>2</v>
      </c>
      <c r="K153" s="3">
        <f>IF(J153="","",IF(J153="DNS",0,IF(J153="DQ",0,IF(J153="DNF",1,IF(AND(ISNUMBER(J153),J153&gt;59),1,_xlfn.XLOOKUP(J153,tbl_points[Place],tbl_points[Points],""))))))</f>
        <v>95</v>
      </c>
      <c r="L153" s="3" t="s">
        <v>410</v>
      </c>
      <c r="M153" s="3">
        <f>IF(L153="","",IF(L153="DNS",0,IF(L153="DQ",0,IF(L153="DNF",1,IF(AND(ISNUMBER(L153),L153&gt;59),1,_xlfn.XLOOKUP(L153,tbl_points[Place],tbl_points[Points],""))))))</f>
        <v>0</v>
      </c>
      <c r="N153" s="3" t="s">
        <v>410</v>
      </c>
      <c r="O153" s="3">
        <f>IF(N153="","",IF(N153="DNS",0,IF(N153="DQ",0,IF(N153="DNF",1,IF(AND(ISNUMBER(N153),N153&gt;59),1,_xlfn.XLOOKUP(N153,tbl_points[Place],tbl_points[Points],""))))))</f>
        <v>0</v>
      </c>
      <c r="P153" s="3" t="s">
        <v>410</v>
      </c>
      <c r="Q153" s="3">
        <f>IF(P153="","",IF(P153="DNS",0,IF(P153="DQ",0,IF(P153="DNF",1,IF(AND(ISNUMBER(P153),P153&gt;59),1,_xlfn.XLOOKUP(P153,tbl_points[Place],tbl_points[Points],""))))))</f>
        <v>0</v>
      </c>
      <c r="S153" s="3" t="str">
        <f>IF(R153="","",IF(R153="DNS",0,IF(R153="DQ",0,IF(R153="DNF",1,IF(AND(ISNUMBER(R153),R153&gt;59),1,_xlfn.XLOOKUP(R153,tbl_points[Place],tbl_points[Points],""))))))</f>
        <v/>
      </c>
      <c r="T153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3" s="3">
        <f>tbl_individual[[#This Row],[Total]]</f>
        <v>95</v>
      </c>
    </row>
    <row r="154" spans="1:22" x14ac:dyDescent="0.4">
      <c r="A154" t="s">
        <v>264</v>
      </c>
      <c r="B154" t="s">
        <v>23</v>
      </c>
      <c r="C154" t="s">
        <v>2</v>
      </c>
      <c r="D154" s="3">
        <v>1239</v>
      </c>
      <c r="E154" s="3" t="s">
        <v>421</v>
      </c>
      <c r="G154" s="3" t="s">
        <v>407</v>
      </c>
      <c r="H154" s="3" t="s">
        <v>410</v>
      </c>
      <c r="I154" s="3">
        <f>IF(H154="","",IF(H154="DNS",0,IF(H154="DQ",0,IF(H154="DNF",1,IF(AND(ISNUMBER(H154),H154&gt;59),1,_xlfn.XLOOKUP(H154,tbl_points[Place],tbl_points[Points],""))))))</f>
        <v>0</v>
      </c>
      <c r="J154" s="3" t="s">
        <v>410</v>
      </c>
      <c r="K154" s="3">
        <f>IF(J154="","",IF(J154="DNS",0,IF(J154="DQ",0,IF(J154="DNF",1,IF(AND(ISNUMBER(J154),J154&gt;59),1,_xlfn.XLOOKUP(J154,tbl_points[Place],tbl_points[Points],""))))))</f>
        <v>0</v>
      </c>
      <c r="L154" s="3" t="s">
        <v>410</v>
      </c>
      <c r="M154" s="3">
        <f>IF(L154="","",IF(L154="DNS",0,IF(L154="DQ",0,IF(L154="DNF",1,IF(AND(ISNUMBER(L154),L154&gt;59),1,_xlfn.XLOOKUP(L154,tbl_points[Place],tbl_points[Points],""))))))</f>
        <v>0</v>
      </c>
      <c r="N154" s="3" t="s">
        <v>410</v>
      </c>
      <c r="O154" s="3">
        <f>IF(N154="","",IF(N154="DNS",0,IF(N154="DQ",0,IF(N154="DNF",1,IF(AND(ISNUMBER(N154),N154&gt;59),1,_xlfn.XLOOKUP(N154,tbl_points[Place],tbl_points[Points],""))))))</f>
        <v>0</v>
      </c>
      <c r="P154" s="3" t="s">
        <v>410</v>
      </c>
      <c r="Q154" s="3">
        <f>IF(P154="","",IF(P154="DNS",0,IF(P154="DQ",0,IF(P154="DNF",1,IF(AND(ISNUMBER(P154),P154&gt;59),1,_xlfn.XLOOKUP(P154,tbl_points[Place],tbl_points[Points],""))))))</f>
        <v>0</v>
      </c>
      <c r="S154" s="3" t="str">
        <f>IF(R154="","",IF(R154="DNS",0,IF(R154="DQ",0,IF(R154="DNF",1,IF(AND(ISNUMBER(R154),R154&gt;59),1,_xlfn.XLOOKUP(R154,tbl_points[Place],tbl_points[Points],""))))))</f>
        <v/>
      </c>
      <c r="T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4" s="3">
        <f>tbl_individual[[#This Row],[Total]]</f>
        <v>0</v>
      </c>
    </row>
    <row r="155" spans="1:22" x14ac:dyDescent="0.4">
      <c r="A155" t="s">
        <v>329</v>
      </c>
      <c r="B155" t="s">
        <v>27</v>
      </c>
      <c r="C155" t="s">
        <v>2</v>
      </c>
      <c r="D155" s="3">
        <v>1243</v>
      </c>
      <c r="E155" s="3" t="s">
        <v>421</v>
      </c>
      <c r="G155" s="3" t="s">
        <v>403</v>
      </c>
      <c r="H155" s="3" t="s">
        <v>409</v>
      </c>
      <c r="I155" s="3">
        <f>IF(H155="","",IF(H155="DNS",0,IF(H155="DQ",0,IF(H155="DNF",1,IF(AND(ISNUMBER(H155),H155&gt;59),1,_xlfn.XLOOKUP(H155,tbl_points[Place],tbl_points[Points],""))))))</f>
        <v>1</v>
      </c>
      <c r="J155" s="3" t="s">
        <v>410</v>
      </c>
      <c r="K155" s="3">
        <f>IF(J155="","",IF(J155="DNS",0,IF(J155="DQ",0,IF(J155="DNF",1,IF(AND(ISNUMBER(J155),J155&gt;59),1,_xlfn.XLOOKUP(J155,tbl_points[Place],tbl_points[Points],""))))))</f>
        <v>0</v>
      </c>
      <c r="L155" s="3" t="s">
        <v>410</v>
      </c>
      <c r="M155" s="3">
        <f>IF(L155="","",IF(L155="DNS",0,IF(L155="DQ",0,IF(L155="DNF",1,IF(AND(ISNUMBER(L155),L155&gt;59),1,_xlfn.XLOOKUP(L155,tbl_points[Place],tbl_points[Points],""))))))</f>
        <v>0</v>
      </c>
      <c r="N155" s="3" t="s">
        <v>410</v>
      </c>
      <c r="O155" s="3">
        <f>IF(N155="","",IF(N155="DNS",0,IF(N155="DQ",0,IF(N155="DNF",1,IF(AND(ISNUMBER(N155),N155&gt;59),1,_xlfn.XLOOKUP(N155,tbl_points[Place],tbl_points[Points],""))))))</f>
        <v>0</v>
      </c>
      <c r="P155" s="3" t="s">
        <v>410</v>
      </c>
      <c r="Q155" s="3">
        <f>IF(P155="","",IF(P155="DNS",0,IF(P155="DQ",0,IF(P155="DNF",1,IF(AND(ISNUMBER(P155),P155&gt;59),1,_xlfn.XLOOKUP(P155,tbl_points[Place],tbl_points[Points],""))))))</f>
        <v>0</v>
      </c>
      <c r="S155" s="3" t="str">
        <f>IF(R155="","",IF(R155="DNS",0,IF(R155="DQ",0,IF(R155="DNF",1,IF(AND(ISNUMBER(R155),R155&gt;59),1,_xlfn.XLOOKUP(R155,tbl_points[Place],tbl_points[Points],""))))))</f>
        <v/>
      </c>
      <c r="T15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5" s="3">
        <f>tbl_individual[[#This Row],[Total]]</f>
        <v>1</v>
      </c>
    </row>
    <row r="156" spans="1:22" x14ac:dyDescent="0.4">
      <c r="A156" t="s">
        <v>374</v>
      </c>
      <c r="B156" t="s">
        <v>30</v>
      </c>
      <c r="C156" t="s">
        <v>2</v>
      </c>
      <c r="D156" s="3">
        <v>1247</v>
      </c>
      <c r="E156" s="3" t="s">
        <v>421</v>
      </c>
      <c r="G156" s="3" t="s">
        <v>403</v>
      </c>
      <c r="H156" s="3" t="s">
        <v>410</v>
      </c>
      <c r="I156" s="3">
        <f>IF(H156="","",IF(H156="DNS",0,IF(H156="DQ",0,IF(H156="DNF",1,IF(AND(ISNUMBER(H156),H156&gt;59),1,_xlfn.XLOOKUP(H156,tbl_points[Place],tbl_points[Points],""))))))</f>
        <v>0</v>
      </c>
      <c r="J156" s="3">
        <v>12</v>
      </c>
      <c r="K156" s="3">
        <f>IF(J156="","",IF(J156="DNS",0,IF(J156="DQ",0,IF(J156="DNF",1,IF(AND(ISNUMBER(J156),J156&gt;59),1,_xlfn.XLOOKUP(J156,tbl_points[Place],tbl_points[Points],""))))))</f>
        <v>51</v>
      </c>
      <c r="L156" s="3" t="s">
        <v>410</v>
      </c>
      <c r="M156" s="3">
        <f>IF(L156="","",IF(L156="DNS",0,IF(L156="DQ",0,IF(L156="DNF",1,IF(AND(ISNUMBER(L156),L156&gt;59),1,_xlfn.XLOOKUP(L156,tbl_points[Place],tbl_points[Points],""))))))</f>
        <v>0</v>
      </c>
      <c r="N156" s="3" t="s">
        <v>410</v>
      </c>
      <c r="O156" s="3">
        <f>IF(N156="","",IF(N156="DNS",0,IF(N156="DQ",0,IF(N156="DNF",1,IF(AND(ISNUMBER(N156),N156&gt;59),1,_xlfn.XLOOKUP(N156,tbl_points[Place],tbl_points[Points],""))))))</f>
        <v>0</v>
      </c>
      <c r="P156" s="3" t="s">
        <v>410</v>
      </c>
      <c r="Q156" s="3">
        <f>IF(P156="","",IF(P156="DNS",0,IF(P156="DQ",0,IF(P156="DNF",1,IF(AND(ISNUMBER(P156),P156&gt;59),1,_xlfn.XLOOKUP(P156,tbl_points[Place],tbl_points[Points],""))))))</f>
        <v>0</v>
      </c>
      <c r="S156" s="3" t="str">
        <f>IF(R156="","",IF(R156="DNS",0,IF(R156="DQ",0,IF(R156="DNF",1,IF(AND(ISNUMBER(R156),R156&gt;59),1,_xlfn.XLOOKUP(R156,tbl_points[Place],tbl_points[Points],""))))))</f>
        <v/>
      </c>
      <c r="T156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6" s="3">
        <f>tbl_individual[[#This Row],[Total]]</f>
        <v>51</v>
      </c>
    </row>
    <row r="157" spans="1:22" x14ac:dyDescent="0.4">
      <c r="A157" t="s">
        <v>404</v>
      </c>
      <c r="B157" t="s">
        <v>15</v>
      </c>
      <c r="C157" t="s">
        <v>7</v>
      </c>
      <c r="D157" s="3">
        <v>8009</v>
      </c>
      <c r="E157" s="3" t="s">
        <v>421</v>
      </c>
      <c r="F157" s="17" t="s">
        <v>432</v>
      </c>
      <c r="G157" s="3" t="s">
        <v>407</v>
      </c>
      <c r="H157" s="3">
        <v>9</v>
      </c>
      <c r="I157" s="3">
        <f>IF(H157="","",IF(H157="DNS",0,IF(H157="DQ",0,IF(H157="DNF",1,IF(AND(ISNUMBER(H157),H157&gt;59),1,_xlfn.XLOOKUP(H157,tbl_points[Place],tbl_points[Points],""))))))</f>
        <v>60</v>
      </c>
      <c r="J157" s="3" t="s">
        <v>447</v>
      </c>
      <c r="K157" s="3">
        <f>IF(J157="","",IF(J157="DNS",0,IF(J157="DQ",0,IF(J157="DNF",1,IF(AND(ISNUMBER(J157),J157&gt;59),1,_xlfn.XLOOKUP(J157,tbl_points[Place],tbl_points[Points],""))))))</f>
        <v>0</v>
      </c>
      <c r="L157" s="3" t="s">
        <v>410</v>
      </c>
      <c r="M157" s="3">
        <f>IF(L157="","",IF(L157="DNS",0,IF(L157="DQ",0,IF(L157="DNF",1,IF(AND(ISNUMBER(L157),L157&gt;59),1,_xlfn.XLOOKUP(L157,tbl_points[Place],tbl_points[Points],""))))))</f>
        <v>0</v>
      </c>
      <c r="N157" s="3" t="s">
        <v>410</v>
      </c>
      <c r="O157" s="3">
        <f>IF(N157="","",IF(N157="DNS",0,IF(N157="DQ",0,IF(N157="DNF",1,IF(AND(ISNUMBER(N157),N157&gt;59),1,_xlfn.XLOOKUP(N157,tbl_points[Place],tbl_points[Points],""))))))</f>
        <v>0</v>
      </c>
      <c r="P157" s="3" t="s">
        <v>410</v>
      </c>
      <c r="Q157" s="3">
        <f>IF(P157="","",IF(P157="DNS",0,IF(P157="DQ",0,IF(P157="DNF",1,IF(AND(ISNUMBER(P157),P157&gt;59),1,_xlfn.XLOOKUP(P157,tbl_points[Place],tbl_points[Points],""))))))</f>
        <v>0</v>
      </c>
      <c r="S157" s="3" t="str">
        <f>IF(R157="","",IF(R157="DNS",0,IF(R157="DQ",0,IF(R157="DNF",1,IF(AND(ISNUMBER(R157),R157&gt;59),1,_xlfn.XLOOKUP(R157,tbl_points[Place],tbl_points[Points],""))))))</f>
        <v/>
      </c>
      <c r="T157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7" s="3">
        <f>tbl_individual[[#This Row],[Total]]</f>
        <v>60</v>
      </c>
    </row>
    <row r="158" spans="1:22" x14ac:dyDescent="0.4">
      <c r="A158" t="s">
        <v>54</v>
      </c>
      <c r="B158" t="s">
        <v>10</v>
      </c>
      <c r="C158" t="s">
        <v>7</v>
      </c>
      <c r="D158" s="3">
        <v>8049</v>
      </c>
      <c r="E158" s="3" t="s">
        <v>421</v>
      </c>
      <c r="G158" s="3" t="s">
        <v>403</v>
      </c>
      <c r="H158" s="3">
        <v>25</v>
      </c>
      <c r="I158" s="3">
        <f>IF(H158="","",IF(H158="DNS",0,IF(H158="DQ",0,IF(H158="DNF",1,IF(AND(ISNUMBER(H158),H158&gt;59),1,_xlfn.XLOOKUP(H158,tbl_points[Place],tbl_points[Points],""))))))</f>
        <v>35</v>
      </c>
      <c r="J158" s="3">
        <v>32</v>
      </c>
      <c r="K158" s="3">
        <f>IF(J158="","",IF(J158="DNS",0,IF(J158="DQ",0,IF(J158="DNF",1,IF(AND(ISNUMBER(J158),J158&gt;59),1,_xlfn.XLOOKUP(J158,tbl_points[Place],tbl_points[Points],""))))))</f>
        <v>28</v>
      </c>
      <c r="L158" s="3">
        <v>21</v>
      </c>
      <c r="M158" s="3">
        <f>IF(L158="","",IF(L158="DNS",0,IF(L158="DQ",0,IF(L158="DNF",1,IF(AND(ISNUMBER(L158),L158&gt;59),1,_xlfn.XLOOKUP(L158,tbl_points[Place],tbl_points[Points],""))))))</f>
        <v>39</v>
      </c>
      <c r="N158" s="3">
        <v>29</v>
      </c>
      <c r="O158" s="3">
        <f>IF(N158="","",IF(N158="DNS",0,IF(N158="DQ",0,IF(N158="DNF",1,IF(AND(ISNUMBER(N158),N158&gt;59),1,_xlfn.XLOOKUP(N158,tbl_points[Place],tbl_points[Points],""))))))</f>
        <v>31</v>
      </c>
      <c r="P158" s="3">
        <v>36</v>
      </c>
      <c r="Q158" s="3">
        <f>IF(P158="","",IF(P158="DNS",0,IF(P158="DQ",0,IF(P158="DNF",1,IF(AND(ISNUMBER(P158),P158&gt;59),1,_xlfn.XLOOKUP(P158,tbl_points[Place],tbl_points[Points],""))))))</f>
        <v>24</v>
      </c>
      <c r="S158" s="3" t="str">
        <f>IF(R158="","",IF(R158="DNS",0,IF(R158="DQ",0,IF(R158="DNF",1,IF(AND(ISNUMBER(R158),R158&gt;59),1,_xlfn.XLOOKUP(R158,tbl_points[Place],tbl_points[Points],""))))))</f>
        <v/>
      </c>
      <c r="T158" s="3">
        <f>SUM(tbl_individual[[#This Row],[R1 Pts]],tbl_individual[[#This Row],[R2 Pts]],tbl_individual[[#This Row],[R3 Pts]],tbl_individual[[#This Row],[R4 Pts]],tbl_individual[[#This Row],[R5 Pts]],tbl_individual[[#This Row],[R6 Pts]])</f>
        <v>157</v>
      </c>
      <c r="U158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158" s="3">
        <f>tbl_individual[[#This Row],[Total]]</f>
        <v>157</v>
      </c>
    </row>
    <row r="159" spans="1:22" x14ac:dyDescent="0.4">
      <c r="A159" t="s">
        <v>379</v>
      </c>
      <c r="B159" t="s">
        <v>31</v>
      </c>
      <c r="C159" t="s">
        <v>7</v>
      </c>
      <c r="D159" s="3">
        <v>8084</v>
      </c>
      <c r="E159" s="3" t="s">
        <v>421</v>
      </c>
      <c r="G159" s="3" t="s">
        <v>403</v>
      </c>
      <c r="H159" s="3" t="s">
        <v>410</v>
      </c>
      <c r="I159" s="3">
        <f>IF(H159="","",IF(H159="DNS",0,IF(H159="DQ",0,IF(H159="DNF",1,IF(AND(ISNUMBER(H159),H159&gt;59),1,_xlfn.XLOOKUP(H159,tbl_points[Place],tbl_points[Points],""))))))</f>
        <v>0</v>
      </c>
      <c r="J159" s="3">
        <v>9</v>
      </c>
      <c r="K159" s="3">
        <f>IF(J159="","",IF(J159="DNS",0,IF(J159="DQ",0,IF(J159="DNF",1,IF(AND(ISNUMBER(J159),J159&gt;59),1,_xlfn.XLOOKUP(J159,tbl_points[Place],tbl_points[Points],""))))))</f>
        <v>60</v>
      </c>
      <c r="L159" s="3">
        <v>28</v>
      </c>
      <c r="M159" s="3">
        <f>IF(L159="","",IF(L159="DNS",0,IF(L159="DQ",0,IF(L159="DNF",1,IF(AND(ISNUMBER(L159),L159&gt;59),1,_xlfn.XLOOKUP(L159,tbl_points[Place],tbl_points[Points],""))))))</f>
        <v>32</v>
      </c>
      <c r="N159" s="3">
        <v>10</v>
      </c>
      <c r="O159" s="3">
        <f>IF(N159="","",IF(N159="DNS",0,IF(N159="DQ",0,IF(N159="DNF",1,IF(AND(ISNUMBER(N159),N159&gt;59),1,_xlfn.XLOOKUP(N159,tbl_points[Place],tbl_points[Points],""))))))</f>
        <v>55</v>
      </c>
      <c r="P159" s="3">
        <v>26</v>
      </c>
      <c r="Q159" s="3">
        <f>IF(P159="","",IF(P159="DNS",0,IF(P159="DQ",0,IF(P159="DNF",1,IF(AND(ISNUMBER(P159),P159&gt;59),1,_xlfn.XLOOKUP(P159,tbl_points[Place],tbl_points[Points],""))))))</f>
        <v>34</v>
      </c>
      <c r="S159" s="3" t="str">
        <f>IF(R159="","",IF(R159="DNS",0,IF(R159="DQ",0,IF(R159="DNF",1,IF(AND(ISNUMBER(R159),R159&gt;59),1,_xlfn.XLOOKUP(R159,tbl_points[Place],tbl_points[Points],""))))))</f>
        <v/>
      </c>
      <c r="T159" s="3">
        <f>SUM(tbl_individual[[#This Row],[R1 Pts]],tbl_individual[[#This Row],[R2 Pts]],tbl_individual[[#This Row],[R3 Pts]],tbl_individual[[#This Row],[R4 Pts]],tbl_individual[[#This Row],[R5 Pts]],tbl_individual[[#This Row],[R6 Pts]])</f>
        <v>181</v>
      </c>
      <c r="U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9" s="3">
        <f>tbl_individual[[#This Row],[Total]]</f>
        <v>181</v>
      </c>
    </row>
    <row r="160" spans="1:22" x14ac:dyDescent="0.4">
      <c r="A160" t="s">
        <v>55</v>
      </c>
      <c r="B160" t="s">
        <v>10</v>
      </c>
      <c r="C160" t="s">
        <v>7</v>
      </c>
      <c r="D160" s="3">
        <v>8086</v>
      </c>
      <c r="E160" s="3" t="s">
        <v>421</v>
      </c>
      <c r="G160" s="3" t="s">
        <v>403</v>
      </c>
      <c r="H160" s="3" t="s">
        <v>410</v>
      </c>
      <c r="I160" s="3">
        <f>IF(H160="","",IF(H160="DNS",0,IF(H160="DQ",0,IF(H160="DNF",1,IF(AND(ISNUMBER(H160),H160&gt;59),1,_xlfn.XLOOKUP(H160,tbl_points[Place],tbl_points[Points],""))))))</f>
        <v>0</v>
      </c>
      <c r="J160" s="3">
        <v>36</v>
      </c>
      <c r="K160" s="3">
        <f>IF(J160="","",IF(J160="DNS",0,IF(J160="DQ",0,IF(J160="DNF",1,IF(AND(ISNUMBER(J160),J160&gt;59),1,_xlfn.XLOOKUP(J160,tbl_points[Place],tbl_points[Points],""))))))</f>
        <v>24</v>
      </c>
      <c r="L160" s="3">
        <v>27</v>
      </c>
      <c r="M160" s="3">
        <f>IF(L160="","",IF(L160="DNS",0,IF(L160="DQ",0,IF(L160="DNF",1,IF(AND(ISNUMBER(L160),L160&gt;59),1,_xlfn.XLOOKUP(L160,tbl_points[Place],tbl_points[Points],""))))))</f>
        <v>33</v>
      </c>
      <c r="N160" s="3">
        <v>23</v>
      </c>
      <c r="O160" s="3">
        <f>IF(N160="","",IF(N160="DNS",0,IF(N160="DQ",0,IF(N160="DNF",1,IF(AND(ISNUMBER(N160),N160&gt;59),1,_xlfn.XLOOKUP(N160,tbl_points[Place],tbl_points[Points],""))))))</f>
        <v>37</v>
      </c>
      <c r="P160" s="3" t="s">
        <v>410</v>
      </c>
      <c r="Q160" s="3">
        <f>IF(P160="","",IF(P160="DNS",0,IF(P160="DQ",0,IF(P160="DNF",1,IF(AND(ISNUMBER(P160),P160&gt;59),1,_xlfn.XLOOKUP(P160,tbl_points[Place],tbl_points[Points],""))))))</f>
        <v>0</v>
      </c>
      <c r="S160" s="3" t="str">
        <f>IF(R160="","",IF(R160="DNS",0,IF(R160="DQ",0,IF(R160="DNF",1,IF(AND(ISNUMBER(R160),R160&gt;59),1,_xlfn.XLOOKUP(R160,tbl_points[Place],tbl_points[Points],""))))))</f>
        <v/>
      </c>
      <c r="T160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0" s="3">
        <f>tbl_individual[[#This Row],[Total]]</f>
        <v>94</v>
      </c>
    </row>
    <row r="161" spans="1:22" x14ac:dyDescent="0.4">
      <c r="A161" t="s">
        <v>57</v>
      </c>
      <c r="B161" t="s">
        <v>10</v>
      </c>
      <c r="C161" t="s">
        <v>7</v>
      </c>
      <c r="D161" s="3">
        <v>8147</v>
      </c>
      <c r="E161" s="3" t="s">
        <v>421</v>
      </c>
      <c r="G161" s="3" t="s">
        <v>403</v>
      </c>
      <c r="H161" s="3">
        <v>23</v>
      </c>
      <c r="I161" s="3">
        <f>IF(H161="","",IF(H161="DNS",0,IF(H161="DQ",0,IF(H161="DNF",1,IF(AND(ISNUMBER(H161),H161&gt;59),1,_xlfn.XLOOKUP(H161,tbl_points[Place],tbl_points[Points],""))))))</f>
        <v>37</v>
      </c>
      <c r="J161" s="3">
        <v>22</v>
      </c>
      <c r="K161" s="3">
        <f>IF(J161="","",IF(J161="DNS",0,IF(J161="DQ",0,IF(J161="DNF",1,IF(AND(ISNUMBER(J161),J161&gt;59),1,_xlfn.XLOOKUP(J161,tbl_points[Place],tbl_points[Points],""))))))</f>
        <v>38</v>
      </c>
      <c r="L161" s="3">
        <v>19</v>
      </c>
      <c r="M161" s="3">
        <f>IF(L161="","",IF(L161="DNS",0,IF(L161="DQ",0,IF(L161="DNF",1,IF(AND(ISNUMBER(L161),L161&gt;59),1,_xlfn.XLOOKUP(L161,tbl_points[Place],tbl_points[Points],""))))))</f>
        <v>41</v>
      </c>
      <c r="N161" s="3">
        <v>16</v>
      </c>
      <c r="O161" s="3">
        <f>IF(N161="","",IF(N161="DNS",0,IF(N161="DQ",0,IF(N161="DNF",1,IF(AND(ISNUMBER(N161),N161&gt;59),1,_xlfn.XLOOKUP(N161,tbl_points[Place],tbl_points[Points],""))))))</f>
        <v>44</v>
      </c>
      <c r="P161" s="3">
        <v>17</v>
      </c>
      <c r="Q161" s="3">
        <f>IF(P161="","",IF(P161="DNS",0,IF(P161="DQ",0,IF(P161="DNF",1,IF(AND(ISNUMBER(P161),P161&gt;59),1,_xlfn.XLOOKUP(P161,tbl_points[Place],tbl_points[Points],""))))))</f>
        <v>43</v>
      </c>
      <c r="S161" s="3" t="str">
        <f>IF(R161="","",IF(R161="DNS",0,IF(R161="DQ",0,IF(R161="DNF",1,IF(AND(ISNUMBER(R161),R161&gt;59),1,_xlfn.XLOOKUP(R161,tbl_points[Place],tbl_points[Points],""))))))</f>
        <v/>
      </c>
      <c r="T161" s="3">
        <f>SUM(tbl_individual[[#This Row],[R1 Pts]],tbl_individual[[#This Row],[R2 Pts]],tbl_individual[[#This Row],[R3 Pts]],tbl_individual[[#This Row],[R4 Pts]],tbl_individual[[#This Row],[R5 Pts]],tbl_individual[[#This Row],[R6 Pts]])</f>
        <v>203</v>
      </c>
      <c r="U161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61" s="3">
        <f>tbl_individual[[#This Row],[Total]]</f>
        <v>203</v>
      </c>
    </row>
    <row r="162" spans="1:22" x14ac:dyDescent="0.4">
      <c r="A162" t="s">
        <v>60</v>
      </c>
      <c r="B162" t="s">
        <v>10</v>
      </c>
      <c r="C162" t="s">
        <v>7</v>
      </c>
      <c r="D162" s="3">
        <v>8181</v>
      </c>
      <c r="E162" s="3" t="s">
        <v>421</v>
      </c>
      <c r="G162" s="3" t="s">
        <v>403</v>
      </c>
      <c r="H162" s="3" t="s">
        <v>410</v>
      </c>
      <c r="I162" s="3">
        <f>IF(H162="","",IF(H162="DNS",0,IF(H162="DQ",0,IF(H162="DNF",1,IF(AND(ISNUMBER(H162),H162&gt;59),1,_xlfn.XLOOKUP(H162,tbl_points[Place],tbl_points[Points],""))))))</f>
        <v>0</v>
      </c>
      <c r="J162" s="3">
        <v>41</v>
      </c>
      <c r="K162" s="3">
        <f>IF(J162="","",IF(J162="DNS",0,IF(J162="DQ",0,IF(J162="DNF",1,IF(AND(ISNUMBER(J162),J162&gt;59),1,_xlfn.XLOOKUP(J162,tbl_points[Place],tbl_points[Points],""))))))</f>
        <v>19</v>
      </c>
      <c r="L162" s="3">
        <v>35</v>
      </c>
      <c r="M162" s="3">
        <f>IF(L162="","",IF(L162="DNS",0,IF(L162="DQ",0,IF(L162="DNF",1,IF(AND(ISNUMBER(L162),L162&gt;59),1,_xlfn.XLOOKUP(L162,tbl_points[Place],tbl_points[Points],""))))))</f>
        <v>25</v>
      </c>
      <c r="N162" s="3">
        <v>28</v>
      </c>
      <c r="O162" s="3">
        <f>IF(N162="","",IF(N162="DNS",0,IF(N162="DQ",0,IF(N162="DNF",1,IF(AND(ISNUMBER(N162),N162&gt;59),1,_xlfn.XLOOKUP(N162,tbl_points[Place],tbl_points[Points],""))))))</f>
        <v>32</v>
      </c>
      <c r="P162" s="3" t="s">
        <v>410</v>
      </c>
      <c r="Q162" s="3">
        <f>IF(P162="","",IF(P162="DNS",0,IF(P162="DQ",0,IF(P162="DNF",1,IF(AND(ISNUMBER(P162),P162&gt;59),1,_xlfn.XLOOKUP(P162,tbl_points[Place],tbl_points[Points],""))))))</f>
        <v>0</v>
      </c>
      <c r="S162" s="3" t="str">
        <f>IF(R162="","",IF(R162="DNS",0,IF(R162="DQ",0,IF(R162="DNF",1,IF(AND(ISNUMBER(R162),R162&gt;59),1,_xlfn.XLOOKUP(R162,tbl_points[Place],tbl_points[Points],""))))))</f>
        <v/>
      </c>
      <c r="T162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2" s="3">
        <f>tbl_individual[[#This Row],[Total]]</f>
        <v>76</v>
      </c>
    </row>
    <row r="163" spans="1:22" hidden="1" x14ac:dyDescent="0.4">
      <c r="A163" t="s">
        <v>208</v>
      </c>
      <c r="B163" t="s">
        <v>20</v>
      </c>
      <c r="C163" t="s">
        <v>2</v>
      </c>
      <c r="D163" s="3">
        <v>1234</v>
      </c>
      <c r="E163" s="3" t="s">
        <v>422</v>
      </c>
      <c r="G163" s="3" t="s">
        <v>407</v>
      </c>
      <c r="H163" s="3" t="s">
        <v>410</v>
      </c>
      <c r="I163" s="3">
        <f>IF(H163="","",IF(H163="DNS",0,IF(H163="DQ",0,IF(H163="DNF",1,IF(AND(ISNUMBER(H163),H163&gt;59),1,_xlfn.XLOOKUP(H163,tbl_points[Place],tbl_points[Points],""))))))</f>
        <v>0</v>
      </c>
      <c r="J163" s="3" t="s">
        <v>410</v>
      </c>
      <c r="K163" s="3">
        <f>IF(J163="","",IF(J163="DNS",0,IF(J163="DQ",0,IF(J163="DNF",1,IF(AND(ISNUMBER(J163),J163&gt;59),1,_xlfn.XLOOKUP(J163,tbl_points[Place],tbl_points[Points],""))))))</f>
        <v>0</v>
      </c>
      <c r="L163" s="3" t="s">
        <v>410</v>
      </c>
      <c r="M163" s="3">
        <f>IF(L163="","",IF(L163="DNS",0,IF(L163="DQ",0,IF(L163="DNF",1,IF(AND(ISNUMBER(L163),L163&gt;59),1,_xlfn.XLOOKUP(L163,tbl_points[Place],tbl_points[Points],""))))))</f>
        <v>0</v>
      </c>
      <c r="O163" s="3" t="str">
        <f>IF(N163="","",IF(N163="DNS",0,IF(N163="DQ",0,IF(N163="DNF",1,IF(AND(ISNUMBER(N163),N163&gt;59),1,_xlfn.XLOOKUP(N163,tbl_points[Place],tbl_points[Points],""))))))</f>
        <v/>
      </c>
      <c r="Q163" s="3" t="str">
        <f>IF(P163="","",IF(P163="DNS",0,IF(P163="DQ",0,IF(P163="DNF",1,IF(AND(ISNUMBER(P163),P163&gt;59),1,_xlfn.XLOOKUP(P163,tbl_points[Place],tbl_points[Points],""))))))</f>
        <v/>
      </c>
      <c r="S163" s="3" t="str">
        <f>IF(R163="","",IF(R163="DNS",0,IF(R163="DQ",0,IF(R163="DNF",1,IF(AND(ISNUMBER(R163),R163&gt;59),1,_xlfn.XLOOKUP(R163,tbl_points[Place],tbl_points[Points],""))))))</f>
        <v/>
      </c>
      <c r="T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3" s="3">
        <f>tbl_individual[[#This Row],[Total]]</f>
        <v>0</v>
      </c>
    </row>
    <row r="164" spans="1:22" x14ac:dyDescent="0.4">
      <c r="A164" t="s">
        <v>440</v>
      </c>
      <c r="B164" t="s">
        <v>10</v>
      </c>
      <c r="C164" t="s">
        <v>7</v>
      </c>
      <c r="D164" s="3">
        <v>8185</v>
      </c>
      <c r="E164" s="3" t="s">
        <v>421</v>
      </c>
      <c r="G164" s="3" t="s">
        <v>403</v>
      </c>
      <c r="H164" s="3" t="s">
        <v>409</v>
      </c>
      <c r="I164" s="3">
        <f>IF(H164="","",IF(H164="DNS",0,IF(H164="DQ",0,IF(H164="DNF",1,IF(AND(ISNUMBER(H164),H164&gt;59),1,_xlfn.XLOOKUP(H164,tbl_points[Place],tbl_points[Points],""))))))</f>
        <v>1</v>
      </c>
      <c r="J164" s="3">
        <v>34</v>
      </c>
      <c r="K164" s="3">
        <f>IF(J164="","",IF(J164="DNS",0,IF(J164="DQ",0,IF(J164="DNF",1,IF(AND(ISNUMBER(J164),J164&gt;59),1,_xlfn.XLOOKUP(J164,tbl_points[Place],tbl_points[Points],""))))))</f>
        <v>26</v>
      </c>
      <c r="L164" s="3">
        <v>8</v>
      </c>
      <c r="M164" s="3">
        <f>IF(L164="","",IF(L164="DNS",0,IF(L164="DQ",0,IF(L164="DNF",1,IF(AND(ISNUMBER(L164),L164&gt;59),1,_xlfn.XLOOKUP(L164,tbl_points[Place],tbl_points[Points],""))))))</f>
        <v>65</v>
      </c>
      <c r="N164" s="3">
        <v>22</v>
      </c>
      <c r="O164" s="3">
        <f>IF(N164="","",IF(N164="DNS",0,IF(N164="DQ",0,IF(N164="DNF",1,IF(AND(ISNUMBER(N164),N164&gt;59),1,_xlfn.XLOOKUP(N164,tbl_points[Place],tbl_points[Points],""))))))</f>
        <v>38</v>
      </c>
      <c r="P164" s="3">
        <v>23</v>
      </c>
      <c r="Q164" s="3">
        <f>IF(P164="","",IF(P164="DNS",0,IF(P164="DQ",0,IF(P164="DNF",1,IF(AND(ISNUMBER(P164),P164&gt;59),1,_xlfn.XLOOKUP(P164,tbl_points[Place],tbl_points[Points],""))))))</f>
        <v>37</v>
      </c>
      <c r="S164" s="3" t="str">
        <f>IF(R164="","",IF(R164="DNS",0,IF(R164="DQ",0,IF(R164="DNF",1,IF(AND(ISNUMBER(R164),R164&gt;59),1,_xlfn.XLOOKUP(R164,tbl_points[Place],tbl_points[Points],""))))))</f>
        <v/>
      </c>
      <c r="T164" s="3">
        <f>SUM(tbl_individual[[#This Row],[R1 Pts]],tbl_individual[[#This Row],[R2 Pts]],tbl_individual[[#This Row],[R3 Pts]],tbl_individual[[#This Row],[R4 Pts]],tbl_individual[[#This Row],[R5 Pts]],tbl_individual[[#This Row],[R6 Pts]])</f>
        <v>167</v>
      </c>
      <c r="U16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64" s="3">
        <f>tbl_individual[[#This Row],[Total]]</f>
        <v>167</v>
      </c>
    </row>
    <row r="165" spans="1:22" x14ac:dyDescent="0.4">
      <c r="A165" t="s">
        <v>102</v>
      </c>
      <c r="B165" t="s">
        <v>11</v>
      </c>
      <c r="C165" t="s">
        <v>7</v>
      </c>
      <c r="D165" s="3">
        <v>8189</v>
      </c>
      <c r="E165" s="3" t="s">
        <v>421</v>
      </c>
      <c r="G165" s="3" t="s">
        <v>403</v>
      </c>
      <c r="H165" s="3">
        <v>33</v>
      </c>
      <c r="I165" s="3">
        <f>IF(H165="","",IF(H165="DNS",0,IF(H165="DQ",0,IF(H165="DNF",1,IF(AND(ISNUMBER(H165),H165&gt;59),1,_xlfn.XLOOKUP(H165,tbl_points[Place],tbl_points[Points],""))))))</f>
        <v>27</v>
      </c>
      <c r="J165" s="3">
        <v>38</v>
      </c>
      <c r="K165" s="3">
        <f>IF(J165="","",IF(J165="DNS",0,IF(J165="DQ",0,IF(J165="DNF",1,IF(AND(ISNUMBER(J165),J165&gt;59),1,_xlfn.XLOOKUP(J165,tbl_points[Place],tbl_points[Points],""))))))</f>
        <v>22</v>
      </c>
      <c r="L165" s="3" t="s">
        <v>410</v>
      </c>
      <c r="M165" s="3">
        <f>IF(L165="","",IF(L165="DNS",0,IF(L165="DQ",0,IF(L165="DNF",1,IF(AND(ISNUMBER(L165),L165&gt;59),1,_xlfn.XLOOKUP(L165,tbl_points[Place],tbl_points[Points],""))))))</f>
        <v>0</v>
      </c>
      <c r="N165" s="3">
        <v>32</v>
      </c>
      <c r="O165" s="3">
        <f>IF(N165="","",IF(N165="DNS",0,IF(N165="DQ",0,IF(N165="DNF",1,IF(AND(ISNUMBER(N165),N165&gt;59),1,_xlfn.XLOOKUP(N165,tbl_points[Place],tbl_points[Points],""))))))</f>
        <v>28</v>
      </c>
      <c r="P165" s="3">
        <v>40</v>
      </c>
      <c r="Q165" s="3">
        <f>IF(P165="","",IF(P165="DNS",0,IF(P165="DQ",0,IF(P165="DNF",1,IF(AND(ISNUMBER(P165),P165&gt;59),1,_xlfn.XLOOKUP(P165,tbl_points[Place],tbl_points[Points],""))))))</f>
        <v>20</v>
      </c>
      <c r="S165" s="3" t="str">
        <f>IF(R165="","",IF(R165="DNS",0,IF(R165="DQ",0,IF(R165="DNF",1,IF(AND(ISNUMBER(R165),R165&gt;59),1,_xlfn.XLOOKUP(R165,tbl_points[Place],tbl_points[Points],""))))))</f>
        <v/>
      </c>
      <c r="T165" s="3">
        <f>SUM(tbl_individual[[#This Row],[R1 Pts]],tbl_individual[[#This Row],[R2 Pts]],tbl_individual[[#This Row],[R3 Pts]],tbl_individual[[#This Row],[R4 Pts]],tbl_individual[[#This Row],[R5 Pts]],tbl_individual[[#This Row],[R6 Pts]])</f>
        <v>97</v>
      </c>
      <c r="U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5" s="3">
        <f>tbl_individual[[#This Row],[Total]]</f>
        <v>97</v>
      </c>
    </row>
    <row r="166" spans="1:22" x14ac:dyDescent="0.4">
      <c r="A166" t="s">
        <v>103</v>
      </c>
      <c r="B166" t="s">
        <v>11</v>
      </c>
      <c r="C166" t="s">
        <v>7</v>
      </c>
      <c r="D166" s="3">
        <v>8190</v>
      </c>
      <c r="E166" s="3" t="s">
        <v>421</v>
      </c>
      <c r="G166" s="3" t="s">
        <v>407</v>
      </c>
      <c r="H166" s="3" t="s">
        <v>410</v>
      </c>
      <c r="I166" s="3">
        <f>IF(H166="","",IF(H166="DNS",0,IF(H166="DQ",0,IF(H166="DNF",1,IF(AND(ISNUMBER(H166),H166&gt;59),1,_xlfn.XLOOKUP(H166,tbl_points[Place],tbl_points[Points],""))))))</f>
        <v>0</v>
      </c>
      <c r="J166" s="3" t="s">
        <v>410</v>
      </c>
      <c r="K166" s="3">
        <f>IF(J166="","",IF(J166="DNS",0,IF(J166="DQ",0,IF(J166="DNF",1,IF(AND(ISNUMBER(J166),J166&gt;59),1,_xlfn.XLOOKUP(J166,tbl_points[Place],tbl_points[Points],""))))))</f>
        <v>0</v>
      </c>
      <c r="L166" s="3" t="s">
        <v>410</v>
      </c>
      <c r="M166" s="3">
        <f>IF(L166="","",IF(L166="DNS",0,IF(L166="DQ",0,IF(L166="DNF",1,IF(AND(ISNUMBER(L166),L166&gt;59),1,_xlfn.XLOOKUP(L166,tbl_points[Place],tbl_points[Points],""))))))</f>
        <v>0</v>
      </c>
      <c r="N166" s="3" t="s">
        <v>410</v>
      </c>
      <c r="O166" s="3">
        <f>IF(N166="","",IF(N166="DNS",0,IF(N166="DQ",0,IF(N166="DNF",1,IF(AND(ISNUMBER(N166),N166&gt;59),1,_xlfn.XLOOKUP(N166,tbl_points[Place],tbl_points[Points],""))))))</f>
        <v>0</v>
      </c>
      <c r="P166" s="3" t="s">
        <v>410</v>
      </c>
      <c r="Q166" s="3">
        <f>IF(P166="","",IF(P166="DNS",0,IF(P166="DQ",0,IF(P166="DNF",1,IF(AND(ISNUMBER(P166),P166&gt;59),1,_xlfn.XLOOKUP(P166,tbl_points[Place],tbl_points[Points],""))))))</f>
        <v>0</v>
      </c>
      <c r="S166" s="3" t="str">
        <f>IF(R166="","",IF(R166="DNS",0,IF(R166="DQ",0,IF(R166="DNF",1,IF(AND(ISNUMBER(R166),R166&gt;59),1,_xlfn.XLOOKUP(R166,tbl_points[Place],tbl_points[Points],""))))))</f>
        <v/>
      </c>
      <c r="T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6" s="3">
        <f>tbl_individual[[#This Row],[Total]]</f>
        <v>0</v>
      </c>
    </row>
    <row r="167" spans="1:22" x14ac:dyDescent="0.4">
      <c r="A167" t="s">
        <v>112</v>
      </c>
      <c r="B167" t="s">
        <v>12</v>
      </c>
      <c r="C167" t="s">
        <v>7</v>
      </c>
      <c r="D167" s="3">
        <v>8191</v>
      </c>
      <c r="E167" s="3" t="s">
        <v>421</v>
      </c>
      <c r="G167" s="3" t="s">
        <v>403</v>
      </c>
      <c r="H167" s="3">
        <v>22</v>
      </c>
      <c r="I167" s="3">
        <f>IF(H167="","",IF(H167="DNS",0,IF(H167="DQ",0,IF(H167="DNF",1,IF(AND(ISNUMBER(H167),H167&gt;59),1,_xlfn.XLOOKUP(H167,tbl_points[Place],tbl_points[Points],""))))))</f>
        <v>38</v>
      </c>
      <c r="J167" s="3">
        <v>35</v>
      </c>
      <c r="K167" s="3">
        <f>IF(J167="","",IF(J167="DNS",0,IF(J167="DQ",0,IF(J167="DNF",1,IF(AND(ISNUMBER(J167),J167&gt;59),1,_xlfn.XLOOKUP(J167,tbl_points[Place],tbl_points[Points],""))))))</f>
        <v>25</v>
      </c>
      <c r="L167" s="3" t="s">
        <v>410</v>
      </c>
      <c r="M167" s="3">
        <f>IF(L167="","",IF(L167="DNS",0,IF(L167="DQ",0,IF(L167="DNF",1,IF(AND(ISNUMBER(L167),L167&gt;59),1,_xlfn.XLOOKUP(L167,tbl_points[Place],tbl_points[Points],""))))))</f>
        <v>0</v>
      </c>
      <c r="N167" s="3">
        <v>21</v>
      </c>
      <c r="O167" s="3">
        <f>IF(N167="","",IF(N167="DNS",0,IF(N167="DQ",0,IF(N167="DNF",1,IF(AND(ISNUMBER(N167),N167&gt;59),1,_xlfn.XLOOKUP(N167,tbl_points[Place],tbl_points[Points],""))))))</f>
        <v>39</v>
      </c>
      <c r="P167" s="3">
        <v>30</v>
      </c>
      <c r="Q167" s="3">
        <f>IF(P167="","",IF(P167="DNS",0,IF(P167="DQ",0,IF(P167="DNF",1,IF(AND(ISNUMBER(P167),P167&gt;59),1,_xlfn.XLOOKUP(P167,tbl_points[Place],tbl_points[Points],""))))))</f>
        <v>30</v>
      </c>
      <c r="S167" s="3" t="str">
        <f>IF(R167="","",IF(R167="DNS",0,IF(R167="DQ",0,IF(R167="DNF",1,IF(AND(ISNUMBER(R167),R167&gt;59),1,_xlfn.XLOOKUP(R167,tbl_points[Place],tbl_points[Points],""))))))</f>
        <v/>
      </c>
      <c r="T167" s="3">
        <f>SUM(tbl_individual[[#This Row],[R1 Pts]],tbl_individual[[#This Row],[R2 Pts]],tbl_individual[[#This Row],[R3 Pts]],tbl_individual[[#This Row],[R4 Pts]],tbl_individual[[#This Row],[R5 Pts]],tbl_individual[[#This Row],[R6 Pts]])</f>
        <v>132</v>
      </c>
      <c r="U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7" s="3">
        <f>tbl_individual[[#This Row],[Total]]</f>
        <v>132</v>
      </c>
    </row>
    <row r="168" spans="1:22" x14ac:dyDescent="0.4">
      <c r="A168" t="s">
        <v>113</v>
      </c>
      <c r="B168" t="s">
        <v>12</v>
      </c>
      <c r="C168" t="s">
        <v>7</v>
      </c>
      <c r="D168" s="3">
        <v>8192</v>
      </c>
      <c r="E168" s="3" t="s">
        <v>421</v>
      </c>
      <c r="G168" s="3" t="s">
        <v>403</v>
      </c>
      <c r="H168" s="3">
        <v>29</v>
      </c>
      <c r="I168" s="3">
        <f>IF(H168="","",IF(H168="DNS",0,IF(H168="DQ",0,IF(H168="DNF",1,IF(AND(ISNUMBER(H168),H168&gt;59),1,_xlfn.XLOOKUP(H168,tbl_points[Place],tbl_points[Points],""))))))</f>
        <v>31</v>
      </c>
      <c r="J168" s="3">
        <v>43</v>
      </c>
      <c r="K168" s="3">
        <f>IF(J168="","",IF(J168="DNS",0,IF(J168="DQ",0,IF(J168="DNF",1,IF(AND(ISNUMBER(J168),J168&gt;59),1,_xlfn.XLOOKUP(J168,tbl_points[Place],tbl_points[Points],""))))))</f>
        <v>17</v>
      </c>
      <c r="L168" s="3">
        <v>25</v>
      </c>
      <c r="M168" s="3">
        <f>IF(L168="","",IF(L168="DNS",0,IF(L168="DQ",0,IF(L168="DNF",1,IF(AND(ISNUMBER(L168),L168&gt;59),1,_xlfn.XLOOKUP(L168,tbl_points[Place],tbl_points[Points],""))))))</f>
        <v>35</v>
      </c>
      <c r="N168" s="3">
        <v>37</v>
      </c>
      <c r="O168" s="3">
        <f>IF(N168="","",IF(N168="DNS",0,IF(N168="DQ",0,IF(N168="DNF",1,IF(AND(ISNUMBER(N168),N168&gt;59),1,_xlfn.XLOOKUP(N168,tbl_points[Place],tbl_points[Points],""))))))</f>
        <v>23</v>
      </c>
      <c r="P168" s="3">
        <v>42</v>
      </c>
      <c r="Q168" s="3">
        <f>IF(P168="","",IF(P168="DNS",0,IF(P168="DQ",0,IF(P168="DNF",1,IF(AND(ISNUMBER(P168),P168&gt;59),1,_xlfn.XLOOKUP(P168,tbl_points[Place],tbl_points[Points],""))))))</f>
        <v>18</v>
      </c>
      <c r="S168" s="3" t="str">
        <f>IF(R168="","",IF(R168="DNS",0,IF(R168="DQ",0,IF(R168="DNF",1,IF(AND(ISNUMBER(R168),R168&gt;59),1,_xlfn.XLOOKUP(R168,tbl_points[Place],tbl_points[Points],""))))))</f>
        <v/>
      </c>
      <c r="T168" s="3">
        <f>SUM(tbl_individual[[#This Row],[R1 Pts]],tbl_individual[[#This Row],[R2 Pts]],tbl_individual[[#This Row],[R3 Pts]],tbl_individual[[#This Row],[R4 Pts]],tbl_individual[[#This Row],[R5 Pts]],tbl_individual[[#This Row],[R6 Pts]])</f>
        <v>124</v>
      </c>
      <c r="U168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168" s="3">
        <f>tbl_individual[[#This Row],[Total]]</f>
        <v>124</v>
      </c>
    </row>
    <row r="169" spans="1:22" x14ac:dyDescent="0.4">
      <c r="A169" t="s">
        <v>121</v>
      </c>
      <c r="B169" t="s">
        <v>13</v>
      </c>
      <c r="C169" t="s">
        <v>7</v>
      </c>
      <c r="D169" s="3">
        <v>8193</v>
      </c>
      <c r="E169" s="3" t="s">
        <v>421</v>
      </c>
      <c r="G169" s="3" t="s">
        <v>403</v>
      </c>
      <c r="H169" s="3" t="s">
        <v>410</v>
      </c>
      <c r="I169" s="3">
        <f>IF(H169="","",IF(H169="DNS",0,IF(H169="DQ",0,IF(H169="DNF",1,IF(AND(ISNUMBER(H169),H169&gt;59),1,_xlfn.XLOOKUP(H169,tbl_points[Place],tbl_points[Points],""))))))</f>
        <v>0</v>
      </c>
      <c r="J169" s="3">
        <v>30</v>
      </c>
      <c r="K169" s="3">
        <f>IF(J169="","",IF(J169="DNS",0,IF(J169="DQ",0,IF(J169="DNF",1,IF(AND(ISNUMBER(J169),J169&gt;59),1,_xlfn.XLOOKUP(J169,tbl_points[Place],tbl_points[Points],""))))))</f>
        <v>30</v>
      </c>
      <c r="L169" s="3" t="s">
        <v>410</v>
      </c>
      <c r="M169" s="3">
        <f>IF(L169="","",IF(L169="DNS",0,IF(L169="DQ",0,IF(L169="DNF",1,IF(AND(ISNUMBER(L169),L169&gt;59),1,_xlfn.XLOOKUP(L169,tbl_points[Place],tbl_points[Points],""))))))</f>
        <v>0</v>
      </c>
      <c r="N169" s="3">
        <v>25</v>
      </c>
      <c r="O169" s="3">
        <f>IF(N169="","",IF(N169="DNS",0,IF(N169="DQ",0,IF(N169="DNF",1,IF(AND(ISNUMBER(N169),N169&gt;59),1,_xlfn.XLOOKUP(N169,tbl_points[Place],tbl_points[Points],""))))))</f>
        <v>35</v>
      </c>
      <c r="P169" s="3">
        <v>38</v>
      </c>
      <c r="Q169" s="3">
        <f>IF(P169="","",IF(P169="DNS",0,IF(P169="DQ",0,IF(P169="DNF",1,IF(AND(ISNUMBER(P169),P169&gt;59),1,_xlfn.XLOOKUP(P169,tbl_points[Place],tbl_points[Points],""))))))</f>
        <v>22</v>
      </c>
      <c r="S169" s="3" t="str">
        <f>IF(R169="","",IF(R169="DNS",0,IF(R169="DQ",0,IF(R169="DNF",1,IF(AND(ISNUMBER(R169),R169&gt;59),1,_xlfn.XLOOKUP(R169,tbl_points[Place],tbl_points[Points],""))))))</f>
        <v/>
      </c>
      <c r="T169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U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9" s="3">
        <f>tbl_individual[[#This Row],[Total]]</f>
        <v>87</v>
      </c>
    </row>
    <row r="170" spans="1:22" x14ac:dyDescent="0.4">
      <c r="A170" t="s">
        <v>122</v>
      </c>
      <c r="B170" t="s">
        <v>13</v>
      </c>
      <c r="C170" t="s">
        <v>7</v>
      </c>
      <c r="D170" s="3">
        <v>8194</v>
      </c>
      <c r="E170" s="3" t="s">
        <v>421</v>
      </c>
      <c r="G170" s="3" t="s">
        <v>403</v>
      </c>
      <c r="H170" s="3" t="s">
        <v>410</v>
      </c>
      <c r="I170" s="3">
        <f>IF(H170="","",IF(H170="DNS",0,IF(H170="DQ",0,IF(H170="DNF",1,IF(AND(ISNUMBER(H170),H170&gt;59),1,_xlfn.XLOOKUP(H170,tbl_points[Place],tbl_points[Points],""))))))</f>
        <v>0</v>
      </c>
      <c r="J170" s="3">
        <v>20</v>
      </c>
      <c r="K170" s="3">
        <f>IF(J170="","",IF(J170="DNS",0,IF(J170="DQ",0,IF(J170="DNF",1,IF(AND(ISNUMBER(J170),J170&gt;59),1,_xlfn.XLOOKUP(J170,tbl_points[Place],tbl_points[Points],""))))))</f>
        <v>40</v>
      </c>
      <c r="L170" s="3" t="s">
        <v>410</v>
      </c>
      <c r="M170" s="3">
        <f>IF(L170="","",IF(L170="DNS",0,IF(L170="DQ",0,IF(L170="DNF",1,IF(AND(ISNUMBER(L170),L170&gt;59),1,_xlfn.XLOOKUP(L170,tbl_points[Place],tbl_points[Points],""))))))</f>
        <v>0</v>
      </c>
      <c r="N170" s="3">
        <v>20</v>
      </c>
      <c r="O170" s="3">
        <f>IF(N170="","",IF(N170="DNS",0,IF(N170="DQ",0,IF(N170="DNF",1,IF(AND(ISNUMBER(N170),N170&gt;59),1,_xlfn.XLOOKUP(N170,tbl_points[Place],tbl_points[Points],""))))))</f>
        <v>40</v>
      </c>
      <c r="P170" s="3">
        <v>15</v>
      </c>
      <c r="Q170" s="3">
        <f>IF(P170="","",IF(P170="DNS",0,IF(P170="DQ",0,IF(P170="DNF",1,IF(AND(ISNUMBER(P170),P170&gt;59),1,_xlfn.XLOOKUP(P170,tbl_points[Place],tbl_points[Points],""))))))</f>
        <v>45</v>
      </c>
      <c r="S170" s="3" t="str">
        <f>IF(R170="","",IF(R170="DNS",0,IF(R170="DQ",0,IF(R170="DNF",1,IF(AND(ISNUMBER(R170),R170&gt;59),1,_xlfn.XLOOKUP(R170,tbl_points[Place],tbl_points[Points],""))))))</f>
        <v/>
      </c>
      <c r="T170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0" s="3">
        <f>tbl_individual[[#This Row],[Total]]</f>
        <v>125</v>
      </c>
    </row>
    <row r="171" spans="1:22" x14ac:dyDescent="0.4">
      <c r="A171" t="s">
        <v>138</v>
      </c>
      <c r="B171" t="s">
        <v>14</v>
      </c>
      <c r="C171" t="s">
        <v>7</v>
      </c>
      <c r="D171" s="3">
        <v>8195</v>
      </c>
      <c r="E171" s="3" t="s">
        <v>421</v>
      </c>
      <c r="G171" s="3" t="s">
        <v>403</v>
      </c>
      <c r="H171" s="3" t="s">
        <v>410</v>
      </c>
      <c r="I171" s="3">
        <f>IF(H171="","",IF(H171="DNS",0,IF(H171="DQ",0,IF(H171="DNF",1,IF(AND(ISNUMBER(H171),H171&gt;59),1,_xlfn.XLOOKUP(H171,tbl_points[Place],tbl_points[Points],""))))))</f>
        <v>0</v>
      </c>
      <c r="J171" s="3" t="s">
        <v>410</v>
      </c>
      <c r="K171" s="3">
        <f>IF(J171="","",IF(J171="DNS",0,IF(J171="DQ",0,IF(J171="DNF",1,IF(AND(ISNUMBER(J171),J171&gt;59),1,_xlfn.XLOOKUP(J171,tbl_points[Place],tbl_points[Points],""))))))</f>
        <v>0</v>
      </c>
      <c r="L171" s="3" t="s">
        <v>410</v>
      </c>
      <c r="M171" s="3">
        <f>IF(L171="","",IF(L171="DNS",0,IF(L171="DQ",0,IF(L171="DNF",1,IF(AND(ISNUMBER(L171),L171&gt;59),1,_xlfn.XLOOKUP(L171,tbl_points[Place],tbl_points[Points],""))))))</f>
        <v>0</v>
      </c>
      <c r="N171" s="3" t="s">
        <v>409</v>
      </c>
      <c r="O171" s="3">
        <f>IF(N171="","",IF(N171="DNS",0,IF(N171="DQ",0,IF(N171="DNF",1,IF(AND(ISNUMBER(N171),N171&gt;59),1,_xlfn.XLOOKUP(N171,tbl_points[Place],tbl_points[Points],""))))))</f>
        <v>1</v>
      </c>
      <c r="P171" s="3" t="s">
        <v>410</v>
      </c>
      <c r="Q171" s="3">
        <f>IF(P171="","",IF(P171="DNS",0,IF(P171="DQ",0,IF(P171="DNF",1,IF(AND(ISNUMBER(P171),P171&gt;59),1,_xlfn.XLOOKUP(P171,tbl_points[Place],tbl_points[Points],""))))))</f>
        <v>0</v>
      </c>
      <c r="S171" s="3" t="str">
        <f>IF(R171="","",IF(R171="DNS",0,IF(R171="DQ",0,IF(R171="DNF",1,IF(AND(ISNUMBER(R171),R171&gt;59),1,_xlfn.XLOOKUP(R171,tbl_points[Place],tbl_points[Points],""))))))</f>
        <v/>
      </c>
      <c r="T17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1" s="3">
        <f>tbl_individual[[#This Row],[Total]]</f>
        <v>1</v>
      </c>
    </row>
    <row r="172" spans="1:22" x14ac:dyDescent="0.4">
      <c r="A172" t="s">
        <v>141</v>
      </c>
      <c r="B172" t="s">
        <v>15</v>
      </c>
      <c r="C172" t="s">
        <v>7</v>
      </c>
      <c r="D172" s="3">
        <v>8197</v>
      </c>
      <c r="E172" s="3" t="s">
        <v>421</v>
      </c>
      <c r="G172" s="3" t="s">
        <v>403</v>
      </c>
      <c r="H172" s="3">
        <v>11</v>
      </c>
      <c r="I172" s="3">
        <f>IF(H172="","",IF(H172="DNS",0,IF(H172="DQ",0,IF(H172="DNF",1,IF(AND(ISNUMBER(H172),H172&gt;59),1,_xlfn.XLOOKUP(H172,tbl_points[Place],tbl_points[Points],""))))))</f>
        <v>53</v>
      </c>
      <c r="J172" s="3">
        <v>3</v>
      </c>
      <c r="K172" s="3">
        <f>IF(J172="","",IF(J172="DNS",0,IF(J172="DQ",0,IF(J172="DNF",1,IF(AND(ISNUMBER(J172),J172&gt;59),1,_xlfn.XLOOKUP(J172,tbl_points[Place],tbl_points[Points],""))))))</f>
        <v>90</v>
      </c>
      <c r="L172" s="3">
        <v>1</v>
      </c>
      <c r="M172" s="3">
        <f>IF(L172="","",IF(L172="DNS",0,IF(L172="DQ",0,IF(L172="DNF",1,IF(AND(ISNUMBER(L172),L172&gt;59),1,_xlfn.XLOOKUP(L172,tbl_points[Place],tbl_points[Points],""))))))</f>
        <v>100</v>
      </c>
      <c r="N172" s="3" t="s">
        <v>410</v>
      </c>
      <c r="O172" s="3">
        <f>IF(N172="","",IF(N172="DNS",0,IF(N172="DQ",0,IF(N172="DNF",1,IF(AND(ISNUMBER(N172),N172&gt;59),1,_xlfn.XLOOKUP(N172,tbl_points[Place],tbl_points[Points],""))))))</f>
        <v>0</v>
      </c>
      <c r="P172" s="3">
        <v>3</v>
      </c>
      <c r="Q172" s="3">
        <f>IF(P172="","",IF(P172="DNS",0,IF(P172="DQ",0,IF(P172="DNF",1,IF(AND(ISNUMBER(P172),P172&gt;59),1,_xlfn.XLOOKUP(P172,tbl_points[Place],tbl_points[Points],""))))))</f>
        <v>90</v>
      </c>
      <c r="S172" s="3" t="str">
        <f>IF(R172="","",IF(R172="DNS",0,IF(R172="DQ",0,IF(R172="DNF",1,IF(AND(ISNUMBER(R172),R172&gt;59),1,_xlfn.XLOOKUP(R172,tbl_points[Place],tbl_points[Points],""))))))</f>
        <v/>
      </c>
      <c r="T172" s="3">
        <f>SUM(tbl_individual[[#This Row],[R1 Pts]],tbl_individual[[#This Row],[R2 Pts]],tbl_individual[[#This Row],[R3 Pts]],tbl_individual[[#This Row],[R4 Pts]],tbl_individual[[#This Row],[R5 Pts]],tbl_individual[[#This Row],[R6 Pts]])</f>
        <v>333</v>
      </c>
      <c r="U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2" s="3">
        <f>tbl_individual[[#This Row],[Total]]</f>
        <v>333</v>
      </c>
    </row>
    <row r="173" spans="1:22" x14ac:dyDescent="0.4">
      <c r="A173" t="s">
        <v>142</v>
      </c>
      <c r="B173" t="s">
        <v>15</v>
      </c>
      <c r="C173" t="s">
        <v>7</v>
      </c>
      <c r="D173" s="3">
        <v>8198</v>
      </c>
      <c r="E173" s="3" t="s">
        <v>421</v>
      </c>
      <c r="G173" s="3" t="s">
        <v>403</v>
      </c>
      <c r="H173" s="3">
        <v>3</v>
      </c>
      <c r="I173" s="3">
        <f>IF(H173="","",IF(H173="DNS",0,IF(H173="DQ",0,IF(H173="DNF",1,IF(AND(ISNUMBER(H173),H173&gt;59),1,_xlfn.XLOOKUP(H173,tbl_points[Place],tbl_points[Points],""))))))</f>
        <v>90</v>
      </c>
      <c r="J173" s="3">
        <v>19</v>
      </c>
      <c r="K173" s="3">
        <f>IF(J173="","",IF(J173="DNS",0,IF(J173="DQ",0,IF(J173="DNF",1,IF(AND(ISNUMBER(J173),J173&gt;59),1,_xlfn.XLOOKUP(J173,tbl_points[Place],tbl_points[Points],""))))))</f>
        <v>41</v>
      </c>
      <c r="L173" s="3">
        <v>2</v>
      </c>
      <c r="M173" s="3">
        <f>IF(L173="","",IF(L173="DNS",0,IF(L173="DQ",0,IF(L173="DNF",1,IF(AND(ISNUMBER(L173),L173&gt;59),1,_xlfn.XLOOKUP(L173,tbl_points[Place],tbl_points[Points],""))))))</f>
        <v>95</v>
      </c>
      <c r="N173" s="3" t="s">
        <v>410</v>
      </c>
      <c r="O173" s="3">
        <f>IF(N173="","",IF(N173="DNS",0,IF(N173="DQ",0,IF(N173="DNF",1,IF(AND(ISNUMBER(N173),N173&gt;59),1,_xlfn.XLOOKUP(N173,tbl_points[Place],tbl_points[Points],""))))))</f>
        <v>0</v>
      </c>
      <c r="P173" s="3">
        <v>14</v>
      </c>
      <c r="Q173" s="3">
        <f>IF(P173="","",IF(P173="DNS",0,IF(P173="DQ",0,IF(P173="DNF",1,IF(AND(ISNUMBER(P173),P173&gt;59),1,_xlfn.XLOOKUP(P173,tbl_points[Place],tbl_points[Points],""))))))</f>
        <v>47</v>
      </c>
      <c r="S173" s="3" t="str">
        <f>IF(R173="","",IF(R173="DNS",0,IF(R173="DQ",0,IF(R173="DNF",1,IF(AND(ISNUMBER(R173),R173&gt;59),1,_xlfn.XLOOKUP(R173,tbl_points[Place],tbl_points[Points],""))))))</f>
        <v/>
      </c>
      <c r="T173" s="3">
        <f>SUM(tbl_individual[[#This Row],[R1 Pts]],tbl_individual[[#This Row],[R2 Pts]],tbl_individual[[#This Row],[R3 Pts]],tbl_individual[[#This Row],[R4 Pts]],tbl_individual[[#This Row],[R5 Pts]],tbl_individual[[#This Row],[R6 Pts]])</f>
        <v>273</v>
      </c>
      <c r="U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3" s="3">
        <f>tbl_individual[[#This Row],[Total]]</f>
        <v>273</v>
      </c>
    </row>
    <row r="174" spans="1:22" hidden="1" x14ac:dyDescent="0.4">
      <c r="A174" t="s">
        <v>53</v>
      </c>
      <c r="B174" t="s">
        <v>10</v>
      </c>
      <c r="C174" t="s">
        <v>7</v>
      </c>
      <c r="D174" s="3">
        <v>8010</v>
      </c>
      <c r="E174" s="3" t="s">
        <v>422</v>
      </c>
      <c r="G174" s="3" t="s">
        <v>407</v>
      </c>
      <c r="H174" s="3" t="s">
        <v>410</v>
      </c>
      <c r="I174" s="3">
        <f>IF(H174="","",IF(H174="DNS",0,IF(H174="DQ",0,IF(H174="DNF",1,IF(AND(ISNUMBER(H174),H174&gt;59),1,_xlfn.XLOOKUP(H174,tbl_points[Place],tbl_points[Points],""))))))</f>
        <v>0</v>
      </c>
      <c r="J174" s="3" t="s">
        <v>410</v>
      </c>
      <c r="K174" s="3">
        <f>IF(J174="","",IF(J174="DNS",0,IF(J174="DQ",0,IF(J174="DNF",1,IF(AND(ISNUMBER(J174),J174&gt;59),1,_xlfn.XLOOKUP(J174,tbl_points[Place],tbl_points[Points],""))))))</f>
        <v>0</v>
      </c>
      <c r="M174" s="3" t="str">
        <f>IF(L174="","",IF(L174="DNS",0,IF(L174="DQ",0,IF(L174="DNF",1,IF(AND(ISNUMBER(L174),L174&gt;59),1,_xlfn.XLOOKUP(L174,tbl_points[Place],tbl_points[Points],""))))))</f>
        <v/>
      </c>
      <c r="O174" s="3" t="str">
        <f>IF(N174="","",IF(N174="DNS",0,IF(N174="DQ",0,IF(N174="DNF",1,IF(AND(ISNUMBER(N174),N174&gt;59),1,_xlfn.XLOOKUP(N174,tbl_points[Place],tbl_points[Points],""))))))</f>
        <v/>
      </c>
      <c r="Q174" s="3" t="str">
        <f>IF(P174="","",IF(P174="DNS",0,IF(P174="DQ",0,IF(P174="DNF",1,IF(AND(ISNUMBER(P174),P174&gt;59),1,_xlfn.XLOOKUP(P174,tbl_points[Place],tbl_points[Points],""))))))</f>
        <v/>
      </c>
      <c r="S174" s="3" t="str">
        <f>IF(R174="","",IF(R174="DNS",0,IF(R174="DQ",0,IF(R174="DNF",1,IF(AND(ISNUMBER(R174),R174&gt;59),1,_xlfn.XLOOKUP(R174,tbl_points[Place],tbl_points[Points],""))))))</f>
        <v/>
      </c>
      <c r="T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4" s="3">
        <f>tbl_individual[[#This Row],[Total]]</f>
        <v>0</v>
      </c>
    </row>
    <row r="175" spans="1:22" x14ac:dyDescent="0.4">
      <c r="A175" t="s">
        <v>419</v>
      </c>
      <c r="B175" t="s">
        <v>15</v>
      </c>
      <c r="C175" t="s">
        <v>7</v>
      </c>
      <c r="D175" s="3">
        <v>8199</v>
      </c>
      <c r="E175" s="3" t="s">
        <v>421</v>
      </c>
      <c r="G175" s="3" t="s">
        <v>407</v>
      </c>
      <c r="H175" s="3" t="s">
        <v>410</v>
      </c>
      <c r="I175" s="3">
        <f>IF(H175="","",IF(H175="DNS",0,IF(H175="DQ",0,IF(H175="DNF",1,IF(AND(ISNUMBER(H175),H175&gt;59),1,_xlfn.XLOOKUP(H175,tbl_points[Place],tbl_points[Points],""))))))</f>
        <v>0</v>
      </c>
      <c r="J175" s="3">
        <v>27</v>
      </c>
      <c r="K175" s="3">
        <f>IF(J175="","",IF(J175="DNS",0,IF(J175="DQ",0,IF(J175="DNF",1,IF(AND(ISNUMBER(J175),J175&gt;59),1,_xlfn.XLOOKUP(J175,tbl_points[Place],tbl_points[Points],""))))))</f>
        <v>33</v>
      </c>
      <c r="L175" s="3" t="s">
        <v>410</v>
      </c>
      <c r="M175" s="3">
        <f>IF(L175="","",IF(L175="DNS",0,IF(L175="DQ",0,IF(L175="DNF",1,IF(AND(ISNUMBER(L175),L175&gt;59),1,_xlfn.XLOOKUP(L175,tbl_points[Place],tbl_points[Points],""))))))</f>
        <v>0</v>
      </c>
      <c r="N175" s="3" t="s">
        <v>410</v>
      </c>
      <c r="O175" s="3">
        <f>IF(N175="","",IF(N175="DNS",0,IF(N175="DQ",0,IF(N175="DNF",1,IF(AND(ISNUMBER(N175),N175&gt;59),1,_xlfn.XLOOKUP(N175,tbl_points[Place],tbl_points[Points],""))))))</f>
        <v>0</v>
      </c>
      <c r="P175" s="3">
        <v>16</v>
      </c>
      <c r="Q175" s="3">
        <f>IF(P175="","",IF(P175="DNS",0,IF(P175="DQ",0,IF(P175="DNF",1,IF(AND(ISNUMBER(P175),P175&gt;59),1,_xlfn.XLOOKUP(P175,tbl_points[Place],tbl_points[Points],""))))))</f>
        <v>44</v>
      </c>
      <c r="S175" s="3" t="str">
        <f>IF(R175="","",IF(R175="DNS",0,IF(R175="DQ",0,IF(R175="DNF",1,IF(AND(ISNUMBER(R175),R175&gt;59),1,_xlfn.XLOOKUP(R175,tbl_points[Place],tbl_points[Points],""))))))</f>
        <v/>
      </c>
      <c r="T175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5" s="3">
        <f>tbl_individual[[#This Row],[Total]]</f>
        <v>77</v>
      </c>
    </row>
    <row r="176" spans="1:22" x14ac:dyDescent="0.4">
      <c r="A176" t="s">
        <v>147</v>
      </c>
      <c r="B176" t="s">
        <v>15</v>
      </c>
      <c r="C176" t="s">
        <v>8</v>
      </c>
      <c r="D176" s="3">
        <v>8250</v>
      </c>
      <c r="E176" s="3" t="s">
        <v>421</v>
      </c>
      <c r="G176" s="3" t="s">
        <v>403</v>
      </c>
      <c r="H176" s="3">
        <v>5</v>
      </c>
      <c r="I176" s="3">
        <f>IF(H176="","",IF(H176="DNS",0,IF(H176="DQ",0,IF(H176="DNF",1,IF(AND(ISNUMBER(H176),H176&gt;59),1,_xlfn.XLOOKUP(H176,tbl_points[Place],tbl_points[Points],""))))))</f>
        <v>80</v>
      </c>
      <c r="J176" s="3">
        <v>2</v>
      </c>
      <c r="K176" s="3">
        <f>IF(J176="","",IF(J176="DNS",0,IF(J176="DQ",0,IF(J176="DNF",1,IF(AND(ISNUMBER(J176),J176&gt;59),1,_xlfn.XLOOKUP(J176,tbl_points[Place],tbl_points[Points],""))))))</f>
        <v>95</v>
      </c>
      <c r="L176" s="3">
        <v>5</v>
      </c>
      <c r="M176" s="3">
        <f>IF(L176="","",IF(L176="DNS",0,IF(L176="DQ",0,IF(L176="DNF",1,IF(AND(ISNUMBER(L176),L176&gt;59),1,_xlfn.XLOOKUP(L176,tbl_points[Place],tbl_points[Points],""))))))</f>
        <v>80</v>
      </c>
      <c r="N176" s="3" t="s">
        <v>410</v>
      </c>
      <c r="O176" s="3">
        <f>IF(N176="","",IF(N176="DNS",0,IF(N176="DQ",0,IF(N176="DNF",1,IF(AND(ISNUMBER(N176),N176&gt;59),1,_xlfn.XLOOKUP(N176,tbl_points[Place],tbl_points[Points],""))))))</f>
        <v>0</v>
      </c>
      <c r="P176" s="3">
        <v>5</v>
      </c>
      <c r="Q176" s="3">
        <f>IF(P176="","",IF(P176="DNS",0,IF(P176="DQ",0,IF(P176="DNF",1,IF(AND(ISNUMBER(P176),P176&gt;59),1,_xlfn.XLOOKUP(P176,tbl_points[Place],tbl_points[Points],""))))))</f>
        <v>80</v>
      </c>
      <c r="S176" s="3" t="str">
        <f>IF(R176="","",IF(R176="DNS",0,IF(R176="DQ",0,IF(R176="DNF",1,IF(AND(ISNUMBER(R176),R176&gt;59),1,_xlfn.XLOOKUP(R176,tbl_points[Place],tbl_points[Points],""))))))</f>
        <v/>
      </c>
      <c r="T176" s="3">
        <f>SUM(tbl_individual[[#This Row],[R1 Pts]],tbl_individual[[#This Row],[R2 Pts]],tbl_individual[[#This Row],[R3 Pts]],tbl_individual[[#This Row],[R4 Pts]],tbl_individual[[#This Row],[R5 Pts]],tbl_individual[[#This Row],[R6 Pts]])</f>
        <v>335</v>
      </c>
      <c r="U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6" s="3">
        <f>tbl_individual[[#This Row],[Total]]</f>
        <v>335</v>
      </c>
    </row>
    <row r="177" spans="1:22" x14ac:dyDescent="0.4">
      <c r="A177" t="s">
        <v>360</v>
      </c>
      <c r="B177" t="s">
        <v>30</v>
      </c>
      <c r="C177" t="s">
        <v>6</v>
      </c>
      <c r="D177" s="3">
        <v>9330</v>
      </c>
      <c r="E177" s="3" t="s">
        <v>421</v>
      </c>
      <c r="G177" s="3" t="s">
        <v>403</v>
      </c>
      <c r="H177" s="3">
        <v>1</v>
      </c>
      <c r="I177" s="3">
        <f>IF(H177="","",IF(H177="DNS",0,IF(H177="DQ",0,IF(H177="DNF",1,IF(AND(ISNUMBER(H177),H177&gt;59),1,_xlfn.XLOOKUP(H177,tbl_points[Place],tbl_points[Points],""))))))</f>
        <v>100</v>
      </c>
      <c r="J177" s="3">
        <v>1</v>
      </c>
      <c r="K177" s="3">
        <f>IF(J177="","",IF(J177="DNS",0,IF(J177="DQ",0,IF(J177="DNF",1,IF(AND(ISNUMBER(J177),J177&gt;59),1,_xlfn.XLOOKUP(J177,tbl_points[Place],tbl_points[Points],""))))))</f>
        <v>100</v>
      </c>
      <c r="L177" s="3">
        <v>1</v>
      </c>
      <c r="M177" s="3">
        <f>IF(L177="","",IF(L177="DNS",0,IF(L177="DQ",0,IF(L177="DNF",1,IF(AND(ISNUMBER(L177),L177&gt;59),1,_xlfn.XLOOKUP(L177,tbl_points[Place],tbl_points[Points],""))))))</f>
        <v>100</v>
      </c>
      <c r="N177" s="3">
        <v>1</v>
      </c>
      <c r="O177" s="3">
        <f>IF(N177="","",IF(N177="DNS",0,IF(N177="DQ",0,IF(N177="DNF",1,IF(AND(ISNUMBER(N177),N177&gt;59),1,_xlfn.XLOOKUP(N177,tbl_points[Place],tbl_points[Points],""))))))</f>
        <v>100</v>
      </c>
      <c r="P177" s="3">
        <v>1</v>
      </c>
      <c r="Q177" s="3">
        <f>IF(P177="","",IF(P177="DNS",0,IF(P177="DQ",0,IF(P177="DNF",1,IF(AND(ISNUMBER(P177),P177&gt;59),1,_xlfn.XLOOKUP(P177,tbl_points[Place],tbl_points[Points],""))))))</f>
        <v>100</v>
      </c>
      <c r="S177" s="3" t="str">
        <f>IF(R177="","",IF(R177="DNS",0,IF(R177="DQ",0,IF(R177="DNF",1,IF(AND(ISNUMBER(R177),R177&gt;59),1,_xlfn.XLOOKUP(R177,tbl_points[Place],tbl_points[Points],""))))))</f>
        <v/>
      </c>
      <c r="T177" s="3">
        <f>SUM(tbl_individual[[#This Row],[R1 Pts]],tbl_individual[[#This Row],[R2 Pts]],tbl_individual[[#This Row],[R3 Pts]],tbl_individual[[#This Row],[R4 Pts]],tbl_individual[[#This Row],[R5 Pts]],tbl_individual[[#This Row],[R6 Pts]])</f>
        <v>500</v>
      </c>
      <c r="U177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177" s="3">
        <f>tbl_individual[[#This Row],[Total]]</f>
        <v>500</v>
      </c>
    </row>
    <row r="178" spans="1:22" hidden="1" x14ac:dyDescent="0.4">
      <c r="A178" t="s">
        <v>56</v>
      </c>
      <c r="B178" t="s">
        <v>10</v>
      </c>
      <c r="C178" t="s">
        <v>7</v>
      </c>
      <c r="D178" s="3">
        <v>8140</v>
      </c>
      <c r="E178" s="3" t="s">
        <v>422</v>
      </c>
      <c r="G178" s="3" t="s">
        <v>407</v>
      </c>
      <c r="H178" s="3" t="s">
        <v>410</v>
      </c>
      <c r="I178" s="3">
        <f>IF(H178="","",IF(H178="DNS",0,IF(H178="DQ",0,IF(H178="DNF",1,IF(AND(ISNUMBER(H178),H178&gt;59),1,_xlfn.XLOOKUP(H178,tbl_points[Place],tbl_points[Points],""))))))</f>
        <v>0</v>
      </c>
      <c r="J178" s="3" t="s">
        <v>410</v>
      </c>
      <c r="K178" s="3">
        <f>IF(J178="","",IF(J178="DNS",0,IF(J178="DQ",0,IF(J178="DNF",1,IF(AND(ISNUMBER(J178),J178&gt;59),1,_xlfn.XLOOKUP(J178,tbl_points[Place],tbl_points[Points],""))))))</f>
        <v>0</v>
      </c>
      <c r="L178" s="3" t="s">
        <v>410</v>
      </c>
      <c r="M178" s="3">
        <f>IF(L178="","",IF(L178="DNS",0,IF(L178="DQ",0,IF(L178="DNF",1,IF(AND(ISNUMBER(L178),L178&gt;59),1,_xlfn.XLOOKUP(L178,tbl_points[Place],tbl_points[Points],""))))))</f>
        <v>0</v>
      </c>
      <c r="O178" s="3" t="str">
        <f>IF(N178="","",IF(N178="DNS",0,IF(N178="DQ",0,IF(N178="DNF",1,IF(AND(ISNUMBER(N178),N178&gt;59),1,_xlfn.XLOOKUP(N178,tbl_points[Place],tbl_points[Points],""))))))</f>
        <v/>
      </c>
      <c r="Q178" s="3" t="str">
        <f>IF(P178="","",IF(P178="DNS",0,IF(P178="DQ",0,IF(P178="DNF",1,IF(AND(ISNUMBER(P178),P178&gt;59),1,_xlfn.XLOOKUP(P178,tbl_points[Place],tbl_points[Points],""))))))</f>
        <v/>
      </c>
      <c r="S178" s="3" t="str">
        <f>IF(R178="","",IF(R178="DNS",0,IF(R178="DQ",0,IF(R178="DNF",1,IF(AND(ISNUMBER(R178),R178&gt;59),1,_xlfn.XLOOKUP(R178,tbl_points[Place],tbl_points[Points],""))))))</f>
        <v/>
      </c>
      <c r="T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8" s="3">
        <f>tbl_individual[[#This Row],[Total]]</f>
        <v>0</v>
      </c>
    </row>
    <row r="179" spans="1:22" x14ac:dyDescent="0.4">
      <c r="A179" t="s">
        <v>159</v>
      </c>
      <c r="B179" t="s">
        <v>16</v>
      </c>
      <c r="C179" t="s">
        <v>6</v>
      </c>
      <c r="D179" s="3">
        <v>9250</v>
      </c>
      <c r="E179" s="3" t="s">
        <v>421</v>
      </c>
      <c r="G179" s="3" t="s">
        <v>403</v>
      </c>
      <c r="H179" s="3">
        <v>5</v>
      </c>
      <c r="I179" s="3">
        <f>IF(H179="","",IF(H179="DNS",0,IF(H179="DQ",0,IF(H179="DNF",1,IF(AND(ISNUMBER(H179),H179&gt;59),1,_xlfn.XLOOKUP(H179,tbl_points[Place],tbl_points[Points],""))))))</f>
        <v>80</v>
      </c>
      <c r="J179" s="3">
        <v>2</v>
      </c>
      <c r="K179" s="3">
        <f>IF(J179="","",IF(J179="DNS",0,IF(J179="DQ",0,IF(J179="DNF",1,IF(AND(ISNUMBER(J179),J179&gt;59),1,_xlfn.XLOOKUP(J179,tbl_points[Place],tbl_points[Points],""))))))</f>
        <v>95</v>
      </c>
      <c r="L179" s="3">
        <v>3</v>
      </c>
      <c r="M179" s="3">
        <f>IF(L179="","",IF(L179="DNS",0,IF(L179="DQ",0,IF(L179="DNF",1,IF(AND(ISNUMBER(L179),L179&gt;59),1,_xlfn.XLOOKUP(L179,tbl_points[Place],tbl_points[Points],""))))))</f>
        <v>90</v>
      </c>
      <c r="N179" s="3">
        <v>2</v>
      </c>
      <c r="O179" s="3">
        <f>IF(N179="","",IF(N179="DNS",0,IF(N179="DQ",0,IF(N179="DNF",1,IF(AND(ISNUMBER(N179),N179&gt;59),1,_xlfn.XLOOKUP(N179,tbl_points[Place],tbl_points[Points],""))))))</f>
        <v>95</v>
      </c>
      <c r="P179" s="3">
        <v>2</v>
      </c>
      <c r="Q179" s="3">
        <f>IF(P179="","",IF(P179="DNS",0,IF(P179="DQ",0,IF(P179="DNF",1,IF(AND(ISNUMBER(P179),P179&gt;59),1,_xlfn.XLOOKUP(P179,tbl_points[Place],tbl_points[Points],""))))))</f>
        <v>95</v>
      </c>
      <c r="S179" s="3" t="str">
        <f>IF(R179="","",IF(R179="DNS",0,IF(R179="DQ",0,IF(R179="DNF",1,IF(AND(ISNUMBER(R179),R179&gt;59),1,_xlfn.XLOOKUP(R179,tbl_points[Place],tbl_points[Points],""))))))</f>
        <v/>
      </c>
      <c r="T179" s="3">
        <f>SUM(tbl_individual[[#This Row],[R1 Pts]],tbl_individual[[#This Row],[R2 Pts]],tbl_individual[[#This Row],[R3 Pts]],tbl_individual[[#This Row],[R4 Pts]],tbl_individual[[#This Row],[R5 Pts]],tbl_individual[[#This Row],[R6 Pts]])</f>
        <v>455</v>
      </c>
      <c r="U17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79" s="3">
        <f>tbl_individual[[#This Row],[Total]]</f>
        <v>455</v>
      </c>
    </row>
    <row r="180" spans="1:22" hidden="1" x14ac:dyDescent="0.4">
      <c r="A180" t="s">
        <v>58</v>
      </c>
      <c r="B180" t="s">
        <v>10</v>
      </c>
      <c r="C180" t="s">
        <v>7</v>
      </c>
      <c r="D180" s="3">
        <v>8154</v>
      </c>
      <c r="E180" s="3" t="s">
        <v>422</v>
      </c>
      <c r="G180" s="3" t="s">
        <v>407</v>
      </c>
      <c r="H180" s="3" t="s">
        <v>410</v>
      </c>
      <c r="I180" s="3">
        <f>IF(H180="","",IF(H180="DNS",0,IF(H180="DQ",0,IF(H180="DNF",1,IF(AND(ISNUMBER(H180),H180&gt;59),1,_xlfn.XLOOKUP(H180,tbl_points[Place],tbl_points[Points],""))))))</f>
        <v>0</v>
      </c>
      <c r="J180" s="3" t="s">
        <v>410</v>
      </c>
      <c r="K180" s="3">
        <f>IF(J180="","",IF(J180="DNS",0,IF(J180="DQ",0,IF(J180="DNF",1,IF(AND(ISNUMBER(J180),J180&gt;59),1,_xlfn.XLOOKUP(J180,tbl_points[Place],tbl_points[Points],""))))))</f>
        <v>0</v>
      </c>
      <c r="M180" s="3" t="str">
        <f>IF(L180="","",IF(L180="DNS",0,IF(L180="DQ",0,IF(L180="DNF",1,IF(AND(ISNUMBER(L180),L180&gt;59),1,_xlfn.XLOOKUP(L180,tbl_points[Place],tbl_points[Points],""))))))</f>
        <v/>
      </c>
      <c r="O180" s="3" t="str">
        <f>IF(N180="","",IF(N180="DNS",0,IF(N180="DQ",0,IF(N180="DNF",1,IF(AND(ISNUMBER(N180),N180&gt;59),1,_xlfn.XLOOKUP(N180,tbl_points[Place],tbl_points[Points],""))))))</f>
        <v/>
      </c>
      <c r="Q180" s="3" t="str">
        <f>IF(P180="","",IF(P180="DNS",0,IF(P180="DQ",0,IF(P180="DNF",1,IF(AND(ISNUMBER(P180),P180&gt;59),1,_xlfn.XLOOKUP(P180,tbl_points[Place],tbl_points[Points],""))))))</f>
        <v/>
      </c>
      <c r="S180" s="3" t="str">
        <f>IF(R180="","",IF(R180="DNS",0,IF(R180="DQ",0,IF(R180="DNF",1,IF(AND(ISNUMBER(R180),R180&gt;59),1,_xlfn.XLOOKUP(R180,tbl_points[Place],tbl_points[Points],""))))))</f>
        <v/>
      </c>
      <c r="T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0" s="3">
        <f>tbl_individual[[#This Row],[Total]]</f>
        <v>0</v>
      </c>
    </row>
    <row r="181" spans="1:22" hidden="1" x14ac:dyDescent="0.4">
      <c r="A181" t="s">
        <v>59</v>
      </c>
      <c r="B181" t="s">
        <v>10</v>
      </c>
      <c r="C181" t="s">
        <v>7</v>
      </c>
      <c r="D181" s="3">
        <v>8177</v>
      </c>
      <c r="E181" s="3" t="s">
        <v>422</v>
      </c>
      <c r="G181" s="3" t="s">
        <v>407</v>
      </c>
      <c r="H181" s="3" t="s">
        <v>410</v>
      </c>
      <c r="I181" s="3">
        <f>IF(H181="","",IF(H181="DNS",0,IF(H181="DQ",0,IF(H181="DNF",1,IF(AND(ISNUMBER(H181),H181&gt;59),1,_xlfn.XLOOKUP(H181,tbl_points[Place],tbl_points[Points],""))))))</f>
        <v>0</v>
      </c>
      <c r="J181" s="3" t="s">
        <v>410</v>
      </c>
      <c r="K181" s="3">
        <f>IF(J181="","",IF(J181="DNS",0,IF(J181="DQ",0,IF(J181="DNF",1,IF(AND(ISNUMBER(J181),J181&gt;59),1,_xlfn.XLOOKUP(J181,tbl_points[Place],tbl_points[Points],""))))))</f>
        <v>0</v>
      </c>
      <c r="M181" s="3" t="str">
        <f>IF(L181="","",IF(L181="DNS",0,IF(L181="DQ",0,IF(L181="DNF",1,IF(AND(ISNUMBER(L181),L181&gt;59),1,_xlfn.XLOOKUP(L181,tbl_points[Place],tbl_points[Points],""))))))</f>
        <v/>
      </c>
      <c r="O181" s="3" t="str">
        <f>IF(N181="","",IF(N181="DNS",0,IF(N181="DQ",0,IF(N181="DNF",1,IF(AND(ISNUMBER(N181),N181&gt;59),1,_xlfn.XLOOKUP(N181,tbl_points[Place],tbl_points[Points],""))))))</f>
        <v/>
      </c>
      <c r="Q181" s="3" t="str">
        <f>IF(P181="","",IF(P181="DNS",0,IF(P181="DQ",0,IF(P181="DNF",1,IF(AND(ISNUMBER(P181),P181&gt;59),1,_xlfn.XLOOKUP(P181,tbl_points[Place],tbl_points[Points],""))))))</f>
        <v/>
      </c>
      <c r="S181" s="3" t="str">
        <f>IF(R181="","",IF(R181="DNS",0,IF(R181="DQ",0,IF(R181="DNF",1,IF(AND(ISNUMBER(R181),R181&gt;59),1,_xlfn.XLOOKUP(R181,tbl_points[Place],tbl_points[Points],""))))))</f>
        <v/>
      </c>
      <c r="T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1" s="3">
        <f>tbl_individual[[#This Row],[Total]]</f>
        <v>0</v>
      </c>
    </row>
    <row r="182" spans="1:22" x14ac:dyDescent="0.4">
      <c r="A182" t="s">
        <v>163</v>
      </c>
      <c r="B182" t="s">
        <v>17</v>
      </c>
      <c r="C182" t="s">
        <v>6</v>
      </c>
      <c r="D182" s="3">
        <v>9370</v>
      </c>
      <c r="E182" s="3" t="s">
        <v>421</v>
      </c>
      <c r="G182" s="3" t="s">
        <v>403</v>
      </c>
      <c r="H182" s="3">
        <v>7</v>
      </c>
      <c r="I182" s="3">
        <f>IF(H182="","",IF(H182="DNS",0,IF(H182="DQ",0,IF(H182="DNF",1,IF(AND(ISNUMBER(H182),H182&gt;59),1,_xlfn.XLOOKUP(H182,tbl_points[Place],tbl_points[Points],""))))))</f>
        <v>70</v>
      </c>
      <c r="J182" s="3">
        <v>3</v>
      </c>
      <c r="K182" s="3">
        <f>IF(J182="","",IF(J182="DNS",0,IF(J182="DQ",0,IF(J182="DNF",1,IF(AND(ISNUMBER(J182),J182&gt;59),1,_xlfn.XLOOKUP(J182,tbl_points[Place],tbl_points[Points],""))))))</f>
        <v>90</v>
      </c>
      <c r="L182" s="3" t="s">
        <v>410</v>
      </c>
      <c r="M182" s="3">
        <f>IF(L182="","",IF(L182="DNS",0,IF(L182="DQ",0,IF(L182="DNF",1,IF(AND(ISNUMBER(L182),L182&gt;59),1,_xlfn.XLOOKUP(L182,tbl_points[Place],tbl_points[Points],""))))))</f>
        <v>0</v>
      </c>
      <c r="N182" s="3">
        <v>6</v>
      </c>
      <c r="O182" s="3">
        <f>IF(N182="","",IF(N182="DNS",0,IF(N182="DQ",0,IF(N182="DNF",1,IF(AND(ISNUMBER(N182),N182&gt;59),1,_xlfn.XLOOKUP(N182,tbl_points[Place],tbl_points[Points],""))))))</f>
        <v>75</v>
      </c>
      <c r="P182" s="3">
        <v>3</v>
      </c>
      <c r="Q182" s="3">
        <f>IF(P182="","",IF(P182="DNS",0,IF(P182="DQ",0,IF(P182="DNF",1,IF(AND(ISNUMBER(P182),P182&gt;59),1,_xlfn.XLOOKUP(P182,tbl_points[Place],tbl_points[Points],""))))))</f>
        <v>90</v>
      </c>
      <c r="S182" s="3" t="str">
        <f>IF(R182="","",IF(R182="DNS",0,IF(R182="DQ",0,IF(R182="DNF",1,IF(AND(ISNUMBER(R182),R182&gt;59),1,_xlfn.XLOOKUP(R182,tbl_points[Place],tbl_points[Points],""))))))</f>
        <v/>
      </c>
      <c r="T182" s="3">
        <f>SUM(tbl_individual[[#This Row],[R1 Pts]],tbl_individual[[#This Row],[R2 Pts]],tbl_individual[[#This Row],[R3 Pts]],tbl_individual[[#This Row],[R4 Pts]],tbl_individual[[#This Row],[R5 Pts]],tbl_individual[[#This Row],[R6 Pts]])</f>
        <v>325</v>
      </c>
      <c r="U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2" s="3">
        <f>tbl_individual[[#This Row],[Total]]</f>
        <v>325</v>
      </c>
    </row>
    <row r="183" spans="1:22" x14ac:dyDescent="0.4">
      <c r="A183" t="s">
        <v>162</v>
      </c>
      <c r="B183" t="s">
        <v>17</v>
      </c>
      <c r="C183" t="s">
        <v>6</v>
      </c>
      <c r="D183" s="3">
        <v>9360</v>
      </c>
      <c r="E183" s="3" t="s">
        <v>421</v>
      </c>
      <c r="G183" s="3" t="s">
        <v>403</v>
      </c>
      <c r="H183" s="3">
        <v>4</v>
      </c>
      <c r="I183" s="3">
        <f>IF(H183="","",IF(H183="DNS",0,IF(H183="DQ",0,IF(H183="DNF",1,IF(AND(ISNUMBER(H183),H183&gt;59),1,_xlfn.XLOOKUP(H183,tbl_points[Place],tbl_points[Points],""))))))</f>
        <v>85</v>
      </c>
      <c r="J183" s="3">
        <v>6</v>
      </c>
      <c r="K183" s="3">
        <f>IF(J183="","",IF(J183="DNS",0,IF(J183="DQ",0,IF(J183="DNF",1,IF(AND(ISNUMBER(J183),J183&gt;59),1,_xlfn.XLOOKUP(J183,tbl_points[Place],tbl_points[Points],""))))))</f>
        <v>75</v>
      </c>
      <c r="L183" s="3" t="s">
        <v>410</v>
      </c>
      <c r="M183" s="3">
        <f>IF(L183="","",IF(L183="DNS",0,IF(L183="DQ",0,IF(L183="DNF",1,IF(AND(ISNUMBER(L183),L183&gt;59),1,_xlfn.XLOOKUP(L183,tbl_points[Place],tbl_points[Points],""))))))</f>
        <v>0</v>
      </c>
      <c r="N183" s="3">
        <v>7</v>
      </c>
      <c r="O183" s="3">
        <f>IF(N183="","",IF(N183="DNS",0,IF(N183="DQ",0,IF(N183="DNF",1,IF(AND(ISNUMBER(N183),N183&gt;59),1,_xlfn.XLOOKUP(N183,tbl_points[Place],tbl_points[Points],""))))))</f>
        <v>70</v>
      </c>
      <c r="P183" s="3">
        <v>4</v>
      </c>
      <c r="Q183" s="3">
        <f>IF(P183="","",IF(P183="DNS",0,IF(P183="DQ",0,IF(P183="DNF",1,IF(AND(ISNUMBER(P183),P183&gt;59),1,_xlfn.XLOOKUP(P183,tbl_points[Place],tbl_points[Points],""))))))</f>
        <v>85</v>
      </c>
      <c r="S183" s="3" t="str">
        <f>IF(R183="","",IF(R183="DNS",0,IF(R183="DQ",0,IF(R183="DNF",1,IF(AND(ISNUMBER(R183),R183&gt;59),1,_xlfn.XLOOKUP(R183,tbl_points[Place],tbl_points[Points],""))))))</f>
        <v/>
      </c>
      <c r="T183" s="3">
        <f>SUM(tbl_individual[[#This Row],[R1 Pts]],tbl_individual[[#This Row],[R2 Pts]],tbl_individual[[#This Row],[R3 Pts]],tbl_individual[[#This Row],[R4 Pts]],tbl_individual[[#This Row],[R5 Pts]],tbl_individual[[#This Row],[R6 Pts]])</f>
        <v>315</v>
      </c>
      <c r="U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3" s="3">
        <f>tbl_individual[[#This Row],[Total]]</f>
        <v>315</v>
      </c>
    </row>
    <row r="184" spans="1:22" hidden="1" x14ac:dyDescent="0.4">
      <c r="A184" t="s">
        <v>61</v>
      </c>
      <c r="B184" t="s">
        <v>10</v>
      </c>
      <c r="C184" t="s">
        <v>7</v>
      </c>
      <c r="D184" s="3">
        <v>8186</v>
      </c>
      <c r="E184" s="3" t="s">
        <v>422</v>
      </c>
      <c r="G184" s="3" t="s">
        <v>407</v>
      </c>
      <c r="H184" s="3" t="s">
        <v>410</v>
      </c>
      <c r="I184" s="3">
        <f>IF(H184="","",IF(H184="DNS",0,IF(H184="DQ",0,IF(H184="DNF",1,IF(AND(ISNUMBER(H184),H184&gt;59),1,_xlfn.XLOOKUP(H184,tbl_points[Place],tbl_points[Points],""))))))</f>
        <v>0</v>
      </c>
      <c r="J184" s="3" t="s">
        <v>410</v>
      </c>
      <c r="K184" s="3">
        <f>IF(J184="","",IF(J184="DNS",0,IF(J184="DQ",0,IF(J184="DNF",1,IF(AND(ISNUMBER(J184),J184&gt;59),1,_xlfn.XLOOKUP(J184,tbl_points[Place],tbl_points[Points],""))))))</f>
        <v>0</v>
      </c>
      <c r="M184" s="3" t="str">
        <f>IF(L184="","",IF(L184="DNS",0,IF(L184="DQ",0,IF(L184="DNF",1,IF(AND(ISNUMBER(L184),L184&gt;59),1,_xlfn.XLOOKUP(L184,tbl_points[Place],tbl_points[Points],""))))))</f>
        <v/>
      </c>
      <c r="O184" s="3" t="str">
        <f>IF(N184="","",IF(N184="DNS",0,IF(N184="DQ",0,IF(N184="DNF",1,IF(AND(ISNUMBER(N184),N184&gt;59),1,_xlfn.XLOOKUP(N184,tbl_points[Place],tbl_points[Points],""))))))</f>
        <v/>
      </c>
      <c r="Q184" s="3" t="str">
        <f>IF(P184="","",IF(P184="DNS",0,IF(P184="DQ",0,IF(P184="DNF",1,IF(AND(ISNUMBER(P184),P184&gt;59),1,_xlfn.XLOOKUP(P184,tbl_points[Place],tbl_points[Points],""))))))</f>
        <v/>
      </c>
      <c r="S184" s="3" t="str">
        <f>IF(R184="","",IF(R184="DNS",0,IF(R184="DQ",0,IF(R184="DNF",1,IF(AND(ISNUMBER(R184),R184&gt;59),1,_xlfn.XLOOKUP(R184,tbl_points[Place],tbl_points[Points],""))))))</f>
        <v/>
      </c>
      <c r="T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4" s="3">
        <f>tbl_individual[[#This Row],[Total]]</f>
        <v>0</v>
      </c>
    </row>
    <row r="185" spans="1:22" x14ac:dyDescent="0.4">
      <c r="A185" t="s">
        <v>64</v>
      </c>
      <c r="B185" t="s">
        <v>10</v>
      </c>
      <c r="C185" t="s">
        <v>6</v>
      </c>
      <c r="D185" s="3">
        <v>9451</v>
      </c>
      <c r="E185" s="3" t="s">
        <v>421</v>
      </c>
      <c r="G185" s="3" t="s">
        <v>403</v>
      </c>
      <c r="H185" s="3">
        <v>6</v>
      </c>
      <c r="I185" s="3">
        <f>IF(H185="","",IF(H185="DNS",0,IF(H185="DQ",0,IF(H185="DNF",1,IF(AND(ISNUMBER(H185),H185&gt;59),1,_xlfn.XLOOKUP(H185,tbl_points[Place],tbl_points[Points],""))))))</f>
        <v>75</v>
      </c>
      <c r="J185" s="3">
        <v>10</v>
      </c>
      <c r="K185" s="3">
        <f>IF(J185="","",IF(J185="DNS",0,IF(J185="DQ",0,IF(J185="DNF",1,IF(AND(ISNUMBER(J185),J185&gt;59),1,_xlfn.XLOOKUP(J185,tbl_points[Place],tbl_points[Points],""))))))</f>
        <v>55</v>
      </c>
      <c r="L185" s="3">
        <v>4</v>
      </c>
      <c r="M185" s="3">
        <f>IF(L185="","",IF(L185="DNS",0,IF(L185="DQ",0,IF(L185="DNF",1,IF(AND(ISNUMBER(L185),L185&gt;59),1,_xlfn.XLOOKUP(L185,tbl_points[Place],tbl_points[Points],""))))))</f>
        <v>85</v>
      </c>
      <c r="N185" s="3">
        <v>5</v>
      </c>
      <c r="O185" s="3">
        <f>IF(N185="","",IF(N185="DNS",0,IF(N185="DQ",0,IF(N185="DNF",1,IF(AND(ISNUMBER(N185),N185&gt;59),1,_xlfn.XLOOKUP(N185,tbl_points[Place],tbl_points[Points],""))))))</f>
        <v>80</v>
      </c>
      <c r="P185" s="3">
        <v>5</v>
      </c>
      <c r="Q185" s="3">
        <f>IF(P185="","",IF(P185="DNS",0,IF(P185="DQ",0,IF(P185="DNF",1,IF(AND(ISNUMBER(P185),P185&gt;59),1,_xlfn.XLOOKUP(P185,tbl_points[Place],tbl_points[Points],""))))))</f>
        <v>80</v>
      </c>
      <c r="S185" s="3" t="str">
        <f>IF(R185="","",IF(R185="DNS",0,IF(R185="DQ",0,IF(R185="DNF",1,IF(AND(ISNUMBER(R185),R185&gt;59),1,_xlfn.XLOOKUP(R185,tbl_points[Place],tbl_points[Points],""))))))</f>
        <v/>
      </c>
      <c r="T185" s="3">
        <f>SUM(tbl_individual[[#This Row],[R1 Pts]],tbl_individual[[#This Row],[R2 Pts]],tbl_individual[[#This Row],[R3 Pts]],tbl_individual[[#This Row],[R4 Pts]],tbl_individual[[#This Row],[R5 Pts]],tbl_individual[[#This Row],[R6 Pts]])</f>
        <v>375</v>
      </c>
      <c r="U18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85" s="3">
        <f>tbl_individual[[#This Row],[Total]]</f>
        <v>375</v>
      </c>
    </row>
    <row r="186" spans="1:22" x14ac:dyDescent="0.4">
      <c r="A186" t="s">
        <v>358</v>
      </c>
      <c r="B186" t="s">
        <v>30</v>
      </c>
      <c r="C186" t="s">
        <v>6</v>
      </c>
      <c r="D186" s="3">
        <v>9310</v>
      </c>
      <c r="E186" s="3" t="s">
        <v>421</v>
      </c>
      <c r="G186" s="3" t="s">
        <v>403</v>
      </c>
      <c r="H186" s="3">
        <v>12</v>
      </c>
      <c r="I186" s="3">
        <f>IF(H186="","",IF(H186="DNS",0,IF(H186="DQ",0,IF(H186="DNF",1,IF(AND(ISNUMBER(H186),H186&gt;59),1,_xlfn.XLOOKUP(H186,tbl_points[Place],tbl_points[Points],""))))))</f>
        <v>51</v>
      </c>
      <c r="J186" s="3">
        <v>5</v>
      </c>
      <c r="K186" s="3">
        <f>IF(J186="","",IF(J186="DNS",0,IF(J186="DQ",0,IF(J186="DNF",1,IF(AND(ISNUMBER(J186),J186&gt;59),1,_xlfn.XLOOKUP(J186,tbl_points[Place],tbl_points[Points],""))))))</f>
        <v>80</v>
      </c>
      <c r="L186" s="3">
        <v>11</v>
      </c>
      <c r="M186" s="3">
        <f>IF(L186="","",IF(L186="DNS",0,IF(L186="DQ",0,IF(L186="DNF",1,IF(AND(ISNUMBER(L186),L186&gt;59),1,_xlfn.XLOOKUP(L186,tbl_points[Place],tbl_points[Points],""))))))</f>
        <v>53</v>
      </c>
      <c r="N186" s="3">
        <v>9</v>
      </c>
      <c r="O186" s="3">
        <f>IF(N186="","",IF(N186="DNS",0,IF(N186="DQ",0,IF(N186="DNF",1,IF(AND(ISNUMBER(N186),N186&gt;59),1,_xlfn.XLOOKUP(N186,tbl_points[Place],tbl_points[Points],""))))))</f>
        <v>60</v>
      </c>
      <c r="P186" s="3">
        <v>6</v>
      </c>
      <c r="Q186" s="3">
        <f>IF(P186="","",IF(P186="DNS",0,IF(P186="DQ",0,IF(P186="DNF",1,IF(AND(ISNUMBER(P186),P186&gt;59),1,_xlfn.XLOOKUP(P186,tbl_points[Place],tbl_points[Points],""))))))</f>
        <v>75</v>
      </c>
      <c r="S186" s="3" t="str">
        <f>IF(R186="","",IF(R186="DNS",0,IF(R186="DQ",0,IF(R186="DNF",1,IF(AND(ISNUMBER(R186),R186&gt;59),1,_xlfn.XLOOKUP(R186,tbl_points[Place],tbl_points[Points],""))))))</f>
        <v/>
      </c>
      <c r="T186" s="3">
        <f>SUM(tbl_individual[[#This Row],[R1 Pts]],tbl_individual[[#This Row],[R2 Pts]],tbl_individual[[#This Row],[R3 Pts]],tbl_individual[[#This Row],[R4 Pts]],tbl_individual[[#This Row],[R5 Pts]],tbl_individual[[#This Row],[R6 Pts]])</f>
        <v>319</v>
      </c>
      <c r="U186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186" s="3">
        <f>tbl_individual[[#This Row],[Total]]</f>
        <v>319</v>
      </c>
    </row>
    <row r="187" spans="1:22" x14ac:dyDescent="0.4">
      <c r="A187" t="s">
        <v>296</v>
      </c>
      <c r="B187" t="s">
        <v>25</v>
      </c>
      <c r="C187" t="s">
        <v>6</v>
      </c>
      <c r="D187" s="3">
        <v>9300</v>
      </c>
      <c r="E187" s="3" t="s">
        <v>421</v>
      </c>
      <c r="G187" s="3" t="s">
        <v>403</v>
      </c>
      <c r="H187" s="3">
        <v>3</v>
      </c>
      <c r="I187" s="3">
        <f>IF(H187="","",IF(H187="DNS",0,IF(H187="DQ",0,IF(H187="DNF",1,IF(AND(ISNUMBER(H187),H187&gt;59),1,_xlfn.XLOOKUP(H187,tbl_points[Place],tbl_points[Points],""))))))</f>
        <v>90</v>
      </c>
      <c r="J187" s="3">
        <v>9</v>
      </c>
      <c r="K187" s="3">
        <f>IF(J187="","",IF(J187="DNS",0,IF(J187="DQ",0,IF(J187="DNF",1,IF(AND(ISNUMBER(J187),J187&gt;59),1,_xlfn.XLOOKUP(J187,tbl_points[Place],tbl_points[Points],""))))))</f>
        <v>60</v>
      </c>
      <c r="L187" s="3">
        <v>6</v>
      </c>
      <c r="M187" s="3">
        <f>IF(L187="","",IF(L187="DNS",0,IF(L187="DQ",0,IF(L187="DNF",1,IF(AND(ISNUMBER(L187),L187&gt;59),1,_xlfn.XLOOKUP(L187,tbl_points[Place],tbl_points[Points],""))))))</f>
        <v>75</v>
      </c>
      <c r="N187" s="3">
        <v>4</v>
      </c>
      <c r="O187" s="3">
        <f>IF(N187="","",IF(N187="DNS",0,IF(N187="DQ",0,IF(N187="DNF",1,IF(AND(ISNUMBER(N187),N187&gt;59),1,_xlfn.XLOOKUP(N187,tbl_points[Place],tbl_points[Points],""))))))</f>
        <v>85</v>
      </c>
      <c r="P187" s="3">
        <v>7</v>
      </c>
      <c r="Q187" s="3">
        <f>IF(P187="","",IF(P187="DNS",0,IF(P187="DQ",0,IF(P187="DNF",1,IF(AND(ISNUMBER(P187),P187&gt;59),1,_xlfn.XLOOKUP(P187,tbl_points[Place],tbl_points[Points],""))))))</f>
        <v>70</v>
      </c>
      <c r="S187" s="3" t="str">
        <f>IF(R187="","",IF(R187="DNS",0,IF(R187="DQ",0,IF(R187="DNF",1,IF(AND(ISNUMBER(R187),R187&gt;59),1,_xlfn.XLOOKUP(R187,tbl_points[Place],tbl_points[Points],""))))))</f>
        <v/>
      </c>
      <c r="T187" s="3">
        <f>SUM(tbl_individual[[#This Row],[R1 Pts]],tbl_individual[[#This Row],[R2 Pts]],tbl_individual[[#This Row],[R3 Pts]],tbl_individual[[#This Row],[R4 Pts]],tbl_individual[[#This Row],[R5 Pts]],tbl_individual[[#This Row],[R6 Pts]])</f>
        <v>380</v>
      </c>
      <c r="U18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87" s="3">
        <f>tbl_individual[[#This Row],[Total]]</f>
        <v>380</v>
      </c>
    </row>
    <row r="188" spans="1:22" x14ac:dyDescent="0.4">
      <c r="A188" t="s">
        <v>362</v>
      </c>
      <c r="B188" t="s">
        <v>30</v>
      </c>
      <c r="C188" t="s">
        <v>6</v>
      </c>
      <c r="D188" s="3">
        <v>9350</v>
      </c>
      <c r="E188" s="3" t="s">
        <v>421</v>
      </c>
      <c r="G188" s="3" t="s">
        <v>403</v>
      </c>
      <c r="H188" s="3">
        <v>2</v>
      </c>
      <c r="I188" s="3">
        <f>IF(H188="","",IF(H188="DNS",0,IF(H188="DQ",0,IF(H188="DNF",1,IF(AND(ISNUMBER(H188),H188&gt;59),1,_xlfn.XLOOKUP(H188,tbl_points[Place],tbl_points[Points],""))))))</f>
        <v>95</v>
      </c>
      <c r="J188" s="3">
        <v>11</v>
      </c>
      <c r="K188" s="3">
        <f>IF(J188="","",IF(J188="DNS",0,IF(J188="DQ",0,IF(J188="DNF",1,IF(AND(ISNUMBER(J188),J188&gt;59),1,_xlfn.XLOOKUP(J188,tbl_points[Place],tbl_points[Points],""))))))</f>
        <v>53</v>
      </c>
      <c r="L188" s="3">
        <v>2</v>
      </c>
      <c r="M188" s="3">
        <f>IF(L188="","",IF(L188="DNS",0,IF(L188="DQ",0,IF(L188="DNF",1,IF(AND(ISNUMBER(L188),L188&gt;59),1,_xlfn.XLOOKUP(L188,tbl_points[Place],tbl_points[Points],""))))))</f>
        <v>95</v>
      </c>
      <c r="N188" s="3">
        <v>10</v>
      </c>
      <c r="O188" s="3">
        <f>IF(N188="","",IF(N188="DNS",0,IF(N188="DQ",0,IF(N188="DNF",1,IF(AND(ISNUMBER(N188),N188&gt;59),1,_xlfn.XLOOKUP(N188,tbl_points[Place],tbl_points[Points],""))))))</f>
        <v>55</v>
      </c>
      <c r="P188" s="3">
        <v>8</v>
      </c>
      <c r="Q188" s="3">
        <f>IF(P188="","",IF(P188="DNS",0,IF(P188="DQ",0,IF(P188="DNF",1,IF(AND(ISNUMBER(P188),P188&gt;59),1,_xlfn.XLOOKUP(P188,tbl_points[Place],tbl_points[Points],""))))))</f>
        <v>65</v>
      </c>
      <c r="S188" s="3" t="str">
        <f>IF(R188="","",IF(R188="DNS",0,IF(R188="DQ",0,IF(R188="DNF",1,IF(AND(ISNUMBER(R188),R188&gt;59),1,_xlfn.XLOOKUP(R188,tbl_points[Place],tbl_points[Points],""))))))</f>
        <v/>
      </c>
      <c r="T188" s="3">
        <f>SUM(tbl_individual[[#This Row],[R1 Pts]],tbl_individual[[#This Row],[R2 Pts]],tbl_individual[[#This Row],[R3 Pts]],tbl_individual[[#This Row],[R4 Pts]],tbl_individual[[#This Row],[R5 Pts]],tbl_individual[[#This Row],[R6 Pts]])</f>
        <v>363</v>
      </c>
      <c r="U188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88" s="3">
        <f>tbl_individual[[#This Row],[Total]]</f>
        <v>363</v>
      </c>
    </row>
    <row r="189" spans="1:22" x14ac:dyDescent="0.4">
      <c r="A189" t="s">
        <v>359</v>
      </c>
      <c r="B189" t="s">
        <v>30</v>
      </c>
      <c r="C189" t="s">
        <v>6</v>
      </c>
      <c r="D189" s="3">
        <v>9320</v>
      </c>
      <c r="E189" s="3" t="s">
        <v>421</v>
      </c>
      <c r="G189" s="3" t="s">
        <v>403</v>
      </c>
      <c r="H189" s="3" t="s">
        <v>410</v>
      </c>
      <c r="I189" s="3">
        <f>IF(H189="","",IF(H189="DNS",0,IF(H189="DQ",0,IF(H189="DNF",1,IF(AND(ISNUMBER(H189),H189&gt;59),1,_xlfn.XLOOKUP(H189,tbl_points[Place],tbl_points[Points],""))))))</f>
        <v>0</v>
      </c>
      <c r="J189" s="3">
        <v>4</v>
      </c>
      <c r="K189" s="3">
        <f>IF(J189="","",IF(J189="DNS",0,IF(J189="DQ",0,IF(J189="DNF",1,IF(AND(ISNUMBER(J189),J189&gt;59),1,_xlfn.XLOOKUP(J189,tbl_points[Place],tbl_points[Points],""))))))</f>
        <v>85</v>
      </c>
      <c r="L189" s="3" t="s">
        <v>410</v>
      </c>
      <c r="M189" s="3">
        <f>IF(L189="","",IF(L189="DNS",0,IF(L189="DQ",0,IF(L189="DNF",1,IF(AND(ISNUMBER(L189),L189&gt;59),1,_xlfn.XLOOKUP(L189,tbl_points[Place],tbl_points[Points],""))))))</f>
        <v>0</v>
      </c>
      <c r="N189" s="3" t="s">
        <v>410</v>
      </c>
      <c r="O189" s="3">
        <f>IF(N189="","",IF(N189="DNS",0,IF(N189="DQ",0,IF(N189="DNF",1,IF(AND(ISNUMBER(N189),N189&gt;59),1,_xlfn.XLOOKUP(N189,tbl_points[Place],tbl_points[Points],""))))))</f>
        <v>0</v>
      </c>
      <c r="P189" s="3">
        <v>9</v>
      </c>
      <c r="Q189" s="3">
        <f>IF(P189="","",IF(P189="DNS",0,IF(P189="DQ",0,IF(P189="DNF",1,IF(AND(ISNUMBER(P189),P189&gt;59),1,_xlfn.XLOOKUP(P189,tbl_points[Place],tbl_points[Points],""))))))</f>
        <v>60</v>
      </c>
      <c r="S189" s="3" t="str">
        <f>IF(R189="","",IF(R189="DNS",0,IF(R189="DQ",0,IF(R189="DNF",1,IF(AND(ISNUMBER(R189),R189&gt;59),1,_xlfn.XLOOKUP(R189,tbl_points[Place],tbl_points[Points],""))))))</f>
        <v/>
      </c>
      <c r="T189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9" s="3">
        <f>tbl_individual[[#This Row],[Total]]</f>
        <v>145</v>
      </c>
    </row>
    <row r="190" spans="1:22" x14ac:dyDescent="0.4">
      <c r="A190" t="s">
        <v>149</v>
      </c>
      <c r="B190" t="s">
        <v>15</v>
      </c>
      <c r="C190" t="s">
        <v>6</v>
      </c>
      <c r="D190" s="3">
        <v>9491</v>
      </c>
      <c r="E190" s="3" t="s">
        <v>421</v>
      </c>
      <c r="G190" s="3" t="s">
        <v>403</v>
      </c>
      <c r="H190" s="3">
        <v>8</v>
      </c>
      <c r="I190" s="3">
        <f>IF(H190="","",IF(H190="DNS",0,IF(H190="DQ",0,IF(H190="DNF",1,IF(AND(ISNUMBER(H190),H190&gt;59),1,_xlfn.XLOOKUP(H190,tbl_points[Place],tbl_points[Points],""))))))</f>
        <v>65</v>
      </c>
      <c r="J190" s="3">
        <v>14</v>
      </c>
      <c r="K190" s="3">
        <f>IF(J190="","",IF(J190="DNS",0,IF(J190="DQ",0,IF(J190="DNF",1,IF(AND(ISNUMBER(J190),J190&gt;59),1,_xlfn.XLOOKUP(J190,tbl_points[Place],tbl_points[Points],""))))))</f>
        <v>47</v>
      </c>
      <c r="L190" s="3">
        <v>7</v>
      </c>
      <c r="M190" s="3">
        <f>IF(L190="","",IF(L190="DNS",0,IF(L190="DQ",0,IF(L190="DNF",1,IF(AND(ISNUMBER(L190),L190&gt;59),1,_xlfn.XLOOKUP(L190,tbl_points[Place],tbl_points[Points],""))))))</f>
        <v>70</v>
      </c>
      <c r="N190" s="3" t="s">
        <v>1158</v>
      </c>
      <c r="O190" s="3" t="str">
        <f>IF(N190="","",IF(N190="DNS",0,IF(N190="DQ",0,IF(N190="DNF",1,IF(AND(ISNUMBER(N190),N190&gt;59),1,_xlfn.XLOOKUP(N190,tbl_points[Place],tbl_points[Points],""))))))</f>
        <v/>
      </c>
      <c r="P190" s="3">
        <v>10</v>
      </c>
      <c r="Q190" s="3">
        <f>IF(P190="","",IF(P190="DNS",0,IF(P190="DQ",0,IF(P190="DNF",1,IF(AND(ISNUMBER(P190),P190&gt;59),1,_xlfn.XLOOKUP(P190,tbl_points[Place],tbl_points[Points],""))))))</f>
        <v>55</v>
      </c>
      <c r="S190" s="3" t="str">
        <f>IF(R190="","",IF(R190="DNS",0,IF(R190="DQ",0,IF(R190="DNF",1,IF(AND(ISNUMBER(R190),R190&gt;59),1,_xlfn.XLOOKUP(R190,tbl_points[Place],tbl_points[Points],""))))))</f>
        <v/>
      </c>
      <c r="T190" s="3">
        <f>SUM(tbl_individual[[#This Row],[R1 Pts]],tbl_individual[[#This Row],[R2 Pts]],tbl_individual[[#This Row],[R3 Pts]],tbl_individual[[#This Row],[R4 Pts]],tbl_individual[[#This Row],[R5 Pts]],tbl_individual[[#This Row],[R6 Pts]])</f>
        <v>237</v>
      </c>
      <c r="U190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90" s="3">
        <f>tbl_individual[[#This Row],[Total]]</f>
        <v>237</v>
      </c>
    </row>
    <row r="191" spans="1:22" x14ac:dyDescent="0.4">
      <c r="A191" t="s">
        <v>247</v>
      </c>
      <c r="B191" t="s">
        <v>23</v>
      </c>
      <c r="C191" t="s">
        <v>6</v>
      </c>
      <c r="D191" s="3">
        <v>9270</v>
      </c>
      <c r="E191" s="3" t="s">
        <v>421</v>
      </c>
      <c r="G191" s="3" t="s">
        <v>407</v>
      </c>
      <c r="H191" s="3" t="s">
        <v>410</v>
      </c>
      <c r="I191" s="3">
        <f>IF(H191="","",IF(H191="DNS",0,IF(H191="DQ",0,IF(H191="DNF",1,IF(AND(ISNUMBER(H191),H191&gt;59),1,_xlfn.XLOOKUP(H191,tbl_points[Place],tbl_points[Points],""))))))</f>
        <v>0</v>
      </c>
      <c r="J191" s="3" t="s">
        <v>410</v>
      </c>
      <c r="K191" s="3">
        <f>IF(J191="","",IF(J191="DNS",0,IF(J191="DQ",0,IF(J191="DNF",1,IF(AND(ISNUMBER(J191),J191&gt;59),1,_xlfn.XLOOKUP(J191,tbl_points[Place],tbl_points[Points],""))))))</f>
        <v>0</v>
      </c>
      <c r="L191" s="3" t="s">
        <v>409</v>
      </c>
      <c r="M191" s="3">
        <f>IF(L191="","",IF(L191="DNS",0,IF(L191="DQ",0,IF(L191="DNF",1,IF(AND(ISNUMBER(L191),L191&gt;59),1,_xlfn.XLOOKUP(L191,tbl_points[Place],tbl_points[Points],""))))))</f>
        <v>1</v>
      </c>
      <c r="N191" s="3" t="s">
        <v>410</v>
      </c>
      <c r="O191" s="3">
        <f>IF(N191="","",IF(N191="DNS",0,IF(N191="DQ",0,IF(N191="DNF",1,IF(AND(ISNUMBER(N191),N191&gt;59),1,_xlfn.XLOOKUP(N191,tbl_points[Place],tbl_points[Points],""))))))</f>
        <v>0</v>
      </c>
      <c r="P191" s="3">
        <v>11</v>
      </c>
      <c r="Q191" s="3">
        <f>IF(P191="","",IF(P191="DNS",0,IF(P191="DQ",0,IF(P191="DNF",1,IF(AND(ISNUMBER(P191),P191&gt;59),1,_xlfn.XLOOKUP(P191,tbl_points[Place],tbl_points[Points],""))))))</f>
        <v>53</v>
      </c>
      <c r="S191" s="3" t="str">
        <f>IF(R191="","",IF(R191="DNS",0,IF(R191="DQ",0,IF(R191="DNF",1,IF(AND(ISNUMBER(R191),R191&gt;59),1,_xlfn.XLOOKUP(R191,tbl_points[Place],tbl_points[Points],""))))))</f>
        <v/>
      </c>
      <c r="T191" s="3">
        <f>SUM(tbl_individual[[#This Row],[R1 Pts]],tbl_individual[[#This Row],[R2 Pts]],tbl_individual[[#This Row],[R3 Pts]],tbl_individual[[#This Row],[R4 Pts]],tbl_individual[[#This Row],[R5 Pts]],tbl_individual[[#This Row],[R6 Pts]])</f>
        <v>54</v>
      </c>
      <c r="U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1" s="3">
        <f>tbl_individual[[#This Row],[Total]]</f>
        <v>54</v>
      </c>
    </row>
    <row r="192" spans="1:22" x14ac:dyDescent="0.4">
      <c r="A192" t="s">
        <v>62</v>
      </c>
      <c r="B192" t="s">
        <v>10</v>
      </c>
      <c r="C192" t="s">
        <v>6</v>
      </c>
      <c r="D192" s="3">
        <v>9180</v>
      </c>
      <c r="E192" s="3" t="s">
        <v>421</v>
      </c>
      <c r="G192" s="3" t="s">
        <v>403</v>
      </c>
      <c r="H192" s="3">
        <v>13</v>
      </c>
      <c r="I192" s="3">
        <f>IF(H192="","",IF(H192="DNS",0,IF(H192="DQ",0,IF(H192="DNF",1,IF(AND(ISNUMBER(H192),H192&gt;59),1,_xlfn.XLOOKUP(H192,tbl_points[Place],tbl_points[Points],""))))))</f>
        <v>49</v>
      </c>
      <c r="J192" s="3">
        <v>12</v>
      </c>
      <c r="K192" s="3">
        <f>IF(J192="","",IF(J192="DNS",0,IF(J192="DQ",0,IF(J192="DNF",1,IF(AND(ISNUMBER(J192),J192&gt;59),1,_xlfn.XLOOKUP(J192,tbl_points[Place],tbl_points[Points],""))))))</f>
        <v>51</v>
      </c>
      <c r="L192" s="3" t="s">
        <v>410</v>
      </c>
      <c r="M192" s="3">
        <f>IF(L192="","",IF(L192="DNS",0,IF(L192="DQ",0,IF(L192="DNF",1,IF(AND(ISNUMBER(L192),L192&gt;59),1,_xlfn.XLOOKUP(L192,tbl_points[Place],tbl_points[Points],""))))))</f>
        <v>0</v>
      </c>
      <c r="N192" s="3">
        <v>8</v>
      </c>
      <c r="O192" s="3">
        <f>IF(N192="","",IF(N192="DNS",0,IF(N192="DQ",0,IF(N192="DNF",1,IF(AND(ISNUMBER(N192),N192&gt;59),1,_xlfn.XLOOKUP(N192,tbl_points[Place],tbl_points[Points],""))))))</f>
        <v>65</v>
      </c>
      <c r="P192" s="3">
        <v>12</v>
      </c>
      <c r="Q192" s="3">
        <f>IF(P192="","",IF(P192="DNS",0,IF(P192="DQ",0,IF(P192="DNF",1,IF(AND(ISNUMBER(P192),P192&gt;59),1,_xlfn.XLOOKUP(P192,tbl_points[Place],tbl_points[Points],""))))))</f>
        <v>51</v>
      </c>
      <c r="S192" s="3" t="str">
        <f>IF(R192="","",IF(R192="DNS",0,IF(R192="DQ",0,IF(R192="DNF",1,IF(AND(ISNUMBER(R192),R192&gt;59),1,_xlfn.XLOOKUP(R192,tbl_points[Place],tbl_points[Points],""))))))</f>
        <v/>
      </c>
      <c r="T192" s="3">
        <f>SUM(tbl_individual[[#This Row],[R1 Pts]],tbl_individual[[#This Row],[R2 Pts]],tbl_individual[[#This Row],[R3 Pts]],tbl_individual[[#This Row],[R4 Pts]],tbl_individual[[#This Row],[R5 Pts]],tbl_individual[[#This Row],[R6 Pts]])</f>
        <v>216</v>
      </c>
      <c r="U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2" s="3">
        <f>tbl_individual[[#This Row],[Total]]</f>
        <v>216</v>
      </c>
    </row>
    <row r="193" spans="1:22" x14ac:dyDescent="0.4">
      <c r="A193" t="s">
        <v>63</v>
      </c>
      <c r="B193" t="s">
        <v>10</v>
      </c>
      <c r="C193" t="s">
        <v>6</v>
      </c>
      <c r="D193" s="3">
        <v>9421</v>
      </c>
      <c r="E193" s="3" t="s">
        <v>421</v>
      </c>
      <c r="G193" s="3" t="s">
        <v>403</v>
      </c>
      <c r="H193" s="3">
        <v>14</v>
      </c>
      <c r="I193" s="3">
        <f>IF(H193="","",IF(H193="DNS",0,IF(H193="DQ",0,IF(H193="DNF",1,IF(AND(ISNUMBER(H193),H193&gt;59),1,_xlfn.XLOOKUP(H193,tbl_points[Place],tbl_points[Points],""))))))</f>
        <v>47</v>
      </c>
      <c r="J193" s="3">
        <v>13</v>
      </c>
      <c r="K193" s="3">
        <f>IF(J193="","",IF(J193="DNS",0,IF(J193="DQ",0,IF(J193="DNF",1,IF(AND(ISNUMBER(J193),J193&gt;59),1,_xlfn.XLOOKUP(J193,tbl_points[Place],tbl_points[Points],""))))))</f>
        <v>49</v>
      </c>
      <c r="L193" s="3">
        <v>10</v>
      </c>
      <c r="M193" s="3">
        <f>IF(L193="","",IF(L193="DNS",0,IF(L193="DQ",0,IF(L193="DNF",1,IF(AND(ISNUMBER(L193),L193&gt;59),1,_xlfn.XLOOKUP(L193,tbl_points[Place],tbl_points[Points],""))))))</f>
        <v>55</v>
      </c>
      <c r="N193" s="3" t="s">
        <v>410</v>
      </c>
      <c r="O193" s="3">
        <f>IF(N193="","",IF(N193="DNS",0,IF(N193="DQ",0,IF(N193="DNF",1,IF(AND(ISNUMBER(N193),N193&gt;59),1,_xlfn.XLOOKUP(N193,tbl_points[Place],tbl_points[Points],""))))))</f>
        <v>0</v>
      </c>
      <c r="P193" s="3">
        <v>13</v>
      </c>
      <c r="Q193" s="3">
        <f>IF(P193="","",IF(P193="DNS",0,IF(P193="DQ",0,IF(P193="DNF",1,IF(AND(ISNUMBER(P193),P193&gt;59),1,_xlfn.XLOOKUP(P193,tbl_points[Place],tbl_points[Points],""))))))</f>
        <v>49</v>
      </c>
      <c r="S193" s="3" t="str">
        <f>IF(R193="","",IF(R193="DNS",0,IF(R193="DQ",0,IF(R193="DNF",1,IF(AND(ISNUMBER(R193),R193&gt;59),1,_xlfn.XLOOKUP(R193,tbl_points[Place],tbl_points[Points],""))))))</f>
        <v/>
      </c>
      <c r="T193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3" s="3">
        <f>tbl_individual[[#This Row],[Total]]</f>
        <v>200</v>
      </c>
    </row>
    <row r="194" spans="1:22" x14ac:dyDescent="0.4">
      <c r="A194" t="s">
        <v>248</v>
      </c>
      <c r="B194" t="s">
        <v>23</v>
      </c>
      <c r="C194" t="s">
        <v>6</v>
      </c>
      <c r="D194" s="3">
        <v>9280</v>
      </c>
      <c r="E194" s="3" t="s">
        <v>421</v>
      </c>
      <c r="G194" s="3" t="s">
        <v>407</v>
      </c>
      <c r="H194" s="3">
        <v>10</v>
      </c>
      <c r="I194" s="3">
        <f>IF(H194="","",IF(H194="DNS",0,IF(H194="DQ",0,IF(H194="DNF",1,IF(AND(ISNUMBER(H194),H194&gt;59),1,_xlfn.XLOOKUP(H194,tbl_points[Place],tbl_points[Points],""))))))</f>
        <v>55</v>
      </c>
      <c r="J194" s="3" t="s">
        <v>410</v>
      </c>
      <c r="K194" s="3">
        <f>IF(J194="","",IF(J194="DNS",0,IF(J194="DQ",0,IF(J194="DNF",1,IF(AND(ISNUMBER(J194),J194&gt;59),1,_xlfn.XLOOKUP(J194,tbl_points[Place],tbl_points[Points],""))))))</f>
        <v>0</v>
      </c>
      <c r="L194" s="3" t="s">
        <v>410</v>
      </c>
      <c r="M194" s="3">
        <f>IF(L194="","",IF(L194="DNS",0,IF(L194="DQ",0,IF(L194="DNF",1,IF(AND(ISNUMBER(L194),L194&gt;59),1,_xlfn.XLOOKUP(L194,tbl_points[Place],tbl_points[Points],""))))))</f>
        <v>0</v>
      </c>
      <c r="N194" s="3">
        <v>11</v>
      </c>
      <c r="O194" s="3">
        <f>IF(N194="","",IF(N194="DNS",0,IF(N194="DQ",0,IF(N194="DNF",1,IF(AND(ISNUMBER(N194),N194&gt;59),1,_xlfn.XLOOKUP(N194,tbl_points[Place],tbl_points[Points],""))))))</f>
        <v>53</v>
      </c>
      <c r="P194" s="3" t="s">
        <v>409</v>
      </c>
      <c r="Q194" s="3">
        <f>IF(P194="","",IF(P194="DNS",0,IF(P194="DQ",0,IF(P194="DNF",1,IF(AND(ISNUMBER(P194),P194&gt;59),1,_xlfn.XLOOKUP(P194,tbl_points[Place],tbl_points[Points],""))))))</f>
        <v>1</v>
      </c>
      <c r="S194" s="3" t="str">
        <f>IF(R194="","",IF(R194="DNS",0,IF(R194="DQ",0,IF(R194="DNF",1,IF(AND(ISNUMBER(R194),R194&gt;59),1,_xlfn.XLOOKUP(R194,tbl_points[Place],tbl_points[Points],""))))))</f>
        <v/>
      </c>
      <c r="T194" s="3">
        <f>SUM(tbl_individual[[#This Row],[R1 Pts]],tbl_individual[[#This Row],[R2 Pts]],tbl_individual[[#This Row],[R3 Pts]],tbl_individual[[#This Row],[R4 Pts]],tbl_individual[[#This Row],[R5 Pts]],tbl_individual[[#This Row],[R6 Pts]])</f>
        <v>109</v>
      </c>
      <c r="U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4" s="3">
        <f>tbl_individual[[#This Row],[Total]]</f>
        <v>109</v>
      </c>
    </row>
    <row r="195" spans="1:22" x14ac:dyDescent="0.4">
      <c r="A195" t="s">
        <v>246</v>
      </c>
      <c r="B195" t="s">
        <v>23</v>
      </c>
      <c r="C195" t="s">
        <v>6</v>
      </c>
      <c r="D195" s="3">
        <v>9260</v>
      </c>
      <c r="E195" s="3" t="s">
        <v>421</v>
      </c>
      <c r="G195" s="3" t="s">
        <v>407</v>
      </c>
      <c r="H195" s="3" t="s">
        <v>410</v>
      </c>
      <c r="I195" s="3">
        <f>IF(H195="","",IF(H195="DNS",0,IF(H195="DQ",0,IF(H195="DNF",1,IF(AND(ISNUMBER(H195),H195&gt;59),1,_xlfn.XLOOKUP(H195,tbl_points[Place],tbl_points[Points],""))))))</f>
        <v>0</v>
      </c>
      <c r="J195" s="3" t="s">
        <v>410</v>
      </c>
      <c r="K195" s="3">
        <f>IF(J195="","",IF(J195="DNS",0,IF(J195="DQ",0,IF(J195="DNF",1,IF(AND(ISNUMBER(J195),J195&gt;59),1,_xlfn.XLOOKUP(J195,tbl_points[Place],tbl_points[Points],""))))))</f>
        <v>0</v>
      </c>
      <c r="L195" s="3" t="s">
        <v>446</v>
      </c>
      <c r="M195" s="3">
        <f>IF(L195="","",IF(L195="DNS",0,IF(L195="DQ",0,IF(L195="DNF",1,IF(AND(ISNUMBER(L195),L195&gt;59),1,_xlfn.XLOOKUP(L195,tbl_points[Place],tbl_points[Points],""))))))</f>
        <v>1</v>
      </c>
      <c r="N195" s="3">
        <v>3</v>
      </c>
      <c r="O195" s="3">
        <f>IF(N195="","",IF(N195="DNS",0,IF(N195="DQ",0,IF(N195="DNF",1,IF(AND(ISNUMBER(N195),N195&gt;59),1,_xlfn.XLOOKUP(N195,tbl_points[Place],tbl_points[Points],""))))))</f>
        <v>90</v>
      </c>
      <c r="P195" s="3" t="s">
        <v>410</v>
      </c>
      <c r="Q195" s="3">
        <f>IF(P195="","",IF(P195="DNS",0,IF(P195="DQ",0,IF(P195="DNF",1,IF(AND(ISNUMBER(P195),P195&gt;59),1,_xlfn.XLOOKUP(P195,tbl_points[Place],tbl_points[Points],""))))))</f>
        <v>0</v>
      </c>
      <c r="S195" s="3" t="str">
        <f>IF(R195="","",IF(R195="DNS",0,IF(R195="DQ",0,IF(R195="DNF",1,IF(AND(ISNUMBER(R195),R195&gt;59),1,_xlfn.XLOOKUP(R195,tbl_points[Place],tbl_points[Points],""))))))</f>
        <v/>
      </c>
      <c r="T195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5" s="3">
        <f>tbl_individual[[#This Row],[Total]]</f>
        <v>91</v>
      </c>
    </row>
    <row r="196" spans="1:22" x14ac:dyDescent="0.4">
      <c r="A196" t="s">
        <v>105</v>
      </c>
      <c r="B196" t="s">
        <v>11</v>
      </c>
      <c r="C196" t="s">
        <v>6</v>
      </c>
      <c r="D196" s="3">
        <v>9290</v>
      </c>
      <c r="E196" s="3" t="s">
        <v>421</v>
      </c>
      <c r="G196" s="3" t="s">
        <v>407</v>
      </c>
      <c r="H196" s="3" t="s">
        <v>410</v>
      </c>
      <c r="I196" s="3">
        <f>IF(H196="","",IF(H196="DNS",0,IF(H196="DQ",0,IF(H196="DNF",1,IF(AND(ISNUMBER(H196),H196&gt;59),1,_xlfn.XLOOKUP(H196,tbl_points[Place],tbl_points[Points],""))))))</f>
        <v>0</v>
      </c>
      <c r="J196" s="3" t="s">
        <v>410</v>
      </c>
      <c r="K196" s="3">
        <f>IF(J196="","",IF(J196="DNS",0,IF(J196="DQ",0,IF(J196="DNF",1,IF(AND(ISNUMBER(J196),J196&gt;59),1,_xlfn.XLOOKUP(J196,tbl_points[Place],tbl_points[Points],""))))))</f>
        <v>0</v>
      </c>
      <c r="L196" s="3" t="s">
        <v>410</v>
      </c>
      <c r="M196" s="3">
        <f>IF(L196="","",IF(L196="DNS",0,IF(L196="DQ",0,IF(L196="DNF",1,IF(AND(ISNUMBER(L196),L196&gt;59),1,_xlfn.XLOOKUP(L196,tbl_points[Place],tbl_points[Points],""))))))</f>
        <v>0</v>
      </c>
      <c r="N196" s="3" t="s">
        <v>410</v>
      </c>
      <c r="O196" s="3">
        <f>IF(N196="","",IF(N196="DNS",0,IF(N196="DQ",0,IF(N196="DNF",1,IF(AND(ISNUMBER(N196),N196&gt;59),1,_xlfn.XLOOKUP(N196,tbl_points[Place],tbl_points[Points],""))))))</f>
        <v>0</v>
      </c>
      <c r="P196" s="3" t="s">
        <v>410</v>
      </c>
      <c r="Q196" s="3">
        <f>IF(P196="","",IF(P196="DNS",0,IF(P196="DQ",0,IF(P196="DNF",1,IF(AND(ISNUMBER(P196),P196&gt;59),1,_xlfn.XLOOKUP(P196,tbl_points[Place],tbl_points[Points],""))))))</f>
        <v>0</v>
      </c>
      <c r="S196" s="3" t="str">
        <f>IF(R196="","",IF(R196="DNS",0,IF(R196="DQ",0,IF(R196="DNF",1,IF(AND(ISNUMBER(R196),R196&gt;59),1,_xlfn.XLOOKUP(R196,tbl_points[Place],tbl_points[Points],""))))))</f>
        <v/>
      </c>
      <c r="T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6" s="3">
        <f>tbl_individual[[#This Row],[Total]]</f>
        <v>0</v>
      </c>
    </row>
    <row r="197" spans="1:22" x14ac:dyDescent="0.4">
      <c r="A197" t="s">
        <v>361</v>
      </c>
      <c r="B197" t="s">
        <v>30</v>
      </c>
      <c r="C197" t="s">
        <v>6</v>
      </c>
      <c r="D197" s="3">
        <v>9340</v>
      </c>
      <c r="E197" s="3" t="s">
        <v>421</v>
      </c>
      <c r="G197" s="3" t="s">
        <v>407</v>
      </c>
      <c r="H197" s="3" t="s">
        <v>410</v>
      </c>
      <c r="I197" s="3">
        <f>IF(H197="","",IF(H197="DNS",0,IF(H197="DQ",0,IF(H197="DNF",1,IF(AND(ISNUMBER(H197),H197&gt;59),1,_xlfn.XLOOKUP(H197,tbl_points[Place],tbl_points[Points],""))))))</f>
        <v>0</v>
      </c>
      <c r="J197" s="3" t="s">
        <v>410</v>
      </c>
      <c r="K197" s="3">
        <f>IF(J197="","",IF(J197="DNS",0,IF(J197="DQ",0,IF(J197="DNF",1,IF(AND(ISNUMBER(J197),J197&gt;59),1,_xlfn.XLOOKUP(J197,tbl_points[Place],tbl_points[Points],""))))))</f>
        <v>0</v>
      </c>
      <c r="L197" s="3" t="s">
        <v>410</v>
      </c>
      <c r="M197" s="3">
        <f>IF(L197="","",IF(L197="DNS",0,IF(L197="DQ",0,IF(L197="DNF",1,IF(AND(ISNUMBER(L197),L197&gt;59),1,_xlfn.XLOOKUP(L197,tbl_points[Place],tbl_points[Points],""))))))</f>
        <v>0</v>
      </c>
      <c r="N197" s="3" t="s">
        <v>410</v>
      </c>
      <c r="O197" s="3">
        <f>IF(N197="","",IF(N197="DNS",0,IF(N197="DQ",0,IF(N197="DNF",1,IF(AND(ISNUMBER(N197),N197&gt;59),1,_xlfn.XLOOKUP(N197,tbl_points[Place],tbl_points[Points],""))))))</f>
        <v>0</v>
      </c>
      <c r="P197" s="3" t="s">
        <v>410</v>
      </c>
      <c r="Q197" s="3">
        <f>IF(P197="","",IF(P197="DNS",0,IF(P197="DQ",0,IF(P197="DNF",1,IF(AND(ISNUMBER(P197),P197&gt;59),1,_xlfn.XLOOKUP(P197,tbl_points[Place],tbl_points[Points],""))))))</f>
        <v>0</v>
      </c>
      <c r="S197" s="3" t="str">
        <f>IF(R197="","",IF(R197="DNS",0,IF(R197="DQ",0,IF(R197="DNF",1,IF(AND(ISNUMBER(R197),R197&gt;59),1,_xlfn.XLOOKUP(R197,tbl_points[Place],tbl_points[Points],""))))))</f>
        <v/>
      </c>
      <c r="T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7" s="3">
        <f>tbl_individual[[#This Row],[Total]]</f>
        <v>0</v>
      </c>
    </row>
    <row r="198" spans="1:22" x14ac:dyDescent="0.4">
      <c r="A198" t="s">
        <v>164</v>
      </c>
      <c r="B198" t="s">
        <v>17</v>
      </c>
      <c r="C198" t="s">
        <v>6</v>
      </c>
      <c r="D198" s="3">
        <v>9380</v>
      </c>
      <c r="E198" s="3" t="s">
        <v>421</v>
      </c>
      <c r="G198" s="3" t="s">
        <v>407</v>
      </c>
      <c r="H198" s="3" t="s">
        <v>410</v>
      </c>
      <c r="I198" s="3">
        <f>IF(H198="","",IF(H198="DNS",0,IF(H198="DQ",0,IF(H198="DNF",1,IF(AND(ISNUMBER(H198),H198&gt;59),1,_xlfn.XLOOKUP(H198,tbl_points[Place],tbl_points[Points],""))))))</f>
        <v>0</v>
      </c>
      <c r="J198" s="3" t="s">
        <v>410</v>
      </c>
      <c r="K198" s="3">
        <f>IF(J198="","",IF(J198="DNS",0,IF(J198="DQ",0,IF(J198="DNF",1,IF(AND(ISNUMBER(J198),J198&gt;59),1,_xlfn.XLOOKUP(J198,tbl_points[Place],tbl_points[Points],""))))))</f>
        <v>0</v>
      </c>
      <c r="L198" s="3" t="s">
        <v>410</v>
      </c>
      <c r="M198" s="3">
        <f>IF(L198="","",IF(L198="DNS",0,IF(L198="DQ",0,IF(L198="DNF",1,IF(AND(ISNUMBER(L198),L198&gt;59),1,_xlfn.XLOOKUP(L198,tbl_points[Place],tbl_points[Points],""))))))</f>
        <v>0</v>
      </c>
      <c r="N198" s="3" t="s">
        <v>410</v>
      </c>
      <c r="O198" s="3">
        <f>IF(N198="","",IF(N198="DNS",0,IF(N198="DQ",0,IF(N198="DNF",1,IF(AND(ISNUMBER(N198),N198&gt;59),1,_xlfn.XLOOKUP(N198,tbl_points[Place],tbl_points[Points],""))))))</f>
        <v>0</v>
      </c>
      <c r="P198" s="3" t="s">
        <v>410</v>
      </c>
      <c r="Q198" s="3">
        <f>IF(P198="","",IF(P198="DNS",0,IF(P198="DQ",0,IF(P198="DNF",1,IF(AND(ISNUMBER(P198),P198&gt;59),1,_xlfn.XLOOKUP(P198,tbl_points[Place],tbl_points[Points],""))))))</f>
        <v>0</v>
      </c>
      <c r="S198" s="3" t="str">
        <f>IF(R198="","",IF(R198="DNS",0,IF(R198="DQ",0,IF(R198="DNF",1,IF(AND(ISNUMBER(R198),R198&gt;59),1,_xlfn.XLOOKUP(R198,tbl_points[Place],tbl_points[Points],""))))))</f>
        <v/>
      </c>
      <c r="T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8" s="3">
        <f>tbl_individual[[#This Row],[Total]]</f>
        <v>0</v>
      </c>
    </row>
    <row r="199" spans="1:22" x14ac:dyDescent="0.4">
      <c r="A199" t="s">
        <v>65</v>
      </c>
      <c r="B199" t="s">
        <v>10</v>
      </c>
      <c r="C199" t="s">
        <v>6</v>
      </c>
      <c r="D199" s="3">
        <v>9471</v>
      </c>
      <c r="E199" s="3" t="s">
        <v>421</v>
      </c>
      <c r="G199" s="3" t="s">
        <v>403</v>
      </c>
      <c r="H199" s="3">
        <v>11</v>
      </c>
      <c r="I199" s="3">
        <f>IF(H199="","",IF(H199="DNS",0,IF(H199="DQ",0,IF(H199="DNF",1,IF(AND(ISNUMBER(H199),H199&gt;59),1,_xlfn.XLOOKUP(H199,tbl_points[Place],tbl_points[Points],""))))))</f>
        <v>53</v>
      </c>
      <c r="J199" s="3">
        <v>7</v>
      </c>
      <c r="K199" s="3">
        <f>IF(J199="","",IF(J199="DNS",0,IF(J199="DQ",0,IF(J199="DNF",1,IF(AND(ISNUMBER(J199),J199&gt;59),1,_xlfn.XLOOKUP(J199,tbl_points[Place],tbl_points[Points],""))))))</f>
        <v>70</v>
      </c>
      <c r="L199" s="3">
        <v>9</v>
      </c>
      <c r="M199" s="3">
        <f>IF(L199="","",IF(L199="DNS",0,IF(L199="DQ",0,IF(L199="DNF",1,IF(AND(ISNUMBER(L199),L199&gt;59),1,_xlfn.XLOOKUP(L199,tbl_points[Place],tbl_points[Points],""))))))</f>
        <v>60</v>
      </c>
      <c r="N199" s="3" t="s">
        <v>410</v>
      </c>
      <c r="O199" s="3">
        <f>IF(N199="","",IF(N199="DNS",0,IF(N199="DQ",0,IF(N199="DNF",1,IF(AND(ISNUMBER(N199),N199&gt;59),1,_xlfn.XLOOKUP(N199,tbl_points[Place],tbl_points[Points],""))))))</f>
        <v>0</v>
      </c>
      <c r="P199" s="3" t="s">
        <v>410</v>
      </c>
      <c r="Q199" s="3">
        <f>IF(P199="","",IF(P199="DNS",0,IF(P199="DQ",0,IF(P199="DNF",1,IF(AND(ISNUMBER(P199),P199&gt;59),1,_xlfn.XLOOKUP(P199,tbl_points[Place],tbl_points[Points],""))))))</f>
        <v>0</v>
      </c>
      <c r="S199" s="3" t="str">
        <f>IF(R199="","",IF(R199="DNS",0,IF(R199="DQ",0,IF(R199="DNF",1,IF(AND(ISNUMBER(R199),R199&gt;59),1,_xlfn.XLOOKUP(R199,tbl_points[Place],tbl_points[Points],""))))))</f>
        <v/>
      </c>
      <c r="T199" s="3">
        <f>SUM(tbl_individual[[#This Row],[R1 Pts]],tbl_individual[[#This Row],[R2 Pts]],tbl_individual[[#This Row],[R3 Pts]],tbl_individual[[#This Row],[R4 Pts]],tbl_individual[[#This Row],[R5 Pts]],tbl_individual[[#This Row],[R6 Pts]])</f>
        <v>183</v>
      </c>
      <c r="U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9" s="3">
        <f>tbl_individual[[#This Row],[Total]]</f>
        <v>183</v>
      </c>
    </row>
    <row r="200" spans="1:22" x14ac:dyDescent="0.4">
      <c r="A200" t="s">
        <v>66</v>
      </c>
      <c r="B200" t="s">
        <v>10</v>
      </c>
      <c r="C200" t="s">
        <v>6</v>
      </c>
      <c r="D200" s="3">
        <v>9481</v>
      </c>
      <c r="E200" s="3" t="s">
        <v>421</v>
      </c>
      <c r="G200" s="3" t="s">
        <v>403</v>
      </c>
      <c r="H200" s="3">
        <v>9</v>
      </c>
      <c r="I200" s="3">
        <f>IF(H200="","",IF(H200="DNS",0,IF(H200="DQ",0,IF(H200="DNF",1,IF(AND(ISNUMBER(H200),H200&gt;59),1,_xlfn.XLOOKUP(H200,tbl_points[Place],tbl_points[Points],""))))))</f>
        <v>60</v>
      </c>
      <c r="J200" s="3">
        <v>8</v>
      </c>
      <c r="K200" s="3">
        <f>IF(J200="","",IF(J200="DNS",0,IF(J200="DQ",0,IF(J200="DNF",1,IF(AND(ISNUMBER(J200),J200&gt;59),1,_xlfn.XLOOKUP(J200,tbl_points[Place],tbl_points[Points],""))))))</f>
        <v>65</v>
      </c>
      <c r="L200" s="3" t="s">
        <v>410</v>
      </c>
      <c r="M200" s="3">
        <f>IF(L200="","",IF(L200="DNS",0,IF(L200="DQ",0,IF(L200="DNF",1,IF(AND(ISNUMBER(L200),L200&gt;59),1,_xlfn.XLOOKUP(L200,tbl_points[Place],tbl_points[Points],""))))))</f>
        <v>0</v>
      </c>
      <c r="N200" s="3" t="s">
        <v>410</v>
      </c>
      <c r="O200" s="3">
        <f>IF(N200="","",IF(N200="DNS",0,IF(N200="DQ",0,IF(N200="DNF",1,IF(AND(ISNUMBER(N200),N200&gt;59),1,_xlfn.XLOOKUP(N200,tbl_points[Place],tbl_points[Points],""))))))</f>
        <v>0</v>
      </c>
      <c r="P200" s="3" t="s">
        <v>410</v>
      </c>
      <c r="Q200" s="3">
        <f>IF(P200="","",IF(P200="DNS",0,IF(P200="DQ",0,IF(P200="DNF",1,IF(AND(ISNUMBER(P200),P200&gt;59),1,_xlfn.XLOOKUP(P200,tbl_points[Place],tbl_points[Points],""))))))</f>
        <v>0</v>
      </c>
      <c r="S200" s="3" t="str">
        <f>IF(R200="","",IF(R200="DNS",0,IF(R200="DQ",0,IF(R200="DNF",1,IF(AND(ISNUMBER(R200),R200&gt;59),1,_xlfn.XLOOKUP(R200,tbl_points[Place],tbl_points[Points],""))))))</f>
        <v/>
      </c>
      <c r="T200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0" s="3">
        <f>tbl_individual[[#This Row],[Total]]</f>
        <v>125</v>
      </c>
    </row>
    <row r="201" spans="1:22" hidden="1" x14ac:dyDescent="0.4">
      <c r="A201" s="11" t="s">
        <v>92</v>
      </c>
      <c r="B201" s="11" t="s">
        <v>10</v>
      </c>
      <c r="C201" s="11" t="s">
        <v>3</v>
      </c>
      <c r="D201" s="15">
        <v>10065</v>
      </c>
      <c r="E201" s="3" t="s">
        <v>433</v>
      </c>
      <c r="F201" s="17" t="s">
        <v>437</v>
      </c>
      <c r="K201" s="3" t="str">
        <f>IF(J201="","",IF(J201="DNS",0,IF(J201="DQ",0,IF(J201="DNF",1,IF(AND(ISNUMBER(J201),J201&gt;59),1,_xlfn.XLOOKUP(J201,tbl_points[Place],tbl_points[Points],""))))))</f>
        <v/>
      </c>
      <c r="M201" s="3" t="str">
        <f>IF(L201="","",IF(L201="DNS",0,IF(L201="DQ",0,IF(L201="DNF",1,IF(AND(ISNUMBER(L201),L201&gt;59),1,_xlfn.XLOOKUP(L201,tbl_points[Place],tbl_points[Points],""))))))</f>
        <v/>
      </c>
      <c r="O201" s="3" t="str">
        <f>IF(N201="","",IF(N201="DNS",0,IF(N201="DQ",0,IF(N201="DNF",1,IF(AND(ISNUMBER(N201),N201&gt;59),1,_xlfn.XLOOKUP(N201,tbl_points[Place],tbl_points[Points],""))))))</f>
        <v/>
      </c>
      <c r="Q201" s="3" t="str">
        <f>IF(P201="","",IF(P201="DNS",0,IF(P201="DQ",0,IF(P201="DNF",1,IF(AND(ISNUMBER(P201),P201&gt;59),1,_xlfn.XLOOKUP(P201,tbl_points[Place],tbl_points[Points],""))))))</f>
        <v/>
      </c>
      <c r="S201" s="3" t="str">
        <f>IF(R201="","",IF(R201="DNS",0,IF(R201="DQ",0,IF(R201="DNF",1,IF(AND(ISNUMBER(R201),R201&gt;59),1,_xlfn.XLOOKUP(R201,tbl_points[Place],tbl_points[Points],""))))))</f>
        <v/>
      </c>
      <c r="T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1" s="3">
        <f>tbl_individual[[#This Row],[Total]]</f>
        <v>0</v>
      </c>
    </row>
    <row r="202" spans="1:22" x14ac:dyDescent="0.4">
      <c r="A202" t="s">
        <v>216</v>
      </c>
      <c r="B202" t="s">
        <v>21</v>
      </c>
      <c r="C202" t="s">
        <v>3</v>
      </c>
      <c r="D202" s="3">
        <v>10174</v>
      </c>
      <c r="E202" s="3" t="s">
        <v>421</v>
      </c>
      <c r="G202" s="3" t="s">
        <v>403</v>
      </c>
      <c r="H202" s="3">
        <v>3</v>
      </c>
      <c r="I202" s="3">
        <f>IF(H202="","",IF(H202="DNS",0,IF(H202="DQ",0,IF(H202="DNF",1,IF(AND(ISNUMBER(H202),H202&gt;59),1,_xlfn.XLOOKUP(H202,tbl_points[Place],tbl_points[Points],""))))))</f>
        <v>90</v>
      </c>
      <c r="J202" s="3">
        <v>2</v>
      </c>
      <c r="K202" s="3">
        <f>IF(J202="","",IF(J202="DNS",0,IF(J202="DQ",0,IF(J202="DNF",1,IF(AND(ISNUMBER(J202),J202&gt;59),1,_xlfn.XLOOKUP(J202,tbl_points[Place],tbl_points[Points],""))))))</f>
        <v>95</v>
      </c>
      <c r="L202" s="3">
        <v>8</v>
      </c>
      <c r="M202" s="3">
        <f>IF(L202="","",IF(L202="DNS",0,IF(L202="DQ",0,IF(L202="DNF",1,IF(AND(ISNUMBER(L202),L202&gt;59),1,_xlfn.XLOOKUP(L202,tbl_points[Place],tbl_points[Points],""))))))</f>
        <v>65</v>
      </c>
      <c r="N202" s="3">
        <v>7</v>
      </c>
      <c r="O202" s="3">
        <f>IF(N202="","",IF(N202="DNS",0,IF(N202="DQ",0,IF(N202="DNF",1,IF(AND(ISNUMBER(N202),N202&gt;59),1,_xlfn.XLOOKUP(N202,tbl_points[Place],tbl_points[Points],""))))))</f>
        <v>70</v>
      </c>
      <c r="P202" s="3">
        <v>1</v>
      </c>
      <c r="Q202" s="3">
        <f>IF(P202="","",IF(P202="DNS",0,IF(P202="DQ",0,IF(P202="DNF",1,IF(AND(ISNUMBER(P202),P202&gt;59),1,_xlfn.XLOOKUP(P202,tbl_points[Place],tbl_points[Points],""))))))</f>
        <v>100</v>
      </c>
      <c r="S202" s="3" t="str">
        <f>IF(R202="","",IF(R202="DNS",0,IF(R202="DQ",0,IF(R202="DNF",1,IF(AND(ISNUMBER(R202),R202&gt;59),1,_xlfn.XLOOKUP(R202,tbl_points[Place],tbl_points[Points],""))))))</f>
        <v/>
      </c>
      <c r="T202" s="3">
        <f>SUM(tbl_individual[[#This Row],[R1 Pts]],tbl_individual[[#This Row],[R2 Pts]],tbl_individual[[#This Row],[R3 Pts]],tbl_individual[[#This Row],[R4 Pts]],tbl_individual[[#This Row],[R5 Pts]],tbl_individual[[#This Row],[R6 Pts]])</f>
        <v>420</v>
      </c>
      <c r="U20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02" s="3">
        <f>tbl_individual[[#This Row],[Total]]</f>
        <v>420</v>
      </c>
    </row>
    <row r="203" spans="1:22" x14ac:dyDescent="0.4">
      <c r="A203" t="s">
        <v>366</v>
      </c>
      <c r="B203" t="s">
        <v>30</v>
      </c>
      <c r="C203" t="s">
        <v>3</v>
      </c>
      <c r="D203" s="3">
        <v>10193</v>
      </c>
      <c r="E203" s="3" t="s">
        <v>421</v>
      </c>
      <c r="G203" s="3" t="s">
        <v>403</v>
      </c>
      <c r="H203" s="3">
        <v>11</v>
      </c>
      <c r="I203" s="3">
        <f>IF(H203="","",IF(H203="DNS",0,IF(H203="DQ",0,IF(H203="DNF",1,IF(AND(ISNUMBER(H203),H203&gt;59),1,_xlfn.XLOOKUP(H203,tbl_points[Place],tbl_points[Points],""))))))</f>
        <v>53</v>
      </c>
      <c r="J203" s="3">
        <v>26</v>
      </c>
      <c r="K203" s="3">
        <f>IF(J203="","",IF(J203="DNS",0,IF(J203="DQ",0,IF(J203="DNF",1,IF(AND(ISNUMBER(J203),J203&gt;59),1,_xlfn.XLOOKUP(J203,tbl_points[Place],tbl_points[Points],""))))))</f>
        <v>34</v>
      </c>
      <c r="L203" s="3">
        <v>7</v>
      </c>
      <c r="M203" s="3">
        <f>IF(L203="","",IF(L203="DNS",0,IF(L203="DQ",0,IF(L203="DNF",1,IF(AND(ISNUMBER(L203),L203&gt;59),1,_xlfn.XLOOKUP(L203,tbl_points[Place],tbl_points[Points],""))))))</f>
        <v>70</v>
      </c>
      <c r="N203" s="3">
        <v>1</v>
      </c>
      <c r="O203" s="3">
        <f>IF(N203="","",IF(N203="DNS",0,IF(N203="DQ",0,IF(N203="DNF",1,IF(AND(ISNUMBER(N203),N203&gt;59),1,_xlfn.XLOOKUP(N203,tbl_points[Place],tbl_points[Points],""))))))</f>
        <v>100</v>
      </c>
      <c r="P203" s="3">
        <v>2</v>
      </c>
      <c r="Q203" s="3">
        <f>IF(P203="","",IF(P203="DNS",0,IF(P203="DQ",0,IF(P203="DNF",1,IF(AND(ISNUMBER(P203),P203&gt;59),1,_xlfn.XLOOKUP(P203,tbl_points[Place],tbl_points[Points],""))))))</f>
        <v>95</v>
      </c>
      <c r="S203" s="3" t="str">
        <f>IF(R203="","",IF(R203="DNS",0,IF(R203="DQ",0,IF(R203="DNF",1,IF(AND(ISNUMBER(R203),R203&gt;59),1,_xlfn.XLOOKUP(R203,tbl_points[Place],tbl_points[Points],""))))))</f>
        <v/>
      </c>
      <c r="T203" s="3">
        <f>SUM(tbl_individual[[#This Row],[R1 Pts]],tbl_individual[[#This Row],[R2 Pts]],tbl_individual[[#This Row],[R3 Pts]],tbl_individual[[#This Row],[R4 Pts]],tbl_individual[[#This Row],[R5 Pts]],tbl_individual[[#This Row],[R6 Pts]])</f>
        <v>352</v>
      </c>
      <c r="U203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03" s="3">
        <f>tbl_individual[[#This Row],[Total]]</f>
        <v>352</v>
      </c>
    </row>
    <row r="204" spans="1:22" x14ac:dyDescent="0.4">
      <c r="A204" t="s">
        <v>194</v>
      </c>
      <c r="B204" t="s">
        <v>20</v>
      </c>
      <c r="C204" t="s">
        <v>3</v>
      </c>
      <c r="D204" s="3">
        <v>10169</v>
      </c>
      <c r="E204" s="3" t="s">
        <v>421</v>
      </c>
      <c r="G204" s="3" t="s">
        <v>403</v>
      </c>
      <c r="H204" s="3" t="s">
        <v>410</v>
      </c>
      <c r="I204" s="3">
        <f>IF(H204="","",IF(H204="DNS",0,IF(H204="DQ",0,IF(H204="DNF",1,IF(AND(ISNUMBER(H204),H204&gt;59),1,_xlfn.XLOOKUP(H204,tbl_points[Place],tbl_points[Points],""))))))</f>
        <v>0</v>
      </c>
      <c r="J204" s="3">
        <v>8</v>
      </c>
      <c r="K204" s="3">
        <f>IF(J204="","",IF(J204="DNS",0,IF(J204="DQ",0,IF(J204="DNF",1,IF(AND(ISNUMBER(J204),J204&gt;59),1,_xlfn.XLOOKUP(J204,tbl_points[Place],tbl_points[Points],""))))))</f>
        <v>65</v>
      </c>
      <c r="L204" s="3">
        <v>11</v>
      </c>
      <c r="M204" s="3">
        <f>IF(L204="","",IF(L204="DNS",0,IF(L204="DQ",0,IF(L204="DNF",1,IF(AND(ISNUMBER(L204),L204&gt;59),1,_xlfn.XLOOKUP(L204,tbl_points[Place],tbl_points[Points],""))))))</f>
        <v>53</v>
      </c>
      <c r="N204" s="3">
        <v>4</v>
      </c>
      <c r="O204" s="3">
        <f>IF(N204="","",IF(N204="DNS",0,IF(N204="DQ",0,IF(N204="DNF",1,IF(AND(ISNUMBER(N204),N204&gt;59),1,_xlfn.XLOOKUP(N204,tbl_points[Place],tbl_points[Points],""))))))</f>
        <v>85</v>
      </c>
      <c r="P204" s="3">
        <v>3</v>
      </c>
      <c r="Q204" s="3">
        <f>IF(P204="","",IF(P204="DNS",0,IF(P204="DQ",0,IF(P204="DNF",1,IF(AND(ISNUMBER(P204),P204&gt;59),1,_xlfn.XLOOKUP(P204,tbl_points[Place],tbl_points[Points],""))))))</f>
        <v>90</v>
      </c>
      <c r="S204" s="3" t="str">
        <f>IF(R204="","",IF(R204="DNS",0,IF(R204="DQ",0,IF(R204="DNF",1,IF(AND(ISNUMBER(R204),R204&gt;59),1,_xlfn.XLOOKUP(R204,tbl_points[Place],tbl_points[Points],""))))))</f>
        <v/>
      </c>
      <c r="T204" s="3">
        <f>SUM(tbl_individual[[#This Row],[R1 Pts]],tbl_individual[[#This Row],[R2 Pts]],tbl_individual[[#This Row],[R3 Pts]],tbl_individual[[#This Row],[R4 Pts]],tbl_individual[[#This Row],[R5 Pts]],tbl_individual[[#This Row],[R6 Pts]])</f>
        <v>293</v>
      </c>
      <c r="U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4" s="3">
        <f>tbl_individual[[#This Row],[Total]]</f>
        <v>293</v>
      </c>
    </row>
    <row r="205" spans="1:22" x14ac:dyDescent="0.4">
      <c r="A205" t="s">
        <v>192</v>
      </c>
      <c r="B205" t="s">
        <v>20</v>
      </c>
      <c r="C205" t="s">
        <v>3</v>
      </c>
      <c r="D205" s="3">
        <v>10167</v>
      </c>
      <c r="E205" s="3" t="s">
        <v>421</v>
      </c>
      <c r="G205" s="3" t="s">
        <v>403</v>
      </c>
      <c r="H205" s="3">
        <v>5</v>
      </c>
      <c r="I205" s="3">
        <f>IF(H205="","",IF(H205="DNS",0,IF(H205="DQ",0,IF(H205="DNF",1,IF(AND(ISNUMBER(H205),H205&gt;59),1,_xlfn.XLOOKUP(H205,tbl_points[Place],tbl_points[Points],""))))))</f>
        <v>80</v>
      </c>
      <c r="J205" s="3">
        <v>4</v>
      </c>
      <c r="K205" s="3">
        <f>IF(J205="","",IF(J205="DNS",0,IF(J205="DQ",0,IF(J205="DNF",1,IF(AND(ISNUMBER(J205),J205&gt;59),1,_xlfn.XLOOKUP(J205,tbl_points[Place],tbl_points[Points],""))))))</f>
        <v>85</v>
      </c>
      <c r="L205" s="3">
        <v>4</v>
      </c>
      <c r="M205" s="3">
        <f>IF(L205="","",IF(L205="DNS",0,IF(L205="DQ",0,IF(L205="DNF",1,IF(AND(ISNUMBER(L205),L205&gt;59),1,_xlfn.XLOOKUP(L205,tbl_points[Place],tbl_points[Points],""))))))</f>
        <v>85</v>
      </c>
      <c r="N205" s="3">
        <v>5</v>
      </c>
      <c r="O205" s="3">
        <f>IF(N205="","",IF(N205="DNS",0,IF(N205="DQ",0,IF(N205="DNF",1,IF(AND(ISNUMBER(N205),N205&gt;59),1,_xlfn.XLOOKUP(N205,tbl_points[Place],tbl_points[Points],""))))))</f>
        <v>80</v>
      </c>
      <c r="P205" s="3">
        <v>4</v>
      </c>
      <c r="Q205" s="3">
        <f>IF(P205="","",IF(P205="DNS",0,IF(P205="DQ",0,IF(P205="DNF",1,IF(AND(ISNUMBER(P205),P205&gt;59),1,_xlfn.XLOOKUP(P205,tbl_points[Place],tbl_points[Points],""))))))</f>
        <v>85</v>
      </c>
      <c r="S205" s="3" t="str">
        <f>IF(R205="","",IF(R205="DNS",0,IF(R205="DQ",0,IF(R205="DNF",1,IF(AND(ISNUMBER(R205),R205&gt;59),1,_xlfn.XLOOKUP(R205,tbl_points[Place],tbl_points[Points],""))))))</f>
        <v/>
      </c>
      <c r="T205" s="3">
        <f>SUM(tbl_individual[[#This Row],[R1 Pts]],tbl_individual[[#This Row],[R2 Pts]],tbl_individual[[#This Row],[R3 Pts]],tbl_individual[[#This Row],[R4 Pts]],tbl_individual[[#This Row],[R5 Pts]],tbl_individual[[#This Row],[R6 Pts]])</f>
        <v>415</v>
      </c>
      <c r="U205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05" s="3">
        <f>tbl_individual[[#This Row],[Total]]</f>
        <v>415</v>
      </c>
    </row>
    <row r="206" spans="1:22" x14ac:dyDescent="0.4">
      <c r="A206" t="s">
        <v>260</v>
      </c>
      <c r="B206" t="s">
        <v>23</v>
      </c>
      <c r="C206" t="s">
        <v>3</v>
      </c>
      <c r="D206" s="3">
        <v>10183</v>
      </c>
      <c r="E206" s="3" t="s">
        <v>421</v>
      </c>
      <c r="G206" s="3" t="s">
        <v>403</v>
      </c>
      <c r="H206" s="3">
        <v>9</v>
      </c>
      <c r="I206" s="3">
        <f>IF(H206="","",IF(H206="DNS",0,IF(H206="DQ",0,IF(H206="DNF",1,IF(AND(ISNUMBER(H206),H206&gt;59),1,_xlfn.XLOOKUP(H206,tbl_points[Place],tbl_points[Points],""))))))</f>
        <v>60</v>
      </c>
      <c r="J206" s="3">
        <v>5</v>
      </c>
      <c r="K206" s="3">
        <f>IF(J206="","",IF(J206="DNS",0,IF(J206="DQ",0,IF(J206="DNF",1,IF(AND(ISNUMBER(J206),J206&gt;59),1,_xlfn.XLOOKUP(J206,tbl_points[Place],tbl_points[Points],""))))))</f>
        <v>80</v>
      </c>
      <c r="L206" s="3" t="s">
        <v>410</v>
      </c>
      <c r="M206" s="3">
        <f>IF(L206="","",IF(L206="DNS",0,IF(L206="DQ",0,IF(L206="DNF",1,IF(AND(ISNUMBER(L206),L206&gt;59),1,_xlfn.XLOOKUP(L206,tbl_points[Place],tbl_points[Points],""))))))</f>
        <v>0</v>
      </c>
      <c r="N206" s="3">
        <v>6</v>
      </c>
      <c r="O206" s="3">
        <f>IF(N206="","",IF(N206="DNS",0,IF(N206="DQ",0,IF(N206="DNF",1,IF(AND(ISNUMBER(N206),N206&gt;59),1,_xlfn.XLOOKUP(N206,tbl_points[Place],tbl_points[Points],""))))))</f>
        <v>75</v>
      </c>
      <c r="P206" s="3">
        <v>5</v>
      </c>
      <c r="Q206" s="3">
        <f>IF(P206="","",IF(P206="DNS",0,IF(P206="DQ",0,IF(P206="DNF",1,IF(AND(ISNUMBER(P206),P206&gt;59),1,_xlfn.XLOOKUP(P206,tbl_points[Place],tbl_points[Points],""))))))</f>
        <v>80</v>
      </c>
      <c r="S206" s="3" t="str">
        <f>IF(R206="","",IF(R206="DNS",0,IF(R206="DQ",0,IF(R206="DNF",1,IF(AND(ISNUMBER(R206),R206&gt;59),1,_xlfn.XLOOKUP(R206,tbl_points[Place],tbl_points[Points],""))))))</f>
        <v/>
      </c>
      <c r="T206" s="3">
        <f>SUM(tbl_individual[[#This Row],[R1 Pts]],tbl_individual[[#This Row],[R2 Pts]],tbl_individual[[#This Row],[R3 Pts]],tbl_individual[[#This Row],[R4 Pts]],tbl_individual[[#This Row],[R5 Pts]],tbl_individual[[#This Row],[R6 Pts]])</f>
        <v>295</v>
      </c>
      <c r="U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6" s="3">
        <f>tbl_individual[[#This Row],[Total]]</f>
        <v>295</v>
      </c>
    </row>
    <row r="207" spans="1:22" x14ac:dyDescent="0.4">
      <c r="A207" t="s">
        <v>262</v>
      </c>
      <c r="B207" t="s">
        <v>23</v>
      </c>
      <c r="C207" t="s">
        <v>3</v>
      </c>
      <c r="D207" s="3">
        <v>10185</v>
      </c>
      <c r="E207" s="3" t="s">
        <v>421</v>
      </c>
      <c r="G207" s="3" t="s">
        <v>403</v>
      </c>
      <c r="H207" s="3">
        <v>20</v>
      </c>
      <c r="I207" s="3">
        <f>IF(H207="","",IF(H207="DNS",0,IF(H207="DQ",0,IF(H207="DNF",1,IF(AND(ISNUMBER(H207),H207&gt;59),1,_xlfn.XLOOKUP(H207,tbl_points[Place],tbl_points[Points],""))))))</f>
        <v>40</v>
      </c>
      <c r="J207" s="3">
        <v>11</v>
      </c>
      <c r="K207" s="3">
        <f>IF(J207="","",IF(J207="DNS",0,IF(J207="DQ",0,IF(J207="DNF",1,IF(AND(ISNUMBER(J207),J207&gt;59),1,_xlfn.XLOOKUP(J207,tbl_points[Place],tbl_points[Points],""))))))</f>
        <v>53</v>
      </c>
      <c r="L207" s="3">
        <v>30</v>
      </c>
      <c r="M207" s="3">
        <f>IF(L207="","",IF(L207="DNS",0,IF(L207="DQ",0,IF(L207="DNF",1,IF(AND(ISNUMBER(L207),L207&gt;59),1,_xlfn.XLOOKUP(L207,tbl_points[Place],tbl_points[Points],""))))))</f>
        <v>30</v>
      </c>
      <c r="N207" s="3">
        <v>18</v>
      </c>
      <c r="O207" s="3">
        <f>IF(N207="","",IF(N207="DNS",0,IF(N207="DQ",0,IF(N207="DNF",1,IF(AND(ISNUMBER(N207),N207&gt;59),1,_xlfn.XLOOKUP(N207,tbl_points[Place],tbl_points[Points],""))))))</f>
        <v>42</v>
      </c>
      <c r="P207" s="3">
        <v>6</v>
      </c>
      <c r="Q207" s="3">
        <f>IF(P207="","",IF(P207="DNS",0,IF(P207="DQ",0,IF(P207="DNF",1,IF(AND(ISNUMBER(P207),P207&gt;59),1,_xlfn.XLOOKUP(P207,tbl_points[Place],tbl_points[Points],""))))))</f>
        <v>75</v>
      </c>
      <c r="S207" s="3" t="str">
        <f>IF(R207="","",IF(R207="DNS",0,IF(R207="DQ",0,IF(R207="DNF",1,IF(AND(ISNUMBER(R207),R207&gt;59),1,_xlfn.XLOOKUP(R207,tbl_points[Place],tbl_points[Points],""))))))</f>
        <v/>
      </c>
      <c r="T207" s="3">
        <f>SUM(tbl_individual[[#This Row],[R1 Pts]],tbl_individual[[#This Row],[R2 Pts]],tbl_individual[[#This Row],[R3 Pts]],tbl_individual[[#This Row],[R4 Pts]],tbl_individual[[#This Row],[R5 Pts]],tbl_individual[[#This Row],[R6 Pts]])</f>
        <v>240</v>
      </c>
      <c r="U207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207" s="3">
        <f>tbl_individual[[#This Row],[Total]]</f>
        <v>240</v>
      </c>
    </row>
    <row r="208" spans="1:22" x14ac:dyDescent="0.4">
      <c r="A208" t="s">
        <v>91</v>
      </c>
      <c r="B208" t="s">
        <v>10</v>
      </c>
      <c r="C208" t="s">
        <v>3</v>
      </c>
      <c r="D208" s="3">
        <v>10150</v>
      </c>
      <c r="E208" s="3" t="s">
        <v>421</v>
      </c>
      <c r="G208" s="3" t="s">
        <v>407</v>
      </c>
      <c r="H208" s="3">
        <v>8</v>
      </c>
      <c r="I208" s="3">
        <f>IF(H208="","",IF(H208="DNS",0,IF(H208="DQ",0,IF(H208="DNF",1,IF(AND(ISNUMBER(H208),H208&gt;59),1,_xlfn.XLOOKUP(H208,tbl_points[Place],tbl_points[Points],""))))))</f>
        <v>65</v>
      </c>
      <c r="J208" s="3" t="s">
        <v>410</v>
      </c>
      <c r="K208" s="3">
        <f>IF(J208="","",IF(J208="DNS",0,IF(J208="DQ",0,IF(J208="DNF",1,IF(AND(ISNUMBER(J208),J208&gt;59),1,_xlfn.XLOOKUP(J208,tbl_points[Place],tbl_points[Points],""))))))</f>
        <v>0</v>
      </c>
      <c r="L208" s="3">
        <v>6</v>
      </c>
      <c r="M208" s="3">
        <f>IF(L208="","",IF(L208="DNS",0,IF(L208="DQ",0,IF(L208="DNF",1,IF(AND(ISNUMBER(L208),L208&gt;59),1,_xlfn.XLOOKUP(L208,tbl_points[Place],tbl_points[Points],""))))))</f>
        <v>75</v>
      </c>
      <c r="N208" s="3">
        <v>54</v>
      </c>
      <c r="O208" s="3">
        <f>IF(N208="","",IF(N208="DNS",0,IF(N208="DQ",0,IF(N208="DNF",1,IF(AND(ISNUMBER(N208),N208&gt;59),1,_xlfn.XLOOKUP(N208,tbl_points[Place],tbl_points[Points],""))))))</f>
        <v>6</v>
      </c>
      <c r="P208" s="3">
        <v>7</v>
      </c>
      <c r="Q208" s="3">
        <f>IF(P208="","",IF(P208="DNS",0,IF(P208="DQ",0,IF(P208="DNF",1,IF(AND(ISNUMBER(P208),P208&gt;59),1,_xlfn.XLOOKUP(P208,tbl_points[Place],tbl_points[Points],""))))))</f>
        <v>70</v>
      </c>
      <c r="S208" s="3" t="str">
        <f>IF(R208="","",IF(R208="DNS",0,IF(R208="DQ",0,IF(R208="DNF",1,IF(AND(ISNUMBER(R208),R208&gt;59),1,_xlfn.XLOOKUP(R208,tbl_points[Place],tbl_points[Points],""))))))</f>
        <v/>
      </c>
      <c r="T208" s="3">
        <f>SUM(tbl_individual[[#This Row],[R1 Pts]],tbl_individual[[#This Row],[R2 Pts]],tbl_individual[[#This Row],[R3 Pts]],tbl_individual[[#This Row],[R4 Pts]],tbl_individual[[#This Row],[R5 Pts]],tbl_individual[[#This Row],[R6 Pts]])</f>
        <v>216</v>
      </c>
      <c r="U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8" s="3">
        <f>tbl_individual[[#This Row],[Total]]</f>
        <v>216</v>
      </c>
    </row>
    <row r="209" spans="1:22" x14ac:dyDescent="0.4">
      <c r="A209" t="s">
        <v>413</v>
      </c>
      <c r="B209" t="s">
        <v>25</v>
      </c>
      <c r="C209" t="s">
        <v>3</v>
      </c>
      <c r="D209" s="3">
        <v>10204</v>
      </c>
      <c r="E209" s="3" t="s">
        <v>421</v>
      </c>
      <c r="G209" s="3" t="s">
        <v>403</v>
      </c>
      <c r="H209" s="3">
        <v>15</v>
      </c>
      <c r="I209" s="3">
        <f>IF(H209="","",IF(H209="DNS",0,IF(H209="DQ",0,IF(H209="DNF",1,IF(AND(ISNUMBER(H209),H209&gt;59),1,_xlfn.XLOOKUP(H209,tbl_points[Place],tbl_points[Points],""))))))</f>
        <v>45</v>
      </c>
      <c r="J209" s="3">
        <v>9</v>
      </c>
      <c r="K209" s="3">
        <f>IF(J209="","",IF(J209="DNS",0,IF(J209="DQ",0,IF(J209="DNF",1,IF(AND(ISNUMBER(J209),J209&gt;59),1,_xlfn.XLOOKUP(J209,tbl_points[Place],tbl_points[Points],""))))))</f>
        <v>60</v>
      </c>
      <c r="L209" s="3">
        <v>17</v>
      </c>
      <c r="M209" s="3">
        <f>IF(L209="","",IF(L209="DNS",0,IF(L209="DQ",0,IF(L209="DNF",1,IF(AND(ISNUMBER(L209),L209&gt;59),1,_xlfn.XLOOKUP(L209,tbl_points[Place],tbl_points[Points],""))))))</f>
        <v>43</v>
      </c>
      <c r="N209" s="3">
        <v>3</v>
      </c>
      <c r="O209" s="3">
        <f>IF(N209="","",IF(N209="DNS",0,IF(N209="DQ",0,IF(N209="DNF",1,IF(AND(ISNUMBER(N209),N209&gt;59),1,_xlfn.XLOOKUP(N209,tbl_points[Place],tbl_points[Points],""))))))</f>
        <v>90</v>
      </c>
      <c r="P209" s="3">
        <v>8</v>
      </c>
      <c r="Q209" s="3">
        <f>IF(P209="","",IF(P209="DNS",0,IF(P209="DQ",0,IF(P209="DNF",1,IF(AND(ISNUMBER(P209),P209&gt;59),1,_xlfn.XLOOKUP(P209,tbl_points[Place],tbl_points[Points],""))))))</f>
        <v>65</v>
      </c>
      <c r="S209" s="3" t="str">
        <f>IF(R209="","",IF(R209="DNS",0,IF(R209="DQ",0,IF(R209="DNF",1,IF(AND(ISNUMBER(R209),R209&gt;59),1,_xlfn.XLOOKUP(R209,tbl_points[Place],tbl_points[Points],""))))))</f>
        <v/>
      </c>
      <c r="T209" s="3">
        <f>SUM(tbl_individual[[#This Row],[R1 Pts]],tbl_individual[[#This Row],[R2 Pts]],tbl_individual[[#This Row],[R3 Pts]],tbl_individual[[#This Row],[R4 Pts]],tbl_individual[[#This Row],[R5 Pts]],tbl_individual[[#This Row],[R6 Pts]])</f>
        <v>303</v>
      </c>
      <c r="U209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09" s="3">
        <f>tbl_individual[[#This Row],[Total]]</f>
        <v>303</v>
      </c>
    </row>
    <row r="210" spans="1:22" x14ac:dyDescent="0.4">
      <c r="A210" t="s">
        <v>218</v>
      </c>
      <c r="B210" t="s">
        <v>21</v>
      </c>
      <c r="C210" t="s">
        <v>3</v>
      </c>
      <c r="D210" s="3">
        <v>10176</v>
      </c>
      <c r="E210" s="3" t="s">
        <v>421</v>
      </c>
      <c r="G210" s="3" t="s">
        <v>403</v>
      </c>
      <c r="H210" s="3">
        <v>35</v>
      </c>
      <c r="I210" s="3">
        <f>IF(H210="","",IF(H210="DNS",0,IF(H210="DQ",0,IF(H210="DNF",1,IF(AND(ISNUMBER(H210),H210&gt;59),1,_xlfn.XLOOKUP(H210,tbl_points[Place],tbl_points[Points],""))))))</f>
        <v>25</v>
      </c>
      <c r="J210" s="3">
        <v>16</v>
      </c>
      <c r="K210" s="3">
        <f>IF(J210="","",IF(J210="DNS",0,IF(J210="DQ",0,IF(J210="DNF",1,IF(AND(ISNUMBER(J210),J210&gt;59),1,_xlfn.XLOOKUP(J210,tbl_points[Place],tbl_points[Points],""))))))</f>
        <v>44</v>
      </c>
      <c r="L210" s="3">
        <v>12</v>
      </c>
      <c r="M210" s="3">
        <f>IF(L210="","",IF(L210="DNS",0,IF(L210="DQ",0,IF(L210="DNF",1,IF(AND(ISNUMBER(L210),L210&gt;59),1,_xlfn.XLOOKUP(L210,tbl_points[Place],tbl_points[Points],""))))))</f>
        <v>51</v>
      </c>
      <c r="N210" s="3">
        <v>14</v>
      </c>
      <c r="O210" s="3">
        <f>IF(N210="","",IF(N210="DNS",0,IF(N210="DQ",0,IF(N210="DNF",1,IF(AND(ISNUMBER(N210),N210&gt;59),1,_xlfn.XLOOKUP(N210,tbl_points[Place],tbl_points[Points],""))))))</f>
        <v>47</v>
      </c>
      <c r="P210" s="3">
        <v>9</v>
      </c>
      <c r="Q210" s="3">
        <f>IF(P210="","",IF(P210="DNS",0,IF(P210="DQ",0,IF(P210="DNF",1,IF(AND(ISNUMBER(P210),P210&gt;59),1,_xlfn.XLOOKUP(P210,tbl_points[Place],tbl_points[Points],""))))))</f>
        <v>60</v>
      </c>
      <c r="S210" s="3" t="str">
        <f>IF(R210="","",IF(R210="DNS",0,IF(R210="DQ",0,IF(R210="DNF",1,IF(AND(ISNUMBER(R210),R210&gt;59),1,_xlfn.XLOOKUP(R210,tbl_points[Place],tbl_points[Points],""))))))</f>
        <v/>
      </c>
      <c r="T210" s="3">
        <f>SUM(tbl_individual[[#This Row],[R1 Pts]],tbl_individual[[#This Row],[R2 Pts]],tbl_individual[[#This Row],[R3 Pts]],tbl_individual[[#This Row],[R4 Pts]],tbl_individual[[#This Row],[R5 Pts]],tbl_individual[[#This Row],[R6 Pts]])</f>
        <v>227</v>
      </c>
      <c r="U210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210" s="3">
        <f>tbl_individual[[#This Row],[Total]]</f>
        <v>227</v>
      </c>
    </row>
    <row r="211" spans="1:22" x14ac:dyDescent="0.4">
      <c r="A211" t="s">
        <v>220</v>
      </c>
      <c r="B211" t="s">
        <v>21</v>
      </c>
      <c r="C211" t="s">
        <v>3</v>
      </c>
      <c r="D211" s="3">
        <v>10178</v>
      </c>
      <c r="E211" s="3" t="s">
        <v>421</v>
      </c>
      <c r="G211" s="3" t="s">
        <v>403</v>
      </c>
      <c r="H211" s="3">
        <v>6</v>
      </c>
      <c r="I211" s="3">
        <f>IF(H211="","",IF(H211="DNS",0,IF(H211="DQ",0,IF(H211="DNF",1,IF(AND(ISNUMBER(H211),H211&gt;59),1,_xlfn.XLOOKUP(H211,tbl_points[Place],tbl_points[Points],""))))))</f>
        <v>75</v>
      </c>
      <c r="J211" s="3" t="s">
        <v>409</v>
      </c>
      <c r="K211" s="3">
        <f>IF(J211="","",IF(J211="DNS",0,IF(J211="DQ",0,IF(J211="DNF",1,IF(AND(ISNUMBER(J211),J211&gt;59),1,_xlfn.XLOOKUP(J211,tbl_points[Place],tbl_points[Points],""))))))</f>
        <v>1</v>
      </c>
      <c r="L211" s="3">
        <v>3</v>
      </c>
      <c r="M211" s="3">
        <f>IF(L211="","",IF(L211="DNS",0,IF(L211="DQ",0,IF(L211="DNF",1,IF(AND(ISNUMBER(L211),L211&gt;59),1,_xlfn.XLOOKUP(L211,tbl_points[Place],tbl_points[Points],""))))))</f>
        <v>90</v>
      </c>
      <c r="N211" s="3">
        <v>17</v>
      </c>
      <c r="O211" s="3">
        <f>IF(N211="","",IF(N211="DNS",0,IF(N211="DQ",0,IF(N211="DNF",1,IF(AND(ISNUMBER(N211),N211&gt;59),1,_xlfn.XLOOKUP(N211,tbl_points[Place],tbl_points[Points],""))))))</f>
        <v>43</v>
      </c>
      <c r="P211" s="3">
        <v>10</v>
      </c>
      <c r="Q211" s="3">
        <f>IF(P211="","",IF(P211="DNS",0,IF(P211="DQ",0,IF(P211="DNF",1,IF(AND(ISNUMBER(P211),P211&gt;59),1,_xlfn.XLOOKUP(P211,tbl_points[Place],tbl_points[Points],""))))))</f>
        <v>55</v>
      </c>
      <c r="S211" s="3" t="str">
        <f>IF(R211="","",IF(R211="DNS",0,IF(R211="DQ",0,IF(R211="DNF",1,IF(AND(ISNUMBER(R211),R211&gt;59),1,_xlfn.XLOOKUP(R211,tbl_points[Place],tbl_points[Points],""))))))</f>
        <v/>
      </c>
      <c r="T211" s="3">
        <f>SUM(tbl_individual[[#This Row],[R1 Pts]],tbl_individual[[#This Row],[R2 Pts]],tbl_individual[[#This Row],[R3 Pts]],tbl_individual[[#This Row],[R4 Pts]],tbl_individual[[#This Row],[R5 Pts]],tbl_individual[[#This Row],[R6 Pts]])</f>
        <v>264</v>
      </c>
      <c r="U21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11" s="3">
        <f>tbl_individual[[#This Row],[Total]]</f>
        <v>264</v>
      </c>
    </row>
    <row r="212" spans="1:22" x14ac:dyDescent="0.4">
      <c r="A212" t="s">
        <v>90</v>
      </c>
      <c r="B212" t="s">
        <v>10</v>
      </c>
      <c r="C212" t="s">
        <v>3</v>
      </c>
      <c r="D212" s="3">
        <v>10126</v>
      </c>
      <c r="E212" s="3" t="s">
        <v>421</v>
      </c>
      <c r="G212" s="3" t="s">
        <v>403</v>
      </c>
      <c r="H212" s="3">
        <v>4</v>
      </c>
      <c r="I212" s="3">
        <f>IF(H212="","",IF(H212="DNS",0,IF(H212="DQ",0,IF(H212="DNF",1,IF(AND(ISNUMBER(H212),H212&gt;59),1,_xlfn.XLOOKUP(H212,tbl_points[Place],tbl_points[Points],""))))))</f>
        <v>85</v>
      </c>
      <c r="J212" s="3">
        <v>6</v>
      </c>
      <c r="K212" s="3">
        <f>IF(J212="","",IF(J212="DNS",0,IF(J212="DQ",0,IF(J212="DNF",1,IF(AND(ISNUMBER(J212),J212&gt;59),1,_xlfn.XLOOKUP(J212,tbl_points[Place],tbl_points[Points],""))))))</f>
        <v>75</v>
      </c>
      <c r="L212" s="3">
        <v>5</v>
      </c>
      <c r="M212" s="3">
        <f>IF(L212="","",IF(L212="DNS",0,IF(L212="DQ",0,IF(L212="DNF",1,IF(AND(ISNUMBER(L212),L212&gt;59),1,_xlfn.XLOOKUP(L212,tbl_points[Place],tbl_points[Points],""))))))</f>
        <v>80</v>
      </c>
      <c r="N212" s="3">
        <v>23</v>
      </c>
      <c r="O212" s="3">
        <f>IF(N212="","",IF(N212="DNS",0,IF(N212="DQ",0,IF(N212="DNF",1,IF(AND(ISNUMBER(N212),N212&gt;59),1,_xlfn.XLOOKUP(N212,tbl_points[Place],tbl_points[Points],""))))))</f>
        <v>37</v>
      </c>
      <c r="P212" s="3">
        <v>11</v>
      </c>
      <c r="Q212" s="3">
        <f>IF(P212="","",IF(P212="DNS",0,IF(P212="DQ",0,IF(P212="DNF",1,IF(AND(ISNUMBER(P212),P212&gt;59),1,_xlfn.XLOOKUP(P212,tbl_points[Place],tbl_points[Points],""))))))</f>
        <v>53</v>
      </c>
      <c r="S212" s="3" t="str">
        <f>IF(R212="","",IF(R212="DNS",0,IF(R212="DQ",0,IF(R212="DNF",1,IF(AND(ISNUMBER(R212),R212&gt;59),1,_xlfn.XLOOKUP(R212,tbl_points[Place],tbl_points[Points],""))))))</f>
        <v/>
      </c>
      <c r="T212" s="3">
        <f>SUM(tbl_individual[[#This Row],[R1 Pts]],tbl_individual[[#This Row],[R2 Pts]],tbl_individual[[#This Row],[R3 Pts]],tbl_individual[[#This Row],[R4 Pts]],tbl_individual[[#This Row],[R5 Pts]],tbl_individual[[#This Row],[R6 Pts]])</f>
        <v>330</v>
      </c>
      <c r="U212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12" s="3">
        <f>tbl_individual[[#This Row],[Total]]</f>
        <v>330</v>
      </c>
    </row>
    <row r="213" spans="1:22" x14ac:dyDescent="0.4">
      <c r="A213" t="s">
        <v>87</v>
      </c>
      <c r="B213" t="s">
        <v>10</v>
      </c>
      <c r="C213" t="s">
        <v>3</v>
      </c>
      <c r="D213" s="3">
        <v>10115</v>
      </c>
      <c r="E213" s="3" t="s">
        <v>421</v>
      </c>
      <c r="G213" s="3" t="s">
        <v>403</v>
      </c>
      <c r="H213" s="3">
        <v>19</v>
      </c>
      <c r="I213" s="3">
        <f>IF(H213="","",IF(H213="DNS",0,IF(H213="DQ",0,IF(H213="DNF",1,IF(AND(ISNUMBER(H213),H213&gt;59),1,_xlfn.XLOOKUP(H213,tbl_points[Place],tbl_points[Points],""))))))</f>
        <v>41</v>
      </c>
      <c r="J213" s="3">
        <v>10</v>
      </c>
      <c r="K213" s="3">
        <f>IF(J213="","",IF(J213="DNS",0,IF(J213="DQ",0,IF(J213="DNF",1,IF(AND(ISNUMBER(J213),J213&gt;59),1,_xlfn.XLOOKUP(J213,tbl_points[Place],tbl_points[Points],""))))))</f>
        <v>55</v>
      </c>
      <c r="L213" s="3">
        <v>23</v>
      </c>
      <c r="M213" s="3">
        <f>IF(L213="","",IF(L213="DNS",0,IF(L213="DQ",0,IF(L213="DNF",1,IF(AND(ISNUMBER(L213),L213&gt;59),1,_xlfn.XLOOKUP(L213,tbl_points[Place],tbl_points[Points],""))))))</f>
        <v>37</v>
      </c>
      <c r="N213" s="3">
        <v>9</v>
      </c>
      <c r="O213" s="3">
        <f>IF(N213="","",IF(N213="DNS",0,IF(N213="DQ",0,IF(N213="DNF",1,IF(AND(ISNUMBER(N213),N213&gt;59),1,_xlfn.XLOOKUP(N213,tbl_points[Place],tbl_points[Points],""))))))</f>
        <v>60</v>
      </c>
      <c r="P213" s="3">
        <v>12</v>
      </c>
      <c r="Q213" s="3">
        <f>IF(P213="","",IF(P213="DNS",0,IF(P213="DQ",0,IF(P213="DNF",1,IF(AND(ISNUMBER(P213),P213&gt;59),1,_xlfn.XLOOKUP(P213,tbl_points[Place],tbl_points[Points],""))))))</f>
        <v>51</v>
      </c>
      <c r="S213" s="3" t="str">
        <f>IF(R213="","",IF(R213="DNS",0,IF(R213="DQ",0,IF(R213="DNF",1,IF(AND(ISNUMBER(R213),R213&gt;59),1,_xlfn.XLOOKUP(R213,tbl_points[Place],tbl_points[Points],""))))))</f>
        <v/>
      </c>
      <c r="T213" s="3">
        <f>SUM(tbl_individual[[#This Row],[R1 Pts]],tbl_individual[[#This Row],[R2 Pts]],tbl_individual[[#This Row],[R3 Pts]],tbl_individual[[#This Row],[R4 Pts]],tbl_individual[[#This Row],[R5 Pts]],tbl_individual[[#This Row],[R6 Pts]])</f>
        <v>244</v>
      </c>
      <c r="U213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13" s="3">
        <f>tbl_individual[[#This Row],[Total]]</f>
        <v>244</v>
      </c>
    </row>
    <row r="214" spans="1:22" x14ac:dyDescent="0.4">
      <c r="A214" t="s">
        <v>190</v>
      </c>
      <c r="B214" t="s">
        <v>20</v>
      </c>
      <c r="C214" t="s">
        <v>3</v>
      </c>
      <c r="D214" s="3">
        <v>10165</v>
      </c>
      <c r="E214" s="3" t="s">
        <v>421</v>
      </c>
      <c r="G214" s="3" t="s">
        <v>403</v>
      </c>
      <c r="H214" s="3">
        <v>21</v>
      </c>
      <c r="I214" s="3">
        <f>IF(H214="","",IF(H214="DNS",0,IF(H214="DQ",0,IF(H214="DNF",1,IF(AND(ISNUMBER(H214),H214&gt;59),1,_xlfn.XLOOKUP(H214,tbl_points[Place],tbl_points[Points],""))))))</f>
        <v>39</v>
      </c>
      <c r="J214" s="3" t="s">
        <v>410</v>
      </c>
      <c r="K214" s="3">
        <f>IF(J214="","",IF(J214="DNS",0,IF(J214="DQ",0,IF(J214="DNF",1,IF(AND(ISNUMBER(J214),J214&gt;59),1,_xlfn.XLOOKUP(J214,tbl_points[Place],tbl_points[Points],""))))))</f>
        <v>0</v>
      </c>
      <c r="L214" s="3">
        <v>15</v>
      </c>
      <c r="M214" s="3">
        <f>IF(L214="","",IF(L214="DNS",0,IF(L214="DQ",0,IF(L214="DNF",1,IF(AND(ISNUMBER(L214),L214&gt;59),1,_xlfn.XLOOKUP(L214,tbl_points[Place],tbl_points[Points],""))))))</f>
        <v>45</v>
      </c>
      <c r="N214" s="3">
        <v>19</v>
      </c>
      <c r="O214" s="3">
        <f>IF(N214="","",IF(N214="DNS",0,IF(N214="DQ",0,IF(N214="DNF",1,IF(AND(ISNUMBER(N214),N214&gt;59),1,_xlfn.XLOOKUP(N214,tbl_points[Place],tbl_points[Points],""))))))</f>
        <v>41</v>
      </c>
      <c r="P214" s="3">
        <v>13</v>
      </c>
      <c r="Q214" s="3">
        <f>IF(P214="","",IF(P214="DNS",0,IF(P214="DQ",0,IF(P214="DNF",1,IF(AND(ISNUMBER(P214),P214&gt;59),1,_xlfn.XLOOKUP(P214,tbl_points[Place],tbl_points[Points],""))))))</f>
        <v>49</v>
      </c>
      <c r="S214" s="3" t="str">
        <f>IF(R214="","",IF(R214="DNS",0,IF(R214="DQ",0,IF(R214="DNF",1,IF(AND(ISNUMBER(R214),R214&gt;59),1,_xlfn.XLOOKUP(R214,tbl_points[Place],tbl_points[Points],""))))))</f>
        <v/>
      </c>
      <c r="T214" s="3">
        <f>SUM(tbl_individual[[#This Row],[R1 Pts]],tbl_individual[[#This Row],[R2 Pts]],tbl_individual[[#This Row],[R3 Pts]],tbl_individual[[#This Row],[R4 Pts]],tbl_individual[[#This Row],[R5 Pts]],tbl_individual[[#This Row],[R6 Pts]])</f>
        <v>174</v>
      </c>
      <c r="U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4" s="3">
        <f>tbl_individual[[#This Row],[Total]]</f>
        <v>174</v>
      </c>
    </row>
    <row r="215" spans="1:22" x14ac:dyDescent="0.4">
      <c r="A215" t="s">
        <v>196</v>
      </c>
      <c r="B215" t="s">
        <v>20</v>
      </c>
      <c r="C215" t="s">
        <v>3</v>
      </c>
      <c r="D215" s="3">
        <v>10171</v>
      </c>
      <c r="E215" s="3" t="s">
        <v>421</v>
      </c>
      <c r="G215" s="3" t="s">
        <v>403</v>
      </c>
      <c r="H215" s="3">
        <v>2</v>
      </c>
      <c r="I215" s="3">
        <f>IF(H215="","",IF(H215="DNS",0,IF(H215="DQ",0,IF(H215="DNF",1,IF(AND(ISNUMBER(H215),H215&gt;59),1,_xlfn.XLOOKUP(H215,tbl_points[Place],tbl_points[Points],""))))))</f>
        <v>95</v>
      </c>
      <c r="J215" s="3">
        <v>17</v>
      </c>
      <c r="K215" s="3">
        <f>IF(J215="","",IF(J215="DNS",0,IF(J215="DQ",0,IF(J215="DNF",1,IF(AND(ISNUMBER(J215),J215&gt;59),1,_xlfn.XLOOKUP(J215,tbl_points[Place],tbl_points[Points],""))))))</f>
        <v>43</v>
      </c>
      <c r="L215" s="3">
        <v>1</v>
      </c>
      <c r="M215" s="3">
        <f>IF(L215="","",IF(L215="DNS",0,IF(L215="DQ",0,IF(L215="DNF",1,IF(AND(ISNUMBER(L215),L215&gt;59),1,_xlfn.XLOOKUP(L215,tbl_points[Place],tbl_points[Points],""))))))</f>
        <v>100</v>
      </c>
      <c r="N215" s="3">
        <v>26</v>
      </c>
      <c r="O215" s="3">
        <f>IF(N215="","",IF(N215="DNS",0,IF(N215="DQ",0,IF(N215="DNF",1,IF(AND(ISNUMBER(N215),N215&gt;59),1,_xlfn.XLOOKUP(N215,tbl_points[Place],tbl_points[Points],""))))))</f>
        <v>34</v>
      </c>
      <c r="P215" s="3">
        <v>14</v>
      </c>
      <c r="Q215" s="3">
        <f>IF(P215="","",IF(P215="DNS",0,IF(P215="DQ",0,IF(P215="DNF",1,IF(AND(ISNUMBER(P215),P215&gt;59),1,_xlfn.XLOOKUP(P215,tbl_points[Place],tbl_points[Points],""))))))</f>
        <v>47</v>
      </c>
      <c r="S215" s="3" t="str">
        <f>IF(R215="","",IF(R215="DNS",0,IF(R215="DQ",0,IF(R215="DNF",1,IF(AND(ISNUMBER(R215),R215&gt;59),1,_xlfn.XLOOKUP(R215,tbl_points[Place],tbl_points[Points],""))))))</f>
        <v/>
      </c>
      <c r="T215" s="3">
        <f>SUM(tbl_individual[[#This Row],[R1 Pts]],tbl_individual[[#This Row],[R2 Pts]],tbl_individual[[#This Row],[R3 Pts]],tbl_individual[[#This Row],[R4 Pts]],tbl_individual[[#This Row],[R5 Pts]],tbl_individual[[#This Row],[R6 Pts]])</f>
        <v>319</v>
      </c>
      <c r="U21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15" s="3">
        <f>tbl_individual[[#This Row],[Total]]</f>
        <v>319</v>
      </c>
    </row>
    <row r="216" spans="1:22" x14ac:dyDescent="0.4">
      <c r="A216" t="s">
        <v>106</v>
      </c>
      <c r="B216" t="s">
        <v>11</v>
      </c>
      <c r="C216" t="s">
        <v>3</v>
      </c>
      <c r="D216" s="3">
        <v>10152</v>
      </c>
      <c r="E216" s="3" t="s">
        <v>421</v>
      </c>
      <c r="G216" s="3" t="s">
        <v>403</v>
      </c>
      <c r="H216" s="3" t="s">
        <v>410</v>
      </c>
      <c r="I216" s="3">
        <f>IF(H216="","",IF(H216="DNS",0,IF(H216="DQ",0,IF(H216="DNF",1,IF(AND(ISNUMBER(H216),H216&gt;59),1,_xlfn.XLOOKUP(H216,tbl_points[Place],tbl_points[Points],""))))))</f>
        <v>0</v>
      </c>
      <c r="J216" s="3">
        <v>21</v>
      </c>
      <c r="K216" s="3">
        <f>IF(J216="","",IF(J216="DNS",0,IF(J216="DQ",0,IF(J216="DNF",1,IF(AND(ISNUMBER(J216),J216&gt;59),1,_xlfn.XLOOKUP(J216,tbl_points[Place],tbl_points[Points],""))))))</f>
        <v>39</v>
      </c>
      <c r="L216" s="3">
        <v>21</v>
      </c>
      <c r="M216" s="3">
        <f>IF(L216="","",IF(L216="DNS",0,IF(L216="DQ",0,IF(L216="DNF",1,IF(AND(ISNUMBER(L216),L216&gt;59),1,_xlfn.XLOOKUP(L216,tbl_points[Place],tbl_points[Points],""))))))</f>
        <v>39</v>
      </c>
      <c r="N216" s="3">
        <v>12</v>
      </c>
      <c r="O216" s="3">
        <f>IF(N216="","",IF(N216="DNS",0,IF(N216="DQ",0,IF(N216="DNF",1,IF(AND(ISNUMBER(N216),N216&gt;59),1,_xlfn.XLOOKUP(N216,tbl_points[Place],tbl_points[Points],""))))))</f>
        <v>51</v>
      </c>
      <c r="P216" s="3">
        <v>15</v>
      </c>
      <c r="Q216" s="3">
        <f>IF(P216="","",IF(P216="DNS",0,IF(P216="DQ",0,IF(P216="DNF",1,IF(AND(ISNUMBER(P216),P216&gt;59),1,_xlfn.XLOOKUP(P216,tbl_points[Place],tbl_points[Points],""))))))</f>
        <v>45</v>
      </c>
      <c r="S216" s="3" t="str">
        <f>IF(R216="","",IF(R216="DNS",0,IF(R216="DQ",0,IF(R216="DNF",1,IF(AND(ISNUMBER(R216),R216&gt;59),1,_xlfn.XLOOKUP(R216,tbl_points[Place],tbl_points[Points],""))))))</f>
        <v/>
      </c>
      <c r="T216" s="3">
        <f>SUM(tbl_individual[[#This Row],[R1 Pts]],tbl_individual[[#This Row],[R2 Pts]],tbl_individual[[#This Row],[R3 Pts]],tbl_individual[[#This Row],[R4 Pts]],tbl_individual[[#This Row],[R5 Pts]],tbl_individual[[#This Row],[R6 Pts]])</f>
        <v>174</v>
      </c>
      <c r="U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6" s="3">
        <f>tbl_individual[[#This Row],[Total]]</f>
        <v>174</v>
      </c>
    </row>
    <row r="217" spans="1:22" x14ac:dyDescent="0.4">
      <c r="A217" t="s">
        <v>261</v>
      </c>
      <c r="B217" t="s">
        <v>23</v>
      </c>
      <c r="C217" t="s">
        <v>3</v>
      </c>
      <c r="D217" s="3">
        <v>10184</v>
      </c>
      <c r="E217" s="3" t="s">
        <v>421</v>
      </c>
      <c r="G217" s="3" t="s">
        <v>403</v>
      </c>
      <c r="H217" s="3">
        <v>37</v>
      </c>
      <c r="I217" s="3">
        <f>IF(H217="","",IF(H217="DNS",0,IF(H217="DQ",0,IF(H217="DNF",1,IF(AND(ISNUMBER(H217),H217&gt;59),1,_xlfn.XLOOKUP(H217,tbl_points[Place],tbl_points[Points],""))))))</f>
        <v>23</v>
      </c>
      <c r="J217" s="3">
        <v>14</v>
      </c>
      <c r="K217" s="3">
        <f>IF(J217="","",IF(J217="DNS",0,IF(J217="DQ",0,IF(J217="DNF",1,IF(AND(ISNUMBER(J217),J217&gt;59),1,_xlfn.XLOOKUP(J217,tbl_points[Place],tbl_points[Points],""))))))</f>
        <v>47</v>
      </c>
      <c r="L217" s="3">
        <v>31</v>
      </c>
      <c r="M217" s="3">
        <f>IF(L217="","",IF(L217="DNS",0,IF(L217="DQ",0,IF(L217="DNF",1,IF(AND(ISNUMBER(L217),L217&gt;59),1,_xlfn.XLOOKUP(L217,tbl_points[Place],tbl_points[Points],""))))))</f>
        <v>29</v>
      </c>
      <c r="N217" s="3">
        <v>25</v>
      </c>
      <c r="O217" s="3">
        <f>IF(N217="","",IF(N217="DNS",0,IF(N217="DQ",0,IF(N217="DNF",1,IF(AND(ISNUMBER(N217),N217&gt;59),1,_xlfn.XLOOKUP(N217,tbl_points[Place],tbl_points[Points],""))))))</f>
        <v>35</v>
      </c>
      <c r="P217" s="3">
        <v>16</v>
      </c>
      <c r="Q217" s="3">
        <f>IF(P217="","",IF(P217="DNS",0,IF(P217="DQ",0,IF(P217="DNF",1,IF(AND(ISNUMBER(P217),P217&gt;59),1,_xlfn.XLOOKUP(P217,tbl_points[Place],tbl_points[Points],""))))))</f>
        <v>44</v>
      </c>
      <c r="S217" s="3" t="str">
        <f>IF(R217="","",IF(R217="DNS",0,IF(R217="DQ",0,IF(R217="DNF",1,IF(AND(ISNUMBER(R217),R217&gt;59),1,_xlfn.XLOOKUP(R217,tbl_points[Place],tbl_points[Points],""))))))</f>
        <v/>
      </c>
      <c r="T217" s="3">
        <f>SUM(tbl_individual[[#This Row],[R1 Pts]],tbl_individual[[#This Row],[R2 Pts]],tbl_individual[[#This Row],[R3 Pts]],tbl_individual[[#This Row],[R4 Pts]],tbl_individual[[#This Row],[R5 Pts]],tbl_individual[[#This Row],[R6 Pts]])</f>
        <v>178</v>
      </c>
      <c r="U217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17" s="3">
        <f>tbl_individual[[#This Row],[Total]]</f>
        <v>178</v>
      </c>
    </row>
    <row r="218" spans="1:22" x14ac:dyDescent="0.4">
      <c r="A218" t="s">
        <v>89</v>
      </c>
      <c r="B218" t="s">
        <v>10</v>
      </c>
      <c r="C218" t="s">
        <v>3</v>
      </c>
      <c r="D218" s="3">
        <v>10119</v>
      </c>
      <c r="E218" s="3" t="s">
        <v>421</v>
      </c>
      <c r="G218" s="3" t="s">
        <v>403</v>
      </c>
      <c r="H218" s="3">
        <v>17</v>
      </c>
      <c r="I218" s="3">
        <f>IF(H218="","",IF(H218="DNS",0,IF(H218="DQ",0,IF(H218="DNF",1,IF(AND(ISNUMBER(H218),H218&gt;59),1,_xlfn.XLOOKUP(H218,tbl_points[Place],tbl_points[Points],""))))))</f>
        <v>43</v>
      </c>
      <c r="J218" s="3">
        <v>15</v>
      </c>
      <c r="K218" s="3">
        <f>IF(J218="","",IF(J218="DNS",0,IF(J218="DQ",0,IF(J218="DNF",1,IF(AND(ISNUMBER(J218),J218&gt;59),1,_xlfn.XLOOKUP(J218,tbl_points[Place],tbl_points[Points],""))))))</f>
        <v>45</v>
      </c>
      <c r="L218" s="3">
        <v>10</v>
      </c>
      <c r="M218" s="3">
        <f>IF(L218="","",IF(L218="DNS",0,IF(L218="DQ",0,IF(L218="DNF",1,IF(AND(ISNUMBER(L218),L218&gt;59),1,_xlfn.XLOOKUP(L218,tbl_points[Place],tbl_points[Points],""))))))</f>
        <v>55</v>
      </c>
      <c r="N218" s="3">
        <v>15</v>
      </c>
      <c r="O218" s="3">
        <f>IF(N218="","",IF(N218="DNS",0,IF(N218="DQ",0,IF(N218="DNF",1,IF(AND(ISNUMBER(N218),N218&gt;59),1,_xlfn.XLOOKUP(N218,tbl_points[Place],tbl_points[Points],""))))))</f>
        <v>45</v>
      </c>
      <c r="P218" s="3">
        <v>17</v>
      </c>
      <c r="Q218" s="3">
        <f>IF(P218="","",IF(P218="DNS",0,IF(P218="DQ",0,IF(P218="DNF",1,IF(AND(ISNUMBER(P218),P218&gt;59),1,_xlfn.XLOOKUP(P218,tbl_points[Place],tbl_points[Points],""))))))</f>
        <v>43</v>
      </c>
      <c r="S218" s="3" t="str">
        <f>IF(R218="","",IF(R218="DNS",0,IF(R218="DQ",0,IF(R218="DNF",1,IF(AND(ISNUMBER(R218),R218&gt;59),1,_xlfn.XLOOKUP(R218,tbl_points[Place],tbl_points[Points],""))))))</f>
        <v/>
      </c>
      <c r="T218" s="3">
        <f>SUM(tbl_individual[[#This Row],[R1 Pts]],tbl_individual[[#This Row],[R2 Pts]],tbl_individual[[#This Row],[R3 Pts]],tbl_individual[[#This Row],[R4 Pts]],tbl_individual[[#This Row],[R5 Pts]],tbl_individual[[#This Row],[R6 Pts]])</f>
        <v>231</v>
      </c>
      <c r="U21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18" s="3">
        <f>tbl_individual[[#This Row],[Total]]</f>
        <v>231</v>
      </c>
    </row>
    <row r="219" spans="1:22" x14ac:dyDescent="0.4">
      <c r="A219" t="s">
        <v>402</v>
      </c>
      <c r="B219" t="s">
        <v>10</v>
      </c>
      <c r="C219" t="s">
        <v>3</v>
      </c>
      <c r="D219" s="3">
        <v>10205</v>
      </c>
      <c r="E219" s="3" t="s">
        <v>421</v>
      </c>
      <c r="G219" s="3" t="s">
        <v>403</v>
      </c>
      <c r="H219" s="3">
        <v>23</v>
      </c>
      <c r="I219" s="3">
        <f>IF(H219="","",IF(H219="DNS",0,IF(H219="DQ",0,IF(H219="DNF",1,IF(AND(ISNUMBER(H219),H219&gt;59),1,_xlfn.XLOOKUP(H219,tbl_points[Place],tbl_points[Points],""))))))</f>
        <v>37</v>
      </c>
      <c r="J219" s="3">
        <v>13</v>
      </c>
      <c r="K219" s="3">
        <f>IF(J219="","",IF(J219="DNS",0,IF(J219="DQ",0,IF(J219="DNF",1,IF(AND(ISNUMBER(J219),J219&gt;59),1,_xlfn.XLOOKUP(J219,tbl_points[Place],tbl_points[Points],""))))))</f>
        <v>49</v>
      </c>
      <c r="L219" s="3">
        <v>27</v>
      </c>
      <c r="M219" s="3">
        <f>IF(L219="","",IF(L219="DNS",0,IF(L219="DQ",0,IF(L219="DNF",1,IF(AND(ISNUMBER(L219),L219&gt;59),1,_xlfn.XLOOKUP(L219,tbl_points[Place],tbl_points[Points],""))))))</f>
        <v>33</v>
      </c>
      <c r="N219" s="3">
        <v>11</v>
      </c>
      <c r="O219" s="3">
        <f>IF(N219="","",IF(N219="DNS",0,IF(N219="DQ",0,IF(N219="DNF",1,IF(AND(ISNUMBER(N219),N219&gt;59),1,_xlfn.XLOOKUP(N219,tbl_points[Place],tbl_points[Points],""))))))</f>
        <v>53</v>
      </c>
      <c r="P219" s="3">
        <v>18</v>
      </c>
      <c r="Q219" s="3">
        <f>IF(P219="","",IF(P219="DNS",0,IF(P219="DQ",0,IF(P219="DNF",1,IF(AND(ISNUMBER(P219),P219&gt;59),1,_xlfn.XLOOKUP(P219,tbl_points[Place],tbl_points[Points],""))))))</f>
        <v>42</v>
      </c>
      <c r="S219" s="3" t="str">
        <f>IF(R219="","",IF(R219="DNS",0,IF(R219="DQ",0,IF(R219="DNF",1,IF(AND(ISNUMBER(R219),R219&gt;59),1,_xlfn.XLOOKUP(R219,tbl_points[Place],tbl_points[Points],""))))))</f>
        <v/>
      </c>
      <c r="T219" s="3">
        <f>SUM(tbl_individual[[#This Row],[R1 Pts]],tbl_individual[[#This Row],[R2 Pts]],tbl_individual[[#This Row],[R3 Pts]],tbl_individual[[#This Row],[R4 Pts]],tbl_individual[[#This Row],[R5 Pts]],tbl_individual[[#This Row],[R6 Pts]])</f>
        <v>214</v>
      </c>
      <c r="U219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219" s="3">
        <f>tbl_individual[[#This Row],[Total]]</f>
        <v>214</v>
      </c>
    </row>
    <row r="220" spans="1:22" x14ac:dyDescent="0.4">
      <c r="A220" t="s">
        <v>372</v>
      </c>
      <c r="B220" t="s">
        <v>30</v>
      </c>
      <c r="C220" t="s">
        <v>3</v>
      </c>
      <c r="D220" s="3">
        <v>10200</v>
      </c>
      <c r="E220" s="3" t="s">
        <v>421</v>
      </c>
      <c r="G220" s="3" t="s">
        <v>403</v>
      </c>
      <c r="H220" s="3" t="s">
        <v>410</v>
      </c>
      <c r="I220" s="3">
        <f>IF(H220="","",IF(H220="DNS",0,IF(H220="DQ",0,IF(H220="DNF",1,IF(AND(ISNUMBER(H220),H220&gt;59),1,_xlfn.XLOOKUP(H220,tbl_points[Place],tbl_points[Points],""))))))</f>
        <v>0</v>
      </c>
      <c r="J220" s="3">
        <v>31</v>
      </c>
      <c r="K220" s="3">
        <f>IF(J220="","",IF(J220="DNS",0,IF(J220="DQ",0,IF(J220="DNF",1,IF(AND(ISNUMBER(J220),J220&gt;59),1,_xlfn.XLOOKUP(J220,tbl_points[Place],tbl_points[Points],""))))))</f>
        <v>29</v>
      </c>
      <c r="L220" s="3" t="s">
        <v>410</v>
      </c>
      <c r="M220" s="3">
        <f>IF(L220="","",IF(L220="DNS",0,IF(L220="DQ",0,IF(L220="DNF",1,IF(AND(ISNUMBER(L220),L220&gt;59),1,_xlfn.XLOOKUP(L220,tbl_points[Place],tbl_points[Points],""))))))</f>
        <v>0</v>
      </c>
      <c r="N220" s="3">
        <v>20</v>
      </c>
      <c r="O220" s="3">
        <f>IF(N220="","",IF(N220="DNS",0,IF(N220="DQ",0,IF(N220="DNF",1,IF(AND(ISNUMBER(N220),N220&gt;59),1,_xlfn.XLOOKUP(N220,tbl_points[Place],tbl_points[Points],""))))))</f>
        <v>40</v>
      </c>
      <c r="P220" s="3">
        <v>19</v>
      </c>
      <c r="Q220" s="3">
        <f>IF(P220="","",IF(P220="DNS",0,IF(P220="DQ",0,IF(P220="DNF",1,IF(AND(ISNUMBER(P220),P220&gt;59),1,_xlfn.XLOOKUP(P220,tbl_points[Place],tbl_points[Points],""))))))</f>
        <v>41</v>
      </c>
      <c r="S220" s="3" t="str">
        <f>IF(R220="","",IF(R220="DNS",0,IF(R220="DQ",0,IF(R220="DNF",1,IF(AND(ISNUMBER(R220),R220&gt;59),1,_xlfn.XLOOKUP(R220,tbl_points[Place],tbl_points[Points],""))))))</f>
        <v/>
      </c>
      <c r="T220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0" s="3">
        <f>tbl_individual[[#This Row],[Total]]</f>
        <v>110</v>
      </c>
    </row>
    <row r="221" spans="1:22" x14ac:dyDescent="0.4">
      <c r="A221" t="s">
        <v>299</v>
      </c>
      <c r="B221" t="s">
        <v>25</v>
      </c>
      <c r="C221" t="s">
        <v>3</v>
      </c>
      <c r="D221" s="3">
        <v>10189</v>
      </c>
      <c r="E221" s="3" t="s">
        <v>421</v>
      </c>
      <c r="G221" s="3" t="s">
        <v>403</v>
      </c>
      <c r="H221" s="3">
        <v>14</v>
      </c>
      <c r="I221" s="3">
        <f>IF(H221="","",IF(H221="DNS",0,IF(H221="DQ",0,IF(H221="DNF",1,IF(AND(ISNUMBER(H221),H221&gt;59),1,_xlfn.XLOOKUP(H221,tbl_points[Place],tbl_points[Points],""))))))</f>
        <v>47</v>
      </c>
      <c r="J221" s="3">
        <v>27</v>
      </c>
      <c r="K221" s="3">
        <f>IF(J221="","",IF(J221="DNS",0,IF(J221="DQ",0,IF(J221="DNF",1,IF(AND(ISNUMBER(J221),J221&gt;59),1,_xlfn.XLOOKUP(J221,tbl_points[Place],tbl_points[Points],""))))))</f>
        <v>33</v>
      </c>
      <c r="L221" s="3">
        <v>25</v>
      </c>
      <c r="M221" s="3">
        <f>IF(L221="","",IF(L221="DNS",0,IF(L221="DQ",0,IF(L221="DNF",1,IF(AND(ISNUMBER(L221),L221&gt;59),1,_xlfn.XLOOKUP(L221,tbl_points[Place],tbl_points[Points],""))))))</f>
        <v>35</v>
      </c>
      <c r="N221" s="3" t="s">
        <v>410</v>
      </c>
      <c r="O221" s="3">
        <f>IF(N221="","",IF(N221="DNS",0,IF(N221="DQ",0,IF(N221="DNF",1,IF(AND(ISNUMBER(N221),N221&gt;59),1,_xlfn.XLOOKUP(N221,tbl_points[Place],tbl_points[Points],""))))))</f>
        <v>0</v>
      </c>
      <c r="P221" s="3">
        <v>20</v>
      </c>
      <c r="Q221" s="3">
        <f>IF(P221="","",IF(P221="DNS",0,IF(P221="DQ",0,IF(P221="DNF",1,IF(AND(ISNUMBER(P221),P221&gt;59),1,_xlfn.XLOOKUP(P221,tbl_points[Place],tbl_points[Points],""))))))</f>
        <v>40</v>
      </c>
      <c r="S221" s="3" t="str">
        <f>IF(R221="","",IF(R221="DNS",0,IF(R221="DQ",0,IF(R221="DNF",1,IF(AND(ISNUMBER(R221),R221&gt;59),1,_xlfn.XLOOKUP(R221,tbl_points[Place],tbl_points[Points],""))))))</f>
        <v/>
      </c>
      <c r="T221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1" s="3">
        <f>tbl_individual[[#This Row],[Total]]</f>
        <v>155</v>
      </c>
    </row>
    <row r="222" spans="1:22" x14ac:dyDescent="0.4">
      <c r="A222" t="s">
        <v>86</v>
      </c>
      <c r="B222" t="s">
        <v>10</v>
      </c>
      <c r="C222" t="s">
        <v>3</v>
      </c>
      <c r="D222" s="3">
        <v>10114</v>
      </c>
      <c r="E222" s="3" t="s">
        <v>421</v>
      </c>
      <c r="G222" s="3" t="s">
        <v>403</v>
      </c>
      <c r="H222" s="3">
        <v>29</v>
      </c>
      <c r="I222" s="3">
        <f>IF(H222="","",IF(H222="DNS",0,IF(H222="DQ",0,IF(H222="DNF",1,IF(AND(ISNUMBER(H222),H222&gt;59),1,_xlfn.XLOOKUP(H222,tbl_points[Place],tbl_points[Points],""))))))</f>
        <v>31</v>
      </c>
      <c r="J222" s="3">
        <v>18</v>
      </c>
      <c r="K222" s="3">
        <f>IF(J222="","",IF(J222="DNS",0,IF(J222="DQ",0,IF(J222="DNF",1,IF(AND(ISNUMBER(J222),J222&gt;59),1,_xlfn.XLOOKUP(J222,tbl_points[Place],tbl_points[Points],""))))))</f>
        <v>42</v>
      </c>
      <c r="L222" s="3">
        <v>22</v>
      </c>
      <c r="M222" s="3">
        <f>IF(L222="","",IF(L222="DNS",0,IF(L222="DQ",0,IF(L222="DNF",1,IF(AND(ISNUMBER(L222),L222&gt;59),1,_xlfn.XLOOKUP(L222,tbl_points[Place],tbl_points[Points],""))))))</f>
        <v>38</v>
      </c>
      <c r="N222" s="3">
        <v>24</v>
      </c>
      <c r="O222" s="3">
        <f>IF(N222="","",IF(N222="DNS",0,IF(N222="DQ",0,IF(N222="DNF",1,IF(AND(ISNUMBER(N222),N222&gt;59),1,_xlfn.XLOOKUP(N222,tbl_points[Place],tbl_points[Points],""))))))</f>
        <v>36</v>
      </c>
      <c r="P222" s="3">
        <v>21</v>
      </c>
      <c r="Q222" s="3">
        <f>IF(P222="","",IF(P222="DNS",0,IF(P222="DQ",0,IF(P222="DNF",1,IF(AND(ISNUMBER(P222),P222&gt;59),1,_xlfn.XLOOKUP(P222,tbl_points[Place],tbl_points[Points],""))))))</f>
        <v>39</v>
      </c>
      <c r="S222" s="3" t="str">
        <f>IF(R222="","",IF(R222="DNS",0,IF(R222="DQ",0,IF(R222="DNF",1,IF(AND(ISNUMBER(R222),R222&gt;59),1,_xlfn.XLOOKUP(R222,tbl_points[Place],tbl_points[Points],""))))))</f>
        <v/>
      </c>
      <c r="T222" s="3">
        <f>SUM(tbl_individual[[#This Row],[R1 Pts]],tbl_individual[[#This Row],[R2 Pts]],tbl_individual[[#This Row],[R3 Pts]],tbl_individual[[#This Row],[R4 Pts]],tbl_individual[[#This Row],[R5 Pts]],tbl_individual[[#This Row],[R6 Pts]])</f>
        <v>186</v>
      </c>
      <c r="U222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222" s="3">
        <f>tbl_individual[[#This Row],[Total]]</f>
        <v>186</v>
      </c>
    </row>
    <row r="223" spans="1:22" x14ac:dyDescent="0.4">
      <c r="A223" t="s">
        <v>298</v>
      </c>
      <c r="B223" t="s">
        <v>25</v>
      </c>
      <c r="C223" t="s">
        <v>3</v>
      </c>
      <c r="D223" s="3">
        <v>10188</v>
      </c>
      <c r="E223" s="3" t="s">
        <v>421</v>
      </c>
      <c r="G223" s="3" t="s">
        <v>403</v>
      </c>
      <c r="H223" s="3">
        <v>24</v>
      </c>
      <c r="I223" s="3">
        <f>IF(H223="","",IF(H223="DNS",0,IF(H223="DQ",0,IF(H223="DNF",1,IF(AND(ISNUMBER(H223),H223&gt;59),1,_xlfn.XLOOKUP(H223,tbl_points[Place],tbl_points[Points],""))))))</f>
        <v>36</v>
      </c>
      <c r="J223" s="3">
        <v>29</v>
      </c>
      <c r="K223" s="3">
        <f>IF(J223="","",IF(J223="DNS",0,IF(J223="DQ",0,IF(J223="DNF",1,IF(AND(ISNUMBER(J223),J223&gt;59),1,_xlfn.XLOOKUP(J223,tbl_points[Place],tbl_points[Points],""))))))</f>
        <v>31</v>
      </c>
      <c r="L223" s="3" t="s">
        <v>410</v>
      </c>
      <c r="M223" s="3">
        <f>IF(L223="","",IF(L223="DNS",0,IF(L223="DQ",0,IF(L223="DNF",1,IF(AND(ISNUMBER(L223),L223&gt;59),1,_xlfn.XLOOKUP(L223,tbl_points[Place],tbl_points[Points],""))))))</f>
        <v>0</v>
      </c>
      <c r="N223" s="3" t="s">
        <v>410</v>
      </c>
      <c r="O223" s="3">
        <f>IF(N223="","",IF(N223="DNS",0,IF(N223="DQ",0,IF(N223="DNF",1,IF(AND(ISNUMBER(N223),N223&gt;59),1,_xlfn.XLOOKUP(N223,tbl_points[Place],tbl_points[Points],""))))))</f>
        <v>0</v>
      </c>
      <c r="P223" s="3">
        <v>22</v>
      </c>
      <c r="Q223" s="3">
        <f>IF(P223="","",IF(P223="DNS",0,IF(P223="DQ",0,IF(P223="DNF",1,IF(AND(ISNUMBER(P223),P223&gt;59),1,_xlfn.XLOOKUP(P223,tbl_points[Place],tbl_points[Points],""))))))</f>
        <v>38</v>
      </c>
      <c r="S223" s="3" t="str">
        <f>IF(R223="","",IF(R223="DNS",0,IF(R223="DQ",0,IF(R223="DNF",1,IF(AND(ISNUMBER(R223),R223&gt;59),1,_xlfn.XLOOKUP(R223,tbl_points[Place],tbl_points[Points],""))))))</f>
        <v/>
      </c>
      <c r="T223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U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3" s="3">
        <f>tbl_individual[[#This Row],[Total]]</f>
        <v>105</v>
      </c>
    </row>
    <row r="224" spans="1:22" x14ac:dyDescent="0.4">
      <c r="A224" t="s">
        <v>427</v>
      </c>
      <c r="B224" t="s">
        <v>29</v>
      </c>
      <c r="C224" t="s">
        <v>3</v>
      </c>
      <c r="D224" s="3">
        <v>10208</v>
      </c>
      <c r="E224" s="3" t="s">
        <v>421</v>
      </c>
      <c r="F224" s="17" t="s">
        <v>438</v>
      </c>
      <c r="G224" s="3" t="s">
        <v>403</v>
      </c>
      <c r="H224" s="3" t="s">
        <v>410</v>
      </c>
      <c r="I224" s="3">
        <f>IF(H224="","",IF(H224="DNS",0,IF(H224="DQ",0,IF(H224="DNF",1,IF(AND(ISNUMBER(H224),H224&gt;59),1,_xlfn.XLOOKUP(H224,tbl_points[Place],tbl_points[Points],""))))))</f>
        <v>0</v>
      </c>
      <c r="J224" s="3" t="s">
        <v>410</v>
      </c>
      <c r="K224" s="3">
        <f>IF(J224="","",IF(J224="DNS",0,IF(J224="DQ",0,IF(J224="DNF",1,IF(AND(ISNUMBER(J224),J224&gt;59),1,_xlfn.XLOOKUP(J224,tbl_points[Place],tbl_points[Points],""))))))</f>
        <v>0</v>
      </c>
      <c r="L224" s="3">
        <v>26</v>
      </c>
      <c r="M224" s="3">
        <f>IF(L224="","",IF(L224="DNS",0,IF(L224="DQ",0,IF(L224="DNF",1,IF(AND(ISNUMBER(L224),L224&gt;59),1,_xlfn.XLOOKUP(L224,tbl_points[Place],tbl_points[Points],""))))))</f>
        <v>34</v>
      </c>
      <c r="N224" s="3">
        <v>44</v>
      </c>
      <c r="O224" s="3">
        <f>IF(N224="","",IF(N224="DNS",0,IF(N224="DQ",0,IF(N224="DNF",1,IF(AND(ISNUMBER(N224),N224&gt;59),1,_xlfn.XLOOKUP(N224,tbl_points[Place],tbl_points[Points],""))))))</f>
        <v>16</v>
      </c>
      <c r="P224" s="3">
        <v>23</v>
      </c>
      <c r="Q224" s="3">
        <f>IF(P224="","",IF(P224="DNS",0,IF(P224="DQ",0,IF(P224="DNF",1,IF(AND(ISNUMBER(P224),P224&gt;59),1,_xlfn.XLOOKUP(P224,tbl_points[Place],tbl_points[Points],""))))))</f>
        <v>37</v>
      </c>
      <c r="S224" s="3" t="str">
        <f>IF(R224="","",IF(R224="DNS",0,IF(R224="DQ",0,IF(R224="DNF",1,IF(AND(ISNUMBER(R224),R224&gt;59),1,_xlfn.XLOOKUP(R224,tbl_points[Place],tbl_points[Points],""))))))</f>
        <v/>
      </c>
      <c r="T224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U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4" s="3">
        <f>tbl_individual[[#This Row],[Total]]</f>
        <v>87</v>
      </c>
    </row>
    <row r="225" spans="1:22" x14ac:dyDescent="0.4">
      <c r="A225" t="s">
        <v>85</v>
      </c>
      <c r="B225" t="s">
        <v>10</v>
      </c>
      <c r="C225" t="s">
        <v>3</v>
      </c>
      <c r="D225" s="3">
        <v>10111</v>
      </c>
      <c r="E225" s="3" t="s">
        <v>421</v>
      </c>
      <c r="G225" s="3" t="s">
        <v>403</v>
      </c>
      <c r="H225" s="3">
        <v>12</v>
      </c>
      <c r="I225" s="3">
        <f>IF(H225="","",IF(H225="DNS",0,IF(H225="DQ",0,IF(H225="DNF",1,IF(AND(ISNUMBER(H225),H225&gt;59),1,_xlfn.XLOOKUP(H225,tbl_points[Place],tbl_points[Points],""))))))</f>
        <v>51</v>
      </c>
      <c r="J225" s="3">
        <v>20</v>
      </c>
      <c r="K225" s="3">
        <f>IF(J225="","",IF(J225="DNS",0,IF(J225="DQ",0,IF(J225="DNF",1,IF(AND(ISNUMBER(J225),J225&gt;59),1,_xlfn.XLOOKUP(J225,tbl_points[Place],tbl_points[Points],""))))))</f>
        <v>40</v>
      </c>
      <c r="L225" s="3">
        <v>13</v>
      </c>
      <c r="M225" s="3">
        <f>IF(L225="","",IF(L225="DNS",0,IF(L225="DQ",0,IF(L225="DNF",1,IF(AND(ISNUMBER(L225),L225&gt;59),1,_xlfn.XLOOKUP(L225,tbl_points[Place],tbl_points[Points],""))))))</f>
        <v>49</v>
      </c>
      <c r="N225" s="3">
        <v>28</v>
      </c>
      <c r="O225" s="3">
        <f>IF(N225="","",IF(N225="DNS",0,IF(N225="DQ",0,IF(N225="DNF",1,IF(AND(ISNUMBER(N225),N225&gt;59),1,_xlfn.XLOOKUP(N225,tbl_points[Place],tbl_points[Points],""))))))</f>
        <v>32</v>
      </c>
      <c r="P225" s="3">
        <v>24</v>
      </c>
      <c r="Q225" s="3">
        <f>IF(P225="","",IF(P225="DNS",0,IF(P225="DQ",0,IF(P225="DNF",1,IF(AND(ISNUMBER(P225),P225&gt;59),1,_xlfn.XLOOKUP(P225,tbl_points[Place],tbl_points[Points],""))))))</f>
        <v>36</v>
      </c>
      <c r="S225" s="3" t="str">
        <f>IF(R225="","",IF(R225="DNS",0,IF(R225="DQ",0,IF(R225="DNF",1,IF(AND(ISNUMBER(R225),R225&gt;59),1,_xlfn.XLOOKUP(R225,tbl_points[Place],tbl_points[Points],""))))))</f>
        <v/>
      </c>
      <c r="T225" s="3">
        <f>SUM(tbl_individual[[#This Row],[R1 Pts]],tbl_individual[[#This Row],[R2 Pts]],tbl_individual[[#This Row],[R3 Pts]],tbl_individual[[#This Row],[R4 Pts]],tbl_individual[[#This Row],[R5 Pts]],tbl_individual[[#This Row],[R6 Pts]])</f>
        <v>208</v>
      </c>
      <c r="U22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25" s="3">
        <f>tbl_individual[[#This Row],[Total]]</f>
        <v>208</v>
      </c>
    </row>
    <row r="226" spans="1:22" x14ac:dyDescent="0.4">
      <c r="A226" t="s">
        <v>195</v>
      </c>
      <c r="B226" t="s">
        <v>20</v>
      </c>
      <c r="C226" t="s">
        <v>3</v>
      </c>
      <c r="D226" s="3">
        <v>10170</v>
      </c>
      <c r="E226" s="3" t="s">
        <v>421</v>
      </c>
      <c r="G226" s="3" t="s">
        <v>403</v>
      </c>
      <c r="H226" s="3" t="s">
        <v>410</v>
      </c>
      <c r="I226" s="3">
        <f>IF(H226="","",IF(H226="DNS",0,IF(H226="DQ",0,IF(H226="DNF",1,IF(AND(ISNUMBER(H226),H226&gt;59),1,_xlfn.XLOOKUP(H226,tbl_points[Place],tbl_points[Points],""))))))</f>
        <v>0</v>
      </c>
      <c r="J226" s="3">
        <v>32</v>
      </c>
      <c r="K226" s="3">
        <f>IF(J226="","",IF(J226="DNS",0,IF(J226="DQ",0,IF(J226="DNF",1,IF(AND(ISNUMBER(J226),J226&gt;59),1,_xlfn.XLOOKUP(J226,tbl_points[Place],tbl_points[Points],""))))))</f>
        <v>28</v>
      </c>
      <c r="L226" s="3">
        <v>20</v>
      </c>
      <c r="M226" s="3">
        <f>IF(L226="","",IF(L226="DNS",0,IF(L226="DQ",0,IF(L226="DNF",1,IF(AND(ISNUMBER(L226),L226&gt;59),1,_xlfn.XLOOKUP(L226,tbl_points[Place],tbl_points[Points],""))))))</f>
        <v>40</v>
      </c>
      <c r="N226" s="3">
        <v>31</v>
      </c>
      <c r="O226" s="3">
        <f>IF(N226="","",IF(N226="DNS",0,IF(N226="DQ",0,IF(N226="DNF",1,IF(AND(ISNUMBER(N226),N226&gt;59),1,_xlfn.XLOOKUP(N226,tbl_points[Place],tbl_points[Points],""))))))</f>
        <v>29</v>
      </c>
      <c r="P226" s="3">
        <v>25</v>
      </c>
      <c r="Q226" s="3">
        <f>IF(P226="","",IF(P226="DNS",0,IF(P226="DQ",0,IF(P226="DNF",1,IF(AND(ISNUMBER(P226),P226&gt;59),1,_xlfn.XLOOKUP(P226,tbl_points[Place],tbl_points[Points],""))))))</f>
        <v>35</v>
      </c>
      <c r="S226" s="3" t="str">
        <f>IF(R226="","",IF(R226="DNS",0,IF(R226="DQ",0,IF(R226="DNF",1,IF(AND(ISNUMBER(R226),R226&gt;59),1,_xlfn.XLOOKUP(R226,tbl_points[Place],tbl_points[Points],""))))))</f>
        <v/>
      </c>
      <c r="T226" s="3">
        <f>SUM(tbl_individual[[#This Row],[R1 Pts]],tbl_individual[[#This Row],[R2 Pts]],tbl_individual[[#This Row],[R3 Pts]],tbl_individual[[#This Row],[R4 Pts]],tbl_individual[[#This Row],[R5 Pts]],tbl_individual[[#This Row],[R6 Pts]])</f>
        <v>132</v>
      </c>
      <c r="U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6" s="3">
        <f>tbl_individual[[#This Row],[Total]]</f>
        <v>132</v>
      </c>
    </row>
    <row r="227" spans="1:22" x14ac:dyDescent="0.4">
      <c r="A227" t="s">
        <v>426</v>
      </c>
      <c r="B227" t="s">
        <v>14</v>
      </c>
      <c r="C227" t="s">
        <v>3</v>
      </c>
      <c r="D227" s="3">
        <v>10207</v>
      </c>
      <c r="E227" s="3" t="s">
        <v>421</v>
      </c>
      <c r="G227" s="3" t="s">
        <v>403</v>
      </c>
      <c r="H227" s="3" t="s">
        <v>410</v>
      </c>
      <c r="I227" s="3">
        <f>IF(H227="","",IF(H227="DNS",0,IF(H227="DQ",0,IF(H227="DNF",1,IF(AND(ISNUMBER(H227),H227&gt;59),1,_xlfn.XLOOKUP(H227,tbl_points[Place],tbl_points[Points],""))))))</f>
        <v>0</v>
      </c>
      <c r="J227" s="3" t="s">
        <v>410</v>
      </c>
      <c r="K227" s="3">
        <f>IF(J227="","",IF(J227="DNS",0,IF(J227="DQ",0,IF(J227="DNF",1,IF(AND(ISNUMBER(J227),J227&gt;59),1,_xlfn.XLOOKUP(J227,tbl_points[Place],tbl_points[Points],""))))))</f>
        <v>0</v>
      </c>
      <c r="L227" s="3">
        <v>42</v>
      </c>
      <c r="M227" s="3">
        <f>IF(L227="","",IF(L227="DNS",0,IF(L227="DQ",0,IF(L227="DNF",1,IF(AND(ISNUMBER(L227),L227&gt;59),1,_xlfn.XLOOKUP(L227,tbl_points[Place],tbl_points[Points],""))))))</f>
        <v>18</v>
      </c>
      <c r="N227" s="3">
        <v>38</v>
      </c>
      <c r="O227" s="3">
        <f>IF(N227="","",IF(N227="DNS",0,IF(N227="DQ",0,IF(N227="DNF",1,IF(AND(ISNUMBER(N227),N227&gt;59),1,_xlfn.XLOOKUP(N227,tbl_points[Place],tbl_points[Points],""))))))</f>
        <v>22</v>
      </c>
      <c r="P227" s="3">
        <v>26</v>
      </c>
      <c r="Q227" s="3">
        <f>IF(P227="","",IF(P227="DNS",0,IF(P227="DQ",0,IF(P227="DNF",1,IF(AND(ISNUMBER(P227),P227&gt;59),1,_xlfn.XLOOKUP(P227,tbl_points[Place],tbl_points[Points],""))))))</f>
        <v>34</v>
      </c>
      <c r="S227" s="3" t="str">
        <f>IF(R227="","",IF(R227="DNS",0,IF(R227="DQ",0,IF(R227="DNF",1,IF(AND(ISNUMBER(R227),R227&gt;59),1,_xlfn.XLOOKUP(R227,tbl_points[Place],tbl_points[Points],""))))))</f>
        <v/>
      </c>
      <c r="T227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7" s="3">
        <f>tbl_individual[[#This Row],[Total]]</f>
        <v>74</v>
      </c>
    </row>
    <row r="228" spans="1:22" x14ac:dyDescent="0.4">
      <c r="A228" t="s">
        <v>367</v>
      </c>
      <c r="B228" t="s">
        <v>30</v>
      </c>
      <c r="C228" t="s">
        <v>3</v>
      </c>
      <c r="D228" s="3">
        <v>10194</v>
      </c>
      <c r="E228" s="3" t="s">
        <v>421</v>
      </c>
      <c r="G228" s="3" t="s">
        <v>403</v>
      </c>
      <c r="H228" s="3">
        <v>7</v>
      </c>
      <c r="I228" s="3">
        <f>IF(H228="","",IF(H228="DNS",0,IF(H228="DQ",0,IF(H228="DNF",1,IF(AND(ISNUMBER(H228),H228&gt;59),1,_xlfn.XLOOKUP(H228,tbl_points[Place],tbl_points[Points],""))))))</f>
        <v>70</v>
      </c>
      <c r="J228" s="3">
        <v>40</v>
      </c>
      <c r="K228" s="3">
        <f>IF(J228="","",IF(J228="DNS",0,IF(J228="DQ",0,IF(J228="DNF",1,IF(AND(ISNUMBER(J228),J228&gt;59),1,_xlfn.XLOOKUP(J228,tbl_points[Place],tbl_points[Points],""))))))</f>
        <v>20</v>
      </c>
      <c r="L228" s="3">
        <v>2</v>
      </c>
      <c r="M228" s="3">
        <f>IF(L228="","",IF(L228="DNS",0,IF(L228="DQ",0,IF(L228="DNF",1,IF(AND(ISNUMBER(L228),L228&gt;59),1,_xlfn.XLOOKUP(L228,tbl_points[Place],tbl_points[Points],""))))))</f>
        <v>95</v>
      </c>
      <c r="N228" s="3">
        <v>34</v>
      </c>
      <c r="O228" s="3">
        <f>IF(N228="","",IF(N228="DNS",0,IF(N228="DQ",0,IF(N228="DNF",1,IF(AND(ISNUMBER(N228),N228&gt;59),1,_xlfn.XLOOKUP(N228,tbl_points[Place],tbl_points[Points],""))))))</f>
        <v>26</v>
      </c>
      <c r="P228" s="3">
        <v>27</v>
      </c>
      <c r="Q228" s="3">
        <f>IF(P228="","",IF(P228="DNS",0,IF(P228="DQ",0,IF(P228="DNF",1,IF(AND(ISNUMBER(P228),P228&gt;59),1,_xlfn.XLOOKUP(P228,tbl_points[Place],tbl_points[Points],""))))))</f>
        <v>33</v>
      </c>
      <c r="S228" s="3" t="str">
        <f>IF(R228="","",IF(R228="DNS",0,IF(R228="DQ",0,IF(R228="DNF",1,IF(AND(ISNUMBER(R228),R228&gt;59),1,_xlfn.XLOOKUP(R228,tbl_points[Place],tbl_points[Points],""))))))</f>
        <v/>
      </c>
      <c r="T228" s="3">
        <f>SUM(tbl_individual[[#This Row],[R1 Pts]],tbl_individual[[#This Row],[R2 Pts]],tbl_individual[[#This Row],[R3 Pts]],tbl_individual[[#This Row],[R4 Pts]],tbl_individual[[#This Row],[R5 Pts]],tbl_individual[[#This Row],[R6 Pts]])</f>
        <v>244</v>
      </c>
      <c r="U228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228" s="3">
        <f>tbl_individual[[#This Row],[Total]]</f>
        <v>244</v>
      </c>
    </row>
    <row r="229" spans="1:22" x14ac:dyDescent="0.4">
      <c r="A229" t="s">
        <v>369</v>
      </c>
      <c r="B229" t="s">
        <v>30</v>
      </c>
      <c r="C229" t="s">
        <v>3</v>
      </c>
      <c r="D229" s="3">
        <v>10196</v>
      </c>
      <c r="E229" s="3" t="s">
        <v>421</v>
      </c>
      <c r="G229" s="3" t="s">
        <v>403</v>
      </c>
      <c r="H229" s="3">
        <v>25</v>
      </c>
      <c r="I229" s="3">
        <f>IF(H229="","",IF(H229="DNS",0,IF(H229="DQ",0,IF(H229="DNF",1,IF(AND(ISNUMBER(H229),H229&gt;59),1,_xlfn.XLOOKUP(H229,tbl_points[Place],tbl_points[Points],""))))))</f>
        <v>35</v>
      </c>
      <c r="J229" s="3">
        <v>25</v>
      </c>
      <c r="K229" s="3">
        <f>IF(J229="","",IF(J229="DNS",0,IF(J229="DQ",0,IF(J229="DNF",1,IF(AND(ISNUMBER(J229),J229&gt;59),1,_xlfn.XLOOKUP(J229,tbl_points[Place],tbl_points[Points],""))))))</f>
        <v>35</v>
      </c>
      <c r="L229" s="3">
        <v>18</v>
      </c>
      <c r="M229" s="3">
        <f>IF(L229="","",IF(L229="DNS",0,IF(L229="DQ",0,IF(L229="DNF",1,IF(AND(ISNUMBER(L229),L229&gt;59),1,_xlfn.XLOOKUP(L229,tbl_points[Place],tbl_points[Points],""))))))</f>
        <v>42</v>
      </c>
      <c r="N229" s="3">
        <v>33</v>
      </c>
      <c r="O229" s="3">
        <f>IF(N229="","",IF(N229="DNS",0,IF(N229="DQ",0,IF(N229="DNF",1,IF(AND(ISNUMBER(N229),N229&gt;59),1,_xlfn.XLOOKUP(N229,tbl_points[Place],tbl_points[Points],""))))))</f>
        <v>27</v>
      </c>
      <c r="P229" s="3">
        <v>28</v>
      </c>
      <c r="Q229" s="3">
        <f>IF(P229="","",IF(P229="DNS",0,IF(P229="DQ",0,IF(P229="DNF",1,IF(AND(ISNUMBER(P229),P229&gt;59),1,_xlfn.XLOOKUP(P229,tbl_points[Place],tbl_points[Points],""))))))</f>
        <v>32</v>
      </c>
      <c r="S229" s="3" t="str">
        <f>IF(R229="","",IF(R229="DNS",0,IF(R229="DQ",0,IF(R229="DNF",1,IF(AND(ISNUMBER(R229),R229&gt;59),1,_xlfn.XLOOKUP(R229,tbl_points[Place],tbl_points[Points],""))))))</f>
        <v/>
      </c>
      <c r="T229" s="3">
        <f>SUM(tbl_individual[[#This Row],[R1 Pts]],tbl_individual[[#This Row],[R2 Pts]],tbl_individual[[#This Row],[R3 Pts]],tbl_individual[[#This Row],[R4 Pts]],tbl_individual[[#This Row],[R5 Pts]],tbl_individual[[#This Row],[R6 Pts]])</f>
        <v>171</v>
      </c>
      <c r="U229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229" s="3">
        <f>tbl_individual[[#This Row],[Total]]</f>
        <v>171</v>
      </c>
    </row>
    <row r="230" spans="1:22" x14ac:dyDescent="0.4">
      <c r="A230" t="s">
        <v>114</v>
      </c>
      <c r="B230" t="s">
        <v>12</v>
      </c>
      <c r="C230" t="s">
        <v>3</v>
      </c>
      <c r="D230" s="3">
        <v>10156</v>
      </c>
      <c r="E230" s="3" t="s">
        <v>421</v>
      </c>
      <c r="G230" s="3" t="s">
        <v>403</v>
      </c>
      <c r="H230" s="3">
        <v>27</v>
      </c>
      <c r="I230" s="3">
        <f>IF(H230="","",IF(H230="DNS",0,IF(H230="DQ",0,IF(H230="DNF",1,IF(AND(ISNUMBER(H230),H230&gt;59),1,_xlfn.XLOOKUP(H230,tbl_points[Place],tbl_points[Points],""))))))</f>
        <v>33</v>
      </c>
      <c r="J230" s="3">
        <v>33</v>
      </c>
      <c r="K230" s="3">
        <f>IF(J230="","",IF(J230="DNS",0,IF(J230="DQ",0,IF(J230="DNF",1,IF(AND(ISNUMBER(J230),J230&gt;59),1,_xlfn.XLOOKUP(J230,tbl_points[Place],tbl_points[Points],""))))))</f>
        <v>27</v>
      </c>
      <c r="L230" s="3">
        <v>24</v>
      </c>
      <c r="M230" s="3">
        <f>IF(L230="","",IF(L230="DNS",0,IF(L230="DQ",0,IF(L230="DNF",1,IF(AND(ISNUMBER(L230),L230&gt;59),1,_xlfn.XLOOKUP(L230,tbl_points[Place],tbl_points[Points],""))))))</f>
        <v>36</v>
      </c>
      <c r="N230" s="3">
        <v>41</v>
      </c>
      <c r="O230" s="3">
        <f>IF(N230="","",IF(N230="DNS",0,IF(N230="DQ",0,IF(N230="DNF",1,IF(AND(ISNUMBER(N230),N230&gt;59),1,_xlfn.XLOOKUP(N230,tbl_points[Place],tbl_points[Points],""))))))</f>
        <v>19</v>
      </c>
      <c r="P230" s="3">
        <v>29</v>
      </c>
      <c r="Q230" s="3">
        <f>IF(P230="","",IF(P230="DNS",0,IF(P230="DQ",0,IF(P230="DNF",1,IF(AND(ISNUMBER(P230),P230&gt;59),1,_xlfn.XLOOKUP(P230,tbl_points[Place],tbl_points[Points],""))))))</f>
        <v>31</v>
      </c>
      <c r="S230" s="3" t="str">
        <f>IF(R230="","",IF(R230="DNS",0,IF(R230="DQ",0,IF(R230="DNF",1,IF(AND(ISNUMBER(R230),R230&gt;59),1,_xlfn.XLOOKUP(R230,tbl_points[Place],tbl_points[Points],""))))))</f>
        <v/>
      </c>
      <c r="T230" s="3">
        <f>SUM(tbl_individual[[#This Row],[R1 Pts]],tbl_individual[[#This Row],[R2 Pts]],tbl_individual[[#This Row],[R3 Pts]],tbl_individual[[#This Row],[R4 Pts]],tbl_individual[[#This Row],[R5 Pts]],tbl_individual[[#This Row],[R6 Pts]])</f>
        <v>146</v>
      </c>
      <c r="U230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230" s="3">
        <f>tbl_individual[[#This Row],[Total]]</f>
        <v>146</v>
      </c>
    </row>
    <row r="231" spans="1:22" x14ac:dyDescent="0.4">
      <c r="A231" t="s">
        <v>340</v>
      </c>
      <c r="B231" t="s">
        <v>28</v>
      </c>
      <c r="C231" t="s">
        <v>3</v>
      </c>
      <c r="D231" s="3">
        <v>10192</v>
      </c>
      <c r="E231" s="3" t="s">
        <v>421</v>
      </c>
      <c r="G231" s="3" t="s">
        <v>403</v>
      </c>
      <c r="H231" s="3" t="s">
        <v>410</v>
      </c>
      <c r="I231" s="3">
        <f>IF(H231="","",IF(H231="DNS",0,IF(H231="DQ",0,IF(H231="DNF",1,IF(AND(ISNUMBER(H231),H231&gt;59),1,_xlfn.XLOOKUP(H231,tbl_points[Place],tbl_points[Points],""))))))</f>
        <v>0</v>
      </c>
      <c r="J231" s="3" t="s">
        <v>410</v>
      </c>
      <c r="K231" s="3">
        <f>IF(J231="","",IF(J231="DNS",0,IF(J231="DQ",0,IF(J231="DNF",1,IF(AND(ISNUMBER(J231),J231&gt;59),1,_xlfn.XLOOKUP(J231,tbl_points[Place],tbl_points[Points],""))))))</f>
        <v>0</v>
      </c>
      <c r="L231" s="3" t="s">
        <v>410</v>
      </c>
      <c r="M231" s="3">
        <f>IF(L231="","",IF(L231="DNS",0,IF(L231="DQ",0,IF(L231="DNF",1,IF(AND(ISNUMBER(L231),L231&gt;59),1,_xlfn.XLOOKUP(L231,tbl_points[Place],tbl_points[Points],""))))))</f>
        <v>0</v>
      </c>
      <c r="N231" s="3">
        <v>36</v>
      </c>
      <c r="O231" s="3">
        <f>IF(N231="","",IF(N231="DNS",0,IF(N231="DQ",0,IF(N231="DNF",1,IF(AND(ISNUMBER(N231),N231&gt;59),1,_xlfn.XLOOKUP(N231,tbl_points[Place],tbl_points[Points],""))))))</f>
        <v>24</v>
      </c>
      <c r="P231" s="3">
        <v>30</v>
      </c>
      <c r="Q231" s="3">
        <f>IF(P231="","",IF(P231="DNS",0,IF(P231="DQ",0,IF(P231="DNF",1,IF(AND(ISNUMBER(P231),P231&gt;59),1,_xlfn.XLOOKUP(P231,tbl_points[Place],tbl_points[Points],""))))))</f>
        <v>30</v>
      </c>
      <c r="S231" s="3" t="str">
        <f>IF(R231="","",IF(R231="DNS",0,IF(R231="DQ",0,IF(R231="DNF",1,IF(AND(ISNUMBER(R231),R231&gt;59),1,_xlfn.XLOOKUP(R231,tbl_points[Place],tbl_points[Points],""))))))</f>
        <v/>
      </c>
      <c r="T231" s="3">
        <f>SUM(tbl_individual[[#This Row],[R1 Pts]],tbl_individual[[#This Row],[R2 Pts]],tbl_individual[[#This Row],[R3 Pts]],tbl_individual[[#This Row],[R4 Pts]],tbl_individual[[#This Row],[R5 Pts]],tbl_individual[[#This Row],[R6 Pts]])</f>
        <v>54</v>
      </c>
      <c r="U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1" s="3">
        <f>tbl_individual[[#This Row],[Total]]</f>
        <v>54</v>
      </c>
    </row>
    <row r="232" spans="1:22" x14ac:dyDescent="0.4">
      <c r="A232" t="s">
        <v>109</v>
      </c>
      <c r="B232" t="s">
        <v>11</v>
      </c>
      <c r="C232" t="s">
        <v>3</v>
      </c>
      <c r="D232" s="3">
        <v>10155</v>
      </c>
      <c r="E232" s="3" t="s">
        <v>421</v>
      </c>
      <c r="G232" s="3" t="s">
        <v>403</v>
      </c>
      <c r="H232" s="3">
        <v>41</v>
      </c>
      <c r="I232" s="3">
        <f>IF(H232="","",IF(H232="DNS",0,IF(H232="DQ",0,IF(H232="DNF",1,IF(AND(ISNUMBER(H232),H232&gt;59),1,_xlfn.XLOOKUP(H232,tbl_points[Place],tbl_points[Points],""))))))</f>
        <v>19</v>
      </c>
      <c r="J232" s="3">
        <v>37</v>
      </c>
      <c r="K232" s="3">
        <f>IF(J232="","",IF(J232="DNS",0,IF(J232="DQ",0,IF(J232="DNF",1,IF(AND(ISNUMBER(J232),J232&gt;59),1,_xlfn.XLOOKUP(J232,tbl_points[Place],tbl_points[Points],""))))))</f>
        <v>23</v>
      </c>
      <c r="L232" s="3">
        <v>28</v>
      </c>
      <c r="M232" s="3">
        <f>IF(L232="","",IF(L232="DNS",0,IF(L232="DQ",0,IF(L232="DNF",1,IF(AND(ISNUMBER(L232),L232&gt;59),1,_xlfn.XLOOKUP(L232,tbl_points[Place],tbl_points[Points],""))))))</f>
        <v>32</v>
      </c>
      <c r="N232" s="3" t="s">
        <v>410</v>
      </c>
      <c r="O232" s="3">
        <f>IF(N232="","",IF(N232="DNS",0,IF(N232="DQ",0,IF(N232="DNF",1,IF(AND(ISNUMBER(N232),N232&gt;59),1,_xlfn.XLOOKUP(N232,tbl_points[Place],tbl_points[Points],""))))))</f>
        <v>0</v>
      </c>
      <c r="P232" s="3">
        <v>31</v>
      </c>
      <c r="Q232" s="3">
        <f>IF(P232="","",IF(P232="DNS",0,IF(P232="DQ",0,IF(P232="DNF",1,IF(AND(ISNUMBER(P232),P232&gt;59),1,_xlfn.XLOOKUP(P232,tbl_points[Place],tbl_points[Points],""))))))</f>
        <v>29</v>
      </c>
      <c r="S232" s="3" t="str">
        <f>IF(R232="","",IF(R232="DNS",0,IF(R232="DQ",0,IF(R232="DNF",1,IF(AND(ISNUMBER(R232),R232&gt;59),1,_xlfn.XLOOKUP(R232,tbl_points[Place],tbl_points[Points],""))))))</f>
        <v/>
      </c>
      <c r="T232" s="3">
        <f>SUM(tbl_individual[[#This Row],[R1 Pts]],tbl_individual[[#This Row],[R2 Pts]],tbl_individual[[#This Row],[R3 Pts]],tbl_individual[[#This Row],[R4 Pts]],tbl_individual[[#This Row],[R5 Pts]],tbl_individual[[#This Row],[R6 Pts]])</f>
        <v>103</v>
      </c>
      <c r="U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2" s="3">
        <f>tbl_individual[[#This Row],[Total]]</f>
        <v>103</v>
      </c>
    </row>
    <row r="233" spans="1:22" x14ac:dyDescent="0.4">
      <c r="A233" t="s">
        <v>219</v>
      </c>
      <c r="B233" t="s">
        <v>21</v>
      </c>
      <c r="C233" t="s">
        <v>3</v>
      </c>
      <c r="D233" s="3">
        <v>10177</v>
      </c>
      <c r="E233" s="3" t="s">
        <v>421</v>
      </c>
      <c r="G233" s="3" t="s">
        <v>403</v>
      </c>
      <c r="H233" s="3">
        <v>31</v>
      </c>
      <c r="I233" s="3">
        <f>IF(H233="","",IF(H233="DNS",0,IF(H233="DQ",0,IF(H233="DNF",1,IF(AND(ISNUMBER(H233),H233&gt;59),1,_xlfn.XLOOKUP(H233,tbl_points[Place],tbl_points[Points],""))))))</f>
        <v>29</v>
      </c>
      <c r="J233" s="3">
        <v>36</v>
      </c>
      <c r="K233" s="3">
        <f>IF(J233="","",IF(J233="DNS",0,IF(J233="DQ",0,IF(J233="DNF",1,IF(AND(ISNUMBER(J233),J233&gt;59),1,_xlfn.XLOOKUP(J233,tbl_points[Place],tbl_points[Points],""))))))</f>
        <v>24</v>
      </c>
      <c r="L233" s="3">
        <v>44</v>
      </c>
      <c r="M233" s="3">
        <f>IF(L233="","",IF(L233="DNS",0,IF(L233="DQ",0,IF(L233="DNF",1,IF(AND(ISNUMBER(L233),L233&gt;59),1,_xlfn.XLOOKUP(L233,tbl_points[Place],tbl_points[Points],""))))))</f>
        <v>16</v>
      </c>
      <c r="N233" s="3" t="s">
        <v>409</v>
      </c>
      <c r="O233" s="3">
        <f>IF(N233="","",IF(N233="DNS",0,IF(N233="DQ",0,IF(N233="DNF",1,IF(AND(ISNUMBER(N233),N233&gt;59),1,_xlfn.XLOOKUP(N233,tbl_points[Place],tbl_points[Points],""))))))</f>
        <v>1</v>
      </c>
      <c r="P233" s="3">
        <v>32</v>
      </c>
      <c r="Q233" s="3">
        <f>IF(P233="","",IF(P233="DNS",0,IF(P233="DQ",0,IF(P233="DNF",1,IF(AND(ISNUMBER(P233),P233&gt;59),1,_xlfn.XLOOKUP(P233,tbl_points[Place],tbl_points[Points],""))))))</f>
        <v>28</v>
      </c>
      <c r="S233" s="3" t="str">
        <f>IF(R233="","",IF(R233="DNS",0,IF(R233="DQ",0,IF(R233="DNF",1,IF(AND(ISNUMBER(R233),R233&gt;59),1,_xlfn.XLOOKUP(R233,tbl_points[Place],tbl_points[Points],""))))))</f>
        <v/>
      </c>
      <c r="T233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23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3" s="3">
        <f>tbl_individual[[#This Row],[Total]]</f>
        <v>98</v>
      </c>
    </row>
    <row r="234" spans="1:22" x14ac:dyDescent="0.4">
      <c r="A234" t="s">
        <v>370</v>
      </c>
      <c r="B234" t="s">
        <v>30</v>
      </c>
      <c r="C234" t="s">
        <v>3</v>
      </c>
      <c r="D234" s="3">
        <v>10197</v>
      </c>
      <c r="E234" s="3" t="s">
        <v>421</v>
      </c>
      <c r="G234" s="3" t="s">
        <v>403</v>
      </c>
      <c r="H234" s="3" t="s">
        <v>409</v>
      </c>
      <c r="I234" s="3">
        <f>IF(H234="","",IF(H234="DNS",0,IF(H234="DQ",0,IF(H234="DNF",1,IF(AND(ISNUMBER(H234),H234&gt;59),1,_xlfn.XLOOKUP(H234,tbl_points[Place],tbl_points[Points],""))))))</f>
        <v>1</v>
      </c>
      <c r="J234" s="3">
        <v>35</v>
      </c>
      <c r="K234" s="3">
        <f>IF(J234="","",IF(J234="DNS",0,IF(J234="DQ",0,IF(J234="DNF",1,IF(AND(ISNUMBER(J234),J234&gt;59),1,_xlfn.XLOOKUP(J234,tbl_points[Place],tbl_points[Points],""))))))</f>
        <v>25</v>
      </c>
      <c r="L234" s="3">
        <v>39</v>
      </c>
      <c r="M234" s="3">
        <f>IF(L234="","",IF(L234="DNS",0,IF(L234="DQ",0,IF(L234="DNF",1,IF(AND(ISNUMBER(L234),L234&gt;59),1,_xlfn.XLOOKUP(L234,tbl_points[Place],tbl_points[Points],""))))))</f>
        <v>21</v>
      </c>
      <c r="N234" s="3">
        <v>46</v>
      </c>
      <c r="O234" s="3">
        <f>IF(N234="","",IF(N234="DNS",0,IF(N234="DQ",0,IF(N234="DNF",1,IF(AND(ISNUMBER(N234),N234&gt;59),1,_xlfn.XLOOKUP(N234,tbl_points[Place],tbl_points[Points],""))))))</f>
        <v>14</v>
      </c>
      <c r="P234" s="3">
        <v>33</v>
      </c>
      <c r="Q234" s="3">
        <f>IF(P234="","",IF(P234="DNS",0,IF(P234="DQ",0,IF(P234="DNF",1,IF(AND(ISNUMBER(P234),P234&gt;59),1,_xlfn.XLOOKUP(P234,tbl_points[Place],tbl_points[Points],""))))))</f>
        <v>27</v>
      </c>
      <c r="S234" s="3" t="str">
        <f>IF(R234="","",IF(R234="DNS",0,IF(R234="DQ",0,IF(R234="DNF",1,IF(AND(ISNUMBER(R234),R234&gt;59),1,_xlfn.XLOOKUP(R234,tbl_points[Place],tbl_points[Points],""))))))</f>
        <v/>
      </c>
      <c r="T234" s="3">
        <f>SUM(tbl_individual[[#This Row],[R1 Pts]],tbl_individual[[#This Row],[R2 Pts]],tbl_individual[[#This Row],[R3 Pts]],tbl_individual[[#This Row],[R4 Pts]],tbl_individual[[#This Row],[R5 Pts]],tbl_individual[[#This Row],[R6 Pts]])</f>
        <v>88</v>
      </c>
      <c r="U23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4" s="3">
        <f>tbl_individual[[#This Row],[Total]]</f>
        <v>88</v>
      </c>
    </row>
    <row r="235" spans="1:22" x14ac:dyDescent="0.4">
      <c r="A235" t="s">
        <v>281</v>
      </c>
      <c r="B235" t="s">
        <v>24</v>
      </c>
      <c r="C235" t="s">
        <v>3</v>
      </c>
      <c r="D235" s="3">
        <v>10187</v>
      </c>
      <c r="E235" s="3" t="s">
        <v>421</v>
      </c>
      <c r="G235" s="3" t="s">
        <v>403</v>
      </c>
      <c r="H235" s="3">
        <v>36</v>
      </c>
      <c r="I235" s="3">
        <f>IF(H235="","",IF(H235="DNS",0,IF(H235="DQ",0,IF(H235="DNF",1,IF(AND(ISNUMBER(H235),H235&gt;59),1,_xlfn.XLOOKUP(H235,tbl_points[Place],tbl_points[Points],""))))))</f>
        <v>24</v>
      </c>
      <c r="J235" s="3">
        <v>44</v>
      </c>
      <c r="K235" s="3">
        <f>IF(J235="","",IF(J235="DNS",0,IF(J235="DQ",0,IF(J235="DNF",1,IF(AND(ISNUMBER(J235),J235&gt;59),1,_xlfn.XLOOKUP(J235,tbl_points[Place],tbl_points[Points],""))))))</f>
        <v>16</v>
      </c>
      <c r="L235" s="3">
        <v>35</v>
      </c>
      <c r="M235" s="3">
        <f>IF(L235="","",IF(L235="DNS",0,IF(L235="DQ",0,IF(L235="DNF",1,IF(AND(ISNUMBER(L235),L235&gt;59),1,_xlfn.XLOOKUP(L235,tbl_points[Place],tbl_points[Points],""))))))</f>
        <v>25</v>
      </c>
      <c r="N235" s="3">
        <v>47</v>
      </c>
      <c r="O235" s="3">
        <f>IF(N235="","",IF(N235="DNS",0,IF(N235="DQ",0,IF(N235="DNF",1,IF(AND(ISNUMBER(N235),N235&gt;59),1,_xlfn.XLOOKUP(N235,tbl_points[Place],tbl_points[Points],""))))))</f>
        <v>13</v>
      </c>
      <c r="P235" s="3">
        <v>34</v>
      </c>
      <c r="Q235" s="3">
        <f>IF(P235="","",IF(P235="DNS",0,IF(P235="DQ",0,IF(P235="DNF",1,IF(AND(ISNUMBER(P235),P235&gt;59),1,_xlfn.XLOOKUP(P235,tbl_points[Place],tbl_points[Points],""))))))</f>
        <v>26</v>
      </c>
      <c r="S235" s="3" t="str">
        <f>IF(R235="","",IF(R235="DNS",0,IF(R235="DQ",0,IF(R235="DNF",1,IF(AND(ISNUMBER(R235),R235&gt;59),1,_xlfn.XLOOKUP(R235,tbl_points[Place],tbl_points[Points],""))))))</f>
        <v/>
      </c>
      <c r="T235" s="3">
        <f>SUM(tbl_individual[[#This Row],[R1 Pts]],tbl_individual[[#This Row],[R2 Pts]],tbl_individual[[#This Row],[R3 Pts]],tbl_individual[[#This Row],[R4 Pts]],tbl_individual[[#This Row],[R5 Pts]],tbl_individual[[#This Row],[R6 Pts]])</f>
        <v>104</v>
      </c>
      <c r="U235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235" s="3">
        <f>tbl_individual[[#This Row],[Total]]</f>
        <v>104</v>
      </c>
    </row>
    <row r="236" spans="1:22" x14ac:dyDescent="0.4">
      <c r="A236" t="s">
        <v>108</v>
      </c>
      <c r="B236" t="s">
        <v>11</v>
      </c>
      <c r="C236" t="s">
        <v>3</v>
      </c>
      <c r="D236" s="3">
        <v>10154</v>
      </c>
      <c r="E236" s="3" t="s">
        <v>421</v>
      </c>
      <c r="G236" s="3" t="s">
        <v>403</v>
      </c>
      <c r="H236" s="3">
        <v>33</v>
      </c>
      <c r="I236" s="3">
        <f>IF(H236="","",IF(H236="DNS",0,IF(H236="DQ",0,IF(H236="DNF",1,IF(AND(ISNUMBER(H236),H236&gt;59),1,_xlfn.XLOOKUP(H236,tbl_points[Place],tbl_points[Points],""))))))</f>
        <v>27</v>
      </c>
      <c r="J236" s="3">
        <v>38</v>
      </c>
      <c r="K236" s="3">
        <f>IF(J236="","",IF(J236="DNS",0,IF(J236="DQ",0,IF(J236="DNF",1,IF(AND(ISNUMBER(J236),J236&gt;59),1,_xlfn.XLOOKUP(J236,tbl_points[Place],tbl_points[Points],""))))))</f>
        <v>22</v>
      </c>
      <c r="L236" s="3">
        <v>41</v>
      </c>
      <c r="M236" s="3">
        <f>IF(L236="","",IF(L236="DNS",0,IF(L236="DQ",0,IF(L236="DNF",1,IF(AND(ISNUMBER(L236),L236&gt;59),1,_xlfn.XLOOKUP(L236,tbl_points[Place],tbl_points[Points],""))))))</f>
        <v>19</v>
      </c>
      <c r="N236" s="3">
        <v>52</v>
      </c>
      <c r="O236" s="3">
        <f>IF(N236="","",IF(N236="DNS",0,IF(N236="DQ",0,IF(N236="DNF",1,IF(AND(ISNUMBER(N236),N236&gt;59),1,_xlfn.XLOOKUP(N236,tbl_points[Place],tbl_points[Points],""))))))</f>
        <v>8</v>
      </c>
      <c r="P236" s="3">
        <v>35</v>
      </c>
      <c r="Q236" s="3">
        <f>IF(P236="","",IF(P236="DNS",0,IF(P236="DQ",0,IF(P236="DNF",1,IF(AND(ISNUMBER(P236),P236&gt;59),1,_xlfn.XLOOKUP(P236,tbl_points[Place],tbl_points[Points],""))))))</f>
        <v>25</v>
      </c>
      <c r="S236" s="3" t="str">
        <f>IF(R236="","",IF(R236="DNS",0,IF(R236="DQ",0,IF(R236="DNF",1,IF(AND(ISNUMBER(R236),R236&gt;59),1,_xlfn.XLOOKUP(R236,tbl_points[Place],tbl_points[Points],""))))))</f>
        <v/>
      </c>
      <c r="T236" s="3">
        <f>SUM(tbl_individual[[#This Row],[R1 Pts]],tbl_individual[[#This Row],[R2 Pts]],tbl_individual[[#This Row],[R3 Pts]],tbl_individual[[#This Row],[R4 Pts]],tbl_individual[[#This Row],[R5 Pts]],tbl_individual[[#This Row],[R6 Pts]])</f>
        <v>101</v>
      </c>
      <c r="U236" s="3">
        <f>MIN(tbl_individual[[#This Row],[R1 Pts]],tbl_individual[[#This Row],[R2 Pts]],tbl_individual[[#This Row],[R3 Pts]],tbl_individual[[#This Row],[R4 Pts]],tbl_individual[[#This Row],[R5 Pts]],tbl_individual[[#This Row],[R6 Pts]])</f>
        <v>8</v>
      </c>
      <c r="V236" s="3">
        <f>tbl_individual[[#This Row],[Total]]</f>
        <v>101</v>
      </c>
    </row>
    <row r="237" spans="1:22" x14ac:dyDescent="0.4">
      <c r="A237" t="s">
        <v>193</v>
      </c>
      <c r="B237" t="s">
        <v>20</v>
      </c>
      <c r="C237" t="s">
        <v>3</v>
      </c>
      <c r="D237" s="3">
        <v>10168</v>
      </c>
      <c r="E237" s="3" t="s">
        <v>421</v>
      </c>
      <c r="G237" s="3" t="s">
        <v>403</v>
      </c>
      <c r="H237" s="3">
        <v>32</v>
      </c>
      <c r="I237" s="3">
        <f>IF(H237="","",IF(H237="DNS",0,IF(H237="DQ",0,IF(H237="DNF",1,IF(AND(ISNUMBER(H237),H237&gt;59),1,_xlfn.XLOOKUP(H237,tbl_points[Place],tbl_points[Points],""))))))</f>
        <v>28</v>
      </c>
      <c r="J237" s="3">
        <v>39</v>
      </c>
      <c r="K237" s="3">
        <f>IF(J237="","",IF(J237="DNS",0,IF(J237="DQ",0,IF(J237="DNF",1,IF(AND(ISNUMBER(J237),J237&gt;59),1,_xlfn.XLOOKUP(J237,tbl_points[Place],tbl_points[Points],""))))))</f>
        <v>21</v>
      </c>
      <c r="L237" s="3">
        <v>34</v>
      </c>
      <c r="M237" s="3">
        <f>IF(L237="","",IF(L237="DNS",0,IF(L237="DQ",0,IF(L237="DNF",1,IF(AND(ISNUMBER(L237),L237&gt;59),1,_xlfn.XLOOKUP(L237,tbl_points[Place],tbl_points[Points],""))))))</f>
        <v>26</v>
      </c>
      <c r="N237" s="3">
        <v>43</v>
      </c>
      <c r="O237" s="3">
        <f>IF(N237="","",IF(N237="DNS",0,IF(N237="DQ",0,IF(N237="DNF",1,IF(AND(ISNUMBER(N237),N237&gt;59),1,_xlfn.XLOOKUP(N237,tbl_points[Place],tbl_points[Points],""))))))</f>
        <v>17</v>
      </c>
      <c r="P237" s="3">
        <v>36</v>
      </c>
      <c r="Q237" s="3">
        <f>IF(P237="","",IF(P237="DNS",0,IF(P237="DQ",0,IF(P237="DNF",1,IF(AND(ISNUMBER(P237),P237&gt;59),1,_xlfn.XLOOKUP(P237,tbl_points[Place],tbl_points[Points],""))))))</f>
        <v>24</v>
      </c>
      <c r="S237" s="3" t="str">
        <f>IF(R237="","",IF(R237="DNS",0,IF(R237="DQ",0,IF(R237="DNF",1,IF(AND(ISNUMBER(R237),R237&gt;59),1,_xlfn.XLOOKUP(R237,tbl_points[Place],tbl_points[Points],""))))))</f>
        <v/>
      </c>
      <c r="T237" s="3">
        <f>SUM(tbl_individual[[#This Row],[R1 Pts]],tbl_individual[[#This Row],[R2 Pts]],tbl_individual[[#This Row],[R3 Pts]],tbl_individual[[#This Row],[R4 Pts]],tbl_individual[[#This Row],[R5 Pts]],tbl_individual[[#This Row],[R6 Pts]])</f>
        <v>116</v>
      </c>
      <c r="U237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37" s="3">
        <f>tbl_individual[[#This Row],[Total]]</f>
        <v>116</v>
      </c>
    </row>
    <row r="238" spans="1:22" x14ac:dyDescent="0.4">
      <c r="A238" t="s">
        <v>191</v>
      </c>
      <c r="B238" t="s">
        <v>20</v>
      </c>
      <c r="C238" t="s">
        <v>3</v>
      </c>
      <c r="D238" s="3">
        <v>10166</v>
      </c>
      <c r="E238" s="3" t="s">
        <v>421</v>
      </c>
      <c r="G238" s="3" t="s">
        <v>403</v>
      </c>
      <c r="H238" s="3">
        <v>34</v>
      </c>
      <c r="I238" s="3">
        <f>IF(H238="","",IF(H238="DNS",0,IF(H238="DQ",0,IF(H238="DNF",1,IF(AND(ISNUMBER(H238),H238&gt;59),1,_xlfn.XLOOKUP(H238,tbl_points[Place],tbl_points[Points],""))))))</f>
        <v>26</v>
      </c>
      <c r="J238" s="3">
        <v>42</v>
      </c>
      <c r="K238" s="3">
        <f>IF(J238="","",IF(J238="DNS",0,IF(J238="DQ",0,IF(J238="DNF",1,IF(AND(ISNUMBER(J238),J238&gt;59),1,_xlfn.XLOOKUP(J238,tbl_points[Place],tbl_points[Points],""))))))</f>
        <v>18</v>
      </c>
      <c r="L238" s="3" t="s">
        <v>410</v>
      </c>
      <c r="M238" s="3">
        <f>IF(L238="","",IF(L238="DNS",0,IF(L238="DQ",0,IF(L238="DNF",1,IF(AND(ISNUMBER(L238),L238&gt;59),1,_xlfn.XLOOKUP(L238,tbl_points[Place],tbl_points[Points],""))))))</f>
        <v>0</v>
      </c>
      <c r="N238" s="3">
        <v>49</v>
      </c>
      <c r="O238" s="3">
        <f>IF(N238="","",IF(N238="DNS",0,IF(N238="DQ",0,IF(N238="DNF",1,IF(AND(ISNUMBER(N238),N238&gt;59),1,_xlfn.XLOOKUP(N238,tbl_points[Place],tbl_points[Points],""))))))</f>
        <v>11</v>
      </c>
      <c r="P238" s="3">
        <v>37</v>
      </c>
      <c r="Q238" s="3">
        <f>IF(P238="","",IF(P238="DNS",0,IF(P238="DQ",0,IF(P238="DNF",1,IF(AND(ISNUMBER(P238),P238&gt;59),1,_xlfn.XLOOKUP(P238,tbl_points[Place],tbl_points[Points],""))))))</f>
        <v>23</v>
      </c>
      <c r="S238" s="3" t="str">
        <f>IF(R238="","",IF(R238="DNS",0,IF(R238="DQ",0,IF(R238="DNF",1,IF(AND(ISNUMBER(R238),R238&gt;59),1,_xlfn.XLOOKUP(R238,tbl_points[Place],tbl_points[Points],""))))))</f>
        <v/>
      </c>
      <c r="T238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8" s="3">
        <f>tbl_individual[[#This Row],[Total]]</f>
        <v>78</v>
      </c>
    </row>
    <row r="239" spans="1:22" x14ac:dyDescent="0.4">
      <c r="A239" t="s">
        <v>177</v>
      </c>
      <c r="B239" t="s">
        <v>19</v>
      </c>
      <c r="C239" t="s">
        <v>3</v>
      </c>
      <c r="D239" s="3">
        <v>10162</v>
      </c>
      <c r="E239" s="3" t="s">
        <v>421</v>
      </c>
      <c r="G239" s="3" t="s">
        <v>407</v>
      </c>
      <c r="H239" s="3" t="s">
        <v>410</v>
      </c>
      <c r="I239" s="3">
        <f>IF(H239="","",IF(H239="DNS",0,IF(H239="DQ",0,IF(H239="DNF",1,IF(AND(ISNUMBER(H239),H239&gt;59),1,_xlfn.XLOOKUP(H239,tbl_points[Place],tbl_points[Points],""))))))</f>
        <v>0</v>
      </c>
      <c r="J239" s="3">
        <v>24</v>
      </c>
      <c r="K239" s="3">
        <f>IF(J239="","",IF(J239="DNS",0,IF(J239="DQ",0,IF(J239="DNF",1,IF(AND(ISNUMBER(J239),J239&gt;59),1,_xlfn.XLOOKUP(J239,tbl_points[Place],tbl_points[Points],""))))))</f>
        <v>36</v>
      </c>
      <c r="L239" s="3" t="s">
        <v>410</v>
      </c>
      <c r="M239" s="3">
        <f>IF(L239="","",IF(L239="DNS",0,IF(L239="DQ",0,IF(L239="DNF",1,IF(AND(ISNUMBER(L239),L239&gt;59),1,_xlfn.XLOOKUP(L239,tbl_points[Place],tbl_points[Points],""))))))</f>
        <v>0</v>
      </c>
      <c r="N239" s="3">
        <v>40</v>
      </c>
      <c r="O239" s="3">
        <f>IF(N239="","",IF(N239="DNS",0,IF(N239="DQ",0,IF(N239="DNF",1,IF(AND(ISNUMBER(N239),N239&gt;59),1,_xlfn.XLOOKUP(N239,tbl_points[Place],tbl_points[Points],""))))))</f>
        <v>20</v>
      </c>
      <c r="P239" s="3">
        <v>38</v>
      </c>
      <c r="Q239" s="3">
        <f>IF(P239="","",IF(P239="DNS",0,IF(P239="DQ",0,IF(P239="DNF",1,IF(AND(ISNUMBER(P239),P239&gt;59),1,_xlfn.XLOOKUP(P239,tbl_points[Place],tbl_points[Points],""))))))</f>
        <v>22</v>
      </c>
      <c r="S239" s="3" t="str">
        <f>IF(R239="","",IF(R239="DNS",0,IF(R239="DQ",0,IF(R239="DNF",1,IF(AND(ISNUMBER(R239),R239&gt;59),1,_xlfn.XLOOKUP(R239,tbl_points[Place],tbl_points[Points],""))))))</f>
        <v/>
      </c>
      <c r="T239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9" s="3">
        <f>tbl_individual[[#This Row],[Total]]</f>
        <v>78</v>
      </c>
    </row>
    <row r="240" spans="1:22" x14ac:dyDescent="0.4">
      <c r="A240" t="s">
        <v>178</v>
      </c>
      <c r="B240" t="s">
        <v>19</v>
      </c>
      <c r="C240" t="s">
        <v>3</v>
      </c>
      <c r="D240" s="3">
        <v>10163</v>
      </c>
      <c r="E240" s="3" t="s">
        <v>421</v>
      </c>
      <c r="G240" s="3" t="s">
        <v>407</v>
      </c>
      <c r="H240" s="3" t="s">
        <v>410</v>
      </c>
      <c r="I240" s="3">
        <f>IF(H240="","",IF(H240="DNS",0,IF(H240="DQ",0,IF(H240="DNF",1,IF(AND(ISNUMBER(H240),H240&gt;59),1,_xlfn.XLOOKUP(H240,tbl_points[Place],tbl_points[Points],""))))))</f>
        <v>0</v>
      </c>
      <c r="J240" s="3" t="s">
        <v>410</v>
      </c>
      <c r="K240" s="3">
        <f>IF(J240="","",IF(J240="DNS",0,IF(J240="DQ",0,IF(J240="DNF",1,IF(AND(ISNUMBER(J240),J240&gt;59),1,_xlfn.XLOOKUP(J240,tbl_points[Place],tbl_points[Points],""))))))</f>
        <v>0</v>
      </c>
      <c r="L240" s="3" t="s">
        <v>410</v>
      </c>
      <c r="M240" s="3">
        <f>IF(L240="","",IF(L240="DNS",0,IF(L240="DQ",0,IF(L240="DNF",1,IF(AND(ISNUMBER(L240),L240&gt;59),1,_xlfn.XLOOKUP(L240,tbl_points[Place],tbl_points[Points],""))))))</f>
        <v>0</v>
      </c>
      <c r="N240" s="3">
        <v>35</v>
      </c>
      <c r="O240" s="3">
        <f>IF(N240="","",IF(N240="DNS",0,IF(N240="DQ",0,IF(N240="DNF",1,IF(AND(ISNUMBER(N240),N240&gt;59),1,_xlfn.XLOOKUP(N240,tbl_points[Place],tbl_points[Points],""))))))</f>
        <v>25</v>
      </c>
      <c r="P240" s="3">
        <v>39</v>
      </c>
      <c r="Q240" s="3">
        <f>IF(P240="","",IF(P240="DNS",0,IF(P240="DQ",0,IF(P240="DNF",1,IF(AND(ISNUMBER(P240),P240&gt;59),1,_xlfn.XLOOKUP(P240,tbl_points[Place],tbl_points[Points],""))))))</f>
        <v>21</v>
      </c>
      <c r="S240" s="3" t="str">
        <f>IF(R240="","",IF(R240="DNS",0,IF(R240="DQ",0,IF(R240="DNF",1,IF(AND(ISNUMBER(R240),R240&gt;59),1,_xlfn.XLOOKUP(R240,tbl_points[Place],tbl_points[Points],""))))))</f>
        <v/>
      </c>
      <c r="T240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0" s="3">
        <f>tbl_individual[[#This Row],[Total]]</f>
        <v>46</v>
      </c>
    </row>
    <row r="241" spans="1:22" x14ac:dyDescent="0.4">
      <c r="A241" t="s">
        <v>92</v>
      </c>
      <c r="B241" t="s">
        <v>10</v>
      </c>
      <c r="C241" t="s">
        <v>3</v>
      </c>
      <c r="D241" s="3">
        <v>10151</v>
      </c>
      <c r="E241" s="3" t="s">
        <v>421</v>
      </c>
      <c r="G241" s="3" t="s">
        <v>403</v>
      </c>
      <c r="H241" s="3">
        <v>40</v>
      </c>
      <c r="I241" s="3">
        <f>IF(H241="","",IF(H241="DNS",0,IF(H241="DQ",0,IF(H241="DNF",1,IF(AND(ISNUMBER(H241),H241&gt;59),1,_xlfn.XLOOKUP(H241,tbl_points[Place],tbl_points[Points],""))))))</f>
        <v>20</v>
      </c>
      <c r="J241" s="3">
        <v>46</v>
      </c>
      <c r="K241" s="3">
        <f>IF(J241="","",IF(J241="DNS",0,IF(J241="DQ",0,IF(J241="DNF",1,IF(AND(ISNUMBER(J241),J241&gt;59),1,_xlfn.XLOOKUP(J241,tbl_points[Place],tbl_points[Points],""))))))</f>
        <v>14</v>
      </c>
      <c r="L241" s="3">
        <v>45</v>
      </c>
      <c r="M241" s="3">
        <f>IF(L241="","",IF(L241="DNS",0,IF(L241="DQ",0,IF(L241="DNF",1,IF(AND(ISNUMBER(L241),L241&gt;59),1,_xlfn.XLOOKUP(L241,tbl_points[Place],tbl_points[Points],""))))))</f>
        <v>15</v>
      </c>
      <c r="N241" s="3">
        <v>48</v>
      </c>
      <c r="O241" s="3">
        <f>IF(N241="","",IF(N241="DNS",0,IF(N241="DQ",0,IF(N241="DNF",1,IF(AND(ISNUMBER(N241),N241&gt;59),1,_xlfn.XLOOKUP(N241,tbl_points[Place],tbl_points[Points],""))))))</f>
        <v>12</v>
      </c>
      <c r="P241" s="3">
        <v>40</v>
      </c>
      <c r="Q241" s="3">
        <f>IF(P241="","",IF(P241="DNS",0,IF(P241="DQ",0,IF(P241="DNF",1,IF(AND(ISNUMBER(P241),P241&gt;59),1,_xlfn.XLOOKUP(P241,tbl_points[Place],tbl_points[Points],""))))))</f>
        <v>20</v>
      </c>
      <c r="S241" s="3" t="str">
        <f>IF(R241="","",IF(R241="DNS",0,IF(R241="DQ",0,IF(R241="DNF",1,IF(AND(ISNUMBER(R241),R241&gt;59),1,_xlfn.XLOOKUP(R241,tbl_points[Place],tbl_points[Points],""))))))</f>
        <v/>
      </c>
      <c r="T241" s="3">
        <f>SUM(tbl_individual[[#This Row],[R1 Pts]],tbl_individual[[#This Row],[R2 Pts]],tbl_individual[[#This Row],[R3 Pts]],tbl_individual[[#This Row],[R4 Pts]],tbl_individual[[#This Row],[R5 Pts]],tbl_individual[[#This Row],[R6 Pts]])</f>
        <v>81</v>
      </c>
      <c r="U241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V241" s="3">
        <f>tbl_individual[[#This Row],[Total]]</f>
        <v>81</v>
      </c>
    </row>
    <row r="242" spans="1:22" x14ac:dyDescent="0.4">
      <c r="A242" t="s">
        <v>401</v>
      </c>
      <c r="B242" t="s">
        <v>10</v>
      </c>
      <c r="C242" t="s">
        <v>3</v>
      </c>
      <c r="D242" s="3">
        <v>10198</v>
      </c>
      <c r="E242" s="3" t="s">
        <v>421</v>
      </c>
      <c r="G242" s="3" t="s">
        <v>403</v>
      </c>
      <c r="H242" s="3" t="s">
        <v>410</v>
      </c>
      <c r="I242" s="3">
        <f>IF(H242="","",IF(H242="DNS",0,IF(H242="DQ",0,IF(H242="DNF",1,IF(AND(ISNUMBER(H242),H242&gt;59),1,_xlfn.XLOOKUP(H242,tbl_points[Place],tbl_points[Points],""))))))</f>
        <v>0</v>
      </c>
      <c r="J242" s="3" t="s">
        <v>410</v>
      </c>
      <c r="K242" s="3">
        <f>IF(J242="","",IF(J242="DNS",0,IF(J242="DQ",0,IF(J242="DNF",1,IF(AND(ISNUMBER(J242),J242&gt;59),1,_xlfn.XLOOKUP(J242,tbl_points[Place],tbl_points[Points],""))))))</f>
        <v>0</v>
      </c>
      <c r="L242" s="3">
        <v>32</v>
      </c>
      <c r="M242" s="3">
        <f>IF(L242="","",IF(L242="DNS",0,IF(L242="DQ",0,IF(L242="DNF",1,IF(AND(ISNUMBER(L242),L242&gt;59),1,_xlfn.XLOOKUP(L242,tbl_points[Place],tbl_points[Points],""))))))</f>
        <v>28</v>
      </c>
      <c r="N242" s="3">
        <v>51</v>
      </c>
      <c r="O242" s="3">
        <f>IF(N242="","",IF(N242="DNS",0,IF(N242="DQ",0,IF(N242="DNF",1,IF(AND(ISNUMBER(N242),N242&gt;59),1,_xlfn.XLOOKUP(N242,tbl_points[Place],tbl_points[Points],""))))))</f>
        <v>9</v>
      </c>
      <c r="P242" s="3">
        <v>41</v>
      </c>
      <c r="Q242" s="3">
        <f>IF(P242="","",IF(P242="DNS",0,IF(P242="DQ",0,IF(P242="DNF",1,IF(AND(ISNUMBER(P242),P242&gt;59),1,_xlfn.XLOOKUP(P242,tbl_points[Place],tbl_points[Points],""))))))</f>
        <v>19</v>
      </c>
      <c r="S242" s="3" t="str">
        <f>IF(R242="","",IF(R242="DNS",0,IF(R242="DQ",0,IF(R242="DNF",1,IF(AND(ISNUMBER(R242),R242&gt;59),1,_xlfn.XLOOKUP(R242,tbl_points[Place],tbl_points[Points],""))))))</f>
        <v/>
      </c>
      <c r="T242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2" s="3">
        <f>tbl_individual[[#This Row],[Total]]</f>
        <v>56</v>
      </c>
    </row>
    <row r="243" spans="1:22" x14ac:dyDescent="0.4">
      <c r="A243" t="s">
        <v>373</v>
      </c>
      <c r="B243" t="s">
        <v>30</v>
      </c>
      <c r="C243" t="s">
        <v>3</v>
      </c>
      <c r="D243" s="3">
        <v>10201</v>
      </c>
      <c r="E243" s="3" t="s">
        <v>421</v>
      </c>
      <c r="G243" s="3" t="s">
        <v>403</v>
      </c>
      <c r="H243" s="3" t="s">
        <v>410</v>
      </c>
      <c r="I243" s="3">
        <f>IF(H243="","",IF(H243="DNS",0,IF(H243="DQ",0,IF(H243="DNF",1,IF(AND(ISNUMBER(H243),H243&gt;59),1,_xlfn.XLOOKUP(H243,tbl_points[Place],tbl_points[Points],""))))))</f>
        <v>0</v>
      </c>
      <c r="J243" s="3">
        <v>45</v>
      </c>
      <c r="K243" s="3">
        <f>IF(J243="","",IF(J243="DNS",0,IF(J243="DQ",0,IF(J243="DNF",1,IF(AND(ISNUMBER(J243),J243&gt;59),1,_xlfn.XLOOKUP(J243,tbl_points[Place],tbl_points[Points],""))))))</f>
        <v>15</v>
      </c>
      <c r="L243" s="3" t="s">
        <v>410</v>
      </c>
      <c r="M243" s="3">
        <f>IF(L243="","",IF(L243="DNS",0,IF(L243="DQ",0,IF(L243="DNF",1,IF(AND(ISNUMBER(L243),L243&gt;59),1,_xlfn.XLOOKUP(L243,tbl_points[Place],tbl_points[Points],""))))))</f>
        <v>0</v>
      </c>
      <c r="N243" s="3">
        <v>8</v>
      </c>
      <c r="O243" s="3">
        <f>IF(N243="","",IF(N243="DNS",0,IF(N243="DQ",0,IF(N243="DNF",1,IF(AND(ISNUMBER(N243),N243&gt;59),1,_xlfn.XLOOKUP(N243,tbl_points[Place],tbl_points[Points],""))))))</f>
        <v>65</v>
      </c>
      <c r="P243" s="3">
        <v>42</v>
      </c>
      <c r="Q243" s="3">
        <f>IF(P243="","",IF(P243="DNS",0,IF(P243="DQ",0,IF(P243="DNF",1,IF(AND(ISNUMBER(P243),P243&gt;59),1,_xlfn.XLOOKUP(P243,tbl_points[Place],tbl_points[Points],""))))))</f>
        <v>18</v>
      </c>
      <c r="S243" s="3" t="str">
        <f>IF(R243="","",IF(R243="DNS",0,IF(R243="DQ",0,IF(R243="DNF",1,IF(AND(ISNUMBER(R243),R243&gt;59),1,_xlfn.XLOOKUP(R243,tbl_points[Place],tbl_points[Points],""))))))</f>
        <v/>
      </c>
      <c r="T243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3" s="3">
        <f>tbl_individual[[#This Row],[Total]]</f>
        <v>98</v>
      </c>
    </row>
    <row r="244" spans="1:22" x14ac:dyDescent="0.4">
      <c r="A244" t="s">
        <v>88</v>
      </c>
      <c r="B244" t="s">
        <v>10</v>
      </c>
      <c r="C244" t="s">
        <v>3</v>
      </c>
      <c r="D244" s="3">
        <v>10117</v>
      </c>
      <c r="E244" s="3" t="s">
        <v>421</v>
      </c>
      <c r="G244" s="3" t="s">
        <v>403</v>
      </c>
      <c r="H244" s="3">
        <v>13</v>
      </c>
      <c r="I244" s="3">
        <f>IF(H244="","",IF(H244="DNS",0,IF(H244="DQ",0,IF(H244="DNF",1,IF(AND(ISNUMBER(H244),H244&gt;59),1,_xlfn.XLOOKUP(H244,tbl_points[Place],tbl_points[Points],""))))))</f>
        <v>49</v>
      </c>
      <c r="J244" s="3">
        <v>21</v>
      </c>
      <c r="K244" s="3">
        <f>IF(J244="","",IF(J244="DNS",0,IF(J244="DQ",0,IF(J244="DNF",1,IF(AND(ISNUMBER(J244),J244&gt;59),1,_xlfn.XLOOKUP(J244,tbl_points[Place],tbl_points[Points],""))))))</f>
        <v>39</v>
      </c>
      <c r="L244" s="3">
        <v>19</v>
      </c>
      <c r="M244" s="3">
        <f>IF(L244="","",IF(L244="DNS",0,IF(L244="DQ",0,IF(L244="DNF",1,IF(AND(ISNUMBER(L244),L244&gt;59),1,_xlfn.XLOOKUP(L244,tbl_points[Place],tbl_points[Points],""))))))</f>
        <v>41</v>
      </c>
      <c r="N244" s="3">
        <v>27</v>
      </c>
      <c r="O244" s="3">
        <f>IF(N244="","",IF(N244="DNS",0,IF(N244="DQ",0,IF(N244="DNF",1,IF(AND(ISNUMBER(N244),N244&gt;59),1,_xlfn.XLOOKUP(N244,tbl_points[Place],tbl_points[Points],""))))))</f>
        <v>33</v>
      </c>
      <c r="P244" s="3">
        <v>43</v>
      </c>
      <c r="Q244" s="3">
        <f>IF(P244="","",IF(P244="DNS",0,IF(P244="DQ",0,IF(P244="DNF",1,IF(AND(ISNUMBER(P244),P244&gt;59),1,_xlfn.XLOOKUP(P244,tbl_points[Place],tbl_points[Points],""))))))</f>
        <v>17</v>
      </c>
      <c r="S244" s="3" t="str">
        <f>IF(R244="","",IF(R244="DNS",0,IF(R244="DQ",0,IF(R244="DNF",1,IF(AND(ISNUMBER(R244),R244&gt;59),1,_xlfn.XLOOKUP(R244,tbl_points[Place],tbl_points[Points],""))))))</f>
        <v/>
      </c>
      <c r="T244" s="3">
        <f>SUM(tbl_individual[[#This Row],[R1 Pts]],tbl_individual[[#This Row],[R2 Pts]],tbl_individual[[#This Row],[R3 Pts]],tbl_individual[[#This Row],[R4 Pts]],tbl_individual[[#This Row],[R5 Pts]],tbl_individual[[#This Row],[R6 Pts]])</f>
        <v>179</v>
      </c>
      <c r="U244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44" s="3">
        <f>tbl_individual[[#This Row],[Total]]</f>
        <v>179</v>
      </c>
    </row>
    <row r="245" spans="1:22" x14ac:dyDescent="0.4">
      <c r="A245" t="s">
        <v>107</v>
      </c>
      <c r="B245" t="s">
        <v>11</v>
      </c>
      <c r="C245" t="s">
        <v>3</v>
      </c>
      <c r="D245" s="3">
        <v>10153</v>
      </c>
      <c r="E245" s="3" t="s">
        <v>421</v>
      </c>
      <c r="G245" s="3" t="s">
        <v>403</v>
      </c>
      <c r="H245" s="3" t="s">
        <v>410</v>
      </c>
      <c r="I245" s="3">
        <f>IF(H245="","",IF(H245="DNS",0,IF(H245="DQ",0,IF(H245="DNF",1,IF(AND(ISNUMBER(H245),H245&gt;59),1,_xlfn.XLOOKUP(H245,tbl_points[Place],tbl_points[Points],""))))))</f>
        <v>0</v>
      </c>
      <c r="J245" s="3">
        <v>19</v>
      </c>
      <c r="K245" s="3">
        <f>IF(J245="","",IF(J245="DNS",0,IF(J245="DQ",0,IF(J245="DNF",1,IF(AND(ISNUMBER(J245),J245&gt;59),1,_xlfn.XLOOKUP(J245,tbl_points[Place],tbl_points[Points],""))))))</f>
        <v>41</v>
      </c>
      <c r="L245" s="3">
        <v>48</v>
      </c>
      <c r="M245" s="3">
        <f>IF(L245="","",IF(L245="DNS",0,IF(L245="DQ",0,IF(L245="DNF",1,IF(AND(ISNUMBER(L245),L245&gt;59),1,_xlfn.XLOOKUP(L245,tbl_points[Place],tbl_points[Points],""))))))</f>
        <v>12</v>
      </c>
      <c r="N245" s="3">
        <v>22</v>
      </c>
      <c r="O245" s="3">
        <f>IF(N245="","",IF(N245="DNS",0,IF(N245="DQ",0,IF(N245="DNF",1,IF(AND(ISNUMBER(N245),N245&gt;59),1,_xlfn.XLOOKUP(N245,tbl_points[Place],tbl_points[Points],""))))))</f>
        <v>38</v>
      </c>
      <c r="P245" s="3">
        <v>44</v>
      </c>
      <c r="Q245" s="3">
        <f>IF(P245="","",IF(P245="DNS",0,IF(P245="DQ",0,IF(P245="DNF",1,IF(AND(ISNUMBER(P245),P245&gt;59),1,_xlfn.XLOOKUP(P245,tbl_points[Place],tbl_points[Points],""))))))</f>
        <v>16</v>
      </c>
      <c r="S245" s="3" t="str">
        <f>IF(R245="","",IF(R245="DNS",0,IF(R245="DQ",0,IF(R245="DNF",1,IF(AND(ISNUMBER(R245),R245&gt;59),1,_xlfn.XLOOKUP(R245,tbl_points[Place],tbl_points[Points],""))))))</f>
        <v/>
      </c>
      <c r="T245" s="3">
        <f>SUM(tbl_individual[[#This Row],[R1 Pts]],tbl_individual[[#This Row],[R2 Pts]],tbl_individual[[#This Row],[R3 Pts]],tbl_individual[[#This Row],[R4 Pts]],tbl_individual[[#This Row],[R5 Pts]],tbl_individual[[#This Row],[R6 Pts]])</f>
        <v>107</v>
      </c>
      <c r="U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5" s="3">
        <f>tbl_individual[[#This Row],[Total]]</f>
        <v>107</v>
      </c>
    </row>
    <row r="246" spans="1:22" x14ac:dyDescent="0.4">
      <c r="A246" t="s">
        <v>215</v>
      </c>
      <c r="B246" t="s">
        <v>21</v>
      </c>
      <c r="C246" t="s">
        <v>3</v>
      </c>
      <c r="D246" s="3">
        <v>10173</v>
      </c>
      <c r="E246" s="3" t="s">
        <v>421</v>
      </c>
      <c r="G246" s="3" t="s">
        <v>403</v>
      </c>
      <c r="H246" s="3">
        <v>10</v>
      </c>
      <c r="I246" s="3">
        <f>IF(H246="","",IF(H246="DNS",0,IF(H246="DQ",0,IF(H246="DNF",1,IF(AND(ISNUMBER(H246),H246&gt;59),1,_xlfn.XLOOKUP(H246,tbl_points[Place],tbl_points[Points],""))))))</f>
        <v>55</v>
      </c>
      <c r="J246" s="3">
        <v>12</v>
      </c>
      <c r="K246" s="3">
        <f>IF(J246="","",IF(J246="DNS",0,IF(J246="DQ",0,IF(J246="DNF",1,IF(AND(ISNUMBER(J246),J246&gt;59),1,_xlfn.XLOOKUP(J246,tbl_points[Place],tbl_points[Points],""))))))</f>
        <v>51</v>
      </c>
      <c r="L246" s="3" t="s">
        <v>410</v>
      </c>
      <c r="M246" s="3">
        <f>IF(L246="","",IF(L246="DNS",0,IF(L246="DQ",0,IF(L246="DNF",1,IF(AND(ISNUMBER(L246),L246&gt;59),1,_xlfn.XLOOKUP(L246,tbl_points[Place],tbl_points[Points],""))))))</f>
        <v>0</v>
      </c>
      <c r="N246" s="3">
        <v>10</v>
      </c>
      <c r="O246" s="3">
        <f>IF(N246="","",IF(N246="DNS",0,IF(N246="DQ",0,IF(N246="DNF",1,IF(AND(ISNUMBER(N246),N246&gt;59),1,_xlfn.XLOOKUP(N246,tbl_points[Place],tbl_points[Points],""))))))</f>
        <v>55</v>
      </c>
      <c r="P246" s="3" t="s">
        <v>409</v>
      </c>
      <c r="Q246" s="3">
        <f>IF(P246="","",IF(P246="DNS",0,IF(P246="DQ",0,IF(P246="DNF",1,IF(AND(ISNUMBER(P246),P246&gt;59),1,_xlfn.XLOOKUP(P246,tbl_points[Place],tbl_points[Points],""))))))</f>
        <v>1</v>
      </c>
      <c r="S246" s="3" t="str">
        <f>IF(R246="","",IF(R246="DNS",0,IF(R246="DQ",0,IF(R246="DNF",1,IF(AND(ISNUMBER(R246),R246&gt;59),1,_xlfn.XLOOKUP(R246,tbl_points[Place],tbl_points[Points],""))))))</f>
        <v/>
      </c>
      <c r="T246" s="3">
        <f>SUM(tbl_individual[[#This Row],[R1 Pts]],tbl_individual[[#This Row],[R2 Pts]],tbl_individual[[#This Row],[R3 Pts]],tbl_individual[[#This Row],[R4 Pts]],tbl_individual[[#This Row],[R5 Pts]],tbl_individual[[#This Row],[R6 Pts]])</f>
        <v>162</v>
      </c>
      <c r="U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6" s="3">
        <f>tbl_individual[[#This Row],[Total]]</f>
        <v>162</v>
      </c>
    </row>
    <row r="247" spans="1:22" x14ac:dyDescent="0.4">
      <c r="A247" t="s">
        <v>126</v>
      </c>
      <c r="B247" t="s">
        <v>13</v>
      </c>
      <c r="C247" t="s">
        <v>3</v>
      </c>
      <c r="D247" s="3">
        <v>10159</v>
      </c>
      <c r="E247" s="3" t="s">
        <v>421</v>
      </c>
      <c r="G247" s="3" t="s">
        <v>403</v>
      </c>
      <c r="H247" s="3">
        <v>18</v>
      </c>
      <c r="I247" s="3">
        <f>IF(H247="","",IF(H247="DNS",0,IF(H247="DQ",0,IF(H247="DNF",1,IF(AND(ISNUMBER(H247),H247&gt;59),1,_xlfn.XLOOKUP(H247,tbl_points[Place],tbl_points[Points],""))))))</f>
        <v>42</v>
      </c>
      <c r="J247" s="3">
        <v>28</v>
      </c>
      <c r="K247" s="3">
        <f>IF(J247="","",IF(J247="DNS",0,IF(J247="DQ",0,IF(J247="DNF",1,IF(AND(ISNUMBER(J247),J247&gt;59),1,_xlfn.XLOOKUP(J247,tbl_points[Place],tbl_points[Points],""))))))</f>
        <v>32</v>
      </c>
      <c r="L247" s="3">
        <v>14</v>
      </c>
      <c r="M247" s="3">
        <f>IF(L247="","",IF(L247="DNS",0,IF(L247="DQ",0,IF(L247="DNF",1,IF(AND(ISNUMBER(L247),L247&gt;59),1,_xlfn.XLOOKUP(L247,tbl_points[Place],tbl_points[Points],""))))))</f>
        <v>47</v>
      </c>
      <c r="N247" s="3">
        <v>30</v>
      </c>
      <c r="O247" s="3">
        <f>IF(N247="","",IF(N247="DNS",0,IF(N247="DQ",0,IF(N247="DNF",1,IF(AND(ISNUMBER(N247),N247&gt;59),1,_xlfn.XLOOKUP(N247,tbl_points[Place],tbl_points[Points],""))))))</f>
        <v>30</v>
      </c>
      <c r="P247" s="3" t="s">
        <v>409</v>
      </c>
      <c r="Q247" s="3">
        <f>IF(P247="","",IF(P247="DNS",0,IF(P247="DQ",0,IF(P247="DNF",1,IF(AND(ISNUMBER(P247),P247&gt;59),1,_xlfn.XLOOKUP(P247,tbl_points[Place],tbl_points[Points],""))))))</f>
        <v>1</v>
      </c>
      <c r="S247" s="3" t="str">
        <f>IF(R247="","",IF(R247="DNS",0,IF(R247="DQ",0,IF(R247="DNF",1,IF(AND(ISNUMBER(R247),R247&gt;59),1,_xlfn.XLOOKUP(R247,tbl_points[Place],tbl_points[Points],""))))))</f>
        <v/>
      </c>
      <c r="T247" s="3">
        <f>SUM(tbl_individual[[#This Row],[R1 Pts]],tbl_individual[[#This Row],[R2 Pts]],tbl_individual[[#This Row],[R3 Pts]],tbl_individual[[#This Row],[R4 Pts]],tbl_individual[[#This Row],[R5 Pts]],tbl_individual[[#This Row],[R6 Pts]])</f>
        <v>152</v>
      </c>
      <c r="U24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47" s="3">
        <f>tbl_individual[[#This Row],[Total]]</f>
        <v>152</v>
      </c>
    </row>
    <row r="248" spans="1:22" x14ac:dyDescent="0.4">
      <c r="A248" t="s">
        <v>179</v>
      </c>
      <c r="B248" t="s">
        <v>19</v>
      </c>
      <c r="C248" t="s">
        <v>3</v>
      </c>
      <c r="D248" s="3">
        <v>10164</v>
      </c>
      <c r="E248" s="3" t="s">
        <v>421</v>
      </c>
      <c r="G248" s="3" t="s">
        <v>407</v>
      </c>
      <c r="H248" s="3" t="s">
        <v>410</v>
      </c>
      <c r="I248" s="3">
        <f>IF(H248="","",IF(H248="DNS",0,IF(H248="DQ",0,IF(H248="DNF",1,IF(AND(ISNUMBER(H248),H248&gt;59),1,_xlfn.XLOOKUP(H248,tbl_points[Place],tbl_points[Points],""))))))</f>
        <v>0</v>
      </c>
      <c r="J248" s="3" t="s">
        <v>410</v>
      </c>
      <c r="K248" s="3">
        <f>IF(J248="","",IF(J248="DNS",0,IF(J248="DQ",0,IF(J248="DNF",1,IF(AND(ISNUMBER(J248),J248&gt;59),1,_xlfn.XLOOKUP(J248,tbl_points[Place],tbl_points[Points],""))))))</f>
        <v>0</v>
      </c>
      <c r="L248" s="3" t="s">
        <v>410</v>
      </c>
      <c r="M248" s="3">
        <f>IF(L248="","",IF(L248="DNS",0,IF(L248="DQ",0,IF(L248="DNF",1,IF(AND(ISNUMBER(L248),L248&gt;59),1,_xlfn.XLOOKUP(L248,tbl_points[Place],tbl_points[Points],""))))))</f>
        <v>0</v>
      </c>
      <c r="N248" s="3">
        <v>55</v>
      </c>
      <c r="O248" s="3">
        <f>IF(N248="","",IF(N248="DNS",0,IF(N248="DQ",0,IF(N248="DNF",1,IF(AND(ISNUMBER(N248),N248&gt;59),1,_xlfn.XLOOKUP(N248,tbl_points[Place],tbl_points[Points],""))))))</f>
        <v>5</v>
      </c>
      <c r="P248" s="3" t="s">
        <v>409</v>
      </c>
      <c r="Q248" s="3">
        <f>IF(P248="","",IF(P248="DNS",0,IF(P248="DQ",0,IF(P248="DNF",1,IF(AND(ISNUMBER(P248),P248&gt;59),1,_xlfn.XLOOKUP(P248,tbl_points[Place],tbl_points[Points],""))))))</f>
        <v>1</v>
      </c>
      <c r="S248" s="3" t="str">
        <f>IF(R248="","",IF(R248="DNS",0,IF(R248="DQ",0,IF(R248="DNF",1,IF(AND(ISNUMBER(R248),R248&gt;59),1,_xlfn.XLOOKUP(R248,tbl_points[Place],tbl_points[Points],""))))))</f>
        <v/>
      </c>
      <c r="T248" s="3">
        <f>SUM(tbl_individual[[#This Row],[R1 Pts]],tbl_individual[[#This Row],[R2 Pts]],tbl_individual[[#This Row],[R3 Pts]],tbl_individual[[#This Row],[R4 Pts]],tbl_individual[[#This Row],[R5 Pts]],tbl_individual[[#This Row],[R6 Pts]])</f>
        <v>6</v>
      </c>
      <c r="U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8" s="3">
        <f>tbl_individual[[#This Row],[Total]]</f>
        <v>6</v>
      </c>
    </row>
    <row r="249" spans="1:22" hidden="1" x14ac:dyDescent="0.4">
      <c r="A249" s="11" t="s">
        <v>320</v>
      </c>
      <c r="B249" s="11" t="s">
        <v>27</v>
      </c>
      <c r="C249" s="11" t="s">
        <v>3</v>
      </c>
      <c r="D249" s="15">
        <v>10191</v>
      </c>
      <c r="E249" s="3" t="s">
        <v>422</v>
      </c>
      <c r="I249" s="3" t="str">
        <f>IF(H249="","",IF(H249="DNS",0,IF(H249="DQ",0,IF(H249="DNF",1,IF(AND(ISNUMBER(H249),H249&gt;59),1,_xlfn.XLOOKUP(H249,tbl_points[Place],tbl_points[Points],""))))))</f>
        <v/>
      </c>
      <c r="K249" s="3" t="str">
        <f>IF(J249="","",IF(J249="DNS",0,IF(J249="DQ",0,IF(J249="DNF",1,IF(AND(ISNUMBER(J249),J249&gt;59),1,_xlfn.XLOOKUP(J249,tbl_points[Place],tbl_points[Points],""))))))</f>
        <v/>
      </c>
      <c r="M249" s="3" t="str">
        <f>IF(L249="","",IF(L249="DNS",0,IF(L249="DQ",0,IF(L249="DNF",1,IF(AND(ISNUMBER(L249),L249&gt;59),1,_xlfn.XLOOKUP(L249,tbl_points[Place],tbl_points[Points],""))))))</f>
        <v/>
      </c>
      <c r="O249" s="3" t="str">
        <f>IF(N249="","",IF(N249="DNS",0,IF(N249="DQ",0,IF(N249="DNF",1,IF(AND(ISNUMBER(N249),N249&gt;59),1,_xlfn.XLOOKUP(N249,tbl_points[Place],tbl_points[Points],""))))))</f>
        <v/>
      </c>
      <c r="Q249" s="3" t="str">
        <f>IF(P249="","",IF(P249="DNS",0,IF(P249="DQ",0,IF(P249="DNF",1,IF(AND(ISNUMBER(P249),P249&gt;59),1,_xlfn.XLOOKUP(P249,tbl_points[Place],tbl_points[Points],""))))))</f>
        <v/>
      </c>
      <c r="S249" s="3" t="str">
        <f>IF(R249="","",IF(R249="DNS",0,IF(R249="DQ",0,IF(R249="DNF",1,IF(AND(ISNUMBER(R249),R249&gt;59),1,_xlfn.XLOOKUP(R249,tbl_points[Place],tbl_points[Points],""))))))</f>
        <v/>
      </c>
      <c r="T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9" s="3">
        <f>tbl_individual[[#This Row],[Total]]</f>
        <v>0</v>
      </c>
    </row>
    <row r="250" spans="1:22" x14ac:dyDescent="0.4">
      <c r="A250" t="s">
        <v>307</v>
      </c>
      <c r="B250" t="s">
        <v>26</v>
      </c>
      <c r="C250" t="s">
        <v>3</v>
      </c>
      <c r="D250" s="3">
        <v>10190</v>
      </c>
      <c r="E250" s="3" t="s">
        <v>421</v>
      </c>
      <c r="G250" s="3" t="s">
        <v>403</v>
      </c>
      <c r="H250" s="3" t="s">
        <v>410</v>
      </c>
      <c r="I250" s="3">
        <f>IF(H250="","",IF(H250="DNS",0,IF(H250="DQ",0,IF(H250="DNF",1,IF(AND(ISNUMBER(H250),H250&gt;59),1,_xlfn.XLOOKUP(H250,tbl_points[Place],tbl_points[Points],""))))))</f>
        <v>0</v>
      </c>
      <c r="J250" s="3" t="s">
        <v>410</v>
      </c>
      <c r="K250" s="3">
        <f>IF(J250="","",IF(J250="DNS",0,IF(J250="DQ",0,IF(J250="DNF",1,IF(AND(ISNUMBER(J250),J250&gt;59),1,_xlfn.XLOOKUP(J250,tbl_points[Place],tbl_points[Points],""))))))</f>
        <v>0</v>
      </c>
      <c r="L250" s="3">
        <v>36</v>
      </c>
      <c r="M250" s="3">
        <f>IF(L250="","",IF(L250="DNS",0,IF(L250="DQ",0,IF(L250="DNF",1,IF(AND(ISNUMBER(L250),L250&gt;59),1,_xlfn.XLOOKUP(L250,tbl_points[Place],tbl_points[Points],""))))))</f>
        <v>24</v>
      </c>
      <c r="N250" s="3">
        <v>42</v>
      </c>
      <c r="O250" s="3">
        <f>IF(N250="","",IF(N250="DNS",0,IF(N250="DQ",0,IF(N250="DNF",1,IF(AND(ISNUMBER(N250),N250&gt;59),1,_xlfn.XLOOKUP(N250,tbl_points[Place],tbl_points[Points],""))))))</f>
        <v>18</v>
      </c>
      <c r="P250" s="3" t="s">
        <v>409</v>
      </c>
      <c r="Q250" s="3">
        <f>IF(P250="","",IF(P250="DNS",0,IF(P250="DQ",0,IF(P250="DNF",1,IF(AND(ISNUMBER(P250),P250&gt;59),1,_xlfn.XLOOKUP(P250,tbl_points[Place],tbl_points[Points],""))))))</f>
        <v>1</v>
      </c>
      <c r="S250" s="3" t="str">
        <f>IF(R250="","",IF(R250="DNS",0,IF(R250="DQ",0,IF(R250="DNF",1,IF(AND(ISNUMBER(R250),R250&gt;59),1,_xlfn.XLOOKUP(R250,tbl_points[Place],tbl_points[Points],""))))))</f>
        <v/>
      </c>
      <c r="T250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0" s="3">
        <f>tbl_individual[[#This Row],[Total]]</f>
        <v>43</v>
      </c>
    </row>
    <row r="251" spans="1:22" x14ac:dyDescent="0.4">
      <c r="A251" t="s">
        <v>115</v>
      </c>
      <c r="B251" t="s">
        <v>12</v>
      </c>
      <c r="C251" t="s">
        <v>3</v>
      </c>
      <c r="D251" s="3">
        <v>10157</v>
      </c>
      <c r="E251" s="3" t="s">
        <v>421</v>
      </c>
      <c r="G251" s="3" t="s">
        <v>403</v>
      </c>
      <c r="H251" s="3">
        <v>28</v>
      </c>
      <c r="I251" s="3">
        <f>IF(H251="","",IF(H251="DNS",0,IF(H251="DQ",0,IF(H251="DNF",1,IF(AND(ISNUMBER(H251),H251&gt;59),1,_xlfn.XLOOKUP(H251,tbl_points[Place],tbl_points[Points],""))))))</f>
        <v>32</v>
      </c>
      <c r="J251" s="3">
        <v>41</v>
      </c>
      <c r="K251" s="3">
        <f>IF(J251="","",IF(J251="DNS",0,IF(J251="DQ",0,IF(J251="DNF",1,IF(AND(ISNUMBER(J251),J251&gt;59),1,_xlfn.XLOOKUP(J251,tbl_points[Place],tbl_points[Points],""))))))</f>
        <v>19</v>
      </c>
      <c r="L251" s="3">
        <v>33</v>
      </c>
      <c r="M251" s="3">
        <f>IF(L251="","",IF(L251="DNS",0,IF(L251="DQ",0,IF(L251="DNF",1,IF(AND(ISNUMBER(L251),L251&gt;59),1,_xlfn.XLOOKUP(L251,tbl_points[Place],tbl_points[Points],""))))))</f>
        <v>27</v>
      </c>
      <c r="N251" s="3" t="s">
        <v>410</v>
      </c>
      <c r="O251" s="3">
        <f>IF(N251="","",IF(N251="DNS",0,IF(N251="DQ",0,IF(N251="DNF",1,IF(AND(ISNUMBER(N251),N251&gt;59),1,_xlfn.XLOOKUP(N251,tbl_points[Place],tbl_points[Points],""))))))</f>
        <v>0</v>
      </c>
      <c r="P251" s="3" t="s">
        <v>410</v>
      </c>
      <c r="Q251" s="3">
        <f>IF(P251="","",IF(P251="DNS",0,IF(P251="DQ",0,IF(P251="DNF",1,IF(AND(ISNUMBER(P251),P251&gt;59),1,_xlfn.XLOOKUP(P251,tbl_points[Place],tbl_points[Points],""))))))</f>
        <v>0</v>
      </c>
      <c r="S251" s="3" t="str">
        <f>IF(R251="","",IF(R251="DNS",0,IF(R251="DQ",0,IF(R251="DNF",1,IF(AND(ISNUMBER(R251),R251&gt;59),1,_xlfn.XLOOKUP(R251,tbl_points[Place],tbl_points[Points],""))))))</f>
        <v/>
      </c>
      <c r="T251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1" s="3">
        <f>tbl_individual[[#This Row],[Total]]</f>
        <v>78</v>
      </c>
    </row>
    <row r="252" spans="1:22" x14ac:dyDescent="0.4">
      <c r="A252" t="s">
        <v>84</v>
      </c>
      <c r="B252" t="s">
        <v>10</v>
      </c>
      <c r="C252" t="s">
        <v>3</v>
      </c>
      <c r="D252" s="3">
        <v>10110</v>
      </c>
      <c r="E252" s="3" t="s">
        <v>421</v>
      </c>
      <c r="G252" s="3" t="s">
        <v>403</v>
      </c>
      <c r="H252" s="3">
        <v>38</v>
      </c>
      <c r="I252" s="3">
        <f>IF(H252="","",IF(H252="DNS",0,IF(H252="DQ",0,IF(H252="DNF",1,IF(AND(ISNUMBER(H252),H252&gt;59),1,_xlfn.XLOOKUP(H252,tbl_points[Place],tbl_points[Points],""))))))</f>
        <v>22</v>
      </c>
      <c r="J252" s="3">
        <v>43</v>
      </c>
      <c r="K252" s="3">
        <f>IF(J252="","",IF(J252="DNS",0,IF(J252="DQ",0,IF(J252="DNF",1,IF(AND(ISNUMBER(J252),J252&gt;59),1,_xlfn.XLOOKUP(J252,tbl_points[Place],tbl_points[Points],""))))))</f>
        <v>17</v>
      </c>
      <c r="L252" s="3">
        <v>37</v>
      </c>
      <c r="M252" s="3">
        <f>IF(L252="","",IF(L252="DNS",0,IF(L252="DQ",0,IF(L252="DNF",1,IF(AND(ISNUMBER(L252),L252&gt;59),1,_xlfn.XLOOKUP(L252,tbl_points[Place],tbl_points[Points],""))))))</f>
        <v>23</v>
      </c>
      <c r="N252" s="3">
        <v>53</v>
      </c>
      <c r="O252" s="3">
        <f>IF(N252="","",IF(N252="DNS",0,IF(N252="DQ",0,IF(N252="DNF",1,IF(AND(ISNUMBER(N252),N252&gt;59),1,_xlfn.XLOOKUP(N252,tbl_points[Place],tbl_points[Points],""))))))</f>
        <v>7</v>
      </c>
      <c r="P252" s="3" t="s">
        <v>410</v>
      </c>
      <c r="Q252" s="3">
        <f>IF(P252="","",IF(P252="DNS",0,IF(P252="DQ",0,IF(P252="DNF",1,IF(AND(ISNUMBER(P252),P252&gt;59),1,_xlfn.XLOOKUP(P252,tbl_points[Place],tbl_points[Points],""))))))</f>
        <v>0</v>
      </c>
      <c r="S252" s="3" t="str">
        <f>IF(R252="","",IF(R252="DNS",0,IF(R252="DQ",0,IF(R252="DNF",1,IF(AND(ISNUMBER(R252),R252&gt;59),1,_xlfn.XLOOKUP(R252,tbl_points[Place],tbl_points[Points],""))))))</f>
        <v/>
      </c>
      <c r="T252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2" s="3">
        <f>tbl_individual[[#This Row],[Total]]</f>
        <v>69</v>
      </c>
    </row>
    <row r="253" spans="1:22" x14ac:dyDescent="0.4">
      <c r="A253" t="s">
        <v>150</v>
      </c>
      <c r="B253" t="s">
        <v>15</v>
      </c>
      <c r="C253" t="s">
        <v>3</v>
      </c>
      <c r="D253" s="3">
        <v>10160</v>
      </c>
      <c r="E253" s="3" t="s">
        <v>421</v>
      </c>
      <c r="G253" s="3" t="s">
        <v>403</v>
      </c>
      <c r="H253" s="3" t="s">
        <v>409</v>
      </c>
      <c r="I253" s="3">
        <f>IF(H253="","",IF(H253="DNS",0,IF(H253="DQ",0,IF(H253="DNF",1,IF(AND(ISNUMBER(H253),H253&gt;59),1,_xlfn.XLOOKUP(H253,tbl_points[Place],tbl_points[Points],""))))))</f>
        <v>1</v>
      </c>
      <c r="J253" s="3" t="s">
        <v>410</v>
      </c>
      <c r="K253" s="3">
        <f>IF(J253="","",IF(J253="DNS",0,IF(J253="DQ",0,IF(J253="DNF",1,IF(AND(ISNUMBER(J253),J253&gt;59),1,_xlfn.XLOOKUP(J253,tbl_points[Place],tbl_points[Points],""))))))</f>
        <v>0</v>
      </c>
      <c r="L253" s="3" t="s">
        <v>410</v>
      </c>
      <c r="M253" s="3">
        <f>IF(L253="","",IF(L253="DNS",0,IF(L253="DQ",0,IF(L253="DNF",1,IF(AND(ISNUMBER(L253),L253&gt;59),1,_xlfn.XLOOKUP(L253,tbl_points[Place],tbl_points[Points],""))))))</f>
        <v>0</v>
      </c>
      <c r="N253" s="3" t="s">
        <v>410</v>
      </c>
      <c r="O253" s="3">
        <f>IF(N253="","",IF(N253="DNS",0,IF(N253="DQ",0,IF(N253="DNF",1,IF(AND(ISNUMBER(N253),N253&gt;59),1,_xlfn.XLOOKUP(N253,tbl_points[Place],tbl_points[Points],""))))))</f>
        <v>0</v>
      </c>
      <c r="P253" s="3" t="s">
        <v>410</v>
      </c>
      <c r="Q253" s="3">
        <f>IF(P253="","",IF(P253="DNS",0,IF(P253="DQ",0,IF(P253="DNF",1,IF(AND(ISNUMBER(P253),P253&gt;59),1,_xlfn.XLOOKUP(P253,tbl_points[Place],tbl_points[Points],""))))))</f>
        <v>0</v>
      </c>
      <c r="S253" s="3" t="str">
        <f>IF(R253="","",IF(R253="DNS",0,IF(R253="DQ",0,IF(R253="DNF",1,IF(AND(ISNUMBER(R253),R253&gt;59),1,_xlfn.XLOOKUP(R253,tbl_points[Place],tbl_points[Points],""))))))</f>
        <v/>
      </c>
      <c r="T25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3" s="3">
        <f>tbl_individual[[#This Row],[Total]]</f>
        <v>1</v>
      </c>
    </row>
    <row r="254" spans="1:22" x14ac:dyDescent="0.4">
      <c r="A254" t="s">
        <v>415</v>
      </c>
      <c r="B254" t="s">
        <v>10</v>
      </c>
      <c r="C254" t="s">
        <v>3</v>
      </c>
      <c r="D254" s="3">
        <v>10161</v>
      </c>
      <c r="E254" s="3" t="s">
        <v>421</v>
      </c>
      <c r="G254" s="3" t="s">
        <v>403</v>
      </c>
      <c r="H254" s="3">
        <v>16</v>
      </c>
      <c r="I254" s="3">
        <f>IF(H254="","",IF(H254="DNS",0,IF(H254="DQ",0,IF(H254="DNF",1,IF(AND(ISNUMBER(H254),H254&gt;59),1,_xlfn.XLOOKUP(H254,tbl_points[Place],tbl_points[Points],""))))))</f>
        <v>44</v>
      </c>
      <c r="J254" s="3">
        <v>23</v>
      </c>
      <c r="K254" s="3">
        <f>IF(J254="","",IF(J254="DNS",0,IF(J254="DQ",0,IF(J254="DNF",1,IF(AND(ISNUMBER(J254),J254&gt;59),1,_xlfn.XLOOKUP(J254,tbl_points[Place],tbl_points[Points],""))))))</f>
        <v>37</v>
      </c>
      <c r="L254" s="3">
        <v>9</v>
      </c>
      <c r="M254" s="3">
        <f>IF(L254="","",IF(L254="DNS",0,IF(L254="DQ",0,IF(L254="DNF",1,IF(AND(ISNUMBER(L254),L254&gt;59),1,_xlfn.XLOOKUP(L254,tbl_points[Place],tbl_points[Points],""))))))</f>
        <v>60</v>
      </c>
      <c r="N254" s="3">
        <v>21</v>
      </c>
      <c r="O254" s="3">
        <f>IF(N254="","",IF(N254="DNS",0,IF(N254="DQ",0,IF(N254="DNF",1,IF(AND(ISNUMBER(N254),N254&gt;59),1,_xlfn.XLOOKUP(N254,tbl_points[Place],tbl_points[Points],""))))))</f>
        <v>39</v>
      </c>
      <c r="P254" s="3" t="s">
        <v>410</v>
      </c>
      <c r="Q254" s="3">
        <f>IF(P254="","",IF(P254="DNS",0,IF(P254="DQ",0,IF(P254="DNF",1,IF(AND(ISNUMBER(P254),P254&gt;59),1,_xlfn.XLOOKUP(P254,tbl_points[Place],tbl_points[Points],""))))))</f>
        <v>0</v>
      </c>
      <c r="S254" s="3" t="str">
        <f>IF(R254="","",IF(R254="DNS",0,IF(R254="DQ",0,IF(R254="DNF",1,IF(AND(ISNUMBER(R254),R254&gt;59),1,_xlfn.XLOOKUP(R254,tbl_points[Place],tbl_points[Points],""))))))</f>
        <v/>
      </c>
      <c r="T254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4" s="3">
        <f>tbl_individual[[#This Row],[Total]]</f>
        <v>180</v>
      </c>
    </row>
    <row r="255" spans="1:22" x14ac:dyDescent="0.4">
      <c r="A255" t="s">
        <v>214</v>
      </c>
      <c r="B255" t="s">
        <v>21</v>
      </c>
      <c r="C255" t="s">
        <v>3</v>
      </c>
      <c r="D255" s="3">
        <v>10172</v>
      </c>
      <c r="E255" s="3" t="s">
        <v>421</v>
      </c>
      <c r="G255" s="3" t="s">
        <v>403</v>
      </c>
      <c r="H255" s="3" t="s">
        <v>409</v>
      </c>
      <c r="I255" s="3">
        <f>IF(H255="","",IF(H255="DNS",0,IF(H255="DQ",0,IF(H255="DNF",1,IF(AND(ISNUMBER(H255),H255&gt;59),1,_xlfn.XLOOKUP(H255,tbl_points[Place],tbl_points[Points],""))))))</f>
        <v>1</v>
      </c>
      <c r="J255" s="3">
        <v>34</v>
      </c>
      <c r="K255" s="3">
        <f>IF(J255="","",IF(J255="DNS",0,IF(J255="DQ",0,IF(J255="DNF",1,IF(AND(ISNUMBER(J255),J255&gt;59),1,_xlfn.XLOOKUP(J255,tbl_points[Place],tbl_points[Points],""))))))</f>
        <v>26</v>
      </c>
      <c r="L255" s="3" t="s">
        <v>410</v>
      </c>
      <c r="M255" s="3">
        <f>IF(L255="","",IF(L255="DNS",0,IF(L255="DQ",0,IF(L255="DNF",1,IF(AND(ISNUMBER(L255),L255&gt;59),1,_xlfn.XLOOKUP(L255,tbl_points[Place],tbl_points[Points],""))))))</f>
        <v>0</v>
      </c>
      <c r="N255" s="3" t="s">
        <v>410</v>
      </c>
      <c r="O255" s="3">
        <f>IF(N255="","",IF(N255="DNS",0,IF(N255="DQ",0,IF(N255="DNF",1,IF(AND(ISNUMBER(N255),N255&gt;59),1,_xlfn.XLOOKUP(N255,tbl_points[Place],tbl_points[Points],""))))))</f>
        <v>0</v>
      </c>
      <c r="P255" s="3" t="s">
        <v>410</v>
      </c>
      <c r="Q255" s="3">
        <f>IF(P255="","",IF(P255="DNS",0,IF(P255="DQ",0,IF(P255="DNF",1,IF(AND(ISNUMBER(P255),P255&gt;59),1,_xlfn.XLOOKUP(P255,tbl_points[Place],tbl_points[Points],""))))))</f>
        <v>0</v>
      </c>
      <c r="S255" s="3" t="str">
        <f>IF(R255="","",IF(R255="DNS",0,IF(R255="DQ",0,IF(R255="DNF",1,IF(AND(ISNUMBER(R255),R255&gt;59),1,_xlfn.XLOOKUP(R255,tbl_points[Place],tbl_points[Points],""))))))</f>
        <v/>
      </c>
      <c r="T255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5" s="3">
        <f>tbl_individual[[#This Row],[Total]]</f>
        <v>27</v>
      </c>
    </row>
    <row r="256" spans="1:22" x14ac:dyDescent="0.4">
      <c r="A256" t="s">
        <v>217</v>
      </c>
      <c r="B256" t="s">
        <v>21</v>
      </c>
      <c r="C256" t="s">
        <v>3</v>
      </c>
      <c r="D256" s="3">
        <v>10175</v>
      </c>
      <c r="E256" s="3" t="s">
        <v>421</v>
      </c>
      <c r="G256" s="3" t="s">
        <v>403</v>
      </c>
      <c r="H256" s="3">
        <v>1</v>
      </c>
      <c r="I256" s="3">
        <f>IF(H256="","",IF(H256="DNS",0,IF(H256="DQ",0,IF(H256="DNF",1,IF(AND(ISNUMBER(H256),H256&gt;59),1,_xlfn.XLOOKUP(H256,tbl_points[Place],tbl_points[Points],""))))))</f>
        <v>100</v>
      </c>
      <c r="J256" s="3">
        <v>1</v>
      </c>
      <c r="K256" s="3">
        <f>IF(J256="","",IF(J256="DNS",0,IF(J256="DQ",0,IF(J256="DNF",1,IF(AND(ISNUMBER(J256),J256&gt;59),1,_xlfn.XLOOKUP(J256,tbl_points[Place],tbl_points[Points],""))))))</f>
        <v>100</v>
      </c>
      <c r="L256" s="3" t="s">
        <v>410</v>
      </c>
      <c r="M256" s="3">
        <f>IF(L256="","",IF(L256="DNS",0,IF(L256="DQ",0,IF(L256="DNF",1,IF(AND(ISNUMBER(L256),L256&gt;59),1,_xlfn.XLOOKUP(L256,tbl_points[Place],tbl_points[Points],""))))))</f>
        <v>0</v>
      </c>
      <c r="N256" s="3" t="s">
        <v>410</v>
      </c>
      <c r="O256" s="3">
        <f>IF(N256="","",IF(N256="DNS",0,IF(N256="DQ",0,IF(N256="DNF",1,IF(AND(ISNUMBER(N256),N256&gt;59),1,_xlfn.XLOOKUP(N256,tbl_points[Place],tbl_points[Points],""))))))</f>
        <v>0</v>
      </c>
      <c r="P256" s="3" t="s">
        <v>410</v>
      </c>
      <c r="Q256" s="3">
        <f>IF(P256="","",IF(P256="DNS",0,IF(P256="DQ",0,IF(P256="DNF",1,IF(AND(ISNUMBER(P256),P256&gt;59),1,_xlfn.XLOOKUP(P256,tbl_points[Place],tbl_points[Points],""))))))</f>
        <v>0</v>
      </c>
      <c r="S256" s="3" t="str">
        <f>IF(R256="","",IF(R256="DNS",0,IF(R256="DQ",0,IF(R256="DNF",1,IF(AND(ISNUMBER(R256),R256&gt;59),1,_xlfn.XLOOKUP(R256,tbl_points[Place],tbl_points[Points],""))))))</f>
        <v/>
      </c>
      <c r="T256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6" s="3">
        <f>tbl_individual[[#This Row],[Total]]</f>
        <v>200</v>
      </c>
    </row>
    <row r="257" spans="1:22" x14ac:dyDescent="0.4">
      <c r="A257" t="s">
        <v>238</v>
      </c>
      <c r="B257" t="s">
        <v>22</v>
      </c>
      <c r="C257" t="s">
        <v>3</v>
      </c>
      <c r="D257" s="3">
        <v>10179</v>
      </c>
      <c r="E257" s="3" t="s">
        <v>421</v>
      </c>
      <c r="G257" s="3" t="s">
        <v>403</v>
      </c>
      <c r="H257" s="3" t="s">
        <v>409</v>
      </c>
      <c r="I257" s="3">
        <f>IF(H257="","",IF(H257="DNS",0,IF(H257="DQ",0,IF(H257="DNF",1,IF(AND(ISNUMBER(H257),H257&gt;59),1,_xlfn.XLOOKUP(H257,tbl_points[Place],tbl_points[Points],""))))))</f>
        <v>1</v>
      </c>
      <c r="J257" s="3">
        <v>30</v>
      </c>
      <c r="K257" s="3">
        <f>IF(J257="","",IF(J257="DNS",0,IF(J257="DQ",0,IF(J257="DNF",1,IF(AND(ISNUMBER(J257),J257&gt;59),1,_xlfn.XLOOKUP(J257,tbl_points[Place],tbl_points[Points],""))))))</f>
        <v>30</v>
      </c>
      <c r="L257" s="3" t="s">
        <v>410</v>
      </c>
      <c r="M257" s="3">
        <f>IF(L257="","",IF(L257="DNS",0,IF(L257="DQ",0,IF(L257="DNF",1,IF(AND(ISNUMBER(L257),L257&gt;59),1,_xlfn.XLOOKUP(L257,tbl_points[Place],tbl_points[Points],""))))))</f>
        <v>0</v>
      </c>
      <c r="N257" s="3">
        <v>29</v>
      </c>
      <c r="O257" s="3">
        <f>IF(N257="","",IF(N257="DNS",0,IF(N257="DQ",0,IF(N257="DNF",1,IF(AND(ISNUMBER(N257),N257&gt;59),1,_xlfn.XLOOKUP(N257,tbl_points[Place],tbl_points[Points],""))))))</f>
        <v>31</v>
      </c>
      <c r="P257" s="3" t="s">
        <v>410</v>
      </c>
      <c r="Q257" s="3">
        <f>IF(P257="","",IF(P257="DNS",0,IF(P257="DQ",0,IF(P257="DNF",1,IF(AND(ISNUMBER(P257),P257&gt;59),1,_xlfn.XLOOKUP(P257,tbl_points[Place],tbl_points[Points],""))))))</f>
        <v>0</v>
      </c>
      <c r="S257" s="3" t="str">
        <f>IF(R257="","",IF(R257="DNS",0,IF(R257="DQ",0,IF(R257="DNF",1,IF(AND(ISNUMBER(R257),R257&gt;59),1,_xlfn.XLOOKUP(R257,tbl_points[Place],tbl_points[Points],""))))))</f>
        <v/>
      </c>
      <c r="T257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U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7" s="3">
        <f>tbl_individual[[#This Row],[Total]]</f>
        <v>62</v>
      </c>
    </row>
    <row r="258" spans="1:22" x14ac:dyDescent="0.4">
      <c r="A258" t="s">
        <v>239</v>
      </c>
      <c r="B258" t="s">
        <v>22</v>
      </c>
      <c r="C258" t="s">
        <v>3</v>
      </c>
      <c r="D258" s="3">
        <v>10180</v>
      </c>
      <c r="E258" s="3" t="s">
        <v>421</v>
      </c>
      <c r="G258" s="3" t="s">
        <v>407</v>
      </c>
      <c r="H258" s="3" t="s">
        <v>410</v>
      </c>
      <c r="I258" s="3">
        <f>IF(H258="","",IF(H258="DNS",0,IF(H258="DQ",0,IF(H258="DNF",1,IF(AND(ISNUMBER(H258),H258&gt;59),1,_xlfn.XLOOKUP(H258,tbl_points[Place],tbl_points[Points],""))))))</f>
        <v>0</v>
      </c>
      <c r="J258" s="3">
        <v>3</v>
      </c>
      <c r="K258" s="3">
        <f>IF(J258="","",IF(J258="DNS",0,IF(J258="DQ",0,IF(J258="DNF",1,IF(AND(ISNUMBER(J258),J258&gt;59),1,_xlfn.XLOOKUP(J258,tbl_points[Place],tbl_points[Points],""))))))</f>
        <v>90</v>
      </c>
      <c r="L258" s="3">
        <v>16</v>
      </c>
      <c r="M258" s="3">
        <f>IF(L258="","",IF(L258="DNS",0,IF(L258="DQ",0,IF(L258="DNF",1,IF(AND(ISNUMBER(L258),L258&gt;59),1,_xlfn.XLOOKUP(L258,tbl_points[Place],tbl_points[Points],""))))))</f>
        <v>44</v>
      </c>
      <c r="N258" s="3">
        <v>32</v>
      </c>
      <c r="O258" s="3">
        <f>IF(N258="","",IF(N258="DNS",0,IF(N258="DQ",0,IF(N258="DNF",1,IF(AND(ISNUMBER(N258),N258&gt;59),1,_xlfn.XLOOKUP(N258,tbl_points[Place],tbl_points[Points],""))))))</f>
        <v>28</v>
      </c>
      <c r="P258" s="3" t="s">
        <v>410</v>
      </c>
      <c r="Q258" s="3">
        <f>IF(P258="","",IF(P258="DNS",0,IF(P258="DQ",0,IF(P258="DNF",1,IF(AND(ISNUMBER(P258),P258&gt;59),1,_xlfn.XLOOKUP(P258,tbl_points[Place],tbl_points[Points],""))))))</f>
        <v>0</v>
      </c>
      <c r="S258" s="3" t="str">
        <f>IF(R258="","",IF(R258="DNS",0,IF(R258="DQ",0,IF(R258="DNF",1,IF(AND(ISNUMBER(R258),R258&gt;59),1,_xlfn.XLOOKUP(R258,tbl_points[Place],tbl_points[Points],""))))))</f>
        <v/>
      </c>
      <c r="T258" s="3">
        <f>SUM(tbl_individual[[#This Row],[R1 Pts]],tbl_individual[[#This Row],[R2 Pts]],tbl_individual[[#This Row],[R3 Pts]],tbl_individual[[#This Row],[R4 Pts]],tbl_individual[[#This Row],[R5 Pts]],tbl_individual[[#This Row],[R6 Pts]])</f>
        <v>162</v>
      </c>
      <c r="U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8" s="3">
        <f>tbl_individual[[#This Row],[Total]]</f>
        <v>162</v>
      </c>
    </row>
    <row r="259" spans="1:22" x14ac:dyDescent="0.4">
      <c r="A259" t="s">
        <v>258</v>
      </c>
      <c r="B259" t="s">
        <v>23</v>
      </c>
      <c r="C259" t="s">
        <v>3</v>
      </c>
      <c r="D259" s="3">
        <v>10181</v>
      </c>
      <c r="E259" s="3" t="s">
        <v>421</v>
      </c>
      <c r="G259" s="3" t="s">
        <v>403</v>
      </c>
      <c r="H259" s="3" t="s">
        <v>410</v>
      </c>
      <c r="I259" s="3">
        <f>IF(H259="","",IF(H259="DNS",0,IF(H259="DQ",0,IF(H259="DNF",1,IF(AND(ISNUMBER(H259),H259&gt;59),1,_xlfn.XLOOKUP(H259,tbl_points[Place],tbl_points[Points],""))))))</f>
        <v>0</v>
      </c>
      <c r="J259" s="3">
        <v>3</v>
      </c>
      <c r="K259" s="3">
        <f>IF(J259="","",IF(J259="DNS",0,IF(J259="DQ",0,IF(J259="DNF",1,IF(AND(ISNUMBER(J259),J259&gt;59),1,_xlfn.XLOOKUP(J259,tbl_points[Place],tbl_points[Points],""))))))</f>
        <v>90</v>
      </c>
      <c r="L259" s="3" t="s">
        <v>410</v>
      </c>
      <c r="M259" s="3">
        <f>IF(L259="","",IF(L259="DNS",0,IF(L259="DQ",0,IF(L259="DNF",1,IF(AND(ISNUMBER(L259),L259&gt;59),1,_xlfn.XLOOKUP(L259,tbl_points[Place],tbl_points[Points],""))))))</f>
        <v>0</v>
      </c>
      <c r="N259" s="3">
        <v>2</v>
      </c>
      <c r="O259" s="3">
        <f>IF(N259="","",IF(N259="DNS",0,IF(N259="DQ",0,IF(N259="DNF",1,IF(AND(ISNUMBER(N259),N259&gt;59),1,_xlfn.XLOOKUP(N259,tbl_points[Place],tbl_points[Points],""))))))</f>
        <v>95</v>
      </c>
      <c r="P259" s="3" t="s">
        <v>410</v>
      </c>
      <c r="Q259" s="3">
        <f>IF(P259="","",IF(P259="DNS",0,IF(P259="DQ",0,IF(P259="DNF",1,IF(AND(ISNUMBER(P259),P259&gt;59),1,_xlfn.XLOOKUP(P259,tbl_points[Place],tbl_points[Points],""))))))</f>
        <v>0</v>
      </c>
      <c r="S259" s="3" t="str">
        <f>IF(R259="","",IF(R259="DNS",0,IF(R259="DQ",0,IF(R259="DNF",1,IF(AND(ISNUMBER(R259),R259&gt;59),1,_xlfn.XLOOKUP(R259,tbl_points[Place],tbl_points[Points],""))))))</f>
        <v/>
      </c>
      <c r="T259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9" s="3">
        <f>tbl_individual[[#This Row],[Total]]</f>
        <v>185</v>
      </c>
    </row>
    <row r="260" spans="1:22" x14ac:dyDescent="0.4">
      <c r="A260" t="s">
        <v>259</v>
      </c>
      <c r="B260" t="s">
        <v>23</v>
      </c>
      <c r="C260" t="s">
        <v>3</v>
      </c>
      <c r="D260" s="3">
        <v>10182</v>
      </c>
      <c r="E260" s="3" t="s">
        <v>421</v>
      </c>
      <c r="G260" s="3" t="s">
        <v>407</v>
      </c>
      <c r="H260" s="3" t="s">
        <v>410</v>
      </c>
      <c r="I260" s="3">
        <f>IF(H260="","",IF(H260="DNS",0,IF(H260="DQ",0,IF(H260="DNF",1,IF(AND(ISNUMBER(H260),H260&gt;59),1,_xlfn.XLOOKUP(H260,tbl_points[Place],tbl_points[Points],""))))))</f>
        <v>0</v>
      </c>
      <c r="J260" s="3" t="s">
        <v>410</v>
      </c>
      <c r="K260" s="3">
        <f>IF(J260="","",IF(J260="DNS",0,IF(J260="DQ",0,IF(J260="DNF",1,IF(AND(ISNUMBER(J260),J260&gt;59),1,_xlfn.XLOOKUP(J260,tbl_points[Place],tbl_points[Points],""))))))</f>
        <v>0</v>
      </c>
      <c r="L260" s="3" t="s">
        <v>410</v>
      </c>
      <c r="M260" s="3">
        <f>IF(L260="","",IF(L260="DNS",0,IF(L260="DQ",0,IF(L260="DNF",1,IF(AND(ISNUMBER(L260),L260&gt;59),1,_xlfn.XLOOKUP(L260,tbl_points[Place],tbl_points[Points],""))))))</f>
        <v>0</v>
      </c>
      <c r="N260" s="3" t="s">
        <v>410</v>
      </c>
      <c r="O260" s="3">
        <f>IF(N260="","",IF(N260="DNS",0,IF(N260="DQ",0,IF(N260="DNF",1,IF(AND(ISNUMBER(N260),N260&gt;59),1,_xlfn.XLOOKUP(N260,tbl_points[Place],tbl_points[Points],""))))))</f>
        <v>0</v>
      </c>
      <c r="P260" s="3" t="s">
        <v>410</v>
      </c>
      <c r="Q260" s="3">
        <f>IF(P260="","",IF(P260="DNS",0,IF(P260="DQ",0,IF(P260="DNF",1,IF(AND(ISNUMBER(P260),P260&gt;59),1,_xlfn.XLOOKUP(P260,tbl_points[Place],tbl_points[Points],""))))))</f>
        <v>0</v>
      </c>
      <c r="S260" s="3" t="str">
        <f>IF(R260="","",IF(R260="DNS",0,IF(R260="DQ",0,IF(R260="DNF",1,IF(AND(ISNUMBER(R260),R260&gt;59),1,_xlfn.XLOOKUP(R260,tbl_points[Place],tbl_points[Points],""))))))</f>
        <v/>
      </c>
      <c r="T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0" s="3">
        <f>tbl_individual[[#This Row],[Total]]</f>
        <v>0</v>
      </c>
    </row>
    <row r="261" spans="1:22" x14ac:dyDescent="0.4">
      <c r="A261" t="s">
        <v>263</v>
      </c>
      <c r="B261" t="s">
        <v>23</v>
      </c>
      <c r="C261" t="s">
        <v>3</v>
      </c>
      <c r="D261" s="3">
        <v>10186</v>
      </c>
      <c r="E261" s="3" t="s">
        <v>421</v>
      </c>
      <c r="G261" s="3" t="s">
        <v>403</v>
      </c>
      <c r="H261" s="3">
        <v>22</v>
      </c>
      <c r="I261" s="3">
        <f>IF(H261="","",IF(H261="DNS",0,IF(H261="DQ",0,IF(H261="DNF",1,IF(AND(ISNUMBER(H261),H261&gt;59),1,_xlfn.XLOOKUP(H261,tbl_points[Place],tbl_points[Points],""))))))</f>
        <v>38</v>
      </c>
      <c r="J261" s="3">
        <v>7</v>
      </c>
      <c r="K261" s="3">
        <f>IF(J261="","",IF(J261="DNS",0,IF(J261="DQ",0,IF(J261="DNF",1,IF(AND(ISNUMBER(J261),J261&gt;59),1,_xlfn.XLOOKUP(J261,tbl_points[Place],tbl_points[Points],""))))))</f>
        <v>70</v>
      </c>
      <c r="L261" s="3">
        <v>29</v>
      </c>
      <c r="M261" s="3">
        <f>IF(L261="","",IF(L261="DNS",0,IF(L261="DQ",0,IF(L261="DNF",1,IF(AND(ISNUMBER(L261),L261&gt;59),1,_xlfn.XLOOKUP(L261,tbl_points[Place],tbl_points[Points],""))))))</f>
        <v>31</v>
      </c>
      <c r="N261" s="3">
        <v>13</v>
      </c>
      <c r="O261" s="3">
        <f>IF(N261="","",IF(N261="DNS",0,IF(N261="DQ",0,IF(N261="DNF",1,IF(AND(ISNUMBER(N261),N261&gt;59),1,_xlfn.XLOOKUP(N261,tbl_points[Place],tbl_points[Points],""))))))</f>
        <v>49</v>
      </c>
      <c r="P261" s="3" t="s">
        <v>410</v>
      </c>
      <c r="Q261" s="3">
        <f>IF(P261="","",IF(P261="DNS",0,IF(P261="DQ",0,IF(P261="DNF",1,IF(AND(ISNUMBER(P261),P261&gt;59),1,_xlfn.XLOOKUP(P261,tbl_points[Place],tbl_points[Points],""))))))</f>
        <v>0</v>
      </c>
      <c r="S261" s="3" t="str">
        <f>IF(R261="","",IF(R261="DNS",0,IF(R261="DQ",0,IF(R261="DNF",1,IF(AND(ISNUMBER(R261),R261&gt;59),1,_xlfn.XLOOKUP(R261,tbl_points[Place],tbl_points[Points],""))))))</f>
        <v/>
      </c>
      <c r="T261" s="3">
        <f>SUM(tbl_individual[[#This Row],[R1 Pts]],tbl_individual[[#This Row],[R2 Pts]],tbl_individual[[#This Row],[R3 Pts]],tbl_individual[[#This Row],[R4 Pts]],tbl_individual[[#This Row],[R5 Pts]],tbl_individual[[#This Row],[R6 Pts]])</f>
        <v>188</v>
      </c>
      <c r="U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1" s="3">
        <f>tbl_individual[[#This Row],[Total]]</f>
        <v>188</v>
      </c>
    </row>
    <row r="262" spans="1:22" x14ac:dyDescent="0.4">
      <c r="A262" t="s">
        <v>368</v>
      </c>
      <c r="B262" t="s">
        <v>30</v>
      </c>
      <c r="C262" t="s">
        <v>3</v>
      </c>
      <c r="D262" s="3">
        <v>10195</v>
      </c>
      <c r="E262" s="3" t="s">
        <v>421</v>
      </c>
      <c r="G262" s="3" t="s">
        <v>403</v>
      </c>
      <c r="H262" s="3" t="s">
        <v>410</v>
      </c>
      <c r="I262" s="3">
        <f>IF(H262="","",IF(H262="DNS",0,IF(H262="DQ",0,IF(H262="DNF",1,IF(AND(ISNUMBER(H262),H262&gt;59),1,_xlfn.XLOOKUP(H262,tbl_points[Place],tbl_points[Points],""))))))</f>
        <v>0</v>
      </c>
      <c r="J262" s="3" t="s">
        <v>410</v>
      </c>
      <c r="K262" s="3">
        <f>IF(J262="","",IF(J262="DNS",0,IF(J262="DQ",0,IF(J262="DNF",1,IF(AND(ISNUMBER(J262),J262&gt;59),1,_xlfn.XLOOKUP(J262,tbl_points[Place],tbl_points[Points],""))))))</f>
        <v>0</v>
      </c>
      <c r="L262" s="3">
        <v>43</v>
      </c>
      <c r="M262" s="3">
        <f>IF(L262="","",IF(L262="DNS",0,IF(L262="DQ",0,IF(L262="DNF",1,IF(AND(ISNUMBER(L262),L262&gt;59),1,_xlfn.XLOOKUP(L262,tbl_points[Place],tbl_points[Points],""))))))</f>
        <v>17</v>
      </c>
      <c r="N262" s="3">
        <v>37</v>
      </c>
      <c r="O262" s="3">
        <f>IF(N262="","",IF(N262="DNS",0,IF(N262="DQ",0,IF(N262="DNF",1,IF(AND(ISNUMBER(N262),N262&gt;59),1,_xlfn.XLOOKUP(N262,tbl_points[Place],tbl_points[Points],""))))))</f>
        <v>23</v>
      </c>
      <c r="P262" s="3" t="s">
        <v>410</v>
      </c>
      <c r="Q262" s="3">
        <f>IF(P262="","",IF(P262="DNS",0,IF(P262="DQ",0,IF(P262="DNF",1,IF(AND(ISNUMBER(P262),P262&gt;59),1,_xlfn.XLOOKUP(P262,tbl_points[Place],tbl_points[Points],""))))))</f>
        <v>0</v>
      </c>
      <c r="S262" s="3" t="str">
        <f>IF(R262="","",IF(R262="DNS",0,IF(R262="DQ",0,IF(R262="DNF",1,IF(AND(ISNUMBER(R262),R262&gt;59),1,_xlfn.XLOOKUP(R262,tbl_points[Place],tbl_points[Points],""))))))</f>
        <v/>
      </c>
      <c r="T262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2" s="3">
        <f>tbl_individual[[#This Row],[Total]]</f>
        <v>40</v>
      </c>
    </row>
    <row r="263" spans="1:22" x14ac:dyDescent="0.4">
      <c r="A263" t="s">
        <v>371</v>
      </c>
      <c r="B263" t="s">
        <v>30</v>
      </c>
      <c r="C263" t="s">
        <v>3</v>
      </c>
      <c r="D263" s="3">
        <v>10199</v>
      </c>
      <c r="E263" s="3" t="s">
        <v>421</v>
      </c>
      <c r="G263" s="3" t="s">
        <v>403</v>
      </c>
      <c r="H263" s="3" t="s">
        <v>410</v>
      </c>
      <c r="I263" s="3">
        <f>IF(H263="","",IF(H263="DNS",0,IF(H263="DQ",0,IF(H263="DNF",1,IF(AND(ISNUMBER(H263),H263&gt;59),1,_xlfn.XLOOKUP(H263,tbl_points[Place],tbl_points[Points],""))))))</f>
        <v>0</v>
      </c>
      <c r="J263" s="3" t="s">
        <v>410</v>
      </c>
      <c r="K263" s="3">
        <f>IF(J263="","",IF(J263="DNS",0,IF(J263="DQ",0,IF(J263="DNF",1,IF(AND(ISNUMBER(J263),J263&gt;59),1,_xlfn.XLOOKUP(J263,tbl_points[Place],tbl_points[Points],""))))))</f>
        <v>0</v>
      </c>
      <c r="L263" s="3" t="s">
        <v>410</v>
      </c>
      <c r="M263" s="3">
        <f>IF(L263="","",IF(L263="DNS",0,IF(L263="DQ",0,IF(L263="DNF",1,IF(AND(ISNUMBER(L263),L263&gt;59),1,_xlfn.XLOOKUP(L263,tbl_points[Place],tbl_points[Points],""))))))</f>
        <v>0</v>
      </c>
      <c r="N263" s="3">
        <v>39</v>
      </c>
      <c r="O263" s="3">
        <f>IF(N263="","",IF(N263="DNS",0,IF(N263="DQ",0,IF(N263="DNF",1,IF(AND(ISNUMBER(N263),N263&gt;59),1,_xlfn.XLOOKUP(N263,tbl_points[Place],tbl_points[Points],""))))))</f>
        <v>21</v>
      </c>
      <c r="P263" s="3" t="s">
        <v>410</v>
      </c>
      <c r="Q263" s="3">
        <f>IF(P263="","",IF(P263="DNS",0,IF(P263="DQ",0,IF(P263="DNF",1,IF(AND(ISNUMBER(P263),P263&gt;59),1,_xlfn.XLOOKUP(P263,tbl_points[Place],tbl_points[Points],""))))))</f>
        <v>0</v>
      </c>
      <c r="S263" s="3" t="str">
        <f>IF(R263="","",IF(R263="DNS",0,IF(R263="DQ",0,IF(R263="DNF",1,IF(AND(ISNUMBER(R263),R263&gt;59),1,_xlfn.XLOOKUP(R263,tbl_points[Place],tbl_points[Points],""))))))</f>
        <v/>
      </c>
      <c r="T263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3" s="3">
        <f>tbl_individual[[#This Row],[Total]]</f>
        <v>21</v>
      </c>
    </row>
    <row r="264" spans="1:22" x14ac:dyDescent="0.4">
      <c r="A264" t="s">
        <v>383</v>
      </c>
      <c r="B264" t="s">
        <v>31</v>
      </c>
      <c r="C264" t="s">
        <v>3</v>
      </c>
      <c r="D264" s="3">
        <v>10202</v>
      </c>
      <c r="E264" s="3" t="s">
        <v>421</v>
      </c>
      <c r="G264" s="3" t="s">
        <v>403</v>
      </c>
      <c r="H264" s="3">
        <v>30</v>
      </c>
      <c r="I264" s="3">
        <f>IF(H264="","",IF(H264="DNS",0,IF(H264="DQ",0,IF(H264="DNF",1,IF(AND(ISNUMBER(H264),H264&gt;59),1,_xlfn.XLOOKUP(H264,tbl_points[Place],tbl_points[Points],""))))))</f>
        <v>30</v>
      </c>
      <c r="J264" s="3" t="s">
        <v>410</v>
      </c>
      <c r="K264" s="3">
        <f>IF(J264="","",IF(J264="DNS",0,IF(J264="DQ",0,IF(J264="DNF",1,IF(AND(ISNUMBER(J264),J264&gt;59),1,_xlfn.XLOOKUP(J264,tbl_points[Place],tbl_points[Points],""))))))</f>
        <v>0</v>
      </c>
      <c r="L264" s="3" t="s">
        <v>410</v>
      </c>
      <c r="M264" s="3">
        <f>IF(L264="","",IF(L264="DNS",0,IF(L264="DQ",0,IF(L264="DNF",1,IF(AND(ISNUMBER(L264),L264&gt;59),1,_xlfn.XLOOKUP(L264,tbl_points[Place],tbl_points[Points],""))))))</f>
        <v>0</v>
      </c>
      <c r="N264" s="3">
        <v>16</v>
      </c>
      <c r="O264" s="3">
        <f>IF(N264="","",IF(N264="DNS",0,IF(N264="DQ",0,IF(N264="DNF",1,IF(AND(ISNUMBER(N264),N264&gt;59),1,_xlfn.XLOOKUP(N264,tbl_points[Place],tbl_points[Points],""))))))</f>
        <v>44</v>
      </c>
      <c r="P264" s="3" t="s">
        <v>410</v>
      </c>
      <c r="Q264" s="3">
        <f>IF(P264="","",IF(P264="DNS",0,IF(P264="DQ",0,IF(P264="DNF",1,IF(AND(ISNUMBER(P264),P264&gt;59),1,_xlfn.XLOOKUP(P264,tbl_points[Place],tbl_points[Points],""))))))</f>
        <v>0</v>
      </c>
      <c r="S264" s="3" t="str">
        <f>IF(R264="","",IF(R264="DNS",0,IF(R264="DQ",0,IF(R264="DNF",1,IF(AND(ISNUMBER(R264),R264&gt;59),1,_xlfn.XLOOKUP(R264,tbl_points[Place],tbl_points[Points],""))))))</f>
        <v/>
      </c>
      <c r="T264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4" s="3">
        <f>tbl_individual[[#This Row],[Total]]</f>
        <v>74</v>
      </c>
    </row>
    <row r="265" spans="1:22" x14ac:dyDescent="0.4">
      <c r="A265" t="s">
        <v>405</v>
      </c>
      <c r="B265" t="s">
        <v>20</v>
      </c>
      <c r="C265" t="s">
        <v>3</v>
      </c>
      <c r="D265" s="3">
        <v>10203</v>
      </c>
      <c r="E265" s="3" t="s">
        <v>421</v>
      </c>
      <c r="G265" s="3" t="s">
        <v>403</v>
      </c>
      <c r="H265" s="3">
        <v>39</v>
      </c>
      <c r="I265" s="3">
        <f>IF(H265="","",IF(H265="DNS",0,IF(H265="DQ",0,IF(H265="DNF",1,IF(AND(ISNUMBER(H265),H265&gt;59),1,_xlfn.XLOOKUP(H265,tbl_points[Place],tbl_points[Points],""))))))</f>
        <v>21</v>
      </c>
      <c r="J265" s="3">
        <v>47</v>
      </c>
      <c r="K265" s="3">
        <f>IF(J265="","",IF(J265="DNS",0,IF(J265="DQ",0,IF(J265="DNF",1,IF(AND(ISNUMBER(J265),J265&gt;59),1,_xlfn.XLOOKUP(J265,tbl_points[Place],tbl_points[Points],""))))))</f>
        <v>13</v>
      </c>
      <c r="L265" s="3">
        <v>38</v>
      </c>
      <c r="M265" s="3">
        <f>IF(L265="","",IF(L265="DNS",0,IF(L265="DQ",0,IF(L265="DNF",1,IF(AND(ISNUMBER(L265),L265&gt;59),1,_xlfn.XLOOKUP(L265,tbl_points[Place],tbl_points[Points],""))))))</f>
        <v>22</v>
      </c>
      <c r="N265" s="3" t="s">
        <v>410</v>
      </c>
      <c r="O265" s="3">
        <f>IF(N265="","",IF(N265="DNS",0,IF(N265="DQ",0,IF(N265="DNF",1,IF(AND(ISNUMBER(N265),N265&gt;59),1,_xlfn.XLOOKUP(N265,tbl_points[Place],tbl_points[Points],""))))))</f>
        <v>0</v>
      </c>
      <c r="P265" s="3" t="s">
        <v>410</v>
      </c>
      <c r="Q265" s="3">
        <f>IF(P265="","",IF(P265="DNS",0,IF(P265="DQ",0,IF(P265="DNF",1,IF(AND(ISNUMBER(P265),P265&gt;59),1,_xlfn.XLOOKUP(P265,tbl_points[Place],tbl_points[Points],""))))))</f>
        <v>0</v>
      </c>
      <c r="S265" s="3" t="str">
        <f>IF(R265="","",IF(R265="DNS",0,IF(R265="DQ",0,IF(R265="DNF",1,IF(AND(ISNUMBER(R265),R265&gt;59),1,_xlfn.XLOOKUP(R265,tbl_points[Place],tbl_points[Points],""))))))</f>
        <v/>
      </c>
      <c r="T265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5" s="3">
        <f>tbl_individual[[#This Row],[Total]]</f>
        <v>56</v>
      </c>
    </row>
    <row r="266" spans="1:22" x14ac:dyDescent="0.4">
      <c r="A266" t="s">
        <v>414</v>
      </c>
      <c r="B266" t="s">
        <v>14</v>
      </c>
      <c r="C266" t="s">
        <v>3</v>
      </c>
      <c r="D266" s="3">
        <v>10206</v>
      </c>
      <c r="E266" s="3" t="s">
        <v>421</v>
      </c>
      <c r="G266" s="3" t="s">
        <v>403</v>
      </c>
      <c r="H266" s="3">
        <v>26</v>
      </c>
      <c r="I266" s="3">
        <f>IF(H266="","",IF(H266="DNS",0,IF(H266="DQ",0,IF(H266="DNF",1,IF(AND(ISNUMBER(H266),H266&gt;59),1,_xlfn.XLOOKUP(H266,tbl_points[Place],tbl_points[Points],""))))))</f>
        <v>34</v>
      </c>
      <c r="J266" s="3" t="s">
        <v>410</v>
      </c>
      <c r="K266" s="3">
        <f>IF(J266="","",IF(J266="DNS",0,IF(J266="DQ",0,IF(J266="DNF",1,IF(AND(ISNUMBER(J266),J266&gt;59),1,_xlfn.XLOOKUP(J266,tbl_points[Place],tbl_points[Points],""))))))</f>
        <v>0</v>
      </c>
      <c r="L266" s="3" t="s">
        <v>409</v>
      </c>
      <c r="M266" s="3">
        <f>IF(L266="","",IF(L266="DNS",0,IF(L266="DQ",0,IF(L266="DNF",1,IF(AND(ISNUMBER(L266),L266&gt;59),1,_xlfn.XLOOKUP(L266,tbl_points[Place],tbl_points[Points],""))))))</f>
        <v>1</v>
      </c>
      <c r="N266" s="3">
        <v>45</v>
      </c>
      <c r="O266" s="3">
        <f>IF(N266="","",IF(N266="DNS",0,IF(N266="DQ",0,IF(N266="DNF",1,IF(AND(ISNUMBER(N266),N266&gt;59),1,_xlfn.XLOOKUP(N266,tbl_points[Place],tbl_points[Points],""))))))</f>
        <v>15</v>
      </c>
      <c r="P266" s="3" t="s">
        <v>410</v>
      </c>
      <c r="Q266" s="3">
        <f>IF(P266="","",IF(P266="DNS",0,IF(P266="DQ",0,IF(P266="DNF",1,IF(AND(ISNUMBER(P266),P266&gt;59),1,_xlfn.XLOOKUP(P266,tbl_points[Place],tbl_points[Points],""))))))</f>
        <v>0</v>
      </c>
      <c r="S266" s="3" t="str">
        <f>IF(R266="","",IF(R266="DNS",0,IF(R266="DQ",0,IF(R266="DNF",1,IF(AND(ISNUMBER(R266),R266&gt;59),1,_xlfn.XLOOKUP(R266,tbl_points[Place],tbl_points[Points],""))))))</f>
        <v/>
      </c>
      <c r="T266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6" s="3">
        <f>tbl_individual[[#This Row],[Total]]</f>
        <v>50</v>
      </c>
    </row>
    <row r="267" spans="1:22" x14ac:dyDescent="0.4">
      <c r="A267" t="s">
        <v>93</v>
      </c>
      <c r="B267" t="s">
        <v>10</v>
      </c>
      <c r="C267" t="s">
        <v>1</v>
      </c>
      <c r="D267" s="3">
        <v>12001</v>
      </c>
      <c r="E267" s="3" t="s">
        <v>421</v>
      </c>
      <c r="G267" s="3" t="s">
        <v>407</v>
      </c>
      <c r="H267" s="3" t="s">
        <v>410</v>
      </c>
      <c r="I267" s="3">
        <f>IF(H267="","",IF(H267="DNS",0,IF(H267="DQ",0,IF(H267="DNF",1,IF(AND(ISNUMBER(H267),H267&gt;59),1,_xlfn.XLOOKUP(H267,tbl_points[Place],tbl_points[Points],""))))))</f>
        <v>0</v>
      </c>
      <c r="J267" s="3">
        <v>57</v>
      </c>
      <c r="K267" s="3">
        <f>IF(J267="","",IF(J267="DNS",0,IF(J267="DQ",0,IF(J267="DNF",1,IF(AND(ISNUMBER(J267),J267&gt;59),1,_xlfn.XLOOKUP(J267,tbl_points[Place],tbl_points[Points],""))))))</f>
        <v>3</v>
      </c>
      <c r="L267" s="3" t="s">
        <v>410</v>
      </c>
      <c r="M267" s="3">
        <f>IF(L267="","",IF(L267="DNS",0,IF(L267="DQ",0,IF(L267="DNF",1,IF(AND(ISNUMBER(L267),L267&gt;59),1,_xlfn.XLOOKUP(L267,tbl_points[Place],tbl_points[Points],""))))))</f>
        <v>0</v>
      </c>
      <c r="N267" s="3" t="s">
        <v>410</v>
      </c>
      <c r="O267" s="3">
        <f>IF(N267="","",IF(N267="DNS",0,IF(N267="DQ",0,IF(N267="DNF",1,IF(AND(ISNUMBER(N267),N267&gt;59),1,_xlfn.XLOOKUP(N267,tbl_points[Place],tbl_points[Points],""))))))</f>
        <v>0</v>
      </c>
      <c r="P267" s="3" t="s">
        <v>410</v>
      </c>
      <c r="Q267" s="3">
        <f>IF(P267="","",IF(P267="DNS",0,IF(P267="DQ",0,IF(P267="DNF",1,IF(AND(ISNUMBER(P267),P267&gt;59),1,_xlfn.XLOOKUP(P267,tbl_points[Place],tbl_points[Points],""))))))</f>
        <v>0</v>
      </c>
      <c r="S267" s="3" t="str">
        <f>IF(R267="","",IF(R267="DNS",0,IF(R267="DQ",0,IF(R267="DNF",1,IF(AND(ISNUMBER(R267),R267&gt;59),1,_xlfn.XLOOKUP(R267,tbl_points[Place],tbl_points[Points],""))))))</f>
        <v/>
      </c>
      <c r="T267" s="3">
        <f>SUM(tbl_individual[[#This Row],[R1 Pts]],tbl_individual[[#This Row],[R2 Pts]],tbl_individual[[#This Row],[R3 Pts]],tbl_individual[[#This Row],[R4 Pts]],tbl_individual[[#This Row],[R5 Pts]],tbl_individual[[#This Row],[R6 Pts]])</f>
        <v>3</v>
      </c>
      <c r="U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7" s="3">
        <f>tbl_individual[[#This Row],[Total]]</f>
        <v>3</v>
      </c>
    </row>
    <row r="268" spans="1:22" x14ac:dyDescent="0.4">
      <c r="A268" t="s">
        <v>94</v>
      </c>
      <c r="B268" t="s">
        <v>10</v>
      </c>
      <c r="C268" t="s">
        <v>1</v>
      </c>
      <c r="D268" s="3">
        <v>12005</v>
      </c>
      <c r="E268" s="3" t="s">
        <v>421</v>
      </c>
      <c r="G268" s="3" t="s">
        <v>403</v>
      </c>
      <c r="H268" s="3">
        <v>39</v>
      </c>
      <c r="I268" s="3">
        <f>IF(H268="","",IF(H268="DNS",0,IF(H268="DQ",0,IF(H268="DNF",1,IF(AND(ISNUMBER(H268),H268&gt;59),1,_xlfn.XLOOKUP(H268,tbl_points[Place],tbl_points[Points],""))))))</f>
        <v>21</v>
      </c>
      <c r="J268" s="3" t="s">
        <v>410</v>
      </c>
      <c r="K268" s="3">
        <f>IF(J268="","",IF(J268="DNS",0,IF(J268="DQ",0,IF(J268="DNF",1,IF(AND(ISNUMBER(J268),J268&gt;59),1,_xlfn.XLOOKUP(J268,tbl_points[Place],tbl_points[Points],""))))))</f>
        <v>0</v>
      </c>
      <c r="L268" s="3">
        <v>42</v>
      </c>
      <c r="M268" s="3">
        <f>IF(L268="","",IF(L268="DNS",0,IF(L268="DQ",0,IF(L268="DNF",1,IF(AND(ISNUMBER(L268),L268&gt;59),1,_xlfn.XLOOKUP(L268,tbl_points[Place],tbl_points[Points],""))))))</f>
        <v>18</v>
      </c>
      <c r="N268" s="3">
        <v>48</v>
      </c>
      <c r="O268" s="3">
        <f>IF(N268="","",IF(N268="DNS",0,IF(N268="DQ",0,IF(N268="DNF",1,IF(AND(ISNUMBER(N268),N268&gt;59),1,_xlfn.XLOOKUP(N268,tbl_points[Place],tbl_points[Points],""))))))</f>
        <v>12</v>
      </c>
      <c r="P268" s="3" t="s">
        <v>409</v>
      </c>
      <c r="Q268" s="3">
        <f>IF(P268="","",IF(P268="DNS",0,IF(P268="DQ",0,IF(P268="DNF",1,IF(AND(ISNUMBER(P268),P268&gt;59),1,_xlfn.XLOOKUP(P268,tbl_points[Place],tbl_points[Points],""))))))</f>
        <v>1</v>
      </c>
      <c r="S268" s="3" t="str">
        <f>IF(R268="","",IF(R268="DNS",0,IF(R268="DQ",0,IF(R268="DNF",1,IF(AND(ISNUMBER(R268),R268&gt;59),1,_xlfn.XLOOKUP(R268,tbl_points[Place],tbl_points[Points],""))))))</f>
        <v/>
      </c>
      <c r="T268" s="3">
        <f>SUM(tbl_individual[[#This Row],[R1 Pts]],tbl_individual[[#This Row],[R2 Pts]],tbl_individual[[#This Row],[R3 Pts]],tbl_individual[[#This Row],[R4 Pts]],tbl_individual[[#This Row],[R5 Pts]],tbl_individual[[#This Row],[R6 Pts]])</f>
        <v>52</v>
      </c>
      <c r="U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8" s="3">
        <f>tbl_individual[[#This Row],[Total]]</f>
        <v>52</v>
      </c>
    </row>
    <row r="269" spans="1:22" x14ac:dyDescent="0.4">
      <c r="A269" t="s">
        <v>95</v>
      </c>
      <c r="B269" t="s">
        <v>10</v>
      </c>
      <c r="C269" t="s">
        <v>1</v>
      </c>
      <c r="D269" s="3">
        <v>12009</v>
      </c>
      <c r="E269" s="3" t="s">
        <v>421</v>
      </c>
      <c r="G269" s="3" t="s">
        <v>403</v>
      </c>
      <c r="H269" s="3" t="s">
        <v>410</v>
      </c>
      <c r="I269" s="3">
        <f>IF(H269="","",IF(H269="DNS",0,IF(H269="DQ",0,IF(H269="DNF",1,IF(AND(ISNUMBER(H269),H269&gt;59),1,_xlfn.XLOOKUP(H269,tbl_points[Place],tbl_points[Points],""))))))</f>
        <v>0</v>
      </c>
      <c r="J269" s="3" t="s">
        <v>410</v>
      </c>
      <c r="K269" s="3">
        <f>IF(J269="","",IF(J269="DNS",0,IF(J269="DQ",0,IF(J269="DNF",1,IF(AND(ISNUMBER(J269),J269&gt;59),1,_xlfn.XLOOKUP(J269,tbl_points[Place],tbl_points[Points],""))))))</f>
        <v>0</v>
      </c>
      <c r="L269" s="3">
        <v>44</v>
      </c>
      <c r="M269" s="3">
        <f>IF(L269="","",IF(L269="DNS",0,IF(L269="DQ",0,IF(L269="DNF",1,IF(AND(ISNUMBER(L269),L269&gt;59),1,_xlfn.XLOOKUP(L269,tbl_points[Place],tbl_points[Points],""))))))</f>
        <v>16</v>
      </c>
      <c r="N269" s="3">
        <v>57</v>
      </c>
      <c r="O269" s="3">
        <f>IF(N269="","",IF(N269="DNS",0,IF(N269="DQ",0,IF(N269="DNF",1,IF(AND(ISNUMBER(N269),N269&gt;59),1,_xlfn.XLOOKUP(N269,tbl_points[Place],tbl_points[Points],""))))))</f>
        <v>3</v>
      </c>
      <c r="P269" s="3">
        <v>32</v>
      </c>
      <c r="Q269" s="3">
        <f>IF(P269="","",IF(P269="DNS",0,IF(P269="DQ",0,IF(P269="DNF",1,IF(AND(ISNUMBER(P269),P269&gt;59),1,_xlfn.XLOOKUP(P269,tbl_points[Place],tbl_points[Points],""))))))</f>
        <v>28</v>
      </c>
      <c r="S269" s="3" t="str">
        <f>IF(R269="","",IF(R269="DNS",0,IF(R269="DQ",0,IF(R269="DNF",1,IF(AND(ISNUMBER(R269),R269&gt;59),1,_xlfn.XLOOKUP(R269,tbl_points[Place],tbl_points[Points],""))))))</f>
        <v/>
      </c>
      <c r="T26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9" s="3">
        <f>tbl_individual[[#This Row],[Total]]</f>
        <v>47</v>
      </c>
    </row>
    <row r="270" spans="1:22" x14ac:dyDescent="0.4">
      <c r="A270" t="s">
        <v>96</v>
      </c>
      <c r="B270" t="s">
        <v>10</v>
      </c>
      <c r="C270" t="s">
        <v>1</v>
      </c>
      <c r="D270" s="3">
        <v>12012</v>
      </c>
      <c r="E270" s="3" t="s">
        <v>421</v>
      </c>
      <c r="G270" s="3" t="s">
        <v>403</v>
      </c>
      <c r="H270" s="3" t="s">
        <v>410</v>
      </c>
      <c r="I270" s="3">
        <f>IF(H270="","",IF(H270="DNS",0,IF(H270="DQ",0,IF(H270="DNF",1,IF(AND(ISNUMBER(H270),H270&gt;59),1,_xlfn.XLOOKUP(H270,tbl_points[Place],tbl_points[Points],""))))))</f>
        <v>0</v>
      </c>
      <c r="J270" s="3">
        <v>44</v>
      </c>
      <c r="K270" s="3">
        <f>IF(J270="","",IF(J270="DNS",0,IF(J270="DQ",0,IF(J270="DNF",1,IF(AND(ISNUMBER(J270),J270&gt;59),1,_xlfn.XLOOKUP(J270,tbl_points[Place],tbl_points[Points],""))))))</f>
        <v>16</v>
      </c>
      <c r="L270" s="3">
        <v>37</v>
      </c>
      <c r="M270" s="3">
        <f>IF(L270="","",IF(L270="DNS",0,IF(L270="DQ",0,IF(L270="DNF",1,IF(AND(ISNUMBER(L270),L270&gt;59),1,_xlfn.XLOOKUP(L270,tbl_points[Place],tbl_points[Points],""))))))</f>
        <v>23</v>
      </c>
      <c r="N270" s="3">
        <v>39</v>
      </c>
      <c r="O270" s="3">
        <f>IF(N270="","",IF(N270="DNS",0,IF(N270="DQ",0,IF(N270="DNF",1,IF(AND(ISNUMBER(N270),N270&gt;59),1,_xlfn.XLOOKUP(N270,tbl_points[Place],tbl_points[Points],""))))))</f>
        <v>21</v>
      </c>
      <c r="P270" s="3" t="s">
        <v>410</v>
      </c>
      <c r="Q270" s="3">
        <f>IF(P270="","",IF(P270="DNS",0,IF(P270="DQ",0,IF(P270="DNF",1,IF(AND(ISNUMBER(P270),P270&gt;59),1,_xlfn.XLOOKUP(P270,tbl_points[Place],tbl_points[Points],""))))))</f>
        <v>0</v>
      </c>
      <c r="S270" s="3" t="str">
        <f>IF(R270="","",IF(R270="DNS",0,IF(R270="DQ",0,IF(R270="DNF",1,IF(AND(ISNUMBER(R270),R270&gt;59),1,_xlfn.XLOOKUP(R270,tbl_points[Place],tbl_points[Points],""))))))</f>
        <v/>
      </c>
      <c r="T27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0" s="3">
        <f>tbl_individual[[#This Row],[Total]]</f>
        <v>60</v>
      </c>
    </row>
    <row r="271" spans="1:22" x14ac:dyDescent="0.4">
      <c r="A271" t="s">
        <v>97</v>
      </c>
      <c r="B271" t="s">
        <v>10</v>
      </c>
      <c r="C271" t="s">
        <v>1</v>
      </c>
      <c r="D271" s="3">
        <v>12013</v>
      </c>
      <c r="E271" s="3" t="s">
        <v>421</v>
      </c>
      <c r="G271" s="3" t="s">
        <v>403</v>
      </c>
      <c r="H271" s="3">
        <v>41</v>
      </c>
      <c r="I271" s="3">
        <f>IF(H271="","",IF(H271="DNS",0,IF(H271="DQ",0,IF(H271="DNF",1,IF(AND(ISNUMBER(H271),H271&gt;59),1,_xlfn.XLOOKUP(H271,tbl_points[Place],tbl_points[Points],""))))))</f>
        <v>19</v>
      </c>
      <c r="J271" s="3">
        <v>32</v>
      </c>
      <c r="K271" s="3">
        <f>IF(J271="","",IF(J271="DNS",0,IF(J271="DQ",0,IF(J271="DNF",1,IF(AND(ISNUMBER(J271),J271&gt;59),1,_xlfn.XLOOKUP(J271,tbl_points[Place],tbl_points[Points],""))))))</f>
        <v>28</v>
      </c>
      <c r="L271" s="3" t="s">
        <v>410</v>
      </c>
      <c r="M271" s="3">
        <f>IF(L271="","",IF(L271="DNS",0,IF(L271="DQ",0,IF(L271="DNF",1,IF(AND(ISNUMBER(L271),L271&gt;59),1,_xlfn.XLOOKUP(L271,tbl_points[Place],tbl_points[Points],""))))))</f>
        <v>0</v>
      </c>
      <c r="N271" s="3">
        <v>21</v>
      </c>
      <c r="O271" s="3">
        <f>IF(N271="","",IF(N271="DNS",0,IF(N271="DQ",0,IF(N271="DNF",1,IF(AND(ISNUMBER(N271),N271&gt;59),1,_xlfn.XLOOKUP(N271,tbl_points[Place],tbl_points[Points],""))))))</f>
        <v>39</v>
      </c>
      <c r="P271" s="3">
        <v>32</v>
      </c>
      <c r="Q271" s="3">
        <f>IF(P271="","",IF(P271="DNS",0,IF(P271="DQ",0,IF(P271="DNF",1,IF(AND(ISNUMBER(P271),P271&gt;59),1,_xlfn.XLOOKUP(P271,tbl_points[Place],tbl_points[Points],""))))))</f>
        <v>28</v>
      </c>
      <c r="S271" s="3" t="str">
        <f>IF(R271="","",IF(R271="DNS",0,IF(R271="DQ",0,IF(R271="DNF",1,IF(AND(ISNUMBER(R271),R271&gt;59),1,_xlfn.XLOOKUP(R271,tbl_points[Place],tbl_points[Points],""))))))</f>
        <v/>
      </c>
      <c r="T271" s="3">
        <f>SUM(tbl_individual[[#This Row],[R1 Pts]],tbl_individual[[#This Row],[R2 Pts]],tbl_individual[[#This Row],[R3 Pts]],tbl_individual[[#This Row],[R4 Pts]],tbl_individual[[#This Row],[R5 Pts]],tbl_individual[[#This Row],[R6 Pts]])</f>
        <v>114</v>
      </c>
      <c r="U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1" s="3">
        <f>tbl_individual[[#This Row],[Total]]</f>
        <v>114</v>
      </c>
    </row>
    <row r="272" spans="1:22" x14ac:dyDescent="0.4">
      <c r="A272" t="s">
        <v>98</v>
      </c>
      <c r="B272" t="s">
        <v>10</v>
      </c>
      <c r="C272" t="s">
        <v>1</v>
      </c>
      <c r="D272" s="3">
        <v>12014</v>
      </c>
      <c r="E272" s="3" t="s">
        <v>421</v>
      </c>
      <c r="G272" s="3" t="s">
        <v>403</v>
      </c>
      <c r="H272" s="3" t="s">
        <v>410</v>
      </c>
      <c r="I272" s="3">
        <f>IF(H272="","",IF(H272="DNS",0,IF(H272="DQ",0,IF(H272="DNF",1,IF(AND(ISNUMBER(H272),H272&gt;59),1,_xlfn.XLOOKUP(H272,tbl_points[Place],tbl_points[Points],""))))))</f>
        <v>0</v>
      </c>
      <c r="J272" s="3">
        <v>65</v>
      </c>
      <c r="K272" s="3">
        <f>IF(J272="","",IF(J272="DNS",0,IF(J272="DQ",0,IF(J272="DNF",1,IF(AND(ISNUMBER(J272),J272&gt;59),1,_xlfn.XLOOKUP(J272,tbl_points[Place],tbl_points[Points],""))))))</f>
        <v>1</v>
      </c>
      <c r="L272" s="3" t="s">
        <v>410</v>
      </c>
      <c r="M272" s="3">
        <f>IF(L272="","",IF(L272="DNS",0,IF(L272="DQ",0,IF(L272="DNF",1,IF(AND(ISNUMBER(L272),L272&gt;59),1,_xlfn.XLOOKUP(L272,tbl_points[Place],tbl_points[Points],""))))))</f>
        <v>0</v>
      </c>
      <c r="N272" s="3">
        <v>50</v>
      </c>
      <c r="O272" s="3">
        <f>IF(N272="","",IF(N272="DNS",0,IF(N272="DQ",0,IF(N272="DNF",1,IF(AND(ISNUMBER(N272),N272&gt;59),1,_xlfn.XLOOKUP(N272,tbl_points[Place],tbl_points[Points],""))))))</f>
        <v>10</v>
      </c>
      <c r="P272" s="3" t="s">
        <v>410</v>
      </c>
      <c r="Q272" s="3">
        <f>IF(P272="","",IF(P272="DNS",0,IF(P272="DQ",0,IF(P272="DNF",1,IF(AND(ISNUMBER(P272),P272&gt;59),1,_xlfn.XLOOKUP(P272,tbl_points[Place],tbl_points[Points],""))))))</f>
        <v>0</v>
      </c>
      <c r="S272" s="3" t="str">
        <f>IF(R272="","",IF(R272="DNS",0,IF(R272="DQ",0,IF(R272="DNF",1,IF(AND(ISNUMBER(R272),R272&gt;59),1,_xlfn.XLOOKUP(R272,tbl_points[Place],tbl_points[Points],""))))))</f>
        <v/>
      </c>
      <c r="T272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U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2" s="3">
        <f>tbl_individual[[#This Row],[Total]]</f>
        <v>11</v>
      </c>
    </row>
    <row r="273" spans="1:22" x14ac:dyDescent="0.4">
      <c r="A273" t="s">
        <v>99</v>
      </c>
      <c r="B273" t="s">
        <v>10</v>
      </c>
      <c r="C273" t="s">
        <v>1</v>
      </c>
      <c r="D273" s="3">
        <v>12015</v>
      </c>
      <c r="E273" s="3" t="s">
        <v>421</v>
      </c>
      <c r="G273" s="3" t="s">
        <v>403</v>
      </c>
      <c r="H273" s="3">
        <v>44</v>
      </c>
      <c r="I273" s="3">
        <f>IF(H273="","",IF(H273="DNS",0,IF(H273="DQ",0,IF(H273="DNF",1,IF(AND(ISNUMBER(H273),H273&gt;59),1,_xlfn.XLOOKUP(H273,tbl_points[Place],tbl_points[Points],""))))))</f>
        <v>16</v>
      </c>
      <c r="J273" s="3">
        <v>67</v>
      </c>
      <c r="K273" s="3">
        <f>IF(J273="","",IF(J273="DNS",0,IF(J273="DQ",0,IF(J273="DNF",1,IF(AND(ISNUMBER(J273),J273&gt;59),1,_xlfn.XLOOKUP(J273,tbl_points[Place],tbl_points[Points],""))))))</f>
        <v>1</v>
      </c>
      <c r="L273" s="3">
        <v>48</v>
      </c>
      <c r="M273" s="3">
        <f>IF(L273="","",IF(L273="DNS",0,IF(L273="DQ",0,IF(L273="DNF",1,IF(AND(ISNUMBER(L273),L273&gt;59),1,_xlfn.XLOOKUP(L273,tbl_points[Place],tbl_points[Points],""))))))</f>
        <v>12</v>
      </c>
      <c r="N273" s="3">
        <v>61</v>
      </c>
      <c r="O273" s="3">
        <f>IF(N273="","",IF(N273="DNS",0,IF(N273="DQ",0,IF(N273="DNF",1,IF(AND(ISNUMBER(N273),N273&gt;59),1,_xlfn.XLOOKUP(N273,tbl_points[Place],tbl_points[Points],""))))))</f>
        <v>1</v>
      </c>
      <c r="P273" s="3">
        <v>58</v>
      </c>
      <c r="Q273" s="3">
        <f>IF(P273="","",IF(P273="DNS",0,IF(P273="DQ",0,IF(P273="DNF",1,IF(AND(ISNUMBER(P273),P273&gt;59),1,_xlfn.XLOOKUP(P273,tbl_points[Place],tbl_points[Points],""))))))</f>
        <v>2</v>
      </c>
      <c r="S273" s="3" t="str">
        <f>IF(R273="","",IF(R273="DNS",0,IF(R273="DQ",0,IF(R273="DNF",1,IF(AND(ISNUMBER(R273),R273&gt;59),1,_xlfn.XLOOKUP(R273,tbl_points[Place],tbl_points[Points],""))))))</f>
        <v/>
      </c>
      <c r="T273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27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3" s="3">
        <f>tbl_individual[[#This Row],[Total]]</f>
        <v>32</v>
      </c>
    </row>
    <row r="274" spans="1:22" x14ac:dyDescent="0.4">
      <c r="A274" t="s">
        <v>100</v>
      </c>
      <c r="B274" t="s">
        <v>10</v>
      </c>
      <c r="C274" t="s">
        <v>1</v>
      </c>
      <c r="D274" s="3">
        <v>12016</v>
      </c>
      <c r="E274" s="3" t="s">
        <v>421</v>
      </c>
      <c r="G274" s="3" t="s">
        <v>403</v>
      </c>
      <c r="H274" s="3" t="s">
        <v>410</v>
      </c>
      <c r="I274" s="3">
        <f>IF(H274="","",IF(H274="DNS",0,IF(H274="DQ",0,IF(H274="DNF",1,IF(AND(ISNUMBER(H274),H274&gt;59),1,_xlfn.XLOOKUP(H274,tbl_points[Place],tbl_points[Points],""))))))</f>
        <v>0</v>
      </c>
      <c r="J274" s="3">
        <v>61</v>
      </c>
      <c r="K274" s="3">
        <f>IF(J274="","",IF(J274="DNS",0,IF(J274="DQ",0,IF(J274="DNF",1,IF(AND(ISNUMBER(J274),J274&gt;59),1,_xlfn.XLOOKUP(J274,tbl_points[Place],tbl_points[Points],""))))))</f>
        <v>1</v>
      </c>
      <c r="L274" s="3" t="s">
        <v>410</v>
      </c>
      <c r="M274" s="3">
        <f>IF(L274="","",IF(L274="DNS",0,IF(L274="DQ",0,IF(L274="DNF",1,IF(AND(ISNUMBER(L274),L274&gt;59),1,_xlfn.XLOOKUP(L274,tbl_points[Place],tbl_points[Points],""))))))</f>
        <v>0</v>
      </c>
      <c r="N274" s="3">
        <v>49</v>
      </c>
      <c r="O274" s="3">
        <f>IF(N274="","",IF(N274="DNS",0,IF(N274="DQ",0,IF(N274="DNF",1,IF(AND(ISNUMBER(N274),N274&gt;59),1,_xlfn.XLOOKUP(N274,tbl_points[Place],tbl_points[Points],""))))))</f>
        <v>11</v>
      </c>
      <c r="P274" s="3">
        <v>50</v>
      </c>
      <c r="Q274" s="3">
        <f>IF(P274="","",IF(P274="DNS",0,IF(P274="DQ",0,IF(P274="DNF",1,IF(AND(ISNUMBER(P274),P274&gt;59),1,_xlfn.XLOOKUP(P274,tbl_points[Place],tbl_points[Points],""))))))</f>
        <v>10</v>
      </c>
      <c r="S274" s="3" t="str">
        <f>IF(R274="","",IF(R274="DNS",0,IF(R274="DQ",0,IF(R274="DNF",1,IF(AND(ISNUMBER(R274),R274&gt;59),1,_xlfn.XLOOKUP(R274,tbl_points[Place],tbl_points[Points],""))))))</f>
        <v/>
      </c>
      <c r="T274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4" s="3">
        <f>tbl_individual[[#This Row],[Total]]</f>
        <v>22</v>
      </c>
    </row>
    <row r="275" spans="1:22" x14ac:dyDescent="0.4">
      <c r="A275" t="s">
        <v>101</v>
      </c>
      <c r="B275" t="s">
        <v>10</v>
      </c>
      <c r="C275" t="s">
        <v>1</v>
      </c>
      <c r="D275" s="3">
        <v>12017</v>
      </c>
      <c r="E275" s="3" t="s">
        <v>421</v>
      </c>
      <c r="G275" s="3" t="s">
        <v>403</v>
      </c>
      <c r="H275" s="3" t="s">
        <v>410</v>
      </c>
      <c r="I275" s="3">
        <f>IF(H275="","",IF(H275="DNS",0,IF(H275="DQ",0,IF(H275="DNF",1,IF(AND(ISNUMBER(H275),H275&gt;59),1,_xlfn.XLOOKUP(H275,tbl_points[Place],tbl_points[Points],""))))))</f>
        <v>0</v>
      </c>
      <c r="J275" s="3">
        <v>72</v>
      </c>
      <c r="K275" s="3">
        <f>IF(J275="","",IF(J275="DNS",0,IF(J275="DQ",0,IF(J275="DNF",1,IF(AND(ISNUMBER(J275),J275&gt;59),1,_xlfn.XLOOKUP(J275,tbl_points[Place],tbl_points[Points],""))))))</f>
        <v>1</v>
      </c>
      <c r="L275" s="3" t="s">
        <v>410</v>
      </c>
      <c r="M275" s="3">
        <f>IF(L275="","",IF(L275="DNS",0,IF(L275="DQ",0,IF(L275="DNF",1,IF(AND(ISNUMBER(L275),L275&gt;59),1,_xlfn.XLOOKUP(L275,tbl_points[Place],tbl_points[Points],""))))))</f>
        <v>0</v>
      </c>
      <c r="N275" s="3">
        <v>42</v>
      </c>
      <c r="O275" s="3">
        <f>IF(N275="","",IF(N275="DNS",0,IF(N275="DQ",0,IF(N275="DNF",1,IF(AND(ISNUMBER(N275),N275&gt;59),1,_xlfn.XLOOKUP(N275,tbl_points[Place],tbl_points[Points],""))))))</f>
        <v>18</v>
      </c>
      <c r="P275" s="3" t="s">
        <v>410</v>
      </c>
      <c r="Q275" s="3">
        <f>IF(P275="","",IF(P275="DNS",0,IF(P275="DQ",0,IF(P275="DNF",1,IF(AND(ISNUMBER(P275),P275&gt;59),1,_xlfn.XLOOKUP(P275,tbl_points[Place],tbl_points[Points],""))))))</f>
        <v>0</v>
      </c>
      <c r="S275" s="3" t="str">
        <f>IF(R275="","",IF(R275="DNS",0,IF(R275="DQ",0,IF(R275="DNF",1,IF(AND(ISNUMBER(R275),R275&gt;59),1,_xlfn.XLOOKUP(R275,tbl_points[Place],tbl_points[Points],""))))))</f>
        <v/>
      </c>
      <c r="T275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5" s="3">
        <f>tbl_individual[[#This Row],[Total]]</f>
        <v>19</v>
      </c>
    </row>
    <row r="276" spans="1:22" x14ac:dyDescent="0.4">
      <c r="A276" t="s">
        <v>110</v>
      </c>
      <c r="B276" t="s">
        <v>11</v>
      </c>
      <c r="C276" t="s">
        <v>1</v>
      </c>
      <c r="D276" s="3">
        <v>12018</v>
      </c>
      <c r="E276" s="3" t="s">
        <v>421</v>
      </c>
      <c r="G276" s="3" t="s">
        <v>403</v>
      </c>
      <c r="H276" s="3">
        <v>45</v>
      </c>
      <c r="I276" s="3">
        <f>IF(H276="","",IF(H276="DNS",0,IF(H276="DQ",0,IF(H276="DNF",1,IF(AND(ISNUMBER(H276),H276&gt;59),1,_xlfn.XLOOKUP(H276,tbl_points[Place],tbl_points[Points],""))))))</f>
        <v>15</v>
      </c>
      <c r="J276" s="3">
        <v>59</v>
      </c>
      <c r="K276" s="3">
        <f>IF(J276="","",IF(J276="DNS",0,IF(J276="DQ",0,IF(J276="DNF",1,IF(AND(ISNUMBER(J276),J276&gt;59),1,_xlfn.XLOOKUP(J276,tbl_points[Place],tbl_points[Points],""))))))</f>
        <v>1</v>
      </c>
      <c r="L276" s="3" t="s">
        <v>409</v>
      </c>
      <c r="M276" s="3">
        <f>IF(L276="","",IF(L276="DNS",0,IF(L276="DQ",0,IF(L276="DNF",1,IF(AND(ISNUMBER(L276),L276&gt;59),1,_xlfn.XLOOKUP(L276,tbl_points[Place],tbl_points[Points],""))))))</f>
        <v>1</v>
      </c>
      <c r="N276" s="3" t="s">
        <v>410</v>
      </c>
      <c r="O276" s="3">
        <f>IF(N276="","",IF(N276="DNS",0,IF(N276="DQ",0,IF(N276="DNF",1,IF(AND(ISNUMBER(N276),N276&gt;59),1,_xlfn.XLOOKUP(N276,tbl_points[Place],tbl_points[Points],""))))))</f>
        <v>0</v>
      </c>
      <c r="P276" s="3" t="s">
        <v>409</v>
      </c>
      <c r="Q276" s="3">
        <f>IF(P276="","",IF(P276="DNS",0,IF(P276="DQ",0,IF(P276="DNF",1,IF(AND(ISNUMBER(P276),P276&gt;59),1,_xlfn.XLOOKUP(P276,tbl_points[Place],tbl_points[Points],""))))))</f>
        <v>1</v>
      </c>
      <c r="S276" s="3" t="str">
        <f>IF(R276="","",IF(R276="DNS",0,IF(R276="DQ",0,IF(R276="DNF",1,IF(AND(ISNUMBER(R276),R276&gt;59),1,_xlfn.XLOOKUP(R276,tbl_points[Place],tbl_points[Points],""))))))</f>
        <v/>
      </c>
      <c r="T276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6" s="3">
        <f>tbl_individual[[#This Row],[Total]]</f>
        <v>18</v>
      </c>
    </row>
    <row r="277" spans="1:22" x14ac:dyDescent="0.4">
      <c r="A277" t="s">
        <v>111</v>
      </c>
      <c r="B277" t="s">
        <v>11</v>
      </c>
      <c r="C277" t="s">
        <v>1</v>
      </c>
      <c r="D277" s="3">
        <v>12019</v>
      </c>
      <c r="E277" s="3" t="s">
        <v>421</v>
      </c>
      <c r="G277" s="3" t="s">
        <v>407</v>
      </c>
      <c r="H277" s="3" t="s">
        <v>410</v>
      </c>
      <c r="I277" s="3">
        <f>IF(H277="","",IF(H277="DNS",0,IF(H277="DQ",0,IF(H277="DNF",1,IF(AND(ISNUMBER(H277),H277&gt;59),1,_xlfn.XLOOKUP(H277,tbl_points[Place],tbl_points[Points],""))))))</f>
        <v>0</v>
      </c>
      <c r="J277" s="3" t="s">
        <v>410</v>
      </c>
      <c r="K277" s="3">
        <f>IF(J277="","",IF(J277="DNS",0,IF(J277="DQ",0,IF(J277="DNF",1,IF(AND(ISNUMBER(J277),J277&gt;59),1,_xlfn.XLOOKUP(J277,tbl_points[Place],tbl_points[Points],""))))))</f>
        <v>0</v>
      </c>
      <c r="L277" s="3" t="s">
        <v>410</v>
      </c>
      <c r="M277" s="3">
        <f>IF(L277="","",IF(L277="DNS",0,IF(L277="DQ",0,IF(L277="DNF",1,IF(AND(ISNUMBER(L277),L277&gt;59),1,_xlfn.XLOOKUP(L277,tbl_points[Place],tbl_points[Points],""))))))</f>
        <v>0</v>
      </c>
      <c r="N277" s="3" t="s">
        <v>410</v>
      </c>
      <c r="O277" s="3">
        <f>IF(N277="","",IF(N277="DNS",0,IF(N277="DQ",0,IF(N277="DNF",1,IF(AND(ISNUMBER(N277),N277&gt;59),1,_xlfn.XLOOKUP(N277,tbl_points[Place],tbl_points[Points],""))))))</f>
        <v>0</v>
      </c>
      <c r="P277" s="3" t="s">
        <v>410</v>
      </c>
      <c r="Q277" s="3">
        <f>IF(P277="","",IF(P277="DNS",0,IF(P277="DQ",0,IF(P277="DNF",1,IF(AND(ISNUMBER(P277),P277&gt;59),1,_xlfn.XLOOKUP(P277,tbl_points[Place],tbl_points[Points],""))))))</f>
        <v>0</v>
      </c>
      <c r="S277" s="3" t="str">
        <f>IF(R277="","",IF(R277="DNS",0,IF(R277="DQ",0,IF(R277="DNF",1,IF(AND(ISNUMBER(R277),R277&gt;59),1,_xlfn.XLOOKUP(R277,tbl_points[Place],tbl_points[Points],""))))))</f>
        <v/>
      </c>
      <c r="T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7" s="3">
        <f>tbl_individual[[#This Row],[Total]]</f>
        <v>0</v>
      </c>
    </row>
    <row r="278" spans="1:22" x14ac:dyDescent="0.4">
      <c r="A278" t="s">
        <v>116</v>
      </c>
      <c r="B278" t="s">
        <v>12</v>
      </c>
      <c r="C278" t="s">
        <v>1</v>
      </c>
      <c r="D278" s="3">
        <v>12020</v>
      </c>
      <c r="E278" s="3" t="s">
        <v>421</v>
      </c>
      <c r="G278" s="3" t="s">
        <v>403</v>
      </c>
      <c r="H278" s="3">
        <v>49</v>
      </c>
      <c r="I278" s="3">
        <f>IF(H278="","",IF(H278="DNS",0,IF(H278="DQ",0,IF(H278="DNF",1,IF(AND(ISNUMBER(H278),H278&gt;59),1,_xlfn.XLOOKUP(H278,tbl_points[Place],tbl_points[Points],""))))))</f>
        <v>11</v>
      </c>
      <c r="J278" s="3">
        <v>74</v>
      </c>
      <c r="K278" s="3">
        <f>IF(J278="","",IF(J278="DNS",0,IF(J278="DQ",0,IF(J278="DNF",1,IF(AND(ISNUMBER(J278),J278&gt;59),1,_xlfn.XLOOKUP(J278,tbl_points[Place],tbl_points[Points],""))))))</f>
        <v>1</v>
      </c>
      <c r="L278" s="3">
        <v>54</v>
      </c>
      <c r="M278" s="3">
        <f>IF(L278="","",IF(L278="DNS",0,IF(L278="DQ",0,IF(L278="DNF",1,IF(AND(ISNUMBER(L278),L278&gt;59),1,_xlfn.XLOOKUP(L278,tbl_points[Place],tbl_points[Points],""))))))</f>
        <v>6</v>
      </c>
      <c r="N278" s="3">
        <v>63</v>
      </c>
      <c r="O278" s="3">
        <f>IF(N278="","",IF(N278="DNS",0,IF(N278="DQ",0,IF(N278="DNF",1,IF(AND(ISNUMBER(N278),N278&gt;59),1,_xlfn.XLOOKUP(N278,tbl_points[Place],tbl_points[Points],""))))))</f>
        <v>1</v>
      </c>
      <c r="P278" s="3" t="s">
        <v>410</v>
      </c>
      <c r="Q278" s="3">
        <f>IF(P278="","",IF(P278="DNS",0,IF(P278="DQ",0,IF(P278="DNF",1,IF(AND(ISNUMBER(P278),P278&gt;59),1,_xlfn.XLOOKUP(P278,tbl_points[Place],tbl_points[Points],""))))))</f>
        <v>0</v>
      </c>
      <c r="S278" s="3" t="str">
        <f>IF(R278="","",IF(R278="DNS",0,IF(R278="DQ",0,IF(R278="DNF",1,IF(AND(ISNUMBER(R278),R278&gt;59),1,_xlfn.XLOOKUP(R278,tbl_points[Place],tbl_points[Points],""))))))</f>
        <v/>
      </c>
      <c r="T278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8" s="3">
        <f>tbl_individual[[#This Row],[Total]]</f>
        <v>19</v>
      </c>
    </row>
    <row r="279" spans="1:22" x14ac:dyDescent="0.4">
      <c r="A279" t="s">
        <v>117</v>
      </c>
      <c r="B279" t="s">
        <v>12</v>
      </c>
      <c r="C279" t="s">
        <v>1</v>
      </c>
      <c r="D279" s="3">
        <v>12021</v>
      </c>
      <c r="E279" s="3" t="s">
        <v>421</v>
      </c>
      <c r="G279" s="3" t="s">
        <v>407</v>
      </c>
      <c r="H279" s="3" t="s">
        <v>409</v>
      </c>
      <c r="I279" s="3">
        <f>IF(H279="","",IF(H279="DNS",0,IF(H279="DQ",0,IF(H279="DNF",1,IF(AND(ISNUMBER(H279),H279&gt;59),1,_xlfn.XLOOKUP(H279,tbl_points[Place],tbl_points[Points],""))))))</f>
        <v>1</v>
      </c>
      <c r="J279" s="3" t="s">
        <v>410</v>
      </c>
      <c r="K279" s="3">
        <f>IF(J279="","",IF(J279="DNS",0,IF(J279="DQ",0,IF(J279="DNF",1,IF(AND(ISNUMBER(J279),J279&gt;59),1,_xlfn.XLOOKUP(J279,tbl_points[Place],tbl_points[Points],""))))))</f>
        <v>0</v>
      </c>
      <c r="L279" s="3">
        <v>52</v>
      </c>
      <c r="M279" s="3">
        <f>IF(L279="","",IF(L279="DNS",0,IF(L279="DQ",0,IF(L279="DNF",1,IF(AND(ISNUMBER(L279),L279&gt;59),1,_xlfn.XLOOKUP(L279,tbl_points[Place],tbl_points[Points],""))))))</f>
        <v>8</v>
      </c>
      <c r="N279" s="3">
        <v>62</v>
      </c>
      <c r="O279" s="3">
        <f>IF(N279="","",IF(N279="DNS",0,IF(N279="DQ",0,IF(N279="DNF",1,IF(AND(ISNUMBER(N279),N279&gt;59),1,_xlfn.XLOOKUP(N279,tbl_points[Place],tbl_points[Points],""))))))</f>
        <v>1</v>
      </c>
      <c r="P279" s="3" t="s">
        <v>410</v>
      </c>
      <c r="Q279" s="3">
        <f>IF(P279="","",IF(P279="DNS",0,IF(P279="DQ",0,IF(P279="DNF",1,IF(AND(ISNUMBER(P279),P279&gt;59),1,_xlfn.XLOOKUP(P279,tbl_points[Place],tbl_points[Points],""))))))</f>
        <v>0</v>
      </c>
      <c r="S279" s="3" t="str">
        <f>IF(R279="","",IF(R279="DNS",0,IF(R279="DQ",0,IF(R279="DNF",1,IF(AND(ISNUMBER(R279),R279&gt;59),1,_xlfn.XLOOKUP(R279,tbl_points[Place],tbl_points[Points],""))))))</f>
        <v/>
      </c>
      <c r="T279" s="3">
        <f>SUM(tbl_individual[[#This Row],[R1 Pts]],tbl_individual[[#This Row],[R2 Pts]],tbl_individual[[#This Row],[R3 Pts]],tbl_individual[[#This Row],[R4 Pts]],tbl_individual[[#This Row],[R5 Pts]],tbl_individual[[#This Row],[R6 Pts]])</f>
        <v>10</v>
      </c>
      <c r="U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9" s="3">
        <f>tbl_individual[[#This Row],[Total]]</f>
        <v>10</v>
      </c>
    </row>
    <row r="280" spans="1:22" x14ac:dyDescent="0.4">
      <c r="A280" t="s">
        <v>118</v>
      </c>
      <c r="B280" t="s">
        <v>12</v>
      </c>
      <c r="C280" t="s">
        <v>1</v>
      </c>
      <c r="D280" s="3">
        <v>12022</v>
      </c>
      <c r="E280" s="3" t="s">
        <v>421</v>
      </c>
      <c r="G280" s="3" t="s">
        <v>403</v>
      </c>
      <c r="H280" s="3">
        <v>46</v>
      </c>
      <c r="I280" s="3">
        <f>IF(H280="","",IF(H280="DNS",0,IF(H280="DQ",0,IF(H280="DNF",1,IF(AND(ISNUMBER(H280),H280&gt;59),1,_xlfn.XLOOKUP(H280,tbl_points[Place],tbl_points[Points],""))))))</f>
        <v>14</v>
      </c>
      <c r="J280" s="3">
        <v>73</v>
      </c>
      <c r="K280" s="3">
        <f>IF(J280="","",IF(J280="DNS",0,IF(J280="DQ",0,IF(J280="DNF",1,IF(AND(ISNUMBER(J280),J280&gt;59),1,_xlfn.XLOOKUP(J280,tbl_points[Place],tbl_points[Points],""))))))</f>
        <v>1</v>
      </c>
      <c r="L280" s="3" t="s">
        <v>410</v>
      </c>
      <c r="M280" s="3">
        <f>IF(L280="","",IF(L280="DNS",0,IF(L280="DQ",0,IF(L280="DNF",1,IF(AND(ISNUMBER(L280),L280&gt;59),1,_xlfn.XLOOKUP(L280,tbl_points[Place],tbl_points[Points],""))))))</f>
        <v>0</v>
      </c>
      <c r="N280" s="3">
        <v>64</v>
      </c>
      <c r="O280" s="3">
        <f>IF(N280="","",IF(N280="DNS",0,IF(N280="DQ",0,IF(N280="DNF",1,IF(AND(ISNUMBER(N280),N280&gt;59),1,_xlfn.XLOOKUP(N280,tbl_points[Place],tbl_points[Points],""))))))</f>
        <v>1</v>
      </c>
      <c r="P280" s="3" t="s">
        <v>410</v>
      </c>
      <c r="Q280" s="3">
        <f>IF(P280="","",IF(P280="DNS",0,IF(P280="DQ",0,IF(P280="DNF",1,IF(AND(ISNUMBER(P280),P280&gt;59),1,_xlfn.XLOOKUP(P280,tbl_points[Place],tbl_points[Points],""))))))</f>
        <v>0</v>
      </c>
      <c r="S280" s="3" t="str">
        <f>IF(R280="","",IF(R280="DNS",0,IF(R280="DQ",0,IF(R280="DNF",1,IF(AND(ISNUMBER(R280),R280&gt;59),1,_xlfn.XLOOKUP(R280,tbl_points[Place],tbl_points[Points],""))))))</f>
        <v/>
      </c>
      <c r="T280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0" s="3">
        <f>tbl_individual[[#This Row],[Total]]</f>
        <v>16</v>
      </c>
    </row>
    <row r="281" spans="1:22" x14ac:dyDescent="0.4">
      <c r="A281" t="s">
        <v>119</v>
      </c>
      <c r="B281" t="s">
        <v>12</v>
      </c>
      <c r="C281" t="s">
        <v>1</v>
      </c>
      <c r="D281" s="3">
        <v>12023</v>
      </c>
      <c r="E281" s="3" t="s">
        <v>421</v>
      </c>
      <c r="G281" s="3" t="s">
        <v>403</v>
      </c>
      <c r="H281" s="3">
        <v>47</v>
      </c>
      <c r="I281" s="3">
        <f>IF(H281="","",IF(H281="DNS",0,IF(H281="DQ",0,IF(H281="DNF",1,IF(AND(ISNUMBER(H281),H281&gt;59),1,_xlfn.XLOOKUP(H281,tbl_points[Place],tbl_points[Points],""))))))</f>
        <v>13</v>
      </c>
      <c r="J281" s="3">
        <v>68</v>
      </c>
      <c r="K281" s="3">
        <f>IF(J281="","",IF(J281="DNS",0,IF(J281="DQ",0,IF(J281="DNF",1,IF(AND(ISNUMBER(J281),J281&gt;59),1,_xlfn.XLOOKUP(J281,tbl_points[Place],tbl_points[Points],""))))))</f>
        <v>1</v>
      </c>
      <c r="L281" s="3">
        <v>53</v>
      </c>
      <c r="M281" s="3">
        <f>IF(L281="","",IF(L281="DNS",0,IF(L281="DQ",0,IF(L281="DNF",1,IF(AND(ISNUMBER(L281),L281&gt;59),1,_xlfn.XLOOKUP(L281,tbl_points[Place],tbl_points[Points],""))))))</f>
        <v>7</v>
      </c>
      <c r="N281" s="3">
        <v>58</v>
      </c>
      <c r="O281" s="3">
        <f>IF(N281="","",IF(N281="DNS",0,IF(N281="DQ",0,IF(N281="DNF",1,IF(AND(ISNUMBER(N281),N281&gt;59),1,_xlfn.XLOOKUP(N281,tbl_points[Place],tbl_points[Points],""))))))</f>
        <v>2</v>
      </c>
      <c r="P281" s="3" t="s">
        <v>410</v>
      </c>
      <c r="Q281" s="3">
        <f>IF(P281="","",IF(P281="DNS",0,IF(P281="DQ",0,IF(P281="DNF",1,IF(AND(ISNUMBER(P281),P281&gt;59),1,_xlfn.XLOOKUP(P281,tbl_points[Place],tbl_points[Points],""))))))</f>
        <v>0</v>
      </c>
      <c r="S281" s="3" t="str">
        <f>IF(R281="","",IF(R281="DNS",0,IF(R281="DQ",0,IF(R281="DNF",1,IF(AND(ISNUMBER(R281),R281&gt;59),1,_xlfn.XLOOKUP(R281,tbl_points[Place],tbl_points[Points],""))))))</f>
        <v/>
      </c>
      <c r="T281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1" s="3">
        <f>tbl_individual[[#This Row],[Total]]</f>
        <v>23</v>
      </c>
    </row>
    <row r="282" spans="1:22" x14ac:dyDescent="0.4">
      <c r="A282" t="s">
        <v>127</v>
      </c>
      <c r="B282" t="s">
        <v>13</v>
      </c>
      <c r="C282" t="s">
        <v>1</v>
      </c>
      <c r="D282" s="3">
        <v>12024</v>
      </c>
      <c r="E282" s="3" t="s">
        <v>421</v>
      </c>
      <c r="G282" s="3" t="s">
        <v>403</v>
      </c>
      <c r="H282" s="3" t="s">
        <v>410</v>
      </c>
      <c r="I282" s="3">
        <f>IF(H282="","",IF(H282="DNS",0,IF(H282="DQ",0,IF(H282="DNF",1,IF(AND(ISNUMBER(H282),H282&gt;59),1,_xlfn.XLOOKUP(H282,tbl_points[Place],tbl_points[Points],""))))))</f>
        <v>0</v>
      </c>
      <c r="J282" s="3">
        <v>15</v>
      </c>
      <c r="K282" s="3">
        <f>IF(J282="","",IF(J282="DNS",0,IF(J282="DQ",0,IF(J282="DNF",1,IF(AND(ISNUMBER(J282),J282&gt;59),1,_xlfn.XLOOKUP(J282,tbl_points[Place],tbl_points[Points],""))))))</f>
        <v>45</v>
      </c>
      <c r="L282" s="3">
        <v>22</v>
      </c>
      <c r="M282" s="3">
        <f>IF(L282="","",IF(L282="DNS",0,IF(L282="DQ",0,IF(L282="DNF",1,IF(AND(ISNUMBER(L282),L282&gt;59),1,_xlfn.XLOOKUP(L282,tbl_points[Place],tbl_points[Points],""))))))</f>
        <v>38</v>
      </c>
      <c r="N282" s="3">
        <v>16</v>
      </c>
      <c r="O282" s="3">
        <f>IF(N282="","",IF(N282="DNS",0,IF(N282="DQ",0,IF(N282="DNF",1,IF(AND(ISNUMBER(N282),N282&gt;59),1,_xlfn.XLOOKUP(N282,tbl_points[Place],tbl_points[Points],""))))))</f>
        <v>44</v>
      </c>
      <c r="P282" s="3">
        <v>8</v>
      </c>
      <c r="Q282" s="3">
        <f>IF(P282="","",IF(P282="DNS",0,IF(P282="DQ",0,IF(P282="DNF",1,IF(AND(ISNUMBER(P282),P282&gt;59),1,_xlfn.XLOOKUP(P282,tbl_points[Place],tbl_points[Points],""))))))</f>
        <v>65</v>
      </c>
      <c r="S282" s="3" t="str">
        <f>IF(R282="","",IF(R282="DNS",0,IF(R282="DQ",0,IF(R282="DNF",1,IF(AND(ISNUMBER(R282),R282&gt;59),1,_xlfn.XLOOKUP(R282,tbl_points[Place],tbl_points[Points],""))))))</f>
        <v/>
      </c>
      <c r="T282" s="3">
        <f>SUM(tbl_individual[[#This Row],[R1 Pts]],tbl_individual[[#This Row],[R2 Pts]],tbl_individual[[#This Row],[R3 Pts]],tbl_individual[[#This Row],[R4 Pts]],tbl_individual[[#This Row],[R5 Pts]],tbl_individual[[#This Row],[R6 Pts]])</f>
        <v>192</v>
      </c>
      <c r="U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2" s="3">
        <f>tbl_individual[[#This Row],[Total]]</f>
        <v>192</v>
      </c>
    </row>
    <row r="283" spans="1:22" x14ac:dyDescent="0.4">
      <c r="A283" t="s">
        <v>128</v>
      </c>
      <c r="B283" t="s">
        <v>13</v>
      </c>
      <c r="C283" t="s">
        <v>1</v>
      </c>
      <c r="D283" s="3">
        <v>12025</v>
      </c>
      <c r="E283" s="3" t="s">
        <v>421</v>
      </c>
      <c r="G283" s="3" t="s">
        <v>403</v>
      </c>
      <c r="H283" s="3">
        <v>4</v>
      </c>
      <c r="I283" s="3">
        <f>IF(H283="","",IF(H283="DNS",0,IF(H283="DQ",0,IF(H283="DNF",1,IF(AND(ISNUMBER(H283),H283&gt;59),1,_xlfn.XLOOKUP(H283,tbl_points[Place],tbl_points[Points],""))))))</f>
        <v>85</v>
      </c>
      <c r="J283" s="3">
        <v>2</v>
      </c>
      <c r="K283" s="3">
        <f>IF(J283="","",IF(J283="DNS",0,IF(J283="DQ",0,IF(J283="DNF",1,IF(AND(ISNUMBER(J283),J283&gt;59),1,_xlfn.XLOOKUP(J283,tbl_points[Place],tbl_points[Points],""))))))</f>
        <v>95</v>
      </c>
      <c r="L283" s="3">
        <v>6</v>
      </c>
      <c r="M283" s="3">
        <f>IF(L283="","",IF(L283="DNS",0,IF(L283="DQ",0,IF(L283="DNF",1,IF(AND(ISNUMBER(L283),L283&gt;59),1,_xlfn.XLOOKUP(L283,tbl_points[Place],tbl_points[Points],""))))))</f>
        <v>75</v>
      </c>
      <c r="N283" s="3">
        <v>1</v>
      </c>
      <c r="O283" s="3">
        <f>IF(N283="","",IF(N283="DNS",0,IF(N283="DQ",0,IF(N283="DNF",1,IF(AND(ISNUMBER(N283),N283&gt;59),1,_xlfn.XLOOKUP(N283,tbl_points[Place],tbl_points[Points],""))))))</f>
        <v>100</v>
      </c>
      <c r="P283" s="3">
        <v>2</v>
      </c>
      <c r="Q283" s="3">
        <f>IF(P283="","",IF(P283="DNS",0,IF(P283="DQ",0,IF(P283="DNF",1,IF(AND(ISNUMBER(P283),P283&gt;59),1,_xlfn.XLOOKUP(P283,tbl_points[Place],tbl_points[Points],""))))))</f>
        <v>95</v>
      </c>
      <c r="S283" s="3" t="str">
        <f>IF(R283="","",IF(R283="DNS",0,IF(R283="DQ",0,IF(R283="DNF",1,IF(AND(ISNUMBER(R283),R283&gt;59),1,_xlfn.XLOOKUP(R283,tbl_points[Place],tbl_points[Points],""))))))</f>
        <v/>
      </c>
      <c r="T283" s="3">
        <f>SUM(tbl_individual[[#This Row],[R1 Pts]],tbl_individual[[#This Row],[R2 Pts]],tbl_individual[[#This Row],[R3 Pts]],tbl_individual[[#This Row],[R4 Pts]],tbl_individual[[#This Row],[R5 Pts]],tbl_individual[[#This Row],[R6 Pts]])</f>
        <v>450</v>
      </c>
      <c r="U283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283" s="3">
        <f>tbl_individual[[#This Row],[Total]]</f>
        <v>450</v>
      </c>
    </row>
    <row r="284" spans="1:22" x14ac:dyDescent="0.4">
      <c r="A284" t="s">
        <v>129</v>
      </c>
      <c r="B284" t="s">
        <v>13</v>
      </c>
      <c r="C284" t="s">
        <v>1</v>
      </c>
      <c r="D284" s="3">
        <v>12026</v>
      </c>
      <c r="E284" s="3" t="s">
        <v>421</v>
      </c>
      <c r="G284" s="3" t="s">
        <v>403</v>
      </c>
      <c r="H284" s="3">
        <v>27</v>
      </c>
      <c r="I284" s="3">
        <f>IF(H284="","",IF(H284="DNS",0,IF(H284="DQ",0,IF(H284="DNF",1,IF(AND(ISNUMBER(H284),H284&gt;59),1,_xlfn.XLOOKUP(H284,tbl_points[Place],tbl_points[Points],""))))))</f>
        <v>33</v>
      </c>
      <c r="J284" s="3">
        <v>56</v>
      </c>
      <c r="K284" s="3">
        <f>IF(J284="","",IF(J284="DNS",0,IF(J284="DQ",0,IF(J284="DNF",1,IF(AND(ISNUMBER(J284),J284&gt;59),1,_xlfn.XLOOKUP(J284,tbl_points[Place],tbl_points[Points],""))))))</f>
        <v>4</v>
      </c>
      <c r="L284" s="3" t="s">
        <v>410</v>
      </c>
      <c r="M284" s="3">
        <f>IF(L284="","",IF(L284="DNS",0,IF(L284="DQ",0,IF(L284="DNF",1,IF(AND(ISNUMBER(L284),L284&gt;59),1,_xlfn.XLOOKUP(L284,tbl_points[Place],tbl_points[Points],""))))))</f>
        <v>0</v>
      </c>
      <c r="N284" s="3" t="s">
        <v>410</v>
      </c>
      <c r="O284" s="3">
        <f>IF(N284="","",IF(N284="DNS",0,IF(N284="DQ",0,IF(N284="DNF",1,IF(AND(ISNUMBER(N284),N284&gt;59),1,_xlfn.XLOOKUP(N284,tbl_points[Place],tbl_points[Points],""))))))</f>
        <v>0</v>
      </c>
      <c r="P284" s="3">
        <v>53</v>
      </c>
      <c r="Q284" s="3">
        <f>IF(P284="","",IF(P284="DNS",0,IF(P284="DQ",0,IF(P284="DNF",1,IF(AND(ISNUMBER(P284),P284&gt;59),1,_xlfn.XLOOKUP(P284,tbl_points[Place],tbl_points[Points],""))))))</f>
        <v>7</v>
      </c>
      <c r="S284" s="3" t="str">
        <f>IF(R284="","",IF(R284="DNS",0,IF(R284="DQ",0,IF(R284="DNF",1,IF(AND(ISNUMBER(R284),R284&gt;59),1,_xlfn.XLOOKUP(R284,tbl_points[Place],tbl_points[Points],""))))))</f>
        <v/>
      </c>
      <c r="T284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4" s="3">
        <f>tbl_individual[[#This Row],[Total]]</f>
        <v>44</v>
      </c>
    </row>
    <row r="285" spans="1:22" x14ac:dyDescent="0.4">
      <c r="A285" t="s">
        <v>130</v>
      </c>
      <c r="B285" t="s">
        <v>13</v>
      </c>
      <c r="C285" t="s">
        <v>1</v>
      </c>
      <c r="D285" s="3">
        <v>12027</v>
      </c>
      <c r="E285" s="3" t="s">
        <v>421</v>
      </c>
      <c r="G285" s="3" t="s">
        <v>403</v>
      </c>
      <c r="H285" s="3">
        <v>43</v>
      </c>
      <c r="I285" s="3">
        <f>IF(H285="","",IF(H285="DNS",0,IF(H285="DQ",0,IF(H285="DNF",1,IF(AND(ISNUMBER(H285),H285&gt;59),1,_xlfn.XLOOKUP(H285,tbl_points[Place],tbl_points[Points],""))))))</f>
        <v>17</v>
      </c>
      <c r="J285" s="3">
        <v>41</v>
      </c>
      <c r="K285" s="3">
        <f>IF(J285="","",IF(J285="DNS",0,IF(J285="DQ",0,IF(J285="DNF",1,IF(AND(ISNUMBER(J285),J285&gt;59),1,_xlfn.XLOOKUP(J285,tbl_points[Place],tbl_points[Points],""))))))</f>
        <v>19</v>
      </c>
      <c r="L285" s="3">
        <v>47</v>
      </c>
      <c r="M285" s="3">
        <f>IF(L285="","",IF(L285="DNS",0,IF(L285="DQ",0,IF(L285="DNF",1,IF(AND(ISNUMBER(L285),L285&gt;59),1,_xlfn.XLOOKUP(L285,tbl_points[Place],tbl_points[Points],""))))))</f>
        <v>13</v>
      </c>
      <c r="N285" s="3">
        <v>34</v>
      </c>
      <c r="O285" s="3">
        <f>IF(N285="","",IF(N285="DNS",0,IF(N285="DQ",0,IF(N285="DNF",1,IF(AND(ISNUMBER(N285),N285&gt;59),1,_xlfn.XLOOKUP(N285,tbl_points[Place],tbl_points[Points],""))))))</f>
        <v>26</v>
      </c>
      <c r="P285" s="3">
        <v>18</v>
      </c>
      <c r="Q285" s="3">
        <f>IF(P285="","",IF(P285="DNS",0,IF(P285="DQ",0,IF(P285="DNF",1,IF(AND(ISNUMBER(P285),P285&gt;59),1,_xlfn.XLOOKUP(P285,tbl_points[Place],tbl_points[Points],""))))))</f>
        <v>42</v>
      </c>
      <c r="S285" s="3" t="str">
        <f>IF(R285="","",IF(R285="DNS",0,IF(R285="DQ",0,IF(R285="DNF",1,IF(AND(ISNUMBER(R285),R285&gt;59),1,_xlfn.XLOOKUP(R285,tbl_points[Place],tbl_points[Points],""))))))</f>
        <v/>
      </c>
      <c r="T285" s="3">
        <f>SUM(tbl_individual[[#This Row],[R1 Pts]],tbl_individual[[#This Row],[R2 Pts]],tbl_individual[[#This Row],[R3 Pts]],tbl_individual[[#This Row],[R4 Pts]],tbl_individual[[#This Row],[R5 Pts]],tbl_individual[[#This Row],[R6 Pts]])</f>
        <v>117</v>
      </c>
      <c r="U285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285" s="3">
        <f>tbl_individual[[#This Row],[Total]]</f>
        <v>117</v>
      </c>
    </row>
    <row r="286" spans="1:22" x14ac:dyDescent="0.4">
      <c r="A286" t="s">
        <v>131</v>
      </c>
      <c r="B286" t="s">
        <v>13</v>
      </c>
      <c r="C286" t="s">
        <v>1</v>
      </c>
      <c r="D286" s="3">
        <v>12028</v>
      </c>
      <c r="E286" s="3" t="s">
        <v>421</v>
      </c>
      <c r="G286" s="3" t="s">
        <v>403</v>
      </c>
      <c r="H286" s="3">
        <v>42</v>
      </c>
      <c r="I286" s="3">
        <f>IF(H286="","",IF(H286="DNS",0,IF(H286="DQ",0,IF(H286="DNF",1,IF(AND(ISNUMBER(H286),H286&gt;59),1,_xlfn.XLOOKUP(H286,tbl_points[Place],tbl_points[Points],""))))))</f>
        <v>18</v>
      </c>
      <c r="J286" s="3">
        <v>55</v>
      </c>
      <c r="K286" s="3">
        <f>IF(J286="","",IF(J286="DNS",0,IF(J286="DQ",0,IF(J286="DNF",1,IF(AND(ISNUMBER(J286),J286&gt;59),1,_xlfn.XLOOKUP(J286,tbl_points[Place],tbl_points[Points],""))))))</f>
        <v>5</v>
      </c>
      <c r="L286" s="3">
        <v>43</v>
      </c>
      <c r="M286" s="3">
        <f>IF(L286="","",IF(L286="DNS",0,IF(L286="DQ",0,IF(L286="DNF",1,IF(AND(ISNUMBER(L286),L286&gt;59),1,_xlfn.XLOOKUP(L286,tbl_points[Place],tbl_points[Points],""))))))</f>
        <v>17</v>
      </c>
      <c r="N286" s="3">
        <v>37</v>
      </c>
      <c r="O286" s="3">
        <f>IF(N286="","",IF(N286="DNS",0,IF(N286="DQ",0,IF(N286="DNF",1,IF(AND(ISNUMBER(N286),N286&gt;59),1,_xlfn.XLOOKUP(N286,tbl_points[Place],tbl_points[Points],""))))))</f>
        <v>23</v>
      </c>
      <c r="P286" s="3">
        <v>47</v>
      </c>
      <c r="Q286" s="3">
        <f>IF(P286="","",IF(P286="DNS",0,IF(P286="DQ",0,IF(P286="DNF",1,IF(AND(ISNUMBER(P286),P286&gt;59),1,_xlfn.XLOOKUP(P286,tbl_points[Place],tbl_points[Points],""))))))</f>
        <v>13</v>
      </c>
      <c r="S286" s="3" t="str">
        <f>IF(R286="","",IF(R286="DNS",0,IF(R286="DQ",0,IF(R286="DNF",1,IF(AND(ISNUMBER(R286),R286&gt;59),1,_xlfn.XLOOKUP(R286,tbl_points[Place],tbl_points[Points],""))))))</f>
        <v/>
      </c>
      <c r="T286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286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286" s="3">
        <f>tbl_individual[[#This Row],[Total]]</f>
        <v>76</v>
      </c>
    </row>
    <row r="287" spans="1:22" x14ac:dyDescent="0.4">
      <c r="A287" t="s">
        <v>132</v>
      </c>
      <c r="B287" t="s">
        <v>13</v>
      </c>
      <c r="C287" t="s">
        <v>1</v>
      </c>
      <c r="D287" s="3">
        <v>12029</v>
      </c>
      <c r="E287" s="3" t="s">
        <v>421</v>
      </c>
      <c r="G287" s="3" t="s">
        <v>403</v>
      </c>
      <c r="H287" s="3" t="s">
        <v>410</v>
      </c>
      <c r="I287" s="3">
        <f>IF(H287="","",IF(H287="DNS",0,IF(H287="DQ",0,IF(H287="DNF",1,IF(AND(ISNUMBER(H287),H287&gt;59),1,_xlfn.XLOOKUP(H287,tbl_points[Place],tbl_points[Points],""))))))</f>
        <v>0</v>
      </c>
      <c r="J287" s="3" t="s">
        <v>410</v>
      </c>
      <c r="K287" s="3">
        <f>IF(J287="","",IF(J287="DNS",0,IF(J287="DQ",0,IF(J287="DNF",1,IF(AND(ISNUMBER(J287),J287&gt;59),1,_xlfn.XLOOKUP(J287,tbl_points[Place],tbl_points[Points],""))))))</f>
        <v>0</v>
      </c>
      <c r="L287" s="3" t="s">
        <v>410</v>
      </c>
      <c r="M287" s="3">
        <f>IF(L287="","",IF(L287="DNS",0,IF(L287="DQ",0,IF(L287="DNF",1,IF(AND(ISNUMBER(L287),L287&gt;59),1,_xlfn.XLOOKUP(L287,tbl_points[Place],tbl_points[Points],""))))))</f>
        <v>0</v>
      </c>
      <c r="N287" s="3" t="s">
        <v>410</v>
      </c>
      <c r="O287" s="3">
        <f>IF(N287="","",IF(N287="DNS",0,IF(N287="DQ",0,IF(N287="DNF",1,IF(AND(ISNUMBER(N287),N287&gt;59),1,_xlfn.XLOOKUP(N287,tbl_points[Place],tbl_points[Points],""))))))</f>
        <v>0</v>
      </c>
      <c r="P287" s="3">
        <v>13</v>
      </c>
      <c r="Q287" s="3">
        <f>IF(P287="","",IF(P287="DNS",0,IF(P287="DQ",0,IF(P287="DNF",1,IF(AND(ISNUMBER(P287),P287&gt;59),1,_xlfn.XLOOKUP(P287,tbl_points[Place],tbl_points[Points],""))))))</f>
        <v>49</v>
      </c>
      <c r="S287" s="3" t="str">
        <f>IF(R287="","",IF(R287="DNS",0,IF(R287="DQ",0,IF(R287="DNF",1,IF(AND(ISNUMBER(R287),R287&gt;59),1,_xlfn.XLOOKUP(R287,tbl_points[Place],tbl_points[Points],""))))))</f>
        <v/>
      </c>
      <c r="T28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7" s="3">
        <f>tbl_individual[[#This Row],[Total]]</f>
        <v>49</v>
      </c>
    </row>
    <row r="288" spans="1:22" x14ac:dyDescent="0.4">
      <c r="A288" t="s">
        <v>133</v>
      </c>
      <c r="B288" t="s">
        <v>13</v>
      </c>
      <c r="C288" t="s">
        <v>1</v>
      </c>
      <c r="D288" s="3">
        <v>12030</v>
      </c>
      <c r="E288" s="3" t="s">
        <v>421</v>
      </c>
      <c r="G288" s="3" t="s">
        <v>403</v>
      </c>
      <c r="H288" s="3">
        <v>6</v>
      </c>
      <c r="I288" s="3">
        <f>IF(H288="","",IF(H288="DNS",0,IF(H288="DQ",0,IF(H288="DNF",1,IF(AND(ISNUMBER(H288),H288&gt;59),1,_xlfn.XLOOKUP(H288,tbl_points[Place],tbl_points[Points],""))))))</f>
        <v>75</v>
      </c>
      <c r="J288" s="3">
        <v>26</v>
      </c>
      <c r="K288" s="3">
        <f>IF(J288="","",IF(J288="DNS",0,IF(J288="DQ",0,IF(J288="DNF",1,IF(AND(ISNUMBER(J288),J288&gt;59),1,_xlfn.XLOOKUP(J288,tbl_points[Place],tbl_points[Points],""))))))</f>
        <v>34</v>
      </c>
      <c r="L288" s="3">
        <v>7</v>
      </c>
      <c r="M288" s="3">
        <f>IF(L288="","",IF(L288="DNS",0,IF(L288="DQ",0,IF(L288="DNF",1,IF(AND(ISNUMBER(L288),L288&gt;59),1,_xlfn.XLOOKUP(L288,tbl_points[Place],tbl_points[Points],""))))))</f>
        <v>70</v>
      </c>
      <c r="N288" s="3">
        <v>17</v>
      </c>
      <c r="O288" s="3">
        <f>IF(N288="","",IF(N288="DNS",0,IF(N288="DQ",0,IF(N288="DNF",1,IF(AND(ISNUMBER(N288),N288&gt;59),1,_xlfn.XLOOKUP(N288,tbl_points[Place],tbl_points[Points],""))))))</f>
        <v>43</v>
      </c>
      <c r="P288" s="3">
        <v>17</v>
      </c>
      <c r="Q288" s="3">
        <f>IF(P288="","",IF(P288="DNS",0,IF(P288="DQ",0,IF(P288="DNF",1,IF(AND(ISNUMBER(P288),P288&gt;59),1,_xlfn.XLOOKUP(P288,tbl_points[Place],tbl_points[Points],""))))))</f>
        <v>43</v>
      </c>
      <c r="S288" s="3" t="str">
        <f>IF(R288="","",IF(R288="DNS",0,IF(R288="DQ",0,IF(R288="DNF",1,IF(AND(ISNUMBER(R288),R288&gt;59),1,_xlfn.XLOOKUP(R288,tbl_points[Place],tbl_points[Points],""))))))</f>
        <v/>
      </c>
      <c r="T288" s="3">
        <f>SUM(tbl_individual[[#This Row],[R1 Pts]],tbl_individual[[#This Row],[R2 Pts]],tbl_individual[[#This Row],[R3 Pts]],tbl_individual[[#This Row],[R4 Pts]],tbl_individual[[#This Row],[R5 Pts]],tbl_individual[[#This Row],[R6 Pts]])</f>
        <v>265</v>
      </c>
      <c r="U288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88" s="3">
        <f>tbl_individual[[#This Row],[Total]]</f>
        <v>265</v>
      </c>
    </row>
    <row r="289" spans="1:22" x14ac:dyDescent="0.4">
      <c r="A289" t="s">
        <v>140</v>
      </c>
      <c r="B289" t="s">
        <v>14</v>
      </c>
      <c r="C289" t="s">
        <v>1</v>
      </c>
      <c r="D289" s="3">
        <v>12031</v>
      </c>
      <c r="E289" s="3" t="s">
        <v>421</v>
      </c>
      <c r="G289" s="3" t="s">
        <v>403</v>
      </c>
      <c r="H289" s="3">
        <v>25</v>
      </c>
      <c r="I289" s="3">
        <f>IF(H289="","",IF(H289="DNS",0,IF(H289="DQ",0,IF(H289="DNF",1,IF(AND(ISNUMBER(H289),H289&gt;59),1,_xlfn.XLOOKUP(H289,tbl_points[Place],tbl_points[Points],""))))))</f>
        <v>35</v>
      </c>
      <c r="J289" s="3" t="s">
        <v>410</v>
      </c>
      <c r="K289" s="3">
        <f>IF(J289="","",IF(J289="DNS",0,IF(J289="DQ",0,IF(J289="DNF",1,IF(AND(ISNUMBER(J289),J289&gt;59),1,_xlfn.XLOOKUP(J289,tbl_points[Place],tbl_points[Points],""))))))</f>
        <v>0</v>
      </c>
      <c r="L289" s="3">
        <v>31</v>
      </c>
      <c r="M289" s="3">
        <f>IF(L289="","",IF(L289="DNS",0,IF(L289="DQ",0,IF(L289="DNF",1,IF(AND(ISNUMBER(L289),L289&gt;59),1,_xlfn.XLOOKUP(L289,tbl_points[Place],tbl_points[Points],""))))))</f>
        <v>29</v>
      </c>
      <c r="N289" s="3">
        <v>47</v>
      </c>
      <c r="O289" s="3">
        <f>IF(N289="","",IF(N289="DNS",0,IF(N289="DQ",0,IF(N289="DNF",1,IF(AND(ISNUMBER(N289),N289&gt;59),1,_xlfn.XLOOKUP(N289,tbl_points[Place],tbl_points[Points],""))))))</f>
        <v>13</v>
      </c>
      <c r="P289" s="3">
        <v>37</v>
      </c>
      <c r="Q289" s="3">
        <f>IF(P289="","",IF(P289="DNS",0,IF(P289="DQ",0,IF(P289="DNF",1,IF(AND(ISNUMBER(P289),P289&gt;59),1,_xlfn.XLOOKUP(P289,tbl_points[Place],tbl_points[Points],""))))))</f>
        <v>23</v>
      </c>
      <c r="S289" s="3" t="str">
        <f>IF(R289="","",IF(R289="DNS",0,IF(R289="DQ",0,IF(R289="DNF",1,IF(AND(ISNUMBER(R289),R289&gt;59),1,_xlfn.XLOOKUP(R289,tbl_points[Place],tbl_points[Points],""))))))</f>
        <v/>
      </c>
      <c r="T28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9" s="3">
        <f>tbl_individual[[#This Row],[Total]]</f>
        <v>100</v>
      </c>
    </row>
    <row r="290" spans="1:22" x14ac:dyDescent="0.4">
      <c r="A290" t="s">
        <v>151</v>
      </c>
      <c r="B290" t="s">
        <v>15</v>
      </c>
      <c r="C290" t="s">
        <v>1</v>
      </c>
      <c r="D290" s="3">
        <v>12032</v>
      </c>
      <c r="E290" s="3" t="s">
        <v>421</v>
      </c>
      <c r="G290" s="3" t="s">
        <v>407</v>
      </c>
      <c r="H290" s="3" t="s">
        <v>409</v>
      </c>
      <c r="I290" s="3">
        <f>IF(H290="","",IF(H290="DNS",0,IF(H290="DQ",0,IF(H290="DNF",1,IF(AND(ISNUMBER(H290),H290&gt;59),1,_xlfn.XLOOKUP(H290,tbl_points[Place],tbl_points[Points],""))))))</f>
        <v>1</v>
      </c>
      <c r="J290" s="3" t="s">
        <v>410</v>
      </c>
      <c r="K290" s="3">
        <f>IF(J290="","",IF(J290="DNS",0,IF(J290="DQ",0,IF(J290="DNF",1,IF(AND(ISNUMBER(J290),J290&gt;59),1,_xlfn.XLOOKUP(J290,tbl_points[Place],tbl_points[Points],""))))))</f>
        <v>0</v>
      </c>
      <c r="L290" s="3" t="s">
        <v>410</v>
      </c>
      <c r="M290" s="3">
        <f>IF(L290="","",IF(L290="DNS",0,IF(L290="DQ",0,IF(L290="DNF",1,IF(AND(ISNUMBER(L290),L290&gt;59),1,_xlfn.XLOOKUP(L290,tbl_points[Place],tbl_points[Points],""))))))</f>
        <v>0</v>
      </c>
      <c r="N290" s="3" t="s">
        <v>410</v>
      </c>
      <c r="O290" s="3">
        <f>IF(N290="","",IF(N290="DNS",0,IF(N290="DQ",0,IF(N290="DNF",1,IF(AND(ISNUMBER(N290),N290&gt;59),1,_xlfn.XLOOKUP(N290,tbl_points[Place],tbl_points[Points],""))))))</f>
        <v>0</v>
      </c>
      <c r="P290" s="3" t="s">
        <v>410</v>
      </c>
      <c r="Q290" s="3">
        <f>IF(P290="","",IF(P290="DNS",0,IF(P290="DQ",0,IF(P290="DNF",1,IF(AND(ISNUMBER(P290),P290&gt;59),1,_xlfn.XLOOKUP(P290,tbl_points[Place],tbl_points[Points],""))))))</f>
        <v>0</v>
      </c>
      <c r="S290" s="3" t="str">
        <f>IF(R290="","",IF(R290="DNS",0,IF(R290="DQ",0,IF(R290="DNF",1,IF(AND(ISNUMBER(R290),R290&gt;59),1,_xlfn.XLOOKUP(R290,tbl_points[Place],tbl_points[Points],""))))))</f>
        <v/>
      </c>
      <c r="T29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0" s="3">
        <f>tbl_individual[[#This Row],[Total]]</f>
        <v>1</v>
      </c>
    </row>
    <row r="291" spans="1:22" x14ac:dyDescent="0.4">
      <c r="A291" t="s">
        <v>152</v>
      </c>
      <c r="B291" t="s">
        <v>15</v>
      </c>
      <c r="C291" t="s">
        <v>1</v>
      </c>
      <c r="D291" s="3">
        <v>12033</v>
      </c>
      <c r="E291" s="3" t="s">
        <v>421</v>
      </c>
      <c r="G291" s="3" t="s">
        <v>407</v>
      </c>
      <c r="H291" s="3">
        <v>5</v>
      </c>
      <c r="I291" s="3">
        <f>IF(H291="","",IF(H291="DNS",0,IF(H291="DQ",0,IF(H291="DNF",1,IF(AND(ISNUMBER(H291),H291&gt;59),1,_xlfn.XLOOKUP(H291,tbl_points[Place],tbl_points[Points],""))))))</f>
        <v>80</v>
      </c>
      <c r="J291" s="3" t="s">
        <v>410</v>
      </c>
      <c r="K291" s="3">
        <f>IF(J291="","",IF(J291="DNS",0,IF(J291="DQ",0,IF(J291="DNF",1,IF(AND(ISNUMBER(J291),J291&gt;59),1,_xlfn.XLOOKUP(J291,tbl_points[Place],tbl_points[Points],""))))))</f>
        <v>0</v>
      </c>
      <c r="L291" s="3" t="s">
        <v>410</v>
      </c>
      <c r="M291" s="3">
        <f>IF(L291="","",IF(L291="DNS",0,IF(L291="DQ",0,IF(L291="DNF",1,IF(AND(ISNUMBER(L291),L291&gt;59),1,_xlfn.XLOOKUP(L291,tbl_points[Place],tbl_points[Points],""))))))</f>
        <v>0</v>
      </c>
      <c r="N291" s="3" t="s">
        <v>410</v>
      </c>
      <c r="O291" s="3">
        <f>IF(N291="","",IF(N291="DNS",0,IF(N291="DQ",0,IF(N291="DNF",1,IF(AND(ISNUMBER(N291),N291&gt;59),1,_xlfn.XLOOKUP(N291,tbl_points[Place],tbl_points[Points],""))))))</f>
        <v>0</v>
      </c>
      <c r="P291" s="3" t="s">
        <v>410</v>
      </c>
      <c r="Q291" s="3">
        <f>IF(P291="","",IF(P291="DNS",0,IF(P291="DQ",0,IF(P291="DNF",1,IF(AND(ISNUMBER(P291),P291&gt;59),1,_xlfn.XLOOKUP(P291,tbl_points[Place],tbl_points[Points],""))))))</f>
        <v>0</v>
      </c>
      <c r="S291" s="3" t="str">
        <f>IF(R291="","",IF(R291="DNS",0,IF(R291="DQ",0,IF(R291="DNF",1,IF(AND(ISNUMBER(R291),R291&gt;59),1,_xlfn.XLOOKUP(R291,tbl_points[Place],tbl_points[Points],""))))))</f>
        <v/>
      </c>
      <c r="T29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1" s="3">
        <f>tbl_individual[[#This Row],[Total]]</f>
        <v>80</v>
      </c>
    </row>
    <row r="292" spans="1:22" x14ac:dyDescent="0.4">
      <c r="A292" t="s">
        <v>160</v>
      </c>
      <c r="B292" t="s">
        <v>16</v>
      </c>
      <c r="C292" t="s">
        <v>1</v>
      </c>
      <c r="D292" s="3">
        <v>12034</v>
      </c>
      <c r="E292" s="3" t="s">
        <v>421</v>
      </c>
      <c r="G292" s="3" t="s">
        <v>403</v>
      </c>
      <c r="H292" s="3" t="s">
        <v>410</v>
      </c>
      <c r="I292" s="3">
        <f>IF(H292="","",IF(H292="DNS",0,IF(H292="DQ",0,IF(H292="DNF",1,IF(AND(ISNUMBER(H292),H292&gt;59),1,_xlfn.XLOOKUP(H292,tbl_points[Place],tbl_points[Points],""))))))</f>
        <v>0</v>
      </c>
      <c r="J292" s="3">
        <v>46</v>
      </c>
      <c r="K292" s="3">
        <f>IF(J292="","",IF(J292="DNS",0,IF(J292="DQ",0,IF(J292="DNF",1,IF(AND(ISNUMBER(J292),J292&gt;59),1,_xlfn.XLOOKUP(J292,tbl_points[Place],tbl_points[Points],""))))))</f>
        <v>14</v>
      </c>
      <c r="L292" s="3" t="s">
        <v>410</v>
      </c>
      <c r="M292" s="3">
        <f>IF(L292="","",IF(L292="DNS",0,IF(L292="DQ",0,IF(L292="DNF",1,IF(AND(ISNUMBER(L292),L292&gt;59),1,_xlfn.XLOOKUP(L292,tbl_points[Place],tbl_points[Points],""))))))</f>
        <v>0</v>
      </c>
      <c r="N292" s="3">
        <v>38</v>
      </c>
      <c r="O292" s="3">
        <f>IF(N292="","",IF(N292="DNS",0,IF(N292="DQ",0,IF(N292="DNF",1,IF(AND(ISNUMBER(N292),N292&gt;59),1,_xlfn.XLOOKUP(N292,tbl_points[Place],tbl_points[Points],""))))))</f>
        <v>22</v>
      </c>
      <c r="P292" s="3">
        <v>41</v>
      </c>
      <c r="Q292" s="3">
        <f>IF(P292="","",IF(P292="DNS",0,IF(P292="DQ",0,IF(P292="DNF",1,IF(AND(ISNUMBER(P292),P292&gt;59),1,_xlfn.XLOOKUP(P292,tbl_points[Place],tbl_points[Points],""))))))</f>
        <v>19</v>
      </c>
      <c r="S292" s="3" t="str">
        <f>IF(R292="","",IF(R292="DNS",0,IF(R292="DQ",0,IF(R292="DNF",1,IF(AND(ISNUMBER(R292),R292&gt;59),1,_xlfn.XLOOKUP(R292,tbl_points[Place],tbl_points[Points],""))))))</f>
        <v/>
      </c>
      <c r="T292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2" s="3">
        <f>tbl_individual[[#This Row],[Total]]</f>
        <v>55</v>
      </c>
    </row>
    <row r="293" spans="1:22" x14ac:dyDescent="0.4">
      <c r="A293" t="s">
        <v>161</v>
      </c>
      <c r="B293" t="s">
        <v>16</v>
      </c>
      <c r="C293" t="s">
        <v>1</v>
      </c>
      <c r="D293" s="3">
        <v>12035</v>
      </c>
      <c r="E293" s="3" t="s">
        <v>421</v>
      </c>
      <c r="G293" s="3" t="s">
        <v>403</v>
      </c>
      <c r="H293" s="3" t="s">
        <v>410</v>
      </c>
      <c r="I293" s="3">
        <f>IF(H293="","",IF(H293="DNS",0,IF(H293="DQ",0,IF(H293="DNF",1,IF(AND(ISNUMBER(H293),H293&gt;59),1,_xlfn.XLOOKUP(H293,tbl_points[Place],tbl_points[Points],""))))))</f>
        <v>0</v>
      </c>
      <c r="J293" s="3">
        <v>66</v>
      </c>
      <c r="K293" s="3">
        <f>IF(J293="","",IF(J293="DNS",0,IF(J293="DQ",0,IF(J293="DNF",1,IF(AND(ISNUMBER(J293),J293&gt;59),1,_xlfn.XLOOKUP(J293,tbl_points[Place],tbl_points[Points],""))))))</f>
        <v>1</v>
      </c>
      <c r="L293" s="3" t="s">
        <v>410</v>
      </c>
      <c r="M293" s="3">
        <f>IF(L293="","",IF(L293="DNS",0,IF(L293="DQ",0,IF(L293="DNF",1,IF(AND(ISNUMBER(L293),L293&gt;59),1,_xlfn.XLOOKUP(L293,tbl_points[Place],tbl_points[Points],""))))))</f>
        <v>0</v>
      </c>
      <c r="N293" s="3" t="s">
        <v>410</v>
      </c>
      <c r="O293" s="3">
        <f>IF(N293="","",IF(N293="DNS",0,IF(N293="DQ",0,IF(N293="DNF",1,IF(AND(ISNUMBER(N293),N293&gt;59),1,_xlfn.XLOOKUP(N293,tbl_points[Place],tbl_points[Points],""))))))</f>
        <v>0</v>
      </c>
      <c r="P293" s="3" t="s">
        <v>410</v>
      </c>
      <c r="Q293" s="3">
        <f>IF(P293="","",IF(P293="DNS",0,IF(P293="DQ",0,IF(P293="DNF",1,IF(AND(ISNUMBER(P293),P293&gt;59),1,_xlfn.XLOOKUP(P293,tbl_points[Place],tbl_points[Points],""))))))</f>
        <v>0</v>
      </c>
      <c r="S293" s="3" t="str">
        <f>IF(R293="","",IF(R293="DNS",0,IF(R293="DQ",0,IF(R293="DNF",1,IF(AND(ISNUMBER(R293),R293&gt;59),1,_xlfn.XLOOKUP(R293,tbl_points[Place],tbl_points[Points],""))))))</f>
        <v/>
      </c>
      <c r="T29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3" s="3">
        <f>tbl_individual[[#This Row],[Total]]</f>
        <v>1</v>
      </c>
    </row>
    <row r="294" spans="1:22" x14ac:dyDescent="0.4">
      <c r="A294" t="s">
        <v>180</v>
      </c>
      <c r="B294" t="s">
        <v>19</v>
      </c>
      <c r="C294" t="s">
        <v>1</v>
      </c>
      <c r="D294" s="3">
        <v>12036</v>
      </c>
      <c r="E294" s="3" t="s">
        <v>421</v>
      </c>
      <c r="G294" s="3" t="s">
        <v>407</v>
      </c>
      <c r="H294" s="3" t="s">
        <v>410</v>
      </c>
      <c r="I294" s="3">
        <f>IF(H294="","",IF(H294="DNS",0,IF(H294="DQ",0,IF(H294="DNF",1,IF(AND(ISNUMBER(H294),H294&gt;59),1,_xlfn.XLOOKUP(H294,tbl_points[Place],tbl_points[Points],""))))))</f>
        <v>0</v>
      </c>
      <c r="J294" s="3" t="s">
        <v>410</v>
      </c>
      <c r="K294" s="3">
        <f>IF(J294="","",IF(J294="DNS",0,IF(J294="DQ",0,IF(J294="DNF",1,IF(AND(ISNUMBER(J294),J294&gt;59),1,_xlfn.XLOOKUP(J294,tbl_points[Place],tbl_points[Points],""))))))</f>
        <v>0</v>
      </c>
      <c r="L294" s="3" t="s">
        <v>410</v>
      </c>
      <c r="M294" s="3">
        <f>IF(L294="","",IF(L294="DNS",0,IF(L294="DQ",0,IF(L294="DNF",1,IF(AND(ISNUMBER(L294),L294&gt;59),1,_xlfn.XLOOKUP(L294,tbl_points[Place],tbl_points[Points],""))))))</f>
        <v>0</v>
      </c>
      <c r="N294" s="3">
        <v>53</v>
      </c>
      <c r="O294" s="3">
        <f>IF(N294="","",IF(N294="DNS",0,IF(N294="DQ",0,IF(N294="DNF",1,IF(AND(ISNUMBER(N294),N294&gt;59),1,_xlfn.XLOOKUP(N294,tbl_points[Place],tbl_points[Points],""))))))</f>
        <v>7</v>
      </c>
      <c r="P294" s="3" t="s">
        <v>410</v>
      </c>
      <c r="Q294" s="3">
        <f>IF(P294="","",IF(P294="DNS",0,IF(P294="DQ",0,IF(P294="DNF",1,IF(AND(ISNUMBER(P294),P294&gt;59),1,_xlfn.XLOOKUP(P294,tbl_points[Place],tbl_points[Points],""))))))</f>
        <v>0</v>
      </c>
      <c r="S294" s="3" t="str">
        <f>IF(R294="","",IF(R294="DNS",0,IF(R294="DQ",0,IF(R294="DNF",1,IF(AND(ISNUMBER(R294),R294&gt;59),1,_xlfn.XLOOKUP(R294,tbl_points[Place],tbl_points[Points],""))))))</f>
        <v/>
      </c>
      <c r="T294" s="3">
        <f>SUM(tbl_individual[[#This Row],[R1 Pts]],tbl_individual[[#This Row],[R2 Pts]],tbl_individual[[#This Row],[R3 Pts]],tbl_individual[[#This Row],[R4 Pts]],tbl_individual[[#This Row],[R5 Pts]],tbl_individual[[#This Row],[R6 Pts]])</f>
        <v>7</v>
      </c>
      <c r="U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4" s="3">
        <f>tbl_individual[[#This Row],[Total]]</f>
        <v>7</v>
      </c>
    </row>
    <row r="295" spans="1:22" x14ac:dyDescent="0.4">
      <c r="A295" t="s">
        <v>181</v>
      </c>
      <c r="B295" t="s">
        <v>19</v>
      </c>
      <c r="C295" t="s">
        <v>1</v>
      </c>
      <c r="D295" s="3">
        <v>12037</v>
      </c>
      <c r="E295" s="3" t="s">
        <v>421</v>
      </c>
      <c r="G295" s="3" t="s">
        <v>407</v>
      </c>
      <c r="H295" s="3" t="s">
        <v>410</v>
      </c>
      <c r="I295" s="3">
        <f>IF(H295="","",IF(H295="DNS",0,IF(H295="DQ",0,IF(H295="DNF",1,IF(AND(ISNUMBER(H295),H295&gt;59),1,_xlfn.XLOOKUP(H295,tbl_points[Place],tbl_points[Points],""))))))</f>
        <v>0</v>
      </c>
      <c r="J295" s="3" t="s">
        <v>410</v>
      </c>
      <c r="K295" s="3">
        <f>IF(J295="","",IF(J295="DNS",0,IF(J295="DQ",0,IF(J295="DNF",1,IF(AND(ISNUMBER(J295),J295&gt;59),1,_xlfn.XLOOKUP(J295,tbl_points[Place],tbl_points[Points],""))))))</f>
        <v>0</v>
      </c>
      <c r="L295" s="3" t="s">
        <v>410</v>
      </c>
      <c r="M295" s="3">
        <f>IF(L295="","",IF(L295="DNS",0,IF(L295="DQ",0,IF(L295="DNF",1,IF(AND(ISNUMBER(L295),L295&gt;59),1,_xlfn.XLOOKUP(L295,tbl_points[Place],tbl_points[Points],""))))))</f>
        <v>0</v>
      </c>
      <c r="N295" s="3" t="s">
        <v>410</v>
      </c>
      <c r="O295" s="3">
        <f>IF(N295="","",IF(N295="DNS",0,IF(N295="DQ",0,IF(N295="DNF",1,IF(AND(ISNUMBER(N295),N295&gt;59),1,_xlfn.XLOOKUP(N295,tbl_points[Place],tbl_points[Points],""))))))</f>
        <v>0</v>
      </c>
      <c r="P295" s="3" t="s">
        <v>409</v>
      </c>
      <c r="Q295" s="3">
        <f>IF(P295="","",IF(P295="DNS",0,IF(P295="DQ",0,IF(P295="DNF",1,IF(AND(ISNUMBER(P295),P295&gt;59),1,_xlfn.XLOOKUP(P295,tbl_points[Place],tbl_points[Points],""))))))</f>
        <v>1</v>
      </c>
      <c r="S295" s="3" t="str">
        <f>IF(R295="","",IF(R295="DNS",0,IF(R295="DQ",0,IF(R295="DNF",1,IF(AND(ISNUMBER(R295),R295&gt;59),1,_xlfn.XLOOKUP(R295,tbl_points[Place],tbl_points[Points],""))))))</f>
        <v/>
      </c>
      <c r="T29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5" s="3">
        <f>tbl_individual[[#This Row],[Total]]</f>
        <v>1</v>
      </c>
    </row>
    <row r="296" spans="1:22" x14ac:dyDescent="0.4">
      <c r="A296" t="s">
        <v>197</v>
      </c>
      <c r="B296" t="s">
        <v>20</v>
      </c>
      <c r="C296" t="s">
        <v>1</v>
      </c>
      <c r="D296" s="3">
        <v>12038</v>
      </c>
      <c r="E296" s="3" t="s">
        <v>421</v>
      </c>
      <c r="G296" s="3" t="s">
        <v>403</v>
      </c>
      <c r="H296" s="3">
        <v>18</v>
      </c>
      <c r="I296" s="3">
        <f>IF(H296="","",IF(H296="DNS",0,IF(H296="DQ",0,IF(H296="DNF",1,IF(AND(ISNUMBER(H296),H296&gt;59),1,_xlfn.XLOOKUP(H296,tbl_points[Place],tbl_points[Points],""))))))</f>
        <v>42</v>
      </c>
      <c r="J296" s="3">
        <v>12</v>
      </c>
      <c r="K296" s="3">
        <f>IF(J296="","",IF(J296="DNS",0,IF(J296="DQ",0,IF(J296="DNF",1,IF(AND(ISNUMBER(J296),J296&gt;59),1,_xlfn.XLOOKUP(J296,tbl_points[Place],tbl_points[Points],""))))))</f>
        <v>51</v>
      </c>
      <c r="L296" s="3">
        <v>19</v>
      </c>
      <c r="M296" s="3">
        <f>IF(L296="","",IF(L296="DNS",0,IF(L296="DQ",0,IF(L296="DNF",1,IF(AND(ISNUMBER(L296),L296&gt;59),1,_xlfn.XLOOKUP(L296,tbl_points[Place],tbl_points[Points],""))))))</f>
        <v>41</v>
      </c>
      <c r="N296" s="3">
        <v>9</v>
      </c>
      <c r="O296" s="3">
        <f>IF(N296="","",IF(N296="DNS",0,IF(N296="DQ",0,IF(N296="DNF",1,IF(AND(ISNUMBER(N296),N296&gt;59),1,_xlfn.XLOOKUP(N296,tbl_points[Place],tbl_points[Points],""))))))</f>
        <v>60</v>
      </c>
      <c r="P296" s="3" t="s">
        <v>410</v>
      </c>
      <c r="Q296" s="3">
        <f>IF(P296="","",IF(P296="DNS",0,IF(P296="DQ",0,IF(P296="DNF",1,IF(AND(ISNUMBER(P296),P296&gt;59),1,_xlfn.XLOOKUP(P296,tbl_points[Place],tbl_points[Points],""))))))</f>
        <v>0</v>
      </c>
      <c r="S296" s="3" t="str">
        <f>IF(R296="","",IF(R296="DNS",0,IF(R296="DQ",0,IF(R296="DNF",1,IF(AND(ISNUMBER(R296),R296&gt;59),1,_xlfn.XLOOKUP(R296,tbl_points[Place],tbl_points[Points],""))))))</f>
        <v/>
      </c>
      <c r="T296" s="3">
        <f>SUM(tbl_individual[[#This Row],[R1 Pts]],tbl_individual[[#This Row],[R2 Pts]],tbl_individual[[#This Row],[R3 Pts]],tbl_individual[[#This Row],[R4 Pts]],tbl_individual[[#This Row],[R5 Pts]],tbl_individual[[#This Row],[R6 Pts]])</f>
        <v>194</v>
      </c>
      <c r="U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6" s="3">
        <f>tbl_individual[[#This Row],[Total]]</f>
        <v>194</v>
      </c>
    </row>
    <row r="297" spans="1:22" x14ac:dyDescent="0.4">
      <c r="A297" t="s">
        <v>198</v>
      </c>
      <c r="B297" t="s">
        <v>20</v>
      </c>
      <c r="C297" t="s">
        <v>1</v>
      </c>
      <c r="D297" s="3">
        <v>12039</v>
      </c>
      <c r="E297" s="3" t="s">
        <v>421</v>
      </c>
      <c r="G297" s="3" t="s">
        <v>403</v>
      </c>
      <c r="H297" s="3">
        <v>22</v>
      </c>
      <c r="I297" s="3">
        <f>IF(H297="","",IF(H297="DNS",0,IF(H297="DQ",0,IF(H297="DNF",1,IF(AND(ISNUMBER(H297),H297&gt;59),1,_xlfn.XLOOKUP(H297,tbl_points[Place],tbl_points[Points],""))))))</f>
        <v>38</v>
      </c>
      <c r="J297" s="3">
        <v>53</v>
      </c>
      <c r="K297" s="3">
        <f>IF(J297="","",IF(J297="DNS",0,IF(J297="DQ",0,IF(J297="DNF",1,IF(AND(ISNUMBER(J297),J297&gt;59),1,_xlfn.XLOOKUP(J297,tbl_points[Place],tbl_points[Points],""))))))</f>
        <v>7</v>
      </c>
      <c r="L297" s="3">
        <v>28</v>
      </c>
      <c r="M297" s="3">
        <f>IF(L297="","",IF(L297="DNS",0,IF(L297="DQ",0,IF(L297="DNF",1,IF(AND(ISNUMBER(L297),L297&gt;59),1,_xlfn.XLOOKUP(L297,tbl_points[Place],tbl_points[Points],""))))))</f>
        <v>32</v>
      </c>
      <c r="N297" s="3">
        <v>55</v>
      </c>
      <c r="O297" s="3">
        <f>IF(N297="","",IF(N297="DNS",0,IF(N297="DQ",0,IF(N297="DNF",1,IF(AND(ISNUMBER(N297),N297&gt;59),1,_xlfn.XLOOKUP(N297,tbl_points[Place],tbl_points[Points],""))))))</f>
        <v>5</v>
      </c>
      <c r="P297" s="3">
        <v>51</v>
      </c>
      <c r="Q297" s="3">
        <f>IF(P297="","",IF(P297="DNS",0,IF(P297="DQ",0,IF(P297="DNF",1,IF(AND(ISNUMBER(P297),P297&gt;59),1,_xlfn.XLOOKUP(P297,tbl_points[Place],tbl_points[Points],""))))))</f>
        <v>9</v>
      </c>
      <c r="S297" s="3" t="str">
        <f>IF(R297="","",IF(R297="DNS",0,IF(R297="DQ",0,IF(R297="DNF",1,IF(AND(ISNUMBER(R297),R297&gt;59),1,_xlfn.XLOOKUP(R297,tbl_points[Place],tbl_points[Points],""))))))</f>
        <v/>
      </c>
      <c r="T297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297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297" s="3">
        <f>tbl_individual[[#This Row],[Total]]</f>
        <v>91</v>
      </c>
    </row>
    <row r="298" spans="1:22" x14ac:dyDescent="0.4">
      <c r="A298" t="s">
        <v>199</v>
      </c>
      <c r="B298" t="s">
        <v>20</v>
      </c>
      <c r="C298" t="s">
        <v>1</v>
      </c>
      <c r="D298" s="3">
        <v>12040</v>
      </c>
      <c r="E298" s="3" t="s">
        <v>421</v>
      </c>
      <c r="G298" s="3" t="s">
        <v>403</v>
      </c>
      <c r="H298" s="3">
        <v>3</v>
      </c>
      <c r="I298" s="3">
        <f>IF(H298="","",IF(H298="DNS",0,IF(H298="DQ",0,IF(H298="DNF",1,IF(AND(ISNUMBER(H298),H298&gt;59),1,_xlfn.XLOOKUP(H298,tbl_points[Place],tbl_points[Points],""))))))</f>
        <v>90</v>
      </c>
      <c r="J298" s="3">
        <v>7</v>
      </c>
      <c r="K298" s="3">
        <f>IF(J298="","",IF(J298="DNS",0,IF(J298="DQ",0,IF(J298="DNF",1,IF(AND(ISNUMBER(J298),J298&gt;59),1,_xlfn.XLOOKUP(J298,tbl_points[Place],tbl_points[Points],""))))))</f>
        <v>70</v>
      </c>
      <c r="L298" s="3">
        <v>13</v>
      </c>
      <c r="M298" s="3">
        <f>IF(L298="","",IF(L298="DNS",0,IF(L298="DQ",0,IF(L298="DNF",1,IF(AND(ISNUMBER(L298),L298&gt;59),1,_xlfn.XLOOKUP(L298,tbl_points[Place],tbl_points[Points],""))))))</f>
        <v>49</v>
      </c>
      <c r="N298" s="3" t="s">
        <v>410</v>
      </c>
      <c r="O298" s="3">
        <f>IF(N298="","",IF(N298="DNS",0,IF(N298="DQ",0,IF(N298="DNF",1,IF(AND(ISNUMBER(N298),N298&gt;59),1,_xlfn.XLOOKUP(N298,tbl_points[Place],tbl_points[Points],""))))))</f>
        <v>0</v>
      </c>
      <c r="P298" s="3" t="s">
        <v>410</v>
      </c>
      <c r="Q298" s="3">
        <f>IF(P298="","",IF(P298="DNS",0,IF(P298="DQ",0,IF(P298="DNF",1,IF(AND(ISNUMBER(P298),P298&gt;59),1,_xlfn.XLOOKUP(P298,tbl_points[Place],tbl_points[Points],""))))))</f>
        <v>0</v>
      </c>
      <c r="S298" s="3" t="str">
        <f>IF(R298="","",IF(R298="DNS",0,IF(R298="DQ",0,IF(R298="DNF",1,IF(AND(ISNUMBER(R298),R298&gt;59),1,_xlfn.XLOOKUP(R298,tbl_points[Place],tbl_points[Points],""))))))</f>
        <v/>
      </c>
      <c r="T298" s="3">
        <f>SUM(tbl_individual[[#This Row],[R1 Pts]],tbl_individual[[#This Row],[R2 Pts]],tbl_individual[[#This Row],[R3 Pts]],tbl_individual[[#This Row],[R4 Pts]],tbl_individual[[#This Row],[R5 Pts]],tbl_individual[[#This Row],[R6 Pts]])</f>
        <v>209</v>
      </c>
      <c r="U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8" s="3">
        <f>tbl_individual[[#This Row],[Total]]</f>
        <v>209</v>
      </c>
    </row>
    <row r="299" spans="1:22" x14ac:dyDescent="0.4">
      <c r="A299" t="s">
        <v>200</v>
      </c>
      <c r="B299" t="s">
        <v>20</v>
      </c>
      <c r="C299" t="s">
        <v>1</v>
      </c>
      <c r="D299" s="3">
        <v>12041</v>
      </c>
      <c r="E299" s="3" t="s">
        <v>421</v>
      </c>
      <c r="G299" s="3" t="s">
        <v>403</v>
      </c>
      <c r="H299" s="3" t="s">
        <v>410</v>
      </c>
      <c r="I299" s="3">
        <f>IF(H299="","",IF(H299="DNS",0,IF(H299="DQ",0,IF(H299="DNF",1,IF(AND(ISNUMBER(H299),H299&gt;59),1,_xlfn.XLOOKUP(H299,tbl_points[Place],tbl_points[Points],""))))))</f>
        <v>0</v>
      </c>
      <c r="J299" s="3">
        <v>16</v>
      </c>
      <c r="K299" s="3">
        <f>IF(J299="","",IF(J299="DNS",0,IF(J299="DQ",0,IF(J299="DNF",1,IF(AND(ISNUMBER(J299),J299&gt;59),1,_xlfn.XLOOKUP(J299,tbl_points[Place],tbl_points[Points],""))))))</f>
        <v>44</v>
      </c>
      <c r="L299" s="3">
        <v>35</v>
      </c>
      <c r="M299" s="3">
        <f>IF(L299="","",IF(L299="DNS",0,IF(L299="DQ",0,IF(L299="DNF",1,IF(AND(ISNUMBER(L299),L299&gt;59),1,_xlfn.XLOOKUP(L299,tbl_points[Place],tbl_points[Points],""))))))</f>
        <v>25</v>
      </c>
      <c r="N299" s="3">
        <v>6</v>
      </c>
      <c r="O299" s="3">
        <f>IF(N299="","",IF(N299="DNS",0,IF(N299="DQ",0,IF(N299="DNF",1,IF(AND(ISNUMBER(N299),N299&gt;59),1,_xlfn.XLOOKUP(N299,tbl_points[Place],tbl_points[Points],""))))))</f>
        <v>75</v>
      </c>
      <c r="P299" s="3">
        <v>22</v>
      </c>
      <c r="Q299" s="3">
        <f>IF(P299="","",IF(P299="DNS",0,IF(P299="DQ",0,IF(P299="DNF",1,IF(AND(ISNUMBER(P299),P299&gt;59),1,_xlfn.XLOOKUP(P299,tbl_points[Place],tbl_points[Points],""))))))</f>
        <v>38</v>
      </c>
      <c r="S299" s="3" t="str">
        <f>IF(R299="","",IF(R299="DNS",0,IF(R299="DQ",0,IF(R299="DNF",1,IF(AND(ISNUMBER(R299),R299&gt;59),1,_xlfn.XLOOKUP(R299,tbl_points[Place],tbl_points[Points],""))))))</f>
        <v/>
      </c>
      <c r="T299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9" s="3">
        <f>tbl_individual[[#This Row],[Total]]</f>
        <v>182</v>
      </c>
    </row>
    <row r="300" spans="1:22" x14ac:dyDescent="0.4">
      <c r="A300" t="s">
        <v>201</v>
      </c>
      <c r="B300" t="s">
        <v>20</v>
      </c>
      <c r="C300" t="s">
        <v>1</v>
      </c>
      <c r="D300" s="3">
        <v>12042</v>
      </c>
      <c r="E300" s="3" t="s">
        <v>421</v>
      </c>
      <c r="G300" s="3" t="s">
        <v>403</v>
      </c>
      <c r="H300" s="3" t="s">
        <v>410</v>
      </c>
      <c r="I300" s="3">
        <f>IF(H300="","",IF(H300="DNS",0,IF(H300="DQ",0,IF(H300="DNF",1,IF(AND(ISNUMBER(H300),H300&gt;59),1,_xlfn.XLOOKUP(H300,tbl_points[Place],tbl_points[Points],""))))))</f>
        <v>0</v>
      </c>
      <c r="J300" s="3">
        <v>69</v>
      </c>
      <c r="K300" s="3">
        <f>IF(J300="","",IF(J300="DNS",0,IF(J300="DQ",0,IF(J300="DNF",1,IF(AND(ISNUMBER(J300),J300&gt;59),1,_xlfn.XLOOKUP(J300,tbl_points[Place],tbl_points[Points],""))))))</f>
        <v>1</v>
      </c>
      <c r="L300" s="3" t="s">
        <v>410</v>
      </c>
      <c r="M300" s="3">
        <f>IF(L300="","",IF(L300="DNS",0,IF(L300="DQ",0,IF(L300="DNF",1,IF(AND(ISNUMBER(L300),L300&gt;59),1,_xlfn.XLOOKUP(L300,tbl_points[Place],tbl_points[Points],""))))))</f>
        <v>0</v>
      </c>
      <c r="N300" s="3" t="s">
        <v>410</v>
      </c>
      <c r="O300" s="3">
        <f>IF(N300="","",IF(N300="DNS",0,IF(N300="DQ",0,IF(N300="DNF",1,IF(AND(ISNUMBER(N300),N300&gt;59),1,_xlfn.XLOOKUP(N300,tbl_points[Place],tbl_points[Points],""))))))</f>
        <v>0</v>
      </c>
      <c r="P300" s="3" t="s">
        <v>410</v>
      </c>
      <c r="Q300" s="3">
        <f>IF(P300="","",IF(P300="DNS",0,IF(P300="DQ",0,IF(P300="DNF",1,IF(AND(ISNUMBER(P300),P300&gt;59),1,_xlfn.XLOOKUP(P300,tbl_points[Place],tbl_points[Points],""))))))</f>
        <v>0</v>
      </c>
      <c r="S300" s="3" t="str">
        <f>IF(R300="","",IF(R300="DNS",0,IF(R300="DQ",0,IF(R300="DNF",1,IF(AND(ISNUMBER(R300),R300&gt;59),1,_xlfn.XLOOKUP(R300,tbl_points[Place],tbl_points[Points],""))))))</f>
        <v/>
      </c>
      <c r="T30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0" s="3">
        <f>tbl_individual[[#This Row],[Total]]</f>
        <v>1</v>
      </c>
    </row>
    <row r="301" spans="1:22" x14ac:dyDescent="0.4">
      <c r="A301" t="s">
        <v>202</v>
      </c>
      <c r="B301" t="s">
        <v>20</v>
      </c>
      <c r="C301" t="s">
        <v>1</v>
      </c>
      <c r="D301" s="3">
        <v>12043</v>
      </c>
      <c r="E301" s="3" t="s">
        <v>421</v>
      </c>
      <c r="G301" s="3" t="s">
        <v>403</v>
      </c>
      <c r="H301" s="3">
        <v>17</v>
      </c>
      <c r="I301" s="3">
        <f>IF(H301="","",IF(H301="DNS",0,IF(H301="DQ",0,IF(H301="DNF",1,IF(AND(ISNUMBER(H301),H301&gt;59),1,_xlfn.XLOOKUP(H301,tbl_points[Place],tbl_points[Points],""))))))</f>
        <v>43</v>
      </c>
      <c r="J301" s="3">
        <v>1</v>
      </c>
      <c r="K301" s="3">
        <f>IF(J301="","",IF(J301="DNS",0,IF(J301="DQ",0,IF(J301="DNF",1,IF(AND(ISNUMBER(J301),J301&gt;59),1,_xlfn.XLOOKUP(J301,tbl_points[Place],tbl_points[Points],""))))))</f>
        <v>100</v>
      </c>
      <c r="L301" s="3">
        <v>9</v>
      </c>
      <c r="M301" s="3">
        <f>IF(L301="","",IF(L301="DNS",0,IF(L301="DQ",0,IF(L301="DNF",1,IF(AND(ISNUMBER(L301),L301&gt;59),1,_xlfn.XLOOKUP(L301,tbl_points[Place],tbl_points[Points],""))))))</f>
        <v>60</v>
      </c>
      <c r="N301" s="3">
        <v>2</v>
      </c>
      <c r="O301" s="3">
        <f>IF(N301="","",IF(N301="DNS",0,IF(N301="DQ",0,IF(N301="DNF",1,IF(AND(ISNUMBER(N301),N301&gt;59),1,_xlfn.XLOOKUP(N301,tbl_points[Place],tbl_points[Points],""))))))</f>
        <v>95</v>
      </c>
      <c r="P301" s="3">
        <v>3</v>
      </c>
      <c r="Q301" s="3">
        <f>IF(P301="","",IF(P301="DNS",0,IF(P301="DQ",0,IF(P301="DNF",1,IF(AND(ISNUMBER(P301),P301&gt;59),1,_xlfn.XLOOKUP(P301,tbl_points[Place],tbl_points[Points],""))))))</f>
        <v>90</v>
      </c>
      <c r="S301" s="3" t="str">
        <f>IF(R301="","",IF(R301="DNS",0,IF(R301="DQ",0,IF(R301="DNF",1,IF(AND(ISNUMBER(R301),R301&gt;59),1,_xlfn.XLOOKUP(R301,tbl_points[Place],tbl_points[Points],""))))))</f>
        <v/>
      </c>
      <c r="T301" s="3">
        <f>SUM(tbl_individual[[#This Row],[R1 Pts]],tbl_individual[[#This Row],[R2 Pts]],tbl_individual[[#This Row],[R3 Pts]],tbl_individual[[#This Row],[R4 Pts]],tbl_individual[[#This Row],[R5 Pts]],tbl_individual[[#This Row],[R6 Pts]])</f>
        <v>388</v>
      </c>
      <c r="U301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301" s="3">
        <f>tbl_individual[[#This Row],[Total]]</f>
        <v>388</v>
      </c>
    </row>
    <row r="302" spans="1:22" x14ac:dyDescent="0.4">
      <c r="A302" t="s">
        <v>203</v>
      </c>
      <c r="B302" t="s">
        <v>20</v>
      </c>
      <c r="C302" t="s">
        <v>1</v>
      </c>
      <c r="D302" s="3">
        <v>12044</v>
      </c>
      <c r="E302" s="3" t="s">
        <v>421</v>
      </c>
      <c r="G302" s="3" t="s">
        <v>403</v>
      </c>
      <c r="H302" s="3">
        <v>9</v>
      </c>
      <c r="I302" s="3">
        <f>IF(H302="","",IF(H302="DNS",0,IF(H302="DQ",0,IF(H302="DNF",1,IF(AND(ISNUMBER(H302),H302&gt;59),1,_xlfn.XLOOKUP(H302,tbl_points[Place],tbl_points[Points],""))))))</f>
        <v>60</v>
      </c>
      <c r="J302" s="3">
        <v>28</v>
      </c>
      <c r="K302" s="3">
        <f>IF(J302="","",IF(J302="DNS",0,IF(J302="DQ",0,IF(J302="DNF",1,IF(AND(ISNUMBER(J302),J302&gt;59),1,_xlfn.XLOOKUP(J302,tbl_points[Place],tbl_points[Points],""))))))</f>
        <v>32</v>
      </c>
      <c r="L302" s="3">
        <v>10</v>
      </c>
      <c r="M302" s="3">
        <f>IF(L302="","",IF(L302="DNS",0,IF(L302="DQ",0,IF(L302="DNF",1,IF(AND(ISNUMBER(L302),L302&gt;59),1,_xlfn.XLOOKUP(L302,tbl_points[Place],tbl_points[Points],""))))))</f>
        <v>55</v>
      </c>
      <c r="N302" s="3">
        <v>23</v>
      </c>
      <c r="O302" s="3">
        <f>IF(N302="","",IF(N302="DNS",0,IF(N302="DQ",0,IF(N302="DNF",1,IF(AND(ISNUMBER(N302),N302&gt;59),1,_xlfn.XLOOKUP(N302,tbl_points[Place],tbl_points[Points],""))))))</f>
        <v>37</v>
      </c>
      <c r="P302" s="3">
        <v>14</v>
      </c>
      <c r="Q302" s="3">
        <f>IF(P302="","",IF(P302="DNS",0,IF(P302="DQ",0,IF(P302="DNF",1,IF(AND(ISNUMBER(P302),P302&gt;59),1,_xlfn.XLOOKUP(P302,tbl_points[Place],tbl_points[Points],""))))))</f>
        <v>47</v>
      </c>
      <c r="S302" s="3" t="str">
        <f>IF(R302="","",IF(R302="DNS",0,IF(R302="DQ",0,IF(R302="DNF",1,IF(AND(ISNUMBER(R302),R302&gt;59),1,_xlfn.XLOOKUP(R302,tbl_points[Place],tbl_points[Points],""))))))</f>
        <v/>
      </c>
      <c r="T302" s="3">
        <f>SUM(tbl_individual[[#This Row],[R1 Pts]],tbl_individual[[#This Row],[R2 Pts]],tbl_individual[[#This Row],[R3 Pts]],tbl_individual[[#This Row],[R4 Pts]],tbl_individual[[#This Row],[R5 Pts]],tbl_individual[[#This Row],[R6 Pts]])</f>
        <v>231</v>
      </c>
      <c r="U30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302" s="3">
        <f>tbl_individual[[#This Row],[Total]]</f>
        <v>231</v>
      </c>
    </row>
    <row r="303" spans="1:22" x14ac:dyDescent="0.4">
      <c r="A303" t="s">
        <v>204</v>
      </c>
      <c r="B303" t="s">
        <v>20</v>
      </c>
      <c r="C303" t="s">
        <v>1</v>
      </c>
      <c r="D303" s="3">
        <v>12045</v>
      </c>
      <c r="E303" s="3" t="s">
        <v>421</v>
      </c>
      <c r="G303" s="3" t="s">
        <v>403</v>
      </c>
      <c r="H303" s="3" t="s">
        <v>410</v>
      </c>
      <c r="I303" s="3">
        <f>IF(H303="","",IF(H303="DNS",0,IF(H303="DQ",0,IF(H303="DNF",1,IF(AND(ISNUMBER(H303),H303&gt;59),1,_xlfn.XLOOKUP(H303,tbl_points[Place],tbl_points[Points],""))))))</f>
        <v>0</v>
      </c>
      <c r="J303" s="3">
        <v>4</v>
      </c>
      <c r="K303" s="3">
        <f>IF(J303="","",IF(J303="DNS",0,IF(J303="DQ",0,IF(J303="DNF",1,IF(AND(ISNUMBER(J303),J303&gt;59),1,_xlfn.XLOOKUP(J303,tbl_points[Place],tbl_points[Points],""))))))</f>
        <v>85</v>
      </c>
      <c r="L303" s="3">
        <v>12</v>
      </c>
      <c r="M303" s="3">
        <f>IF(L303="","",IF(L303="DNS",0,IF(L303="DQ",0,IF(L303="DNF",1,IF(AND(ISNUMBER(L303),L303&gt;59),1,_xlfn.XLOOKUP(L303,tbl_points[Place],tbl_points[Points],""))))))</f>
        <v>51</v>
      </c>
      <c r="N303" s="3" t="s">
        <v>410</v>
      </c>
      <c r="O303" s="3">
        <f>IF(N303="","",IF(N303="DNS",0,IF(N303="DQ",0,IF(N303="DNF",1,IF(AND(ISNUMBER(N303),N303&gt;59),1,_xlfn.XLOOKUP(N303,tbl_points[Place],tbl_points[Points],""))))))</f>
        <v>0</v>
      </c>
      <c r="P303" s="3" t="s">
        <v>410</v>
      </c>
      <c r="Q303" s="3">
        <f>IF(P303="","",IF(P303="DNS",0,IF(P303="DQ",0,IF(P303="DNF",1,IF(AND(ISNUMBER(P303),P303&gt;59),1,_xlfn.XLOOKUP(P303,tbl_points[Place],tbl_points[Points],""))))))</f>
        <v>0</v>
      </c>
      <c r="S303" s="3" t="str">
        <f>IF(R303="","",IF(R303="DNS",0,IF(R303="DQ",0,IF(R303="DNF",1,IF(AND(ISNUMBER(R303),R303&gt;59),1,_xlfn.XLOOKUP(R303,tbl_points[Place],tbl_points[Points],""))))))</f>
        <v/>
      </c>
      <c r="T303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3" s="3">
        <f>tbl_individual[[#This Row],[Total]]</f>
        <v>136</v>
      </c>
    </row>
    <row r="304" spans="1:22" x14ac:dyDescent="0.4">
      <c r="A304" t="s">
        <v>205</v>
      </c>
      <c r="B304" t="s">
        <v>20</v>
      </c>
      <c r="C304" t="s">
        <v>1</v>
      </c>
      <c r="D304" s="3">
        <v>12046</v>
      </c>
      <c r="E304" s="3" t="s">
        <v>421</v>
      </c>
      <c r="G304" s="3" t="s">
        <v>403</v>
      </c>
      <c r="H304" s="3">
        <v>23</v>
      </c>
      <c r="I304" s="3">
        <f>IF(H304="","",IF(H304="DNS",0,IF(H304="DQ",0,IF(H304="DNF",1,IF(AND(ISNUMBER(H304),H304&gt;59),1,_xlfn.XLOOKUP(H304,tbl_points[Place],tbl_points[Points],""))))))</f>
        <v>37</v>
      </c>
      <c r="J304" s="3">
        <v>71</v>
      </c>
      <c r="K304" s="3">
        <f>IF(J304="","",IF(J304="DNS",0,IF(J304="DQ",0,IF(J304="DNF",1,IF(AND(ISNUMBER(J304),J304&gt;59),1,_xlfn.XLOOKUP(J304,tbl_points[Place],tbl_points[Points],""))))))</f>
        <v>1</v>
      </c>
      <c r="L304" s="3">
        <v>16</v>
      </c>
      <c r="M304" s="3">
        <f>IF(L304="","",IF(L304="DNS",0,IF(L304="DQ",0,IF(L304="DNF",1,IF(AND(ISNUMBER(L304),L304&gt;59),1,_xlfn.XLOOKUP(L304,tbl_points[Place],tbl_points[Points],""))))))</f>
        <v>44</v>
      </c>
      <c r="N304" s="3">
        <v>32</v>
      </c>
      <c r="O304" s="3">
        <f>IF(N304="","",IF(N304="DNS",0,IF(N304="DQ",0,IF(N304="DNF",1,IF(AND(ISNUMBER(N304),N304&gt;59),1,_xlfn.XLOOKUP(N304,tbl_points[Place],tbl_points[Points],""))))))</f>
        <v>28</v>
      </c>
      <c r="P304" s="3">
        <v>31</v>
      </c>
      <c r="Q304" s="3">
        <f>IF(P304="","",IF(P304="DNS",0,IF(P304="DQ",0,IF(P304="DNF",1,IF(AND(ISNUMBER(P304),P304&gt;59),1,_xlfn.XLOOKUP(P304,tbl_points[Place],tbl_points[Points],""))))))</f>
        <v>29</v>
      </c>
      <c r="S304" s="3" t="str">
        <f>IF(R304="","",IF(R304="DNS",0,IF(R304="DQ",0,IF(R304="DNF",1,IF(AND(ISNUMBER(R304),R304&gt;59),1,_xlfn.XLOOKUP(R304,tbl_points[Place],tbl_points[Points],""))))))</f>
        <v/>
      </c>
      <c r="T304" s="3">
        <f>SUM(tbl_individual[[#This Row],[R1 Pts]],tbl_individual[[#This Row],[R2 Pts]],tbl_individual[[#This Row],[R3 Pts]],tbl_individual[[#This Row],[R4 Pts]],tbl_individual[[#This Row],[R5 Pts]],tbl_individual[[#This Row],[R6 Pts]])</f>
        <v>139</v>
      </c>
      <c r="U30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04" s="3">
        <f>tbl_individual[[#This Row],[Total]]</f>
        <v>139</v>
      </c>
    </row>
    <row r="305" spans="1:22" x14ac:dyDescent="0.4">
      <c r="A305" t="s">
        <v>206</v>
      </c>
      <c r="B305" t="s">
        <v>20</v>
      </c>
      <c r="C305" t="s">
        <v>1</v>
      </c>
      <c r="D305" s="3">
        <v>12047</v>
      </c>
      <c r="E305" s="3" t="s">
        <v>421</v>
      </c>
      <c r="G305" s="3" t="s">
        <v>403</v>
      </c>
      <c r="H305" s="3" t="s">
        <v>410</v>
      </c>
      <c r="I305" s="3">
        <f>IF(H305="","",IF(H305="DNS",0,IF(H305="DQ",0,IF(H305="DNF",1,IF(AND(ISNUMBER(H305),H305&gt;59),1,_xlfn.XLOOKUP(H305,tbl_points[Place],tbl_points[Points],""))))))</f>
        <v>0</v>
      </c>
      <c r="J305" s="3">
        <v>3</v>
      </c>
      <c r="K305" s="3">
        <f>IF(J305="","",IF(J305="DNS",0,IF(J305="DQ",0,IF(J305="DNF",1,IF(AND(ISNUMBER(J305),J305&gt;59),1,_xlfn.XLOOKUP(J305,tbl_points[Place],tbl_points[Points],""))))))</f>
        <v>90</v>
      </c>
      <c r="L305" s="3">
        <v>3</v>
      </c>
      <c r="M305" s="3">
        <f>IF(L305="","",IF(L305="DNS",0,IF(L305="DQ",0,IF(L305="DNF",1,IF(AND(ISNUMBER(L305),L305&gt;59),1,_xlfn.XLOOKUP(L305,tbl_points[Place],tbl_points[Points],""))))))</f>
        <v>90</v>
      </c>
      <c r="N305" s="3">
        <v>3</v>
      </c>
      <c r="O305" s="3">
        <f>IF(N305="","",IF(N305="DNS",0,IF(N305="DQ",0,IF(N305="DNF",1,IF(AND(ISNUMBER(N305),N305&gt;59),1,_xlfn.XLOOKUP(N305,tbl_points[Place],tbl_points[Points],""))))))</f>
        <v>90</v>
      </c>
      <c r="P305" s="3">
        <v>7</v>
      </c>
      <c r="Q305" s="3">
        <f>IF(P305="","",IF(P305="DNS",0,IF(P305="DQ",0,IF(P305="DNF",1,IF(AND(ISNUMBER(P305),P305&gt;59),1,_xlfn.XLOOKUP(P305,tbl_points[Place],tbl_points[Points],""))))))</f>
        <v>70</v>
      </c>
      <c r="S305" s="3" t="str">
        <f>IF(R305="","",IF(R305="DNS",0,IF(R305="DQ",0,IF(R305="DNF",1,IF(AND(ISNUMBER(R305),R305&gt;59),1,_xlfn.XLOOKUP(R305,tbl_points[Place],tbl_points[Points],""))))))</f>
        <v/>
      </c>
      <c r="T305" s="3">
        <f>SUM(tbl_individual[[#This Row],[R1 Pts]],tbl_individual[[#This Row],[R2 Pts]],tbl_individual[[#This Row],[R3 Pts]],tbl_individual[[#This Row],[R4 Pts]],tbl_individual[[#This Row],[R5 Pts]],tbl_individual[[#This Row],[R6 Pts]])</f>
        <v>340</v>
      </c>
      <c r="U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5" s="3">
        <f>tbl_individual[[#This Row],[Total]]</f>
        <v>340</v>
      </c>
    </row>
    <row r="306" spans="1:22" x14ac:dyDescent="0.4">
      <c r="A306" t="s">
        <v>207</v>
      </c>
      <c r="B306" t="s">
        <v>20</v>
      </c>
      <c r="C306" t="s">
        <v>1</v>
      </c>
      <c r="D306" s="3">
        <v>12048</v>
      </c>
      <c r="E306" s="3" t="s">
        <v>421</v>
      </c>
      <c r="G306" s="3" t="s">
        <v>403</v>
      </c>
      <c r="H306" s="3">
        <v>35</v>
      </c>
      <c r="I306" s="3">
        <f>IF(H306="","",IF(H306="DNS",0,IF(H306="DQ",0,IF(H306="DNF",1,IF(AND(ISNUMBER(H306),H306&gt;59),1,_xlfn.XLOOKUP(H306,tbl_points[Place],tbl_points[Points],""))))))</f>
        <v>25</v>
      </c>
      <c r="J306" s="3">
        <v>37</v>
      </c>
      <c r="K306" s="3">
        <f>IF(J306="","",IF(J306="DNS",0,IF(J306="DQ",0,IF(J306="DNF",1,IF(AND(ISNUMBER(J306),J306&gt;59),1,_xlfn.XLOOKUP(J306,tbl_points[Place],tbl_points[Points],""))))))</f>
        <v>23</v>
      </c>
      <c r="L306" s="3" t="s">
        <v>410</v>
      </c>
      <c r="M306" s="3">
        <f>IF(L306="","",IF(L306="DNS",0,IF(L306="DQ",0,IF(L306="DNF",1,IF(AND(ISNUMBER(L306),L306&gt;59),1,_xlfn.XLOOKUP(L306,tbl_points[Place],tbl_points[Points],""))))))</f>
        <v>0</v>
      </c>
      <c r="N306" s="3">
        <v>31</v>
      </c>
      <c r="O306" s="3">
        <f>IF(N306="","",IF(N306="DNS",0,IF(N306="DQ",0,IF(N306="DNF",1,IF(AND(ISNUMBER(N306),N306&gt;59),1,_xlfn.XLOOKUP(N306,tbl_points[Place],tbl_points[Points],""))))))</f>
        <v>29</v>
      </c>
      <c r="P306" s="3">
        <v>45</v>
      </c>
      <c r="Q306" s="3">
        <f>IF(P306="","",IF(P306="DNS",0,IF(P306="DQ",0,IF(P306="DNF",1,IF(AND(ISNUMBER(P306),P306&gt;59),1,_xlfn.XLOOKUP(P306,tbl_points[Place],tbl_points[Points],""))))))</f>
        <v>15</v>
      </c>
      <c r="S306" s="3" t="str">
        <f>IF(R306="","",IF(R306="DNS",0,IF(R306="DQ",0,IF(R306="DNF",1,IF(AND(ISNUMBER(R306),R306&gt;59),1,_xlfn.XLOOKUP(R306,tbl_points[Place],tbl_points[Points],""))))))</f>
        <v/>
      </c>
      <c r="T306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6" s="3">
        <f>tbl_individual[[#This Row],[Total]]</f>
        <v>92</v>
      </c>
    </row>
    <row r="307" spans="1:22" x14ac:dyDescent="0.4">
      <c r="A307" t="s">
        <v>223</v>
      </c>
      <c r="B307" t="s">
        <v>21</v>
      </c>
      <c r="C307" t="s">
        <v>1</v>
      </c>
      <c r="D307" s="3">
        <v>12049</v>
      </c>
      <c r="E307" s="3" t="s">
        <v>421</v>
      </c>
      <c r="G307" s="3" t="s">
        <v>403</v>
      </c>
      <c r="H307" s="3">
        <v>8</v>
      </c>
      <c r="I307" s="3">
        <f>IF(H307="","",IF(H307="DNS",0,IF(H307="DQ",0,IF(H307="DNF",1,IF(AND(ISNUMBER(H307),H307&gt;59),1,_xlfn.XLOOKUP(H307,tbl_points[Place],tbl_points[Points],""))))))</f>
        <v>65</v>
      </c>
      <c r="J307" s="3">
        <v>23</v>
      </c>
      <c r="K307" s="3">
        <f>IF(J307="","",IF(J307="DNS",0,IF(J307="DQ",0,IF(J307="DNF",1,IF(AND(ISNUMBER(J307),J307&gt;59),1,_xlfn.XLOOKUP(J307,tbl_points[Place],tbl_points[Points],""))))))</f>
        <v>37</v>
      </c>
      <c r="L307" s="3" t="s">
        <v>410</v>
      </c>
      <c r="M307" s="3">
        <f>IF(L307="","",IF(L307="DNS",0,IF(L307="DQ",0,IF(L307="DNF",1,IF(AND(ISNUMBER(L307),L307&gt;59),1,_xlfn.XLOOKUP(L307,tbl_points[Place],tbl_points[Points],""))))))</f>
        <v>0</v>
      </c>
      <c r="N307" s="3" t="s">
        <v>409</v>
      </c>
      <c r="O307" s="3">
        <f>IF(N307="","",IF(N307="DNS",0,IF(N307="DQ",0,IF(N307="DNF",1,IF(AND(ISNUMBER(N307),N307&gt;59),1,_xlfn.XLOOKUP(N307,tbl_points[Place],tbl_points[Points],""))))))</f>
        <v>1</v>
      </c>
      <c r="P307" s="3">
        <v>15</v>
      </c>
      <c r="Q307" s="3">
        <f>IF(P307="","",IF(P307="DNS",0,IF(P307="DQ",0,IF(P307="DNF",1,IF(AND(ISNUMBER(P307),P307&gt;59),1,_xlfn.XLOOKUP(P307,tbl_points[Place],tbl_points[Points],""))))))</f>
        <v>45</v>
      </c>
      <c r="S307" s="3" t="str">
        <f>IF(R307="","",IF(R307="DNS",0,IF(R307="DQ",0,IF(R307="DNF",1,IF(AND(ISNUMBER(R307),R307&gt;59),1,_xlfn.XLOOKUP(R307,tbl_points[Place],tbl_points[Points],""))))))</f>
        <v/>
      </c>
      <c r="T307" s="3">
        <f>SUM(tbl_individual[[#This Row],[R1 Pts]],tbl_individual[[#This Row],[R2 Pts]],tbl_individual[[#This Row],[R3 Pts]],tbl_individual[[#This Row],[R4 Pts]],tbl_individual[[#This Row],[R5 Pts]],tbl_individual[[#This Row],[R6 Pts]])</f>
        <v>148</v>
      </c>
      <c r="U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7" s="3">
        <f>tbl_individual[[#This Row],[Total]]</f>
        <v>148</v>
      </c>
    </row>
    <row r="308" spans="1:22" x14ac:dyDescent="0.4">
      <c r="A308" t="s">
        <v>224</v>
      </c>
      <c r="B308" t="s">
        <v>21</v>
      </c>
      <c r="C308" t="s">
        <v>1</v>
      </c>
      <c r="D308" s="3">
        <v>12050</v>
      </c>
      <c r="E308" s="3" t="s">
        <v>421</v>
      </c>
      <c r="G308" s="3" t="s">
        <v>403</v>
      </c>
      <c r="H308" s="3">
        <v>30</v>
      </c>
      <c r="I308" s="3">
        <f>IF(H308="","",IF(H308="DNS",0,IF(H308="DQ",0,IF(H308="DNF",1,IF(AND(ISNUMBER(H308),H308&gt;59),1,_xlfn.XLOOKUP(H308,tbl_points[Place],tbl_points[Points],""))))))</f>
        <v>30</v>
      </c>
      <c r="J308" s="3">
        <v>31</v>
      </c>
      <c r="K308" s="3">
        <f>IF(J308="","",IF(J308="DNS",0,IF(J308="DQ",0,IF(J308="DNF",1,IF(AND(ISNUMBER(J308),J308&gt;59),1,_xlfn.XLOOKUP(J308,tbl_points[Place],tbl_points[Points],""))))))</f>
        <v>29</v>
      </c>
      <c r="L308" s="3" t="s">
        <v>410</v>
      </c>
      <c r="M308" s="3">
        <f>IF(L308="","",IF(L308="DNS",0,IF(L308="DQ",0,IF(L308="DNF",1,IF(AND(ISNUMBER(L308),L308&gt;59),1,_xlfn.XLOOKUP(L308,tbl_points[Place],tbl_points[Points],""))))))</f>
        <v>0</v>
      </c>
      <c r="N308" s="3">
        <v>22</v>
      </c>
      <c r="O308" s="3">
        <f>IF(N308="","",IF(N308="DNS",0,IF(N308="DQ",0,IF(N308="DNF",1,IF(AND(ISNUMBER(N308),N308&gt;59),1,_xlfn.XLOOKUP(N308,tbl_points[Place],tbl_points[Points],""))))))</f>
        <v>38</v>
      </c>
      <c r="P308" s="3">
        <v>16</v>
      </c>
      <c r="Q308" s="3">
        <f>IF(P308="","",IF(P308="DNS",0,IF(P308="DQ",0,IF(P308="DNF",1,IF(AND(ISNUMBER(P308),P308&gt;59),1,_xlfn.XLOOKUP(P308,tbl_points[Place],tbl_points[Points],""))))))</f>
        <v>44</v>
      </c>
      <c r="S308" s="3" t="str">
        <f>IF(R308="","",IF(R308="DNS",0,IF(R308="DQ",0,IF(R308="DNF",1,IF(AND(ISNUMBER(R308),R308&gt;59),1,_xlfn.XLOOKUP(R308,tbl_points[Place],tbl_points[Points],""))))))</f>
        <v/>
      </c>
      <c r="T308" s="3">
        <f>SUM(tbl_individual[[#This Row],[R1 Pts]],tbl_individual[[#This Row],[R2 Pts]],tbl_individual[[#This Row],[R3 Pts]],tbl_individual[[#This Row],[R4 Pts]],tbl_individual[[#This Row],[R5 Pts]],tbl_individual[[#This Row],[R6 Pts]])</f>
        <v>141</v>
      </c>
      <c r="U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8" s="3">
        <f>tbl_individual[[#This Row],[Total]]</f>
        <v>141</v>
      </c>
    </row>
    <row r="309" spans="1:22" x14ac:dyDescent="0.4">
      <c r="A309" t="s">
        <v>225</v>
      </c>
      <c r="B309" t="s">
        <v>21</v>
      </c>
      <c r="C309" t="s">
        <v>1</v>
      </c>
      <c r="D309" s="3">
        <v>12051</v>
      </c>
      <c r="E309" s="3" t="s">
        <v>421</v>
      </c>
      <c r="G309" s="3" t="s">
        <v>403</v>
      </c>
      <c r="H309" s="3">
        <v>28</v>
      </c>
      <c r="I309" s="3">
        <f>IF(H309="","",IF(H309="DNS",0,IF(H309="DQ",0,IF(H309="DNF",1,IF(AND(ISNUMBER(H309),H309&gt;59),1,_xlfn.XLOOKUP(H309,tbl_points[Place],tbl_points[Points],""))))))</f>
        <v>32</v>
      </c>
      <c r="J309" s="3">
        <v>40</v>
      </c>
      <c r="K309" s="3">
        <f>IF(J309="","",IF(J309="DNS",0,IF(J309="DQ",0,IF(J309="DNF",1,IF(AND(ISNUMBER(J309),J309&gt;59),1,_xlfn.XLOOKUP(J309,tbl_points[Place],tbl_points[Points],""))))))</f>
        <v>20</v>
      </c>
      <c r="L309" s="3">
        <v>32</v>
      </c>
      <c r="M309" s="3">
        <f>IF(L309="","",IF(L309="DNS",0,IF(L309="DQ",0,IF(L309="DNF",1,IF(AND(ISNUMBER(L309),L309&gt;59),1,_xlfn.XLOOKUP(L309,tbl_points[Place],tbl_points[Points],""))))))</f>
        <v>28</v>
      </c>
      <c r="N309" s="3" t="s">
        <v>410</v>
      </c>
      <c r="O309" s="3">
        <f>IF(N309="","",IF(N309="DNS",0,IF(N309="DQ",0,IF(N309="DNF",1,IF(AND(ISNUMBER(N309),N309&gt;59),1,_xlfn.XLOOKUP(N309,tbl_points[Place],tbl_points[Points],""))))))</f>
        <v>0</v>
      </c>
      <c r="P309" s="3" t="s">
        <v>410</v>
      </c>
      <c r="Q309" s="3">
        <f>IF(P309="","",IF(P309="DNS",0,IF(P309="DQ",0,IF(P309="DNF",1,IF(AND(ISNUMBER(P309),P309&gt;59),1,_xlfn.XLOOKUP(P309,tbl_points[Place],tbl_points[Points],""))))))</f>
        <v>0</v>
      </c>
      <c r="S309" s="3" t="str">
        <f>IF(R309="","",IF(R309="DNS",0,IF(R309="DQ",0,IF(R309="DNF",1,IF(AND(ISNUMBER(R309),R309&gt;59),1,_xlfn.XLOOKUP(R309,tbl_points[Place],tbl_points[Points],""))))))</f>
        <v/>
      </c>
      <c r="T30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9" s="3">
        <f>tbl_individual[[#This Row],[Total]]</f>
        <v>80</v>
      </c>
    </row>
    <row r="310" spans="1:22" x14ac:dyDescent="0.4">
      <c r="A310" t="s">
        <v>226</v>
      </c>
      <c r="B310" t="s">
        <v>21</v>
      </c>
      <c r="C310" t="s">
        <v>1</v>
      </c>
      <c r="D310" s="3">
        <v>12052</v>
      </c>
      <c r="E310" s="3" t="s">
        <v>421</v>
      </c>
      <c r="G310" s="3" t="s">
        <v>403</v>
      </c>
      <c r="H310" s="3">
        <v>19</v>
      </c>
      <c r="I310" s="3">
        <f>IF(H310="","",IF(H310="DNS",0,IF(H310="DQ",0,IF(H310="DNF",1,IF(AND(ISNUMBER(H310),H310&gt;59),1,_xlfn.XLOOKUP(H310,tbl_points[Place],tbl_points[Points],""))))))</f>
        <v>41</v>
      </c>
      <c r="J310" s="3">
        <v>11</v>
      </c>
      <c r="K310" s="3">
        <f>IF(J310="","",IF(J310="DNS",0,IF(J310="DQ",0,IF(J310="DNF",1,IF(AND(ISNUMBER(J310),J310&gt;59),1,_xlfn.XLOOKUP(J310,tbl_points[Place],tbl_points[Points],""))))))</f>
        <v>53</v>
      </c>
      <c r="L310" s="3" t="s">
        <v>410</v>
      </c>
      <c r="M310" s="3">
        <f>IF(L310="","",IF(L310="DNS",0,IF(L310="DQ",0,IF(L310="DNF",1,IF(AND(ISNUMBER(L310),L310&gt;59),1,_xlfn.XLOOKUP(L310,tbl_points[Place],tbl_points[Points],""))))))</f>
        <v>0</v>
      </c>
      <c r="N310" s="3" t="s">
        <v>410</v>
      </c>
      <c r="O310" s="3">
        <f>IF(N310="","",IF(N310="DNS",0,IF(N310="DQ",0,IF(N310="DNF",1,IF(AND(ISNUMBER(N310),N310&gt;59),1,_xlfn.XLOOKUP(N310,tbl_points[Place],tbl_points[Points],""))))))</f>
        <v>0</v>
      </c>
      <c r="P310" s="3">
        <v>4</v>
      </c>
      <c r="Q310" s="3">
        <f>IF(P310="","",IF(P310="DNS",0,IF(P310="DQ",0,IF(P310="DNF",1,IF(AND(ISNUMBER(P310),P310&gt;59),1,_xlfn.XLOOKUP(P310,tbl_points[Place],tbl_points[Points],""))))))</f>
        <v>85</v>
      </c>
      <c r="S310" s="3" t="str">
        <f>IF(R310="","",IF(R310="DNS",0,IF(R310="DQ",0,IF(R310="DNF",1,IF(AND(ISNUMBER(R310),R310&gt;59),1,_xlfn.XLOOKUP(R310,tbl_points[Place],tbl_points[Points],""))))))</f>
        <v/>
      </c>
      <c r="T310" s="3">
        <f>SUM(tbl_individual[[#This Row],[R1 Pts]],tbl_individual[[#This Row],[R2 Pts]],tbl_individual[[#This Row],[R3 Pts]],tbl_individual[[#This Row],[R4 Pts]],tbl_individual[[#This Row],[R5 Pts]],tbl_individual[[#This Row],[R6 Pts]])</f>
        <v>179</v>
      </c>
      <c r="U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0" s="3">
        <f>tbl_individual[[#This Row],[Total]]</f>
        <v>179</v>
      </c>
    </row>
    <row r="311" spans="1:22" s="11" customFormat="1" x14ac:dyDescent="0.4">
      <c r="A311" t="s">
        <v>227</v>
      </c>
      <c r="B311" t="s">
        <v>21</v>
      </c>
      <c r="C311" t="s">
        <v>1</v>
      </c>
      <c r="D311" s="3">
        <v>12053</v>
      </c>
      <c r="E311" s="3" t="s">
        <v>421</v>
      </c>
      <c r="F311" s="17"/>
      <c r="G311" s="3" t="s">
        <v>407</v>
      </c>
      <c r="H311" s="3">
        <v>31</v>
      </c>
      <c r="I311" s="3">
        <f>IF(H311="","",IF(H311="DNS",0,IF(H311="DQ",0,IF(H311="DNF",1,IF(AND(ISNUMBER(H311),H311&gt;59),1,_xlfn.XLOOKUP(H311,tbl_points[Place],tbl_points[Points],""))))))</f>
        <v>29</v>
      </c>
      <c r="J311" s="3" t="s">
        <v>410</v>
      </c>
      <c r="K311" s="3">
        <f>IF(J311="","",IF(J311="DNS",0,IF(J311="DQ",0,IF(J311="DNF",1,IF(AND(ISNUMBER(J311),J311&gt;59),1,_xlfn.XLOOKUP(J311,tbl_points[Place],tbl_points[Points],""))))))</f>
        <v>0</v>
      </c>
      <c r="L311" s="3">
        <v>36</v>
      </c>
      <c r="M311" s="3">
        <f>IF(L311="","",IF(L311="DNS",0,IF(L311="DQ",0,IF(L311="DNF",1,IF(AND(ISNUMBER(L311),L311&gt;59),1,_xlfn.XLOOKUP(L311,tbl_points[Place],tbl_points[Points],""))))))</f>
        <v>24</v>
      </c>
      <c r="N311" s="3" t="s">
        <v>410</v>
      </c>
      <c r="O311" s="3">
        <f>IF(N311="","",IF(N311="DNS",0,IF(N311="DQ",0,IF(N311="DNF",1,IF(AND(ISNUMBER(N311),N311&gt;59),1,_xlfn.XLOOKUP(N311,tbl_points[Place],tbl_points[Points],""))))))</f>
        <v>0</v>
      </c>
      <c r="P311" s="3">
        <v>33</v>
      </c>
      <c r="Q311" s="3">
        <f>IF(P311="","",IF(P311="DNS",0,IF(P311="DQ",0,IF(P311="DNF",1,IF(AND(ISNUMBER(P311),P311&gt;59),1,_xlfn.XLOOKUP(P311,tbl_points[Place],tbl_points[Points],""))))))</f>
        <v>27</v>
      </c>
      <c r="R311" s="3"/>
      <c r="S311" s="3" t="str">
        <f>IF(R311="","",IF(R311="DNS",0,IF(R311="DQ",0,IF(R311="DNF",1,IF(AND(ISNUMBER(R311),R311&gt;59),1,_xlfn.XLOOKUP(R311,tbl_points[Place],tbl_points[Points],""))))))</f>
        <v/>
      </c>
      <c r="T31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1" s="3">
        <f>tbl_individual[[#This Row],[Total]]</f>
        <v>80</v>
      </c>
    </row>
    <row r="312" spans="1:22" x14ac:dyDescent="0.4">
      <c r="A312" t="s">
        <v>228</v>
      </c>
      <c r="B312" t="s">
        <v>21</v>
      </c>
      <c r="C312" t="s">
        <v>1</v>
      </c>
      <c r="D312" s="3">
        <v>12054</v>
      </c>
      <c r="E312" s="3" t="s">
        <v>421</v>
      </c>
      <c r="G312" s="3" t="s">
        <v>407</v>
      </c>
      <c r="H312" s="3" t="s">
        <v>410</v>
      </c>
      <c r="I312" s="3">
        <f>IF(H312="","",IF(H312="DNS",0,IF(H312="DQ",0,IF(H312="DNF",1,IF(AND(ISNUMBER(H312),H312&gt;59),1,_xlfn.XLOOKUP(H312,tbl_points[Place],tbl_points[Points],""))))))</f>
        <v>0</v>
      </c>
      <c r="J312" s="3" t="s">
        <v>410</v>
      </c>
      <c r="K312" s="3">
        <f>IF(J312="","",IF(J312="DNS",0,IF(J312="DQ",0,IF(J312="DNF",1,IF(AND(ISNUMBER(J312),J312&gt;59),1,_xlfn.XLOOKUP(J312,tbl_points[Place],tbl_points[Points],""))))))</f>
        <v>0</v>
      </c>
      <c r="L312" s="3">
        <v>27</v>
      </c>
      <c r="M312" s="3">
        <f>IF(L312="","",IF(L312="DNS",0,IF(L312="DQ",0,IF(L312="DNF",1,IF(AND(ISNUMBER(L312),L312&gt;59),1,_xlfn.XLOOKUP(L312,tbl_points[Place],tbl_points[Points],""))))))</f>
        <v>33</v>
      </c>
      <c r="N312" s="3" t="s">
        <v>410</v>
      </c>
      <c r="O312" s="3">
        <f>IF(N312="","",IF(N312="DNS",0,IF(N312="DQ",0,IF(N312="DNF",1,IF(AND(ISNUMBER(N312),N312&gt;59),1,_xlfn.XLOOKUP(N312,tbl_points[Place],tbl_points[Points],""))))))</f>
        <v>0</v>
      </c>
      <c r="P312" s="3" t="s">
        <v>410</v>
      </c>
      <c r="Q312" s="3">
        <f>IF(P312="","",IF(P312="DNS",0,IF(P312="DQ",0,IF(P312="DNF",1,IF(AND(ISNUMBER(P312),P312&gt;59),1,_xlfn.XLOOKUP(P312,tbl_points[Place],tbl_points[Points],""))))))</f>
        <v>0</v>
      </c>
      <c r="S312" s="3" t="str">
        <f>IF(R312="","",IF(R312="DNS",0,IF(R312="DQ",0,IF(R312="DNF",1,IF(AND(ISNUMBER(R312),R312&gt;59),1,_xlfn.XLOOKUP(R312,tbl_points[Place],tbl_points[Points],""))))))</f>
        <v/>
      </c>
      <c r="T312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2" s="3">
        <f>tbl_individual[[#This Row],[Total]]</f>
        <v>33</v>
      </c>
    </row>
    <row r="313" spans="1:22" x14ac:dyDescent="0.4">
      <c r="A313" t="s">
        <v>229</v>
      </c>
      <c r="B313" t="s">
        <v>21</v>
      </c>
      <c r="C313" t="s">
        <v>1</v>
      </c>
      <c r="D313" s="3">
        <v>12055</v>
      </c>
      <c r="E313" s="3" t="s">
        <v>421</v>
      </c>
      <c r="G313" s="3" t="s">
        <v>403</v>
      </c>
      <c r="H313" s="3" t="s">
        <v>410</v>
      </c>
      <c r="I313" s="3">
        <f>IF(H313="","",IF(H313="DNS",0,IF(H313="DQ",0,IF(H313="DNF",1,IF(AND(ISNUMBER(H313),H313&gt;59),1,_xlfn.XLOOKUP(H313,tbl_points[Place],tbl_points[Points],""))))))</f>
        <v>0</v>
      </c>
      <c r="J313" s="3">
        <v>45</v>
      </c>
      <c r="K313" s="3">
        <f>IF(J313="","",IF(J313="DNS",0,IF(J313="DQ",0,IF(J313="DNF",1,IF(AND(ISNUMBER(J313),J313&gt;59),1,_xlfn.XLOOKUP(J313,tbl_points[Place],tbl_points[Points],""))))))</f>
        <v>15</v>
      </c>
      <c r="L313" s="3" t="s">
        <v>410</v>
      </c>
      <c r="M313" s="3">
        <f>IF(L313="","",IF(L313="DNS",0,IF(L313="DQ",0,IF(L313="DNF",1,IF(AND(ISNUMBER(L313),L313&gt;59),1,_xlfn.XLOOKUP(L313,tbl_points[Place],tbl_points[Points],""))))))</f>
        <v>0</v>
      </c>
      <c r="N313" s="3" t="s">
        <v>410</v>
      </c>
      <c r="O313" s="3">
        <f>IF(N313="","",IF(N313="DNS",0,IF(N313="DQ",0,IF(N313="DNF",1,IF(AND(ISNUMBER(N313),N313&gt;59),1,_xlfn.XLOOKUP(N313,tbl_points[Place],tbl_points[Points],""))))))</f>
        <v>0</v>
      </c>
      <c r="P313" s="3" t="s">
        <v>410</v>
      </c>
      <c r="Q313" s="3">
        <f>IF(P313="","",IF(P313="DNS",0,IF(P313="DQ",0,IF(P313="DNF",1,IF(AND(ISNUMBER(P313),P313&gt;59),1,_xlfn.XLOOKUP(P313,tbl_points[Place],tbl_points[Points],""))))))</f>
        <v>0</v>
      </c>
      <c r="S313" s="3" t="str">
        <f>IF(R313="","",IF(R313="DNS",0,IF(R313="DQ",0,IF(R313="DNF",1,IF(AND(ISNUMBER(R313),R313&gt;59),1,_xlfn.XLOOKUP(R313,tbl_points[Place],tbl_points[Points],""))))))</f>
        <v/>
      </c>
      <c r="T313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3" s="3">
        <f>tbl_individual[[#This Row],[Total]]</f>
        <v>15</v>
      </c>
    </row>
    <row r="314" spans="1:22" x14ac:dyDescent="0.4">
      <c r="A314" t="s">
        <v>230</v>
      </c>
      <c r="B314" t="s">
        <v>21</v>
      </c>
      <c r="C314" t="s">
        <v>1</v>
      </c>
      <c r="D314" s="3">
        <v>12056</v>
      </c>
      <c r="E314" s="3" t="s">
        <v>421</v>
      </c>
      <c r="G314" s="3" t="s">
        <v>403</v>
      </c>
      <c r="H314" s="3" t="s">
        <v>410</v>
      </c>
      <c r="I314" s="3">
        <f>IF(H314="","",IF(H314="DNS",0,IF(H314="DQ",0,IF(H314="DNF",1,IF(AND(ISNUMBER(H314),H314&gt;59),1,_xlfn.XLOOKUP(H314,tbl_points[Place],tbl_points[Points],""))))))</f>
        <v>0</v>
      </c>
      <c r="J314" s="3">
        <v>51</v>
      </c>
      <c r="K314" s="3">
        <f>IF(J314="","",IF(J314="DNS",0,IF(J314="DQ",0,IF(J314="DNF",1,IF(AND(ISNUMBER(J314),J314&gt;59),1,_xlfn.XLOOKUP(J314,tbl_points[Place],tbl_points[Points],""))))))</f>
        <v>9</v>
      </c>
      <c r="L314" s="3" t="s">
        <v>410</v>
      </c>
      <c r="M314" s="3">
        <f>IF(L314="","",IF(L314="DNS",0,IF(L314="DQ",0,IF(L314="DNF",1,IF(AND(ISNUMBER(L314),L314&gt;59),1,_xlfn.XLOOKUP(L314,tbl_points[Place],tbl_points[Points],""))))))</f>
        <v>0</v>
      </c>
      <c r="N314" s="3">
        <v>41</v>
      </c>
      <c r="O314" s="3">
        <f>IF(N314="","",IF(N314="DNS",0,IF(N314="DQ",0,IF(N314="DNF",1,IF(AND(ISNUMBER(N314),N314&gt;59),1,_xlfn.XLOOKUP(N314,tbl_points[Place],tbl_points[Points],""))))))</f>
        <v>19</v>
      </c>
      <c r="P314" s="3" t="s">
        <v>410</v>
      </c>
      <c r="Q314" s="3">
        <f>IF(P314="","",IF(P314="DNS",0,IF(P314="DQ",0,IF(P314="DNF",1,IF(AND(ISNUMBER(P314),P314&gt;59),1,_xlfn.XLOOKUP(P314,tbl_points[Place],tbl_points[Points],""))))))</f>
        <v>0</v>
      </c>
      <c r="S314" s="3" t="str">
        <f>IF(R314="","",IF(R314="DNS",0,IF(R314="DQ",0,IF(R314="DNF",1,IF(AND(ISNUMBER(R314),R314&gt;59),1,_xlfn.XLOOKUP(R314,tbl_points[Place],tbl_points[Points],""))))))</f>
        <v/>
      </c>
      <c r="T314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4" s="3">
        <f>tbl_individual[[#This Row],[Total]]</f>
        <v>28</v>
      </c>
    </row>
    <row r="315" spans="1:22" x14ac:dyDescent="0.4">
      <c r="A315" t="s">
        <v>231</v>
      </c>
      <c r="B315" t="s">
        <v>21</v>
      </c>
      <c r="C315" t="s">
        <v>1</v>
      </c>
      <c r="D315" s="3">
        <v>12057</v>
      </c>
      <c r="E315" s="3" t="s">
        <v>421</v>
      </c>
      <c r="G315" s="3" t="s">
        <v>403</v>
      </c>
      <c r="H315" s="3">
        <v>48</v>
      </c>
      <c r="I315" s="3">
        <f>IF(H315="","",IF(H315="DNS",0,IF(H315="DQ",0,IF(H315="DNF",1,IF(AND(ISNUMBER(H315),H315&gt;59),1,_xlfn.XLOOKUP(H315,tbl_points[Place],tbl_points[Points],""))))))</f>
        <v>12</v>
      </c>
      <c r="J315" s="3">
        <v>49</v>
      </c>
      <c r="K315" s="3">
        <f>IF(J315="","",IF(J315="DNS",0,IF(J315="DQ",0,IF(J315="DNF",1,IF(AND(ISNUMBER(J315),J315&gt;59),1,_xlfn.XLOOKUP(J315,tbl_points[Place],tbl_points[Points],""))))))</f>
        <v>11</v>
      </c>
      <c r="L315" s="3">
        <v>50</v>
      </c>
      <c r="M315" s="3">
        <f>IF(L315="","",IF(L315="DNS",0,IF(L315="DQ",0,IF(L315="DNF",1,IF(AND(ISNUMBER(L315),L315&gt;59),1,_xlfn.XLOOKUP(L315,tbl_points[Place],tbl_points[Points],""))))))</f>
        <v>10</v>
      </c>
      <c r="N315" s="3">
        <v>26</v>
      </c>
      <c r="O315" s="3">
        <f>IF(N315="","",IF(N315="DNS",0,IF(N315="DQ",0,IF(N315="DNF",1,IF(AND(ISNUMBER(N315),N315&gt;59),1,_xlfn.XLOOKUP(N315,tbl_points[Place],tbl_points[Points],""))))))</f>
        <v>34</v>
      </c>
      <c r="P315" s="3">
        <v>35</v>
      </c>
      <c r="Q315" s="3">
        <f>IF(P315="","",IF(P315="DNS",0,IF(P315="DQ",0,IF(P315="DNF",1,IF(AND(ISNUMBER(P315),P315&gt;59),1,_xlfn.XLOOKUP(P315,tbl_points[Place],tbl_points[Points],""))))))</f>
        <v>25</v>
      </c>
      <c r="S315" s="3" t="str">
        <f>IF(R315="","",IF(R315="DNS",0,IF(R315="DQ",0,IF(R315="DNF",1,IF(AND(ISNUMBER(R315),R315&gt;59),1,_xlfn.XLOOKUP(R315,tbl_points[Place],tbl_points[Points],""))))))</f>
        <v/>
      </c>
      <c r="T315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315" s="3">
        <f>MIN(tbl_individual[[#This Row],[R1 Pts]],tbl_individual[[#This Row],[R2 Pts]],tbl_individual[[#This Row],[R3 Pts]],tbl_individual[[#This Row],[R4 Pts]],tbl_individual[[#This Row],[R5 Pts]],tbl_individual[[#This Row],[R6 Pts]])</f>
        <v>10</v>
      </c>
      <c r="V315" s="3">
        <f>tbl_individual[[#This Row],[Total]]</f>
        <v>92</v>
      </c>
    </row>
    <row r="316" spans="1:22" x14ac:dyDescent="0.4">
      <c r="A316" t="s">
        <v>232</v>
      </c>
      <c r="B316" t="s">
        <v>21</v>
      </c>
      <c r="C316" t="s">
        <v>1</v>
      </c>
      <c r="D316" s="3">
        <v>12058</v>
      </c>
      <c r="E316" s="3" t="s">
        <v>421</v>
      </c>
      <c r="G316" s="3" t="s">
        <v>403</v>
      </c>
      <c r="H316" s="3" t="s">
        <v>410</v>
      </c>
      <c r="I316" s="3">
        <f>IF(H316="","",IF(H316="DNS",0,IF(H316="DQ",0,IF(H316="DNF",1,IF(AND(ISNUMBER(H316),H316&gt;59),1,_xlfn.XLOOKUP(H316,tbl_points[Place],tbl_points[Points],""))))))</f>
        <v>0</v>
      </c>
      <c r="J316" s="3">
        <v>6</v>
      </c>
      <c r="K316" s="3">
        <f>IF(J316="","",IF(J316="DNS",0,IF(J316="DQ",0,IF(J316="DNF",1,IF(AND(ISNUMBER(J316),J316&gt;59),1,_xlfn.XLOOKUP(J316,tbl_points[Place],tbl_points[Points],""))))))</f>
        <v>75</v>
      </c>
      <c r="L316" s="3" t="s">
        <v>410</v>
      </c>
      <c r="M316" s="3">
        <f>IF(L316="","",IF(L316="DNS",0,IF(L316="DQ",0,IF(L316="DNF",1,IF(AND(ISNUMBER(L316),L316&gt;59),1,_xlfn.XLOOKUP(L316,tbl_points[Place],tbl_points[Points],""))))))</f>
        <v>0</v>
      </c>
      <c r="N316" s="3" t="s">
        <v>410</v>
      </c>
      <c r="O316" s="3">
        <f>IF(N316="","",IF(N316="DNS",0,IF(N316="DQ",0,IF(N316="DNF",1,IF(AND(ISNUMBER(N316),N316&gt;59),1,_xlfn.XLOOKUP(N316,tbl_points[Place],tbl_points[Points],""))))))</f>
        <v>0</v>
      </c>
      <c r="P316" s="3" t="s">
        <v>410</v>
      </c>
      <c r="Q316" s="3">
        <f>IF(P316="","",IF(P316="DNS",0,IF(P316="DQ",0,IF(P316="DNF",1,IF(AND(ISNUMBER(P316),P316&gt;59),1,_xlfn.XLOOKUP(P316,tbl_points[Place],tbl_points[Points],""))))))</f>
        <v>0</v>
      </c>
      <c r="S316" s="3" t="str">
        <f>IF(R316="","",IF(R316="DNS",0,IF(R316="DQ",0,IF(R316="DNF",1,IF(AND(ISNUMBER(R316),R316&gt;59),1,_xlfn.XLOOKUP(R316,tbl_points[Place],tbl_points[Points],""))))))</f>
        <v/>
      </c>
      <c r="T31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6" s="3">
        <f>tbl_individual[[#This Row],[Total]]</f>
        <v>75</v>
      </c>
    </row>
    <row r="317" spans="1:22" x14ac:dyDescent="0.4">
      <c r="A317" t="s">
        <v>233</v>
      </c>
      <c r="B317" t="s">
        <v>21</v>
      </c>
      <c r="C317" t="s">
        <v>1</v>
      </c>
      <c r="D317" s="3">
        <v>12059</v>
      </c>
      <c r="E317" s="3" t="s">
        <v>421</v>
      </c>
      <c r="G317" s="3" t="s">
        <v>407</v>
      </c>
      <c r="H317" s="3" t="s">
        <v>410</v>
      </c>
      <c r="I317" s="3">
        <f>IF(H317="","",IF(H317="DNS",0,IF(H317="DQ",0,IF(H317="DNF",1,IF(AND(ISNUMBER(H317),H317&gt;59),1,_xlfn.XLOOKUP(H317,tbl_points[Place],tbl_points[Points],""))))))</f>
        <v>0</v>
      </c>
      <c r="J317" s="3" t="s">
        <v>410</v>
      </c>
      <c r="K317" s="3">
        <f>IF(J317="","",IF(J317="DNS",0,IF(J317="DQ",0,IF(J317="DNF",1,IF(AND(ISNUMBER(J317),J317&gt;59),1,_xlfn.XLOOKUP(J317,tbl_points[Place],tbl_points[Points],""))))))</f>
        <v>0</v>
      </c>
      <c r="L317" s="3" t="s">
        <v>410</v>
      </c>
      <c r="M317" s="3">
        <f>IF(L317="","",IF(L317="DNS",0,IF(L317="DQ",0,IF(L317="DNF",1,IF(AND(ISNUMBER(L317),L317&gt;59),1,_xlfn.XLOOKUP(L317,tbl_points[Place],tbl_points[Points],""))))))</f>
        <v>0</v>
      </c>
      <c r="N317" s="3" t="s">
        <v>410</v>
      </c>
      <c r="O317" s="3">
        <f>IF(N317="","",IF(N317="DNS",0,IF(N317="DQ",0,IF(N317="DNF",1,IF(AND(ISNUMBER(N317),N317&gt;59),1,_xlfn.XLOOKUP(N317,tbl_points[Place],tbl_points[Points],""))))))</f>
        <v>0</v>
      </c>
      <c r="P317" s="3">
        <v>1</v>
      </c>
      <c r="Q317" s="3">
        <f>IF(P317="","",IF(P317="DNS",0,IF(P317="DQ",0,IF(P317="DNF",1,IF(AND(ISNUMBER(P317),P317&gt;59),1,_xlfn.XLOOKUP(P317,tbl_points[Place],tbl_points[Points],""))))))</f>
        <v>100</v>
      </c>
      <c r="S317" s="3" t="str">
        <f>IF(R317="","",IF(R317="DNS",0,IF(R317="DQ",0,IF(R317="DNF",1,IF(AND(ISNUMBER(R317),R317&gt;59),1,_xlfn.XLOOKUP(R317,tbl_points[Place],tbl_points[Points],""))))))</f>
        <v/>
      </c>
      <c r="T317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7" s="3">
        <f>tbl_individual[[#This Row],[Total]]</f>
        <v>100</v>
      </c>
    </row>
    <row r="318" spans="1:22" x14ac:dyDescent="0.4">
      <c r="A318" t="s">
        <v>234</v>
      </c>
      <c r="B318" t="s">
        <v>21</v>
      </c>
      <c r="C318" t="s">
        <v>1</v>
      </c>
      <c r="D318" s="3">
        <v>12060</v>
      </c>
      <c r="E318" s="3" t="s">
        <v>421</v>
      </c>
      <c r="G318" s="3" t="s">
        <v>403</v>
      </c>
      <c r="H318" s="3">
        <v>16</v>
      </c>
      <c r="I318" s="3">
        <f>IF(H318="","",IF(H318="DNS",0,IF(H318="DQ",0,IF(H318="DNF",1,IF(AND(ISNUMBER(H318),H318&gt;59),1,_xlfn.XLOOKUP(H318,tbl_points[Place],tbl_points[Points],""))))))</f>
        <v>44</v>
      </c>
      <c r="J318" s="3">
        <v>47</v>
      </c>
      <c r="K318" s="3">
        <f>IF(J318="","",IF(J318="DNS",0,IF(J318="DQ",0,IF(J318="DNF",1,IF(AND(ISNUMBER(J318),J318&gt;59),1,_xlfn.XLOOKUP(J318,tbl_points[Place],tbl_points[Points],""))))))</f>
        <v>13</v>
      </c>
      <c r="L318" s="3">
        <v>21</v>
      </c>
      <c r="M318" s="3">
        <f>IF(L318="","",IF(L318="DNS",0,IF(L318="DQ",0,IF(L318="DNF",1,IF(AND(ISNUMBER(L318),L318&gt;59),1,_xlfn.XLOOKUP(L318,tbl_points[Place],tbl_points[Points],""))))))</f>
        <v>39</v>
      </c>
      <c r="N318" s="3">
        <v>35</v>
      </c>
      <c r="O318" s="3">
        <f>IF(N318="","",IF(N318="DNS",0,IF(N318="DQ",0,IF(N318="DNF",1,IF(AND(ISNUMBER(N318),N318&gt;59),1,_xlfn.XLOOKUP(N318,tbl_points[Place],tbl_points[Points],""))))))</f>
        <v>25</v>
      </c>
      <c r="P318" s="3">
        <v>25</v>
      </c>
      <c r="Q318" s="3">
        <f>IF(P318="","",IF(P318="DNS",0,IF(P318="DQ",0,IF(P318="DNF",1,IF(AND(ISNUMBER(P318),P318&gt;59),1,_xlfn.XLOOKUP(P318,tbl_points[Place],tbl_points[Points],""))))))</f>
        <v>35</v>
      </c>
      <c r="S318" s="3" t="str">
        <f>IF(R318="","",IF(R318="DNS",0,IF(R318="DQ",0,IF(R318="DNF",1,IF(AND(ISNUMBER(R318),R318&gt;59),1,_xlfn.XLOOKUP(R318,tbl_points[Place],tbl_points[Points],""))))))</f>
        <v/>
      </c>
      <c r="T318" s="3">
        <f>SUM(tbl_individual[[#This Row],[R1 Pts]],tbl_individual[[#This Row],[R2 Pts]],tbl_individual[[#This Row],[R3 Pts]],tbl_individual[[#This Row],[R4 Pts]],tbl_individual[[#This Row],[R5 Pts]],tbl_individual[[#This Row],[R6 Pts]])</f>
        <v>156</v>
      </c>
      <c r="U318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318" s="3">
        <f>tbl_individual[[#This Row],[Total]]</f>
        <v>156</v>
      </c>
    </row>
    <row r="319" spans="1:22" x14ac:dyDescent="0.4">
      <c r="A319" t="s">
        <v>268</v>
      </c>
      <c r="B319" t="s">
        <v>23</v>
      </c>
      <c r="C319" t="s">
        <v>1</v>
      </c>
      <c r="D319" s="3">
        <v>12061</v>
      </c>
      <c r="E319" s="3" t="s">
        <v>421</v>
      </c>
      <c r="G319" s="3" t="s">
        <v>403</v>
      </c>
      <c r="H319" s="3" t="s">
        <v>410</v>
      </c>
      <c r="I319" s="3">
        <f>IF(H319="","",IF(H319="DNS",0,IF(H319="DQ",0,IF(H319="DNF",1,IF(AND(ISNUMBER(H319),H319&gt;59),1,_xlfn.XLOOKUP(H319,tbl_points[Place],tbl_points[Points],""))))))</f>
        <v>0</v>
      </c>
      <c r="J319" s="3">
        <v>18</v>
      </c>
      <c r="K319" s="3">
        <f>IF(J319="","",IF(J319="DNS",0,IF(J319="DQ",0,IF(J319="DNF",1,IF(AND(ISNUMBER(J319),J319&gt;59),1,_xlfn.XLOOKUP(J319,tbl_points[Place],tbl_points[Points],""))))))</f>
        <v>42</v>
      </c>
      <c r="L319" s="3">
        <v>8</v>
      </c>
      <c r="M319" s="3">
        <f>IF(L319="","",IF(L319="DNS",0,IF(L319="DQ",0,IF(L319="DNF",1,IF(AND(ISNUMBER(L319),L319&gt;59),1,_xlfn.XLOOKUP(L319,tbl_points[Place],tbl_points[Points],""))))))</f>
        <v>65</v>
      </c>
      <c r="N319" s="3">
        <v>10</v>
      </c>
      <c r="O319" s="3">
        <f>IF(N319="","",IF(N319="DNS",0,IF(N319="DQ",0,IF(N319="DNF",1,IF(AND(ISNUMBER(N319),N319&gt;59),1,_xlfn.XLOOKUP(N319,tbl_points[Place],tbl_points[Points],""))))))</f>
        <v>55</v>
      </c>
      <c r="P319" s="3">
        <v>28</v>
      </c>
      <c r="Q319" s="3">
        <f>IF(P319="","",IF(P319="DNS",0,IF(P319="DQ",0,IF(P319="DNF",1,IF(AND(ISNUMBER(P319),P319&gt;59),1,_xlfn.XLOOKUP(P319,tbl_points[Place],tbl_points[Points],""))))))</f>
        <v>32</v>
      </c>
      <c r="S319" s="3" t="str">
        <f>IF(R319="","",IF(R319="DNS",0,IF(R319="DQ",0,IF(R319="DNF",1,IF(AND(ISNUMBER(R319),R319&gt;59),1,_xlfn.XLOOKUP(R319,tbl_points[Place],tbl_points[Points],""))))))</f>
        <v/>
      </c>
      <c r="T319" s="3">
        <f>SUM(tbl_individual[[#This Row],[R1 Pts]],tbl_individual[[#This Row],[R2 Pts]],tbl_individual[[#This Row],[R3 Pts]],tbl_individual[[#This Row],[R4 Pts]],tbl_individual[[#This Row],[R5 Pts]],tbl_individual[[#This Row],[R6 Pts]])</f>
        <v>194</v>
      </c>
      <c r="U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9" s="3">
        <f>tbl_individual[[#This Row],[Total]]</f>
        <v>194</v>
      </c>
    </row>
    <row r="320" spans="1:22" x14ac:dyDescent="0.4">
      <c r="A320" t="s">
        <v>269</v>
      </c>
      <c r="B320" t="s">
        <v>23</v>
      </c>
      <c r="C320" t="s">
        <v>1</v>
      </c>
      <c r="D320" s="3">
        <v>12062</v>
      </c>
      <c r="E320" s="3" t="s">
        <v>421</v>
      </c>
      <c r="G320" s="3" t="s">
        <v>403</v>
      </c>
      <c r="H320" s="3" t="s">
        <v>410</v>
      </c>
      <c r="I320" s="3">
        <f>IF(H320="","",IF(H320="DNS",0,IF(H320="DQ",0,IF(H320="DNF",1,IF(AND(ISNUMBER(H320),H320&gt;59),1,_xlfn.XLOOKUP(H320,tbl_points[Place],tbl_points[Points],""))))))</f>
        <v>0</v>
      </c>
      <c r="J320" s="3">
        <v>38</v>
      </c>
      <c r="K320" s="3">
        <f>IF(J320="","",IF(J320="DNS",0,IF(J320="DQ",0,IF(J320="DNF",1,IF(AND(ISNUMBER(J320),J320&gt;59),1,_xlfn.XLOOKUP(J320,tbl_points[Place],tbl_points[Points],""))))))</f>
        <v>22</v>
      </c>
      <c r="L320" s="3">
        <v>49</v>
      </c>
      <c r="M320" s="3">
        <f>IF(L320="","",IF(L320="DNS",0,IF(L320="DQ",0,IF(L320="DNF",1,IF(AND(ISNUMBER(L320),L320&gt;59),1,_xlfn.XLOOKUP(L320,tbl_points[Place],tbl_points[Points],""))))))</f>
        <v>11</v>
      </c>
      <c r="N320" s="3" t="s">
        <v>410</v>
      </c>
      <c r="O320" s="3">
        <f>IF(N320="","",IF(N320="DNS",0,IF(N320="DQ",0,IF(N320="DNF",1,IF(AND(ISNUMBER(N320),N320&gt;59),1,_xlfn.XLOOKUP(N320,tbl_points[Place],tbl_points[Points],""))))))</f>
        <v>0</v>
      </c>
      <c r="P320" s="3" t="s">
        <v>410</v>
      </c>
      <c r="Q320" s="3">
        <f>IF(P320="","",IF(P320="DNS",0,IF(P320="DQ",0,IF(P320="DNF",1,IF(AND(ISNUMBER(P320),P320&gt;59),1,_xlfn.XLOOKUP(P320,tbl_points[Place],tbl_points[Points],""))))))</f>
        <v>0</v>
      </c>
      <c r="S320" s="3" t="str">
        <f>IF(R320="","",IF(R320="DNS",0,IF(R320="DQ",0,IF(R320="DNF",1,IF(AND(ISNUMBER(R320),R320&gt;59),1,_xlfn.XLOOKUP(R320,tbl_points[Place],tbl_points[Points],""))))))</f>
        <v/>
      </c>
      <c r="T320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0" s="3">
        <f>tbl_individual[[#This Row],[Total]]</f>
        <v>33</v>
      </c>
    </row>
    <row r="321" spans="1:22" x14ac:dyDescent="0.4">
      <c r="A321" t="s">
        <v>270</v>
      </c>
      <c r="B321" t="s">
        <v>23</v>
      </c>
      <c r="C321" t="s">
        <v>1</v>
      </c>
      <c r="D321" s="3">
        <v>12063</v>
      </c>
      <c r="E321" s="3" t="s">
        <v>421</v>
      </c>
      <c r="G321" s="3" t="s">
        <v>403</v>
      </c>
      <c r="H321" s="3">
        <v>36</v>
      </c>
      <c r="I321" s="3">
        <f>IF(H321="","",IF(H321="DNS",0,IF(H321="DQ",0,IF(H321="DNF",1,IF(AND(ISNUMBER(H321),H321&gt;59),1,_xlfn.XLOOKUP(H321,tbl_points[Place],tbl_points[Points],""))))))</f>
        <v>24</v>
      </c>
      <c r="J321" s="3">
        <v>42</v>
      </c>
      <c r="K321" s="3">
        <f>IF(J321="","",IF(J321="DNS",0,IF(J321="DQ",0,IF(J321="DNF",1,IF(AND(ISNUMBER(J321),J321&gt;59),1,_xlfn.XLOOKUP(J321,tbl_points[Place],tbl_points[Points],""))))))</f>
        <v>18</v>
      </c>
      <c r="L321" s="3" t="s">
        <v>410</v>
      </c>
      <c r="M321" s="3">
        <f>IF(L321="","",IF(L321="DNS",0,IF(L321="DQ",0,IF(L321="DNF",1,IF(AND(ISNUMBER(L321),L321&gt;59),1,_xlfn.XLOOKUP(L321,tbl_points[Place],tbl_points[Points],""))))))</f>
        <v>0</v>
      </c>
      <c r="N321" s="3">
        <v>36</v>
      </c>
      <c r="O321" s="3">
        <f>IF(N321="","",IF(N321="DNS",0,IF(N321="DQ",0,IF(N321="DNF",1,IF(AND(ISNUMBER(N321),N321&gt;59),1,_xlfn.XLOOKUP(N321,tbl_points[Place],tbl_points[Points],""))))))</f>
        <v>24</v>
      </c>
      <c r="P321" s="3" t="s">
        <v>410</v>
      </c>
      <c r="Q321" s="3">
        <f>IF(P321="","",IF(P321="DNS",0,IF(P321="DQ",0,IF(P321="DNF",1,IF(AND(ISNUMBER(P321),P321&gt;59),1,_xlfn.XLOOKUP(P321,tbl_points[Place],tbl_points[Points],""))))))</f>
        <v>0</v>
      </c>
      <c r="S321" s="3" t="str">
        <f>IF(R321="","",IF(R321="DNS",0,IF(R321="DQ",0,IF(R321="DNF",1,IF(AND(ISNUMBER(R321),R321&gt;59),1,_xlfn.XLOOKUP(R321,tbl_points[Place],tbl_points[Points],""))))))</f>
        <v/>
      </c>
      <c r="T321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U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1" s="3">
        <f>tbl_individual[[#This Row],[Total]]</f>
        <v>66</v>
      </c>
    </row>
    <row r="322" spans="1:22" x14ac:dyDescent="0.4">
      <c r="A322" t="s">
        <v>271</v>
      </c>
      <c r="B322" t="s">
        <v>23</v>
      </c>
      <c r="C322" t="s">
        <v>1</v>
      </c>
      <c r="D322" s="3">
        <v>12064</v>
      </c>
      <c r="E322" s="3" t="s">
        <v>421</v>
      </c>
      <c r="G322" s="3" t="s">
        <v>407</v>
      </c>
      <c r="H322" s="3">
        <v>24</v>
      </c>
      <c r="I322" s="3">
        <f>IF(H322="","",IF(H322="DNS",0,IF(H322="DQ",0,IF(H322="DNF",1,IF(AND(ISNUMBER(H322),H322&gt;59),1,_xlfn.XLOOKUP(H322,tbl_points[Place],tbl_points[Points],""))))))</f>
        <v>36</v>
      </c>
      <c r="J322" s="3" t="s">
        <v>410</v>
      </c>
      <c r="K322" s="3">
        <f>IF(J322="","",IF(J322="DNS",0,IF(J322="DQ",0,IF(J322="DNF",1,IF(AND(ISNUMBER(J322),J322&gt;59),1,_xlfn.XLOOKUP(J322,tbl_points[Place],tbl_points[Points],""))))))</f>
        <v>0</v>
      </c>
      <c r="L322" s="3" t="s">
        <v>410</v>
      </c>
      <c r="M322" s="3">
        <f>IF(L322="","",IF(L322="DNS",0,IF(L322="DQ",0,IF(L322="DNF",1,IF(AND(ISNUMBER(L322),L322&gt;59),1,_xlfn.XLOOKUP(L322,tbl_points[Place],tbl_points[Points],""))))))</f>
        <v>0</v>
      </c>
      <c r="N322" s="3" t="s">
        <v>409</v>
      </c>
      <c r="O322" s="3">
        <f>IF(N322="","",IF(N322="DNS",0,IF(N322="DQ",0,IF(N322="DNF",1,IF(AND(ISNUMBER(N322),N322&gt;59),1,_xlfn.XLOOKUP(N322,tbl_points[Place],tbl_points[Points],""))))))</f>
        <v>1</v>
      </c>
      <c r="P322" s="3">
        <v>43</v>
      </c>
      <c r="Q322" s="3">
        <f>IF(P322="","",IF(P322="DNS",0,IF(P322="DQ",0,IF(P322="DNF",1,IF(AND(ISNUMBER(P322),P322&gt;59),1,_xlfn.XLOOKUP(P322,tbl_points[Place],tbl_points[Points],""))))))</f>
        <v>17</v>
      </c>
      <c r="S322" s="3" t="str">
        <f>IF(R322="","",IF(R322="DNS",0,IF(R322="DQ",0,IF(R322="DNF",1,IF(AND(ISNUMBER(R322),R322&gt;59),1,_xlfn.XLOOKUP(R322,tbl_points[Place],tbl_points[Points],""))))))</f>
        <v/>
      </c>
      <c r="T322" s="3">
        <f>SUM(tbl_individual[[#This Row],[R1 Pts]],tbl_individual[[#This Row],[R2 Pts]],tbl_individual[[#This Row],[R3 Pts]],tbl_individual[[#This Row],[R4 Pts]],tbl_individual[[#This Row],[R5 Pts]],tbl_individual[[#This Row],[R6 Pts]])</f>
        <v>54</v>
      </c>
      <c r="U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2" s="3">
        <f>tbl_individual[[#This Row],[Total]]</f>
        <v>54</v>
      </c>
    </row>
    <row r="323" spans="1:22" x14ac:dyDescent="0.4">
      <c r="A323" t="s">
        <v>272</v>
      </c>
      <c r="B323" t="s">
        <v>23</v>
      </c>
      <c r="C323" t="s">
        <v>1</v>
      </c>
      <c r="D323" s="3">
        <v>12065</v>
      </c>
      <c r="E323" s="3" t="s">
        <v>421</v>
      </c>
      <c r="G323" s="3" t="s">
        <v>403</v>
      </c>
      <c r="H323" s="3">
        <v>29</v>
      </c>
      <c r="I323" s="3">
        <f>IF(H323="","",IF(H323="DNS",0,IF(H323="DQ",0,IF(H323="DNF",1,IF(AND(ISNUMBER(H323),H323&gt;59),1,_xlfn.XLOOKUP(H323,tbl_points[Place],tbl_points[Points],""))))))</f>
        <v>31</v>
      </c>
      <c r="J323" s="3">
        <v>29</v>
      </c>
      <c r="K323" s="3">
        <f>IF(J323="","",IF(J323="DNS",0,IF(J323="DQ",0,IF(J323="DNF",1,IF(AND(ISNUMBER(J323),J323&gt;59),1,_xlfn.XLOOKUP(J323,tbl_points[Place],tbl_points[Points],""))))))</f>
        <v>31</v>
      </c>
      <c r="L323" s="3">
        <v>29</v>
      </c>
      <c r="M323" s="3">
        <f>IF(L323="","",IF(L323="DNS",0,IF(L323="DQ",0,IF(L323="DNF",1,IF(AND(ISNUMBER(L323),L323&gt;59),1,_xlfn.XLOOKUP(L323,tbl_points[Place],tbl_points[Points],""))))))</f>
        <v>31</v>
      </c>
      <c r="N323" s="3" t="s">
        <v>410</v>
      </c>
      <c r="O323" s="3">
        <f>IF(N323="","",IF(N323="DNS",0,IF(N323="DQ",0,IF(N323="DNF",1,IF(AND(ISNUMBER(N323),N323&gt;59),1,_xlfn.XLOOKUP(N323,tbl_points[Place],tbl_points[Points],""))))))</f>
        <v>0</v>
      </c>
      <c r="P323" s="3">
        <v>27</v>
      </c>
      <c r="Q323" s="3">
        <f>IF(P323="","",IF(P323="DNS",0,IF(P323="DQ",0,IF(P323="DNF",1,IF(AND(ISNUMBER(P323),P323&gt;59),1,_xlfn.XLOOKUP(P323,tbl_points[Place],tbl_points[Points],""))))))</f>
        <v>33</v>
      </c>
      <c r="S323" s="3" t="str">
        <f>IF(R323="","",IF(R323="DNS",0,IF(R323="DQ",0,IF(R323="DNF",1,IF(AND(ISNUMBER(R323),R323&gt;59),1,_xlfn.XLOOKUP(R323,tbl_points[Place],tbl_points[Points],""))))))</f>
        <v/>
      </c>
      <c r="T323" s="3">
        <f>SUM(tbl_individual[[#This Row],[R1 Pts]],tbl_individual[[#This Row],[R2 Pts]],tbl_individual[[#This Row],[R3 Pts]],tbl_individual[[#This Row],[R4 Pts]],tbl_individual[[#This Row],[R5 Pts]],tbl_individual[[#This Row],[R6 Pts]])</f>
        <v>126</v>
      </c>
      <c r="U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3" s="3">
        <f>tbl_individual[[#This Row],[Total]]</f>
        <v>126</v>
      </c>
    </row>
    <row r="324" spans="1:22" x14ac:dyDescent="0.4">
      <c r="A324" t="s">
        <v>273</v>
      </c>
      <c r="B324" t="s">
        <v>23</v>
      </c>
      <c r="C324" t="s">
        <v>1</v>
      </c>
      <c r="D324" s="3">
        <v>12066</v>
      </c>
      <c r="E324" s="3" t="s">
        <v>421</v>
      </c>
      <c r="G324" s="3" t="s">
        <v>403</v>
      </c>
      <c r="H324" s="3" t="s">
        <v>409</v>
      </c>
      <c r="I324" s="3">
        <f>IF(H324="","",IF(H324="DNS",0,IF(H324="DQ",0,IF(H324="DNF",1,IF(AND(ISNUMBER(H324),H324&gt;59),1,_xlfn.XLOOKUP(H324,tbl_points[Place],tbl_points[Points],""))))))</f>
        <v>1</v>
      </c>
      <c r="J324" s="3">
        <v>70</v>
      </c>
      <c r="K324" s="3">
        <f>IF(J324="","",IF(J324="DNS",0,IF(J324="DQ",0,IF(J324="DNF",1,IF(AND(ISNUMBER(J324),J324&gt;59),1,_xlfn.XLOOKUP(J324,tbl_points[Place],tbl_points[Points],""))))))</f>
        <v>1</v>
      </c>
      <c r="L324" s="3" t="s">
        <v>410</v>
      </c>
      <c r="M324" s="3">
        <f>IF(L324="","",IF(L324="DNS",0,IF(L324="DQ",0,IF(L324="DNF",1,IF(AND(ISNUMBER(L324),L324&gt;59),1,_xlfn.XLOOKUP(L324,tbl_points[Place],tbl_points[Points],""))))))</f>
        <v>0</v>
      </c>
      <c r="N324" s="3">
        <v>65</v>
      </c>
      <c r="O324" s="3">
        <f>IF(N324="","",IF(N324="DNS",0,IF(N324="DQ",0,IF(N324="DNF",1,IF(AND(ISNUMBER(N324),N324&gt;59),1,_xlfn.XLOOKUP(N324,tbl_points[Place],tbl_points[Points],""))))))</f>
        <v>1</v>
      </c>
      <c r="P324" s="3" t="s">
        <v>409</v>
      </c>
      <c r="Q324" s="3">
        <f>IF(P324="","",IF(P324="DNS",0,IF(P324="DQ",0,IF(P324="DNF",1,IF(AND(ISNUMBER(P324),P324&gt;59),1,_xlfn.XLOOKUP(P324,tbl_points[Place],tbl_points[Points],""))))))</f>
        <v>1</v>
      </c>
      <c r="S324" s="3" t="str">
        <f>IF(R324="","",IF(R324="DNS",0,IF(R324="DQ",0,IF(R324="DNF",1,IF(AND(ISNUMBER(R324),R324&gt;59),1,_xlfn.XLOOKUP(R324,tbl_points[Place],tbl_points[Points],""))))))</f>
        <v/>
      </c>
      <c r="T324" s="3">
        <f>SUM(tbl_individual[[#This Row],[R1 Pts]],tbl_individual[[#This Row],[R2 Pts]],tbl_individual[[#This Row],[R3 Pts]],tbl_individual[[#This Row],[R4 Pts]],tbl_individual[[#This Row],[R5 Pts]],tbl_individual[[#This Row],[R6 Pts]])</f>
        <v>4</v>
      </c>
      <c r="U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4" s="3">
        <f>tbl_individual[[#This Row],[Total]]</f>
        <v>4</v>
      </c>
    </row>
    <row r="325" spans="1:22" x14ac:dyDescent="0.4">
      <c r="A325" t="s">
        <v>274</v>
      </c>
      <c r="B325" t="s">
        <v>23</v>
      </c>
      <c r="C325" t="s">
        <v>1</v>
      </c>
      <c r="D325" s="3">
        <v>12067</v>
      </c>
      <c r="E325" s="3" t="s">
        <v>421</v>
      </c>
      <c r="G325" s="3" t="s">
        <v>403</v>
      </c>
      <c r="H325" s="3">
        <v>37</v>
      </c>
      <c r="I325" s="3">
        <f>IF(H325="","",IF(H325="DNS",0,IF(H325="DQ",0,IF(H325="DNF",1,IF(AND(ISNUMBER(H325),H325&gt;59),1,_xlfn.XLOOKUP(H325,tbl_points[Place],tbl_points[Points],""))))))</f>
        <v>23</v>
      </c>
      <c r="J325" s="3">
        <v>39</v>
      </c>
      <c r="K325" s="3">
        <f>IF(J325="","",IF(J325="DNS",0,IF(J325="DQ",0,IF(J325="DNF",1,IF(AND(ISNUMBER(J325),J325&gt;59),1,_xlfn.XLOOKUP(J325,tbl_points[Place],tbl_points[Points],""))))))</f>
        <v>21</v>
      </c>
      <c r="L325" s="3" t="s">
        <v>410</v>
      </c>
      <c r="M325" s="3">
        <f>IF(L325="","",IF(L325="DNS",0,IF(L325="DQ",0,IF(L325="DNF",1,IF(AND(ISNUMBER(L325),L325&gt;59),1,_xlfn.XLOOKUP(L325,tbl_points[Place],tbl_points[Points],""))))))</f>
        <v>0</v>
      </c>
      <c r="N325" s="3" t="s">
        <v>410</v>
      </c>
      <c r="O325" s="3">
        <f>IF(N325="","",IF(N325="DNS",0,IF(N325="DQ",0,IF(N325="DNF",1,IF(AND(ISNUMBER(N325),N325&gt;59),1,_xlfn.XLOOKUP(N325,tbl_points[Place],tbl_points[Points],""))))))</f>
        <v>0</v>
      </c>
      <c r="P325" s="3" t="s">
        <v>410</v>
      </c>
      <c r="Q325" s="3">
        <f>IF(P325="","",IF(P325="DNS",0,IF(P325="DQ",0,IF(P325="DNF",1,IF(AND(ISNUMBER(P325),P325&gt;59),1,_xlfn.XLOOKUP(P325,tbl_points[Place],tbl_points[Points],""))))))</f>
        <v>0</v>
      </c>
      <c r="S325" s="3" t="str">
        <f>IF(R325="","",IF(R325="DNS",0,IF(R325="DQ",0,IF(R325="DNF",1,IF(AND(ISNUMBER(R325),R325&gt;59),1,_xlfn.XLOOKUP(R325,tbl_points[Place],tbl_points[Points],""))))))</f>
        <v/>
      </c>
      <c r="T325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5" s="3">
        <f>tbl_individual[[#This Row],[Total]]</f>
        <v>44</v>
      </c>
    </row>
    <row r="326" spans="1:22" x14ac:dyDescent="0.4">
      <c r="A326" t="s">
        <v>275</v>
      </c>
      <c r="B326" t="s">
        <v>23</v>
      </c>
      <c r="C326" t="s">
        <v>1</v>
      </c>
      <c r="D326" s="3">
        <v>12068</v>
      </c>
      <c r="E326" s="3" t="s">
        <v>421</v>
      </c>
      <c r="G326" s="3" t="s">
        <v>407</v>
      </c>
      <c r="H326" s="3">
        <v>13</v>
      </c>
      <c r="I326" s="3">
        <f>IF(H326="","",IF(H326="DNS",0,IF(H326="DQ",0,IF(H326="DNF",1,IF(AND(ISNUMBER(H326),H326&gt;59),1,_xlfn.XLOOKUP(H326,tbl_points[Place],tbl_points[Points],""))))))</f>
        <v>49</v>
      </c>
      <c r="J326" s="3" t="s">
        <v>410</v>
      </c>
      <c r="K326" s="3">
        <f>IF(J326="","",IF(J326="DNS",0,IF(J326="DQ",0,IF(J326="DNF",1,IF(AND(ISNUMBER(J326),J326&gt;59),1,_xlfn.XLOOKUP(J326,tbl_points[Place],tbl_points[Points],""))))))</f>
        <v>0</v>
      </c>
      <c r="L326" s="3">
        <v>20</v>
      </c>
      <c r="M326" s="3">
        <f>IF(L326="","",IF(L326="DNS",0,IF(L326="DQ",0,IF(L326="DNF",1,IF(AND(ISNUMBER(L326),L326&gt;59),1,_xlfn.XLOOKUP(L326,tbl_points[Place],tbl_points[Points],""))))))</f>
        <v>40</v>
      </c>
      <c r="N326" s="3">
        <v>46</v>
      </c>
      <c r="O326" s="3">
        <f>IF(N326="","",IF(N326="DNS",0,IF(N326="DQ",0,IF(N326="DNF",1,IF(AND(ISNUMBER(N326),N326&gt;59),1,_xlfn.XLOOKUP(N326,tbl_points[Place],tbl_points[Points],""))))))</f>
        <v>14</v>
      </c>
      <c r="P326" s="3">
        <v>40</v>
      </c>
      <c r="Q326" s="3">
        <f>IF(P326="","",IF(P326="DNS",0,IF(P326="DQ",0,IF(P326="DNF",1,IF(AND(ISNUMBER(P326),P326&gt;59),1,_xlfn.XLOOKUP(P326,tbl_points[Place],tbl_points[Points],""))))))</f>
        <v>20</v>
      </c>
      <c r="S326" s="3" t="str">
        <f>IF(R326="","",IF(R326="DNS",0,IF(R326="DQ",0,IF(R326="DNF",1,IF(AND(ISNUMBER(R326),R326&gt;59),1,_xlfn.XLOOKUP(R326,tbl_points[Place],tbl_points[Points],""))))))</f>
        <v/>
      </c>
      <c r="T326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6" s="3">
        <f>tbl_individual[[#This Row],[Total]]</f>
        <v>123</v>
      </c>
    </row>
    <row r="327" spans="1:22" x14ac:dyDescent="0.4">
      <c r="A327" t="s">
        <v>276</v>
      </c>
      <c r="B327" t="s">
        <v>23</v>
      </c>
      <c r="C327" t="s">
        <v>1</v>
      </c>
      <c r="D327" s="3">
        <v>12069</v>
      </c>
      <c r="E327" s="3" t="s">
        <v>421</v>
      </c>
      <c r="G327" s="3" t="s">
        <v>403</v>
      </c>
      <c r="H327" s="3">
        <v>2</v>
      </c>
      <c r="I327" s="3">
        <f>IF(H327="","",IF(H327="DNS",0,IF(H327="DQ",0,IF(H327="DNF",1,IF(AND(ISNUMBER(H327),H327&gt;59),1,_xlfn.XLOOKUP(H327,tbl_points[Place],tbl_points[Points],""))))))</f>
        <v>95</v>
      </c>
      <c r="J327" s="3">
        <v>8</v>
      </c>
      <c r="K327" s="3">
        <f>IF(J327="","",IF(J327="DNS",0,IF(J327="DQ",0,IF(J327="DNF",1,IF(AND(ISNUMBER(J327),J327&gt;59),1,_xlfn.XLOOKUP(J327,tbl_points[Place],tbl_points[Points],""))))))</f>
        <v>65</v>
      </c>
      <c r="L327" s="3">
        <v>4</v>
      </c>
      <c r="M327" s="3">
        <f>IF(L327="","",IF(L327="DNS",0,IF(L327="DQ",0,IF(L327="DNF",1,IF(AND(ISNUMBER(L327),L327&gt;59),1,_xlfn.XLOOKUP(L327,tbl_points[Place],tbl_points[Points],""))))))</f>
        <v>85</v>
      </c>
      <c r="N327" s="3" t="s">
        <v>409</v>
      </c>
      <c r="O327" s="3">
        <f>IF(N327="","",IF(N327="DNS",0,IF(N327="DQ",0,IF(N327="DNF",1,IF(AND(ISNUMBER(N327),N327&gt;59),1,_xlfn.XLOOKUP(N327,tbl_points[Place],tbl_points[Points],""))))))</f>
        <v>1</v>
      </c>
      <c r="P327" s="3">
        <v>23</v>
      </c>
      <c r="Q327" s="3">
        <f>IF(P327="","",IF(P327="DNS",0,IF(P327="DQ",0,IF(P327="DNF",1,IF(AND(ISNUMBER(P327),P327&gt;59),1,_xlfn.XLOOKUP(P327,tbl_points[Place],tbl_points[Points],""))))))</f>
        <v>37</v>
      </c>
      <c r="S327" s="3" t="str">
        <f>IF(R327="","",IF(R327="DNS",0,IF(R327="DQ",0,IF(R327="DNF",1,IF(AND(ISNUMBER(R327),R327&gt;59),1,_xlfn.XLOOKUP(R327,tbl_points[Place],tbl_points[Points],""))))))</f>
        <v/>
      </c>
      <c r="T327" s="3">
        <f>SUM(tbl_individual[[#This Row],[R1 Pts]],tbl_individual[[#This Row],[R2 Pts]],tbl_individual[[#This Row],[R3 Pts]],tbl_individual[[#This Row],[R4 Pts]],tbl_individual[[#This Row],[R5 Pts]],tbl_individual[[#This Row],[R6 Pts]])</f>
        <v>283</v>
      </c>
      <c r="U32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27" s="3">
        <f>tbl_individual[[#This Row],[Total]]</f>
        <v>283</v>
      </c>
    </row>
    <row r="328" spans="1:22" x14ac:dyDescent="0.4">
      <c r="A328" t="s">
        <v>277</v>
      </c>
      <c r="B328" t="s">
        <v>23</v>
      </c>
      <c r="C328" t="s">
        <v>1</v>
      </c>
      <c r="D328" s="3">
        <v>12070</v>
      </c>
      <c r="E328" s="3" t="s">
        <v>421</v>
      </c>
      <c r="G328" s="3" t="s">
        <v>403</v>
      </c>
      <c r="H328" s="3">
        <v>11</v>
      </c>
      <c r="I328" s="3">
        <f>IF(H328="","",IF(H328="DNS",0,IF(H328="DQ",0,IF(H328="DNF",1,IF(AND(ISNUMBER(H328),H328&gt;59),1,_xlfn.XLOOKUP(H328,tbl_points[Place],tbl_points[Points],""))))))</f>
        <v>53</v>
      </c>
      <c r="J328" s="3">
        <v>17</v>
      </c>
      <c r="K328" s="3">
        <f>IF(J328="","",IF(J328="DNS",0,IF(J328="DQ",0,IF(J328="DNF",1,IF(AND(ISNUMBER(J328),J328&gt;59),1,_xlfn.XLOOKUP(J328,tbl_points[Place],tbl_points[Points],""))))))</f>
        <v>43</v>
      </c>
      <c r="L328" s="3">
        <v>11</v>
      </c>
      <c r="M328" s="3">
        <f>IF(L328="","",IF(L328="DNS",0,IF(L328="DQ",0,IF(L328="DNF",1,IF(AND(ISNUMBER(L328),L328&gt;59),1,_xlfn.XLOOKUP(L328,tbl_points[Place],tbl_points[Points],""))))))</f>
        <v>53</v>
      </c>
      <c r="N328" s="3">
        <v>11</v>
      </c>
      <c r="O328" s="3">
        <f>IF(N328="","",IF(N328="DNS",0,IF(N328="DQ",0,IF(N328="DNF",1,IF(AND(ISNUMBER(N328),N328&gt;59),1,_xlfn.XLOOKUP(N328,tbl_points[Place],tbl_points[Points],""))))))</f>
        <v>53</v>
      </c>
      <c r="P328" s="3">
        <v>10</v>
      </c>
      <c r="Q328" s="3">
        <f>IF(P328="","",IF(P328="DNS",0,IF(P328="DQ",0,IF(P328="DNF",1,IF(AND(ISNUMBER(P328),P328&gt;59),1,_xlfn.XLOOKUP(P328,tbl_points[Place],tbl_points[Points],""))))))</f>
        <v>55</v>
      </c>
      <c r="S328" s="3" t="str">
        <f>IF(R328="","",IF(R328="DNS",0,IF(R328="DQ",0,IF(R328="DNF",1,IF(AND(ISNUMBER(R328),R328&gt;59),1,_xlfn.XLOOKUP(R328,tbl_points[Place],tbl_points[Points],""))))))</f>
        <v/>
      </c>
      <c r="T328" s="3">
        <f>SUM(tbl_individual[[#This Row],[R1 Pts]],tbl_individual[[#This Row],[R2 Pts]],tbl_individual[[#This Row],[R3 Pts]],tbl_individual[[#This Row],[R4 Pts]],tbl_individual[[#This Row],[R5 Pts]],tbl_individual[[#This Row],[R6 Pts]])</f>
        <v>257</v>
      </c>
      <c r="U32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328" s="3">
        <f>tbl_individual[[#This Row],[Total]]</f>
        <v>257</v>
      </c>
    </row>
    <row r="329" spans="1:22" x14ac:dyDescent="0.4">
      <c r="A329" t="s">
        <v>278</v>
      </c>
      <c r="B329" t="s">
        <v>23</v>
      </c>
      <c r="C329" t="s">
        <v>1</v>
      </c>
      <c r="D329" s="3">
        <v>12071</v>
      </c>
      <c r="E329" s="3" t="s">
        <v>421</v>
      </c>
      <c r="G329" s="3" t="s">
        <v>403</v>
      </c>
      <c r="H329" s="3" t="s">
        <v>410</v>
      </c>
      <c r="I329" s="3">
        <f>IF(H329="","",IF(H329="DNS",0,IF(H329="DQ",0,IF(H329="DNF",1,IF(AND(ISNUMBER(H329),H329&gt;59),1,_xlfn.XLOOKUP(H329,tbl_points[Place],tbl_points[Points],""))))))</f>
        <v>0</v>
      </c>
      <c r="J329" s="3">
        <v>33</v>
      </c>
      <c r="K329" s="3">
        <f>IF(J329="","",IF(J329="DNS",0,IF(J329="DQ",0,IF(J329="DNF",1,IF(AND(ISNUMBER(J329),J329&gt;59),1,_xlfn.XLOOKUP(J329,tbl_points[Place],tbl_points[Points],""))))))</f>
        <v>27</v>
      </c>
      <c r="L329" s="3" t="s">
        <v>410</v>
      </c>
      <c r="M329" s="3">
        <f>IF(L329="","",IF(L329="DNS",0,IF(L329="DQ",0,IF(L329="DNF",1,IF(AND(ISNUMBER(L329),L329&gt;59),1,_xlfn.XLOOKUP(L329,tbl_points[Place],tbl_points[Points],""))))))</f>
        <v>0</v>
      </c>
      <c r="N329" s="3" t="s">
        <v>410</v>
      </c>
      <c r="O329" s="3">
        <f>IF(N329="","",IF(N329="DNS",0,IF(N329="DQ",0,IF(N329="DNF",1,IF(AND(ISNUMBER(N329),N329&gt;59),1,_xlfn.XLOOKUP(N329,tbl_points[Place],tbl_points[Points],""))))))</f>
        <v>0</v>
      </c>
      <c r="P329" s="3" t="s">
        <v>410</v>
      </c>
      <c r="Q329" s="3">
        <f>IF(P329="","",IF(P329="DNS",0,IF(P329="DQ",0,IF(P329="DNF",1,IF(AND(ISNUMBER(P329),P329&gt;59),1,_xlfn.XLOOKUP(P329,tbl_points[Place],tbl_points[Points],""))))))</f>
        <v>0</v>
      </c>
      <c r="S329" s="3" t="str">
        <f>IF(R329="","",IF(R329="DNS",0,IF(R329="DQ",0,IF(R329="DNF",1,IF(AND(ISNUMBER(R329),R329&gt;59),1,_xlfn.XLOOKUP(R329,tbl_points[Place],tbl_points[Points],""))))))</f>
        <v/>
      </c>
      <c r="T329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9" s="3">
        <f>tbl_individual[[#This Row],[Total]]</f>
        <v>27</v>
      </c>
    </row>
    <row r="330" spans="1:22" x14ac:dyDescent="0.4">
      <c r="A330" t="s">
        <v>282</v>
      </c>
      <c r="B330" t="s">
        <v>24</v>
      </c>
      <c r="C330" t="s">
        <v>1</v>
      </c>
      <c r="D330" s="3">
        <v>12072</v>
      </c>
      <c r="E330" s="3" t="s">
        <v>421</v>
      </c>
      <c r="G330" s="3" t="s">
        <v>407</v>
      </c>
      <c r="H330" s="3" t="s">
        <v>410</v>
      </c>
      <c r="I330" s="3">
        <f>IF(H330="","",IF(H330="DNS",0,IF(H330="DQ",0,IF(H330="DNF",1,IF(AND(ISNUMBER(H330),H330&gt;59),1,_xlfn.XLOOKUP(H330,tbl_points[Place],tbl_points[Points],""))))))</f>
        <v>0</v>
      </c>
      <c r="J330" s="3" t="s">
        <v>410</v>
      </c>
      <c r="K330" s="3">
        <f>IF(J330="","",IF(J330="DNS",0,IF(J330="DQ",0,IF(J330="DNF",1,IF(AND(ISNUMBER(J330),J330&gt;59),1,_xlfn.XLOOKUP(J330,tbl_points[Place],tbl_points[Points],""))))))</f>
        <v>0</v>
      </c>
      <c r="L330" s="3" t="s">
        <v>410</v>
      </c>
      <c r="M330" s="3">
        <f>IF(L330="","",IF(L330="DNS",0,IF(L330="DQ",0,IF(L330="DNF",1,IF(AND(ISNUMBER(L330),L330&gt;59),1,_xlfn.XLOOKUP(L330,tbl_points[Place],tbl_points[Points],""))))))</f>
        <v>0</v>
      </c>
      <c r="N330" s="3" t="s">
        <v>410</v>
      </c>
      <c r="O330" s="3">
        <f>IF(N330="","",IF(N330="DNS",0,IF(N330="DQ",0,IF(N330="DNF",1,IF(AND(ISNUMBER(N330),N330&gt;59),1,_xlfn.XLOOKUP(N330,tbl_points[Place],tbl_points[Points],""))))))</f>
        <v>0</v>
      </c>
      <c r="P330" s="3" t="s">
        <v>410</v>
      </c>
      <c r="Q330" s="3">
        <f>IF(P330="","",IF(P330="DNS",0,IF(P330="DQ",0,IF(P330="DNF",1,IF(AND(ISNUMBER(P330),P330&gt;59),1,_xlfn.XLOOKUP(P330,tbl_points[Place],tbl_points[Points],""))))))</f>
        <v>0</v>
      </c>
      <c r="S330" s="3" t="str">
        <f>IF(R330="","",IF(R330="DNS",0,IF(R330="DQ",0,IF(R330="DNF",1,IF(AND(ISNUMBER(R330),R330&gt;59),1,_xlfn.XLOOKUP(R330,tbl_points[Place],tbl_points[Points],""))))))</f>
        <v/>
      </c>
      <c r="T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0" s="3">
        <f>tbl_individual[[#This Row],[Total]]</f>
        <v>0</v>
      </c>
    </row>
    <row r="331" spans="1:22" x14ac:dyDescent="0.4">
      <c r="A331" t="s">
        <v>283</v>
      </c>
      <c r="B331" t="s">
        <v>24</v>
      </c>
      <c r="C331" t="s">
        <v>1</v>
      </c>
      <c r="D331" s="3">
        <v>12073</v>
      </c>
      <c r="E331" s="3" t="s">
        <v>421</v>
      </c>
      <c r="G331" s="3" t="s">
        <v>403</v>
      </c>
      <c r="H331" s="3" t="s">
        <v>410</v>
      </c>
      <c r="I331" s="3">
        <f>IF(H331="","",IF(H331="DNS",0,IF(H331="DQ",0,IF(H331="DNF",1,IF(AND(ISNUMBER(H331),H331&gt;59),1,_xlfn.XLOOKUP(H331,tbl_points[Place],tbl_points[Points],""))))))</f>
        <v>0</v>
      </c>
      <c r="J331" s="3">
        <v>30</v>
      </c>
      <c r="K331" s="3">
        <f>IF(J331="","",IF(J331="DNS",0,IF(J331="DQ",0,IF(J331="DNF",1,IF(AND(ISNUMBER(J331),J331&gt;59),1,_xlfn.XLOOKUP(J331,tbl_points[Place],tbl_points[Points],""))))))</f>
        <v>30</v>
      </c>
      <c r="L331" s="3" t="s">
        <v>410</v>
      </c>
      <c r="M331" s="3">
        <f>IF(L331="","",IF(L331="DNS",0,IF(L331="DQ",0,IF(L331="DNF",1,IF(AND(ISNUMBER(L331),L331&gt;59),1,_xlfn.XLOOKUP(L331,tbl_points[Place],tbl_points[Points],""))))))</f>
        <v>0</v>
      </c>
      <c r="N331" s="3" t="s">
        <v>410</v>
      </c>
      <c r="O331" s="3">
        <f>IF(N331="","",IF(N331="DNS",0,IF(N331="DQ",0,IF(N331="DNF",1,IF(AND(ISNUMBER(N331),N331&gt;59),1,_xlfn.XLOOKUP(N331,tbl_points[Place],tbl_points[Points],""))))))</f>
        <v>0</v>
      </c>
      <c r="P331" s="3">
        <v>49</v>
      </c>
      <c r="Q331" s="3">
        <f>IF(P331="","",IF(P331="DNS",0,IF(P331="DQ",0,IF(P331="DNF",1,IF(AND(ISNUMBER(P331),P331&gt;59),1,_xlfn.XLOOKUP(P331,tbl_points[Place],tbl_points[Points],""))))))</f>
        <v>11</v>
      </c>
      <c r="S331" s="3" t="str">
        <f>IF(R331="","",IF(R331="DNS",0,IF(R331="DQ",0,IF(R331="DNF",1,IF(AND(ISNUMBER(R331),R331&gt;59),1,_xlfn.XLOOKUP(R331,tbl_points[Place],tbl_points[Points],""))))))</f>
        <v/>
      </c>
      <c r="T331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1" s="3">
        <f>tbl_individual[[#This Row],[Total]]</f>
        <v>41</v>
      </c>
    </row>
    <row r="332" spans="1:22" x14ac:dyDescent="0.4">
      <c r="A332" t="s">
        <v>284</v>
      </c>
      <c r="B332" t="s">
        <v>24</v>
      </c>
      <c r="C332" t="s">
        <v>1</v>
      </c>
      <c r="D332" s="3">
        <v>12074</v>
      </c>
      <c r="E332" s="3" t="s">
        <v>421</v>
      </c>
      <c r="G332" s="3" t="s">
        <v>403</v>
      </c>
      <c r="H332" s="3" t="s">
        <v>410</v>
      </c>
      <c r="I332" s="3">
        <f>IF(H332="","",IF(H332="DNS",0,IF(H332="DQ",0,IF(H332="DNF",1,IF(AND(ISNUMBER(H332),H332&gt;59),1,_xlfn.XLOOKUP(H332,tbl_points[Place],tbl_points[Points],""))))))</f>
        <v>0</v>
      </c>
      <c r="J332" s="3" t="s">
        <v>410</v>
      </c>
      <c r="K332" s="3">
        <f>IF(J332="","",IF(J332="DNS",0,IF(J332="DQ",0,IF(J332="DNF",1,IF(AND(ISNUMBER(J332),J332&gt;59),1,_xlfn.XLOOKUP(J332,tbl_points[Place],tbl_points[Points],""))))))</f>
        <v>0</v>
      </c>
      <c r="L332" s="3" t="s">
        <v>410</v>
      </c>
      <c r="M332" s="3">
        <f>IF(L332="","",IF(L332="DNS",0,IF(L332="DQ",0,IF(L332="DNF",1,IF(AND(ISNUMBER(L332),L332&gt;59),1,_xlfn.XLOOKUP(L332,tbl_points[Place],tbl_points[Points],""))))))</f>
        <v>0</v>
      </c>
      <c r="N332" s="3">
        <v>60</v>
      </c>
      <c r="O332" s="3">
        <f>IF(N332="","",IF(N332="DNS",0,IF(N332="DQ",0,IF(N332="DNF",1,IF(AND(ISNUMBER(N332),N332&gt;59),1,_xlfn.XLOOKUP(N332,tbl_points[Place],tbl_points[Points],""))))))</f>
        <v>1</v>
      </c>
      <c r="P332" s="3">
        <v>57</v>
      </c>
      <c r="Q332" s="3">
        <f>IF(P332="","",IF(P332="DNS",0,IF(P332="DQ",0,IF(P332="DNF",1,IF(AND(ISNUMBER(P332),P332&gt;59),1,_xlfn.XLOOKUP(P332,tbl_points[Place],tbl_points[Points],""))))))</f>
        <v>3</v>
      </c>
      <c r="S332" s="3" t="str">
        <f>IF(R332="","",IF(R332="DNS",0,IF(R332="DQ",0,IF(R332="DNF",1,IF(AND(ISNUMBER(R332),R332&gt;59),1,_xlfn.XLOOKUP(R332,tbl_points[Place],tbl_points[Points],""))))))</f>
        <v/>
      </c>
      <c r="T332" s="3">
        <f>SUM(tbl_individual[[#This Row],[R1 Pts]],tbl_individual[[#This Row],[R2 Pts]],tbl_individual[[#This Row],[R3 Pts]],tbl_individual[[#This Row],[R4 Pts]],tbl_individual[[#This Row],[R5 Pts]],tbl_individual[[#This Row],[R6 Pts]])</f>
        <v>4</v>
      </c>
      <c r="U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2" s="3">
        <f>tbl_individual[[#This Row],[Total]]</f>
        <v>4</v>
      </c>
    </row>
    <row r="333" spans="1:22" x14ac:dyDescent="0.4">
      <c r="A333" t="s">
        <v>300</v>
      </c>
      <c r="B333" t="s">
        <v>25</v>
      </c>
      <c r="C333" t="s">
        <v>1</v>
      </c>
      <c r="D333" s="3">
        <v>12075</v>
      </c>
      <c r="E333" s="3" t="s">
        <v>421</v>
      </c>
      <c r="G333" s="3" t="s">
        <v>403</v>
      </c>
      <c r="H333" s="3">
        <v>7</v>
      </c>
      <c r="I333" s="3">
        <f>IF(H333="","",IF(H333="DNS",0,IF(H333="DQ",0,IF(H333="DNF",1,IF(AND(ISNUMBER(H333),H333&gt;59),1,_xlfn.XLOOKUP(H333,tbl_points[Place],tbl_points[Points],""))))))</f>
        <v>70</v>
      </c>
      <c r="J333" s="3" t="s">
        <v>410</v>
      </c>
      <c r="K333" s="3">
        <f>IF(J333="","",IF(J333="DNS",0,IF(J333="DQ",0,IF(J333="DNF",1,IF(AND(ISNUMBER(J333),J333&gt;59),1,_xlfn.XLOOKUP(J333,tbl_points[Place],tbl_points[Points],""))))))</f>
        <v>0</v>
      </c>
      <c r="L333" s="3">
        <v>2</v>
      </c>
      <c r="M333" s="3">
        <f>IF(L333="","",IF(L333="DNS",0,IF(L333="DQ",0,IF(L333="DNF",1,IF(AND(ISNUMBER(L333),L333&gt;59),1,_xlfn.XLOOKUP(L333,tbl_points[Place],tbl_points[Points],""))))))</f>
        <v>95</v>
      </c>
      <c r="N333" s="3">
        <v>5</v>
      </c>
      <c r="O333" s="3">
        <f>IF(N333="","",IF(N333="DNS",0,IF(N333="DQ",0,IF(N333="DNF",1,IF(AND(ISNUMBER(N333),N333&gt;59),1,_xlfn.XLOOKUP(N333,tbl_points[Place],tbl_points[Points],""))))))</f>
        <v>80</v>
      </c>
      <c r="P333" s="3">
        <v>30</v>
      </c>
      <c r="Q333" s="3">
        <f>IF(P333="","",IF(P333="DNS",0,IF(P333="DQ",0,IF(P333="DNF",1,IF(AND(ISNUMBER(P333),P333&gt;59),1,_xlfn.XLOOKUP(P333,tbl_points[Place],tbl_points[Points],""))))))</f>
        <v>30</v>
      </c>
      <c r="S333" s="3" t="str">
        <f>IF(R333="","",IF(R333="DNS",0,IF(R333="DQ",0,IF(R333="DNF",1,IF(AND(ISNUMBER(R333),R333&gt;59),1,_xlfn.XLOOKUP(R333,tbl_points[Place],tbl_points[Points],""))))))</f>
        <v/>
      </c>
      <c r="T333" s="3">
        <f>SUM(tbl_individual[[#This Row],[R1 Pts]],tbl_individual[[#This Row],[R2 Pts]],tbl_individual[[#This Row],[R3 Pts]],tbl_individual[[#This Row],[R4 Pts]],tbl_individual[[#This Row],[R5 Pts]],tbl_individual[[#This Row],[R6 Pts]])</f>
        <v>275</v>
      </c>
      <c r="U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3" s="3">
        <f>tbl_individual[[#This Row],[Total]]</f>
        <v>275</v>
      </c>
    </row>
    <row r="334" spans="1:22" x14ac:dyDescent="0.4">
      <c r="A334" t="s">
        <v>308</v>
      </c>
      <c r="B334" t="s">
        <v>26</v>
      </c>
      <c r="C334" t="s">
        <v>1</v>
      </c>
      <c r="D334" s="3">
        <v>12076</v>
      </c>
      <c r="E334" s="3" t="s">
        <v>421</v>
      </c>
      <c r="G334" s="3" t="s">
        <v>403</v>
      </c>
      <c r="H334" s="3" t="s">
        <v>410</v>
      </c>
      <c r="I334" s="3">
        <f>IF(H334="","",IF(H334="DNS",0,IF(H334="DQ",0,IF(H334="DNF",1,IF(AND(ISNUMBER(H334),H334&gt;59),1,_xlfn.XLOOKUP(H334,tbl_points[Place],tbl_points[Points],""))))))</f>
        <v>0</v>
      </c>
      <c r="J334" s="3">
        <v>58</v>
      </c>
      <c r="K334" s="3">
        <f>IF(J334="","",IF(J334="DNS",0,IF(J334="DQ",0,IF(J334="DNF",1,IF(AND(ISNUMBER(J334),J334&gt;59),1,_xlfn.XLOOKUP(J334,tbl_points[Place],tbl_points[Points],""))))))</f>
        <v>2</v>
      </c>
      <c r="L334" s="3">
        <v>51</v>
      </c>
      <c r="M334" s="3">
        <f>IF(L334="","",IF(L334="DNS",0,IF(L334="DQ",0,IF(L334="DNF",1,IF(AND(ISNUMBER(L334),L334&gt;59),1,_xlfn.XLOOKUP(L334,tbl_points[Place],tbl_points[Points],""))))))</f>
        <v>9</v>
      </c>
      <c r="N334" s="3">
        <v>59</v>
      </c>
      <c r="O334" s="3">
        <f>IF(N334="","",IF(N334="DNS",0,IF(N334="DQ",0,IF(N334="DNF",1,IF(AND(ISNUMBER(N334),N334&gt;59),1,_xlfn.XLOOKUP(N334,tbl_points[Place],tbl_points[Points],""))))))</f>
        <v>1</v>
      </c>
      <c r="P334" s="3">
        <v>55</v>
      </c>
      <c r="Q334" s="3">
        <f>IF(P334="","",IF(P334="DNS",0,IF(P334="DQ",0,IF(P334="DNF",1,IF(AND(ISNUMBER(P334),P334&gt;59),1,_xlfn.XLOOKUP(P334,tbl_points[Place],tbl_points[Points],""))))))</f>
        <v>5</v>
      </c>
      <c r="S334" s="3" t="str">
        <f>IF(R334="","",IF(R334="DNS",0,IF(R334="DQ",0,IF(R334="DNF",1,IF(AND(ISNUMBER(R334),R334&gt;59),1,_xlfn.XLOOKUP(R334,tbl_points[Place],tbl_points[Points],""))))))</f>
        <v/>
      </c>
      <c r="T334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4" s="3">
        <f>tbl_individual[[#This Row],[Total]]</f>
        <v>17</v>
      </c>
    </row>
    <row r="335" spans="1:22" x14ac:dyDescent="0.4">
      <c r="A335" t="s">
        <v>309</v>
      </c>
      <c r="B335" t="s">
        <v>26</v>
      </c>
      <c r="C335" t="s">
        <v>1</v>
      </c>
      <c r="D335" s="3">
        <v>12077</v>
      </c>
      <c r="E335" s="3" t="s">
        <v>421</v>
      </c>
      <c r="G335" s="3" t="s">
        <v>403</v>
      </c>
      <c r="H335" s="3">
        <v>12</v>
      </c>
      <c r="I335" s="3">
        <f>IF(H335="","",IF(H335="DNS",0,IF(H335="DQ",0,IF(H335="DNF",1,IF(AND(ISNUMBER(H335),H335&gt;59),1,_xlfn.XLOOKUP(H335,tbl_points[Place],tbl_points[Points],""))))))</f>
        <v>51</v>
      </c>
      <c r="J335" s="3">
        <v>54</v>
      </c>
      <c r="K335" s="3">
        <f>IF(J335="","",IF(J335="DNS",0,IF(J335="DQ",0,IF(J335="DNF",1,IF(AND(ISNUMBER(J335),J335&gt;59),1,_xlfn.XLOOKUP(J335,tbl_points[Place],tbl_points[Points],""))))))</f>
        <v>6</v>
      </c>
      <c r="L335" s="3">
        <v>14</v>
      </c>
      <c r="M335" s="3">
        <f>IF(L335="","",IF(L335="DNS",0,IF(L335="DQ",0,IF(L335="DNF",1,IF(AND(ISNUMBER(L335),L335&gt;59),1,_xlfn.XLOOKUP(L335,tbl_points[Place],tbl_points[Points],""))))))</f>
        <v>47</v>
      </c>
      <c r="N335" s="3">
        <v>52</v>
      </c>
      <c r="O335" s="3">
        <f>IF(N335="","",IF(N335="DNS",0,IF(N335="DQ",0,IF(N335="DNF",1,IF(AND(ISNUMBER(N335),N335&gt;59),1,_xlfn.XLOOKUP(N335,tbl_points[Place],tbl_points[Points],""))))))</f>
        <v>8</v>
      </c>
      <c r="P335" s="3">
        <v>46</v>
      </c>
      <c r="Q335" s="3">
        <f>IF(P335="","",IF(P335="DNS",0,IF(P335="DQ",0,IF(P335="DNF",1,IF(AND(ISNUMBER(P335),P335&gt;59),1,_xlfn.XLOOKUP(P335,tbl_points[Place],tbl_points[Points],""))))))</f>
        <v>14</v>
      </c>
      <c r="S335" s="3" t="str">
        <f>IF(R335="","",IF(R335="DNS",0,IF(R335="DQ",0,IF(R335="DNF",1,IF(AND(ISNUMBER(R335),R335&gt;59),1,_xlfn.XLOOKUP(R335,tbl_points[Place],tbl_points[Points],""))))))</f>
        <v/>
      </c>
      <c r="T335" s="3">
        <f>SUM(tbl_individual[[#This Row],[R1 Pts]],tbl_individual[[#This Row],[R2 Pts]],tbl_individual[[#This Row],[R3 Pts]],tbl_individual[[#This Row],[R4 Pts]],tbl_individual[[#This Row],[R5 Pts]],tbl_individual[[#This Row],[R6 Pts]])</f>
        <v>126</v>
      </c>
      <c r="U335" s="3">
        <f>MIN(tbl_individual[[#This Row],[R1 Pts]],tbl_individual[[#This Row],[R2 Pts]],tbl_individual[[#This Row],[R3 Pts]],tbl_individual[[#This Row],[R4 Pts]],tbl_individual[[#This Row],[R5 Pts]],tbl_individual[[#This Row],[R6 Pts]])</f>
        <v>6</v>
      </c>
      <c r="V335" s="3">
        <f>tbl_individual[[#This Row],[Total]]</f>
        <v>126</v>
      </c>
    </row>
    <row r="336" spans="1:22" x14ac:dyDescent="0.4">
      <c r="A336" t="s">
        <v>310</v>
      </c>
      <c r="B336" t="s">
        <v>26</v>
      </c>
      <c r="C336" t="s">
        <v>1</v>
      </c>
      <c r="D336" s="3">
        <v>12078</v>
      </c>
      <c r="E336" s="3" t="s">
        <v>421</v>
      </c>
      <c r="G336" s="3" t="s">
        <v>403</v>
      </c>
      <c r="H336" s="3" t="s">
        <v>410</v>
      </c>
      <c r="I336" s="3">
        <f>IF(H336="","",IF(H336="DNS",0,IF(H336="DQ",0,IF(H336="DNF",1,IF(AND(ISNUMBER(H336),H336&gt;59),1,_xlfn.XLOOKUP(H336,tbl_points[Place],tbl_points[Points],""))))))</f>
        <v>0</v>
      </c>
      <c r="J336" s="3" t="s">
        <v>410</v>
      </c>
      <c r="K336" s="3">
        <f>IF(J336="","",IF(J336="DNS",0,IF(J336="DQ",0,IF(J336="DNF",1,IF(AND(ISNUMBER(J336),J336&gt;59),1,_xlfn.XLOOKUP(J336,tbl_points[Place],tbl_points[Points],""))))))</f>
        <v>0</v>
      </c>
      <c r="L336" s="3" t="s">
        <v>410</v>
      </c>
      <c r="M336" s="3">
        <f>IF(L336="","",IF(L336="DNS",0,IF(L336="DQ",0,IF(L336="DNF",1,IF(AND(ISNUMBER(L336),L336&gt;59),1,_xlfn.XLOOKUP(L336,tbl_points[Place],tbl_points[Points],""))))))</f>
        <v>0</v>
      </c>
      <c r="N336" s="3" t="s">
        <v>409</v>
      </c>
      <c r="O336" s="3">
        <f>IF(N336="","",IF(N336="DNS",0,IF(N336="DQ",0,IF(N336="DNF",1,IF(AND(ISNUMBER(N336),N336&gt;59),1,_xlfn.XLOOKUP(N336,tbl_points[Place],tbl_points[Points],""))))))</f>
        <v>1</v>
      </c>
      <c r="P336" s="3" t="s">
        <v>409</v>
      </c>
      <c r="Q336" s="3">
        <f>IF(P336="","",IF(P336="DNS",0,IF(P336="DQ",0,IF(P336="DNF",1,IF(AND(ISNUMBER(P336),P336&gt;59),1,_xlfn.XLOOKUP(P336,tbl_points[Place],tbl_points[Points],""))))))</f>
        <v>1</v>
      </c>
      <c r="S336" s="3" t="str">
        <f>IF(R336="","",IF(R336="DNS",0,IF(R336="DQ",0,IF(R336="DNF",1,IF(AND(ISNUMBER(R336),R336&gt;59),1,_xlfn.XLOOKUP(R336,tbl_points[Place],tbl_points[Points],""))))))</f>
        <v/>
      </c>
      <c r="T336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6" s="3">
        <f>tbl_individual[[#This Row],[Total]]</f>
        <v>2</v>
      </c>
    </row>
    <row r="337" spans="1:22" x14ac:dyDescent="0.4">
      <c r="A337" t="s">
        <v>311</v>
      </c>
      <c r="B337" t="s">
        <v>26</v>
      </c>
      <c r="C337" t="s">
        <v>1</v>
      </c>
      <c r="D337" s="3">
        <v>12079</v>
      </c>
      <c r="E337" s="3" t="s">
        <v>421</v>
      </c>
      <c r="G337" s="3" t="s">
        <v>403</v>
      </c>
      <c r="H337" s="3" t="s">
        <v>410</v>
      </c>
      <c r="I337" s="3">
        <f>IF(H337="","",IF(H337="DNS",0,IF(H337="DQ",0,IF(H337="DNF",1,IF(AND(ISNUMBER(H337),H337&gt;59),1,_xlfn.XLOOKUP(H337,tbl_points[Place],tbl_points[Points],""))))))</f>
        <v>0</v>
      </c>
      <c r="J337" s="3">
        <v>50</v>
      </c>
      <c r="K337" s="3">
        <f>IF(J337="","",IF(J337="DNS",0,IF(J337="DQ",0,IF(J337="DNF",1,IF(AND(ISNUMBER(J337),J337&gt;59),1,_xlfn.XLOOKUP(J337,tbl_points[Place],tbl_points[Points],""))))))</f>
        <v>10</v>
      </c>
      <c r="L337" s="3" t="s">
        <v>410</v>
      </c>
      <c r="M337" s="3">
        <f>IF(L337="","",IF(L337="DNS",0,IF(L337="DQ",0,IF(L337="DNF",1,IF(AND(ISNUMBER(L337),L337&gt;59),1,_xlfn.XLOOKUP(L337,tbl_points[Place],tbl_points[Points],""))))))</f>
        <v>0</v>
      </c>
      <c r="N337" s="3">
        <v>51</v>
      </c>
      <c r="O337" s="3">
        <f>IF(N337="","",IF(N337="DNS",0,IF(N337="DQ",0,IF(N337="DNF",1,IF(AND(ISNUMBER(N337),N337&gt;59),1,_xlfn.XLOOKUP(N337,tbl_points[Place],tbl_points[Points],""))))))</f>
        <v>9</v>
      </c>
      <c r="P337" s="3">
        <v>56</v>
      </c>
      <c r="Q337" s="3">
        <f>IF(P337="","",IF(P337="DNS",0,IF(P337="DQ",0,IF(P337="DNF",1,IF(AND(ISNUMBER(P337),P337&gt;59),1,_xlfn.XLOOKUP(P337,tbl_points[Place],tbl_points[Points],""))))))</f>
        <v>4</v>
      </c>
      <c r="S337" s="3" t="str">
        <f>IF(R337="","",IF(R337="DNS",0,IF(R337="DQ",0,IF(R337="DNF",1,IF(AND(ISNUMBER(R337),R337&gt;59),1,_xlfn.XLOOKUP(R337,tbl_points[Place],tbl_points[Points],""))))))</f>
        <v/>
      </c>
      <c r="T337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7" s="3">
        <f>tbl_individual[[#This Row],[Total]]</f>
        <v>23</v>
      </c>
    </row>
    <row r="338" spans="1:22" x14ac:dyDescent="0.4">
      <c r="A338" t="s">
        <v>322</v>
      </c>
      <c r="B338" t="s">
        <v>27</v>
      </c>
      <c r="C338" t="s">
        <v>1</v>
      </c>
      <c r="D338" s="3">
        <v>12080</v>
      </c>
      <c r="E338" s="3" t="s">
        <v>421</v>
      </c>
      <c r="G338" s="3" t="s">
        <v>403</v>
      </c>
      <c r="H338" s="3">
        <v>32</v>
      </c>
      <c r="I338" s="3">
        <f>IF(H338="","",IF(H338="DNS",0,IF(H338="DQ",0,IF(H338="DNF",1,IF(AND(ISNUMBER(H338),H338&gt;59),1,_xlfn.XLOOKUP(H338,tbl_points[Place],tbl_points[Points],""))))))</f>
        <v>28</v>
      </c>
      <c r="J338" s="3">
        <v>36</v>
      </c>
      <c r="K338" s="3">
        <f>IF(J338="","",IF(J338="DNS",0,IF(J338="DQ",0,IF(J338="DNF",1,IF(AND(ISNUMBER(J338),J338&gt;59),1,_xlfn.XLOOKUP(J338,tbl_points[Place],tbl_points[Points],""))))))</f>
        <v>24</v>
      </c>
      <c r="L338" s="3">
        <v>40</v>
      </c>
      <c r="M338" s="3">
        <f>IF(L338="","",IF(L338="DNS",0,IF(L338="DQ",0,IF(L338="DNF",1,IF(AND(ISNUMBER(L338),L338&gt;59),1,_xlfn.XLOOKUP(L338,tbl_points[Place],tbl_points[Points],""))))))</f>
        <v>20</v>
      </c>
      <c r="N338" s="3">
        <v>30</v>
      </c>
      <c r="O338" s="3">
        <f>IF(N338="","",IF(N338="DNS",0,IF(N338="DQ",0,IF(N338="DNF",1,IF(AND(ISNUMBER(N338),N338&gt;59),1,_xlfn.XLOOKUP(N338,tbl_points[Place],tbl_points[Points],""))))))</f>
        <v>30</v>
      </c>
      <c r="P338" s="3" t="s">
        <v>410</v>
      </c>
      <c r="Q338" s="3">
        <f>IF(P338="","",IF(P338="DNS",0,IF(P338="DQ",0,IF(P338="DNF",1,IF(AND(ISNUMBER(P338),P338&gt;59),1,_xlfn.XLOOKUP(P338,tbl_points[Place],tbl_points[Points],""))))))</f>
        <v>0</v>
      </c>
      <c r="S338" s="3" t="str">
        <f>IF(R338="","",IF(R338="DNS",0,IF(R338="DQ",0,IF(R338="DNF",1,IF(AND(ISNUMBER(R338),R338&gt;59),1,_xlfn.XLOOKUP(R338,tbl_points[Place],tbl_points[Points],""))))))</f>
        <v/>
      </c>
      <c r="T338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8" s="3">
        <f>tbl_individual[[#This Row],[Total]]</f>
        <v>102</v>
      </c>
    </row>
    <row r="339" spans="1:22" x14ac:dyDescent="0.4">
      <c r="A339" t="s">
        <v>323</v>
      </c>
      <c r="B339" t="s">
        <v>27</v>
      </c>
      <c r="C339" t="s">
        <v>1</v>
      </c>
      <c r="D339" s="3">
        <v>12081</v>
      </c>
      <c r="E339" s="3" t="s">
        <v>421</v>
      </c>
      <c r="G339" s="3" t="s">
        <v>403</v>
      </c>
      <c r="H339" s="3">
        <v>40</v>
      </c>
      <c r="I339" s="3">
        <f>IF(H339="","",IF(H339="DNS",0,IF(H339="DQ",0,IF(H339="DNF",1,IF(AND(ISNUMBER(H339),H339&gt;59),1,_xlfn.XLOOKUP(H339,tbl_points[Place],tbl_points[Points],""))))))</f>
        <v>20</v>
      </c>
      <c r="J339" s="3">
        <v>60</v>
      </c>
      <c r="K339" s="3">
        <f>IF(J339="","",IF(J339="DNS",0,IF(J339="DQ",0,IF(J339="DNF",1,IF(AND(ISNUMBER(J339),J339&gt;59),1,_xlfn.XLOOKUP(J339,tbl_points[Place],tbl_points[Points],""))))))</f>
        <v>1</v>
      </c>
      <c r="L339" s="3">
        <v>41</v>
      </c>
      <c r="M339" s="3">
        <f>IF(L339="","",IF(L339="DNS",0,IF(L339="DQ",0,IF(L339="DNF",1,IF(AND(ISNUMBER(L339),L339&gt;59),1,_xlfn.XLOOKUP(L339,tbl_points[Place],tbl_points[Points],""))))))</f>
        <v>19</v>
      </c>
      <c r="N339" s="3">
        <v>56</v>
      </c>
      <c r="O339" s="3">
        <f>IF(N339="","",IF(N339="DNS",0,IF(N339="DQ",0,IF(N339="DNF",1,IF(AND(ISNUMBER(N339),N339&gt;59),1,_xlfn.XLOOKUP(N339,tbl_points[Place],tbl_points[Points],""))))))</f>
        <v>4</v>
      </c>
      <c r="P339" s="3">
        <v>54</v>
      </c>
      <c r="Q339" s="3">
        <f>IF(P339="","",IF(P339="DNS",0,IF(P339="DQ",0,IF(P339="DNF",1,IF(AND(ISNUMBER(P339),P339&gt;59),1,_xlfn.XLOOKUP(P339,tbl_points[Place],tbl_points[Points],""))))))</f>
        <v>6</v>
      </c>
      <c r="S339" s="3" t="str">
        <f>IF(R339="","",IF(R339="DNS",0,IF(R339="DQ",0,IF(R339="DNF",1,IF(AND(ISNUMBER(R339),R339&gt;59),1,_xlfn.XLOOKUP(R339,tbl_points[Place],tbl_points[Points],""))))))</f>
        <v/>
      </c>
      <c r="T339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33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39" s="3">
        <f>tbl_individual[[#This Row],[Total]]</f>
        <v>50</v>
      </c>
    </row>
    <row r="340" spans="1:22" x14ac:dyDescent="0.4">
      <c r="A340" t="s">
        <v>324</v>
      </c>
      <c r="B340" t="s">
        <v>27</v>
      </c>
      <c r="C340" t="s">
        <v>1</v>
      </c>
      <c r="D340" s="3">
        <v>12082</v>
      </c>
      <c r="E340" s="3" t="s">
        <v>421</v>
      </c>
      <c r="G340" s="3" t="s">
        <v>403</v>
      </c>
      <c r="H340" s="3">
        <v>38</v>
      </c>
      <c r="I340" s="3">
        <f>IF(H340="","",IF(H340="DNS",0,IF(H340="DQ",0,IF(H340="DNF",1,IF(AND(ISNUMBER(H340),H340&gt;59),1,_xlfn.XLOOKUP(H340,tbl_points[Place],tbl_points[Points],""))))))</f>
        <v>22</v>
      </c>
      <c r="J340" s="3">
        <v>34</v>
      </c>
      <c r="K340" s="3">
        <f>IF(J340="","",IF(J340="DNS",0,IF(J340="DQ",0,IF(J340="DNF",1,IF(AND(ISNUMBER(J340),J340&gt;59),1,_xlfn.XLOOKUP(J340,tbl_points[Place],tbl_points[Points],""))))))</f>
        <v>26</v>
      </c>
      <c r="L340" s="3">
        <v>39</v>
      </c>
      <c r="M340" s="3">
        <f>IF(L340="","",IF(L340="DNS",0,IF(L340="DQ",0,IF(L340="DNF",1,IF(AND(ISNUMBER(L340),L340&gt;59),1,_xlfn.XLOOKUP(L340,tbl_points[Place],tbl_points[Points],""))))))</f>
        <v>21</v>
      </c>
      <c r="N340" s="3">
        <v>40</v>
      </c>
      <c r="O340" s="3">
        <f>IF(N340="","",IF(N340="DNS",0,IF(N340="DQ",0,IF(N340="DNF",1,IF(AND(ISNUMBER(N340),N340&gt;59),1,_xlfn.XLOOKUP(N340,tbl_points[Place],tbl_points[Points],""))))))</f>
        <v>20</v>
      </c>
      <c r="P340" s="3">
        <v>34</v>
      </c>
      <c r="Q340" s="3">
        <f>IF(P340="","",IF(P340="DNS",0,IF(P340="DQ",0,IF(P340="DNF",1,IF(AND(ISNUMBER(P340),P340&gt;59),1,_xlfn.XLOOKUP(P340,tbl_points[Place],tbl_points[Points],""))))))</f>
        <v>26</v>
      </c>
      <c r="S340" s="3" t="str">
        <f>IF(R340="","",IF(R340="DNS",0,IF(R340="DQ",0,IF(R340="DNF",1,IF(AND(ISNUMBER(R340),R340&gt;59),1,_xlfn.XLOOKUP(R340,tbl_points[Place],tbl_points[Points],""))))))</f>
        <v/>
      </c>
      <c r="T340" s="3">
        <f>SUM(tbl_individual[[#This Row],[R1 Pts]],tbl_individual[[#This Row],[R2 Pts]],tbl_individual[[#This Row],[R3 Pts]],tbl_individual[[#This Row],[R4 Pts]],tbl_individual[[#This Row],[R5 Pts]],tbl_individual[[#This Row],[R6 Pts]])</f>
        <v>115</v>
      </c>
      <c r="U340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340" s="3">
        <f>tbl_individual[[#This Row],[Total]]</f>
        <v>115</v>
      </c>
    </row>
    <row r="341" spans="1:22" x14ac:dyDescent="0.4">
      <c r="A341" t="s">
        <v>325</v>
      </c>
      <c r="B341" t="s">
        <v>27</v>
      </c>
      <c r="C341" t="s">
        <v>1</v>
      </c>
      <c r="D341" s="3">
        <v>12083</v>
      </c>
      <c r="E341" s="3" t="s">
        <v>421</v>
      </c>
      <c r="G341" s="3" t="s">
        <v>403</v>
      </c>
      <c r="H341" s="3" t="s">
        <v>410</v>
      </c>
      <c r="I341" s="3">
        <f>IF(H341="","",IF(H341="DNS",0,IF(H341="DQ",0,IF(H341="DNF",1,IF(AND(ISNUMBER(H341),H341&gt;59),1,_xlfn.XLOOKUP(H341,tbl_points[Place],tbl_points[Points],""))))))</f>
        <v>0</v>
      </c>
      <c r="J341" s="3">
        <v>62</v>
      </c>
      <c r="K341" s="3">
        <f>IF(J341="","",IF(J341="DNS",0,IF(J341="DQ",0,IF(J341="DNF",1,IF(AND(ISNUMBER(J341),J341&gt;59),1,_xlfn.XLOOKUP(J341,tbl_points[Place],tbl_points[Points],""))))))</f>
        <v>1</v>
      </c>
      <c r="L341" s="3">
        <v>45</v>
      </c>
      <c r="M341" s="3">
        <f>IF(L341="","",IF(L341="DNS",0,IF(L341="DQ",0,IF(L341="DNF",1,IF(AND(ISNUMBER(L341),L341&gt;59),1,_xlfn.XLOOKUP(L341,tbl_points[Place],tbl_points[Points],""))))))</f>
        <v>15</v>
      </c>
      <c r="N341" s="3">
        <v>44</v>
      </c>
      <c r="O341" s="3">
        <f>IF(N341="","",IF(N341="DNS",0,IF(N341="DQ",0,IF(N341="DNF",1,IF(AND(ISNUMBER(N341),N341&gt;59),1,_xlfn.XLOOKUP(N341,tbl_points[Place],tbl_points[Points],""))))))</f>
        <v>16</v>
      </c>
      <c r="P341" s="3">
        <v>42</v>
      </c>
      <c r="Q341" s="3">
        <f>IF(P341="","",IF(P341="DNS",0,IF(P341="DQ",0,IF(P341="DNF",1,IF(AND(ISNUMBER(P341),P341&gt;59),1,_xlfn.XLOOKUP(P341,tbl_points[Place],tbl_points[Points],""))))))</f>
        <v>18</v>
      </c>
      <c r="S341" s="3" t="str">
        <f>IF(R341="","",IF(R341="DNS",0,IF(R341="DQ",0,IF(R341="DNF",1,IF(AND(ISNUMBER(R341),R341&gt;59),1,_xlfn.XLOOKUP(R341,tbl_points[Place],tbl_points[Points],""))))))</f>
        <v/>
      </c>
      <c r="T341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1" s="3">
        <f>tbl_individual[[#This Row],[Total]]</f>
        <v>50</v>
      </c>
    </row>
    <row r="342" spans="1:22" x14ac:dyDescent="0.4">
      <c r="A342" t="s">
        <v>326</v>
      </c>
      <c r="B342" t="s">
        <v>27</v>
      </c>
      <c r="C342" t="s">
        <v>1</v>
      </c>
      <c r="D342" s="3">
        <v>12084</v>
      </c>
      <c r="E342" s="3" t="s">
        <v>421</v>
      </c>
      <c r="G342" s="3" t="s">
        <v>403</v>
      </c>
      <c r="H342" s="3">
        <v>26</v>
      </c>
      <c r="I342" s="3">
        <f>IF(H342="","",IF(H342="DNS",0,IF(H342="DQ",0,IF(H342="DNF",1,IF(AND(ISNUMBER(H342),H342&gt;59),1,_xlfn.XLOOKUP(H342,tbl_points[Place],tbl_points[Points],""))))))</f>
        <v>34</v>
      </c>
      <c r="J342" s="3">
        <v>24</v>
      </c>
      <c r="K342" s="3">
        <f>IF(J342="","",IF(J342="DNS",0,IF(J342="DQ",0,IF(J342="DNF",1,IF(AND(ISNUMBER(J342),J342&gt;59),1,_xlfn.XLOOKUP(J342,tbl_points[Place],tbl_points[Points],""))))))</f>
        <v>36</v>
      </c>
      <c r="L342" s="3">
        <v>30</v>
      </c>
      <c r="M342" s="3">
        <f>IF(L342="","",IF(L342="DNS",0,IF(L342="DQ",0,IF(L342="DNF",1,IF(AND(ISNUMBER(L342),L342&gt;59),1,_xlfn.XLOOKUP(L342,tbl_points[Place],tbl_points[Points],""))))))</f>
        <v>30</v>
      </c>
      <c r="N342" s="3">
        <v>20</v>
      </c>
      <c r="O342" s="3">
        <f>IF(N342="","",IF(N342="DNS",0,IF(N342="DQ",0,IF(N342="DNF",1,IF(AND(ISNUMBER(N342),N342&gt;59),1,_xlfn.XLOOKUP(N342,tbl_points[Place],tbl_points[Points],""))))))</f>
        <v>40</v>
      </c>
      <c r="P342" s="3">
        <v>12</v>
      </c>
      <c r="Q342" s="3">
        <f>IF(P342="","",IF(P342="DNS",0,IF(P342="DQ",0,IF(P342="DNF",1,IF(AND(ISNUMBER(P342),P342&gt;59),1,_xlfn.XLOOKUP(P342,tbl_points[Place],tbl_points[Points],""))))))</f>
        <v>51</v>
      </c>
      <c r="S342" s="3" t="str">
        <f>IF(R342="","",IF(R342="DNS",0,IF(R342="DQ",0,IF(R342="DNF",1,IF(AND(ISNUMBER(R342),R342&gt;59),1,_xlfn.XLOOKUP(R342,tbl_points[Place],tbl_points[Points],""))))))</f>
        <v/>
      </c>
      <c r="T342" s="3">
        <f>SUM(tbl_individual[[#This Row],[R1 Pts]],tbl_individual[[#This Row],[R2 Pts]],tbl_individual[[#This Row],[R3 Pts]],tbl_individual[[#This Row],[R4 Pts]],tbl_individual[[#This Row],[R5 Pts]],tbl_individual[[#This Row],[R6 Pts]])</f>
        <v>191</v>
      </c>
      <c r="U342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342" s="3">
        <f>tbl_individual[[#This Row],[Total]]</f>
        <v>191</v>
      </c>
    </row>
    <row r="343" spans="1:22" x14ac:dyDescent="0.4">
      <c r="A343" t="s">
        <v>327</v>
      </c>
      <c r="B343" t="s">
        <v>27</v>
      </c>
      <c r="C343" t="s">
        <v>1</v>
      </c>
      <c r="D343" s="3">
        <v>12085</v>
      </c>
      <c r="E343" s="3" t="s">
        <v>421</v>
      </c>
      <c r="G343" s="3" t="s">
        <v>403</v>
      </c>
      <c r="H343" s="3" t="s">
        <v>410</v>
      </c>
      <c r="I343" s="3">
        <f>IF(H343="","",IF(H343="DNS",0,IF(H343="DQ",0,IF(H343="DNF",1,IF(AND(ISNUMBER(H343),H343&gt;59),1,_xlfn.XLOOKUP(H343,tbl_points[Place],tbl_points[Points],""))))))</f>
        <v>0</v>
      </c>
      <c r="J343" s="3">
        <v>19</v>
      </c>
      <c r="K343" s="3">
        <f>IF(J343="","",IF(J343="DNS",0,IF(J343="DQ",0,IF(J343="DNF",1,IF(AND(ISNUMBER(J343),J343&gt;59),1,_xlfn.XLOOKUP(J343,tbl_points[Place],tbl_points[Points],""))))))</f>
        <v>41</v>
      </c>
      <c r="L343" s="3">
        <v>34</v>
      </c>
      <c r="M343" s="3">
        <f>IF(L343="","",IF(L343="DNS",0,IF(L343="DQ",0,IF(L343="DNF",1,IF(AND(ISNUMBER(L343),L343&gt;59),1,_xlfn.XLOOKUP(L343,tbl_points[Place],tbl_points[Points],""))))))</f>
        <v>26</v>
      </c>
      <c r="N343" s="3">
        <v>17</v>
      </c>
      <c r="O343" s="3">
        <f>IF(N343="","",IF(N343="DNS",0,IF(N343="DQ",0,IF(N343="DNF",1,IF(AND(ISNUMBER(N343),N343&gt;59),1,_xlfn.XLOOKUP(N343,tbl_points[Place],tbl_points[Points],""))))))</f>
        <v>43</v>
      </c>
      <c r="P343" s="3">
        <v>20</v>
      </c>
      <c r="Q343" s="3">
        <f>IF(P343="","",IF(P343="DNS",0,IF(P343="DQ",0,IF(P343="DNF",1,IF(AND(ISNUMBER(P343),P343&gt;59),1,_xlfn.XLOOKUP(P343,tbl_points[Place],tbl_points[Points],""))))))</f>
        <v>40</v>
      </c>
      <c r="S343" s="3" t="str">
        <f>IF(R343="","",IF(R343="DNS",0,IF(R343="DQ",0,IF(R343="DNF",1,IF(AND(ISNUMBER(R343),R343&gt;59),1,_xlfn.XLOOKUP(R343,tbl_points[Place],tbl_points[Points],""))))))</f>
        <v/>
      </c>
      <c r="T343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3" s="3">
        <f>tbl_individual[[#This Row],[Total]]</f>
        <v>150</v>
      </c>
    </row>
    <row r="344" spans="1:22" x14ac:dyDescent="0.4">
      <c r="A344" t="s">
        <v>328</v>
      </c>
      <c r="B344" t="s">
        <v>27</v>
      </c>
      <c r="C344" t="s">
        <v>1</v>
      </c>
      <c r="D344" s="3">
        <v>12086</v>
      </c>
      <c r="E344" s="3" t="s">
        <v>421</v>
      </c>
      <c r="G344" s="3" t="s">
        <v>403</v>
      </c>
      <c r="H344" s="3" t="s">
        <v>410</v>
      </c>
      <c r="I344" s="3">
        <f>IF(H344="","",IF(H344="DNS",0,IF(H344="DQ",0,IF(H344="DNF",1,IF(AND(ISNUMBER(H344),H344&gt;59),1,_xlfn.XLOOKUP(H344,tbl_points[Place],tbl_points[Points],""))))))</f>
        <v>0</v>
      </c>
      <c r="J344" s="3">
        <v>48</v>
      </c>
      <c r="K344" s="3">
        <f>IF(J344="","",IF(J344="DNS",0,IF(J344="DQ",0,IF(J344="DNF",1,IF(AND(ISNUMBER(J344),J344&gt;59),1,_xlfn.XLOOKUP(J344,tbl_points[Place],tbl_points[Points],""))))))</f>
        <v>12</v>
      </c>
      <c r="L344" s="3">
        <v>33</v>
      </c>
      <c r="M344" s="3">
        <f>IF(L344="","",IF(L344="DNS",0,IF(L344="DQ",0,IF(L344="DNF",1,IF(AND(ISNUMBER(L344),L344&gt;59),1,_xlfn.XLOOKUP(L344,tbl_points[Place],tbl_points[Points],""))))))</f>
        <v>27</v>
      </c>
      <c r="N344" s="3">
        <v>29</v>
      </c>
      <c r="O344" s="3">
        <f>IF(N344="","",IF(N344="DNS",0,IF(N344="DQ",0,IF(N344="DNF",1,IF(AND(ISNUMBER(N344),N344&gt;59),1,_xlfn.XLOOKUP(N344,tbl_points[Place],tbl_points[Points],""))))))</f>
        <v>31</v>
      </c>
      <c r="P344" s="3">
        <v>24</v>
      </c>
      <c r="Q344" s="3">
        <f>IF(P344="","",IF(P344="DNS",0,IF(P344="DQ",0,IF(P344="DNF",1,IF(AND(ISNUMBER(P344),P344&gt;59),1,_xlfn.XLOOKUP(P344,tbl_points[Place],tbl_points[Points],""))))))</f>
        <v>36</v>
      </c>
      <c r="S344" s="3" t="str">
        <f>IF(R344="","",IF(R344="DNS",0,IF(R344="DQ",0,IF(R344="DNF",1,IF(AND(ISNUMBER(R344),R344&gt;59),1,_xlfn.XLOOKUP(R344,tbl_points[Place],tbl_points[Points],""))))))</f>
        <v/>
      </c>
      <c r="T344" s="3">
        <f>SUM(tbl_individual[[#This Row],[R1 Pts]],tbl_individual[[#This Row],[R2 Pts]],tbl_individual[[#This Row],[R3 Pts]],tbl_individual[[#This Row],[R4 Pts]],tbl_individual[[#This Row],[R5 Pts]],tbl_individual[[#This Row],[R6 Pts]])</f>
        <v>106</v>
      </c>
      <c r="U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4" s="3">
        <f>tbl_individual[[#This Row],[Total]]</f>
        <v>106</v>
      </c>
    </row>
    <row r="345" spans="1:22" x14ac:dyDescent="0.4">
      <c r="A345" t="s">
        <v>342</v>
      </c>
      <c r="B345" t="s">
        <v>28</v>
      </c>
      <c r="C345" t="s">
        <v>1</v>
      </c>
      <c r="D345" s="3">
        <v>12087</v>
      </c>
      <c r="E345" s="3" t="s">
        <v>421</v>
      </c>
      <c r="G345" s="3" t="s">
        <v>407</v>
      </c>
      <c r="H345" s="3">
        <v>34</v>
      </c>
      <c r="I345" s="3">
        <f>IF(H345="","",IF(H345="DNS",0,IF(H345="DQ",0,IF(H345="DNF",1,IF(AND(ISNUMBER(H345),H345&gt;59),1,_xlfn.XLOOKUP(H345,tbl_points[Place],tbl_points[Points],""))))))</f>
        <v>26</v>
      </c>
      <c r="J345" s="3" t="s">
        <v>410</v>
      </c>
      <c r="K345" s="3">
        <f>IF(J345="","",IF(J345="DNS",0,IF(J345="DQ",0,IF(J345="DNF",1,IF(AND(ISNUMBER(J345),J345&gt;59),1,_xlfn.XLOOKUP(J345,tbl_points[Place],tbl_points[Points],""))))))</f>
        <v>0</v>
      </c>
      <c r="L345" s="3">
        <v>38</v>
      </c>
      <c r="M345" s="3">
        <f>IF(L345="","",IF(L345="DNS",0,IF(L345="DQ",0,IF(L345="DNF",1,IF(AND(ISNUMBER(L345),L345&gt;59),1,_xlfn.XLOOKUP(L345,tbl_points[Place],tbl_points[Points],""))))))</f>
        <v>22</v>
      </c>
      <c r="N345" s="3">
        <v>45</v>
      </c>
      <c r="O345" s="3">
        <f>IF(N345="","",IF(N345="DNS",0,IF(N345="DQ",0,IF(N345="DNF",1,IF(AND(ISNUMBER(N345),N345&gt;59),1,_xlfn.XLOOKUP(N345,tbl_points[Place],tbl_points[Points],""))))))</f>
        <v>15</v>
      </c>
      <c r="P345" s="3">
        <v>39</v>
      </c>
      <c r="Q345" s="3">
        <f>IF(P345="","",IF(P345="DNS",0,IF(P345="DQ",0,IF(P345="DNF",1,IF(AND(ISNUMBER(P345),P345&gt;59),1,_xlfn.XLOOKUP(P345,tbl_points[Place],tbl_points[Points],""))))))</f>
        <v>21</v>
      </c>
      <c r="S345" s="3" t="str">
        <f>IF(R345="","",IF(R345="DNS",0,IF(R345="DQ",0,IF(R345="DNF",1,IF(AND(ISNUMBER(R345),R345&gt;59),1,_xlfn.XLOOKUP(R345,tbl_points[Place],tbl_points[Points],""))))))</f>
        <v/>
      </c>
      <c r="T345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5" s="3">
        <f>tbl_individual[[#This Row],[Total]]</f>
        <v>84</v>
      </c>
    </row>
    <row r="346" spans="1:22" x14ac:dyDescent="0.4">
      <c r="A346" t="s">
        <v>343</v>
      </c>
      <c r="B346" t="s">
        <v>28</v>
      </c>
      <c r="C346" t="s">
        <v>1</v>
      </c>
      <c r="D346" s="3">
        <v>12089</v>
      </c>
      <c r="E346" s="3" t="s">
        <v>421</v>
      </c>
      <c r="G346" s="3" t="s">
        <v>403</v>
      </c>
      <c r="H346" s="3" t="s">
        <v>410</v>
      </c>
      <c r="I346" s="3">
        <f>IF(H346="","",IF(H346="DNS",0,IF(H346="DQ",0,IF(H346="DNF",1,IF(AND(ISNUMBER(H346),H346&gt;59),1,_xlfn.XLOOKUP(H346,tbl_points[Place],tbl_points[Points],""))))))</f>
        <v>0</v>
      </c>
      <c r="J346" s="3">
        <v>20</v>
      </c>
      <c r="K346" s="3">
        <f>IF(J346="","",IF(J346="DNS",0,IF(J346="DQ",0,IF(J346="DNF",1,IF(AND(ISNUMBER(J346),J346&gt;59),1,_xlfn.XLOOKUP(J346,tbl_points[Place],tbl_points[Points],""))))))</f>
        <v>40</v>
      </c>
      <c r="L346" s="3">
        <v>46</v>
      </c>
      <c r="M346" s="3">
        <f>IF(L346="","",IF(L346="DNS",0,IF(L346="DQ",0,IF(L346="DNF",1,IF(AND(ISNUMBER(L346),L346&gt;59),1,_xlfn.XLOOKUP(L346,tbl_points[Place],tbl_points[Points],""))))))</f>
        <v>14</v>
      </c>
      <c r="N346" s="3">
        <v>13</v>
      </c>
      <c r="O346" s="3">
        <f>IF(N346="","",IF(N346="DNS",0,IF(N346="DQ",0,IF(N346="DNF",1,IF(AND(ISNUMBER(N346),N346&gt;59),1,_xlfn.XLOOKUP(N346,tbl_points[Place],tbl_points[Points],""))))))</f>
        <v>49</v>
      </c>
      <c r="P346" s="3">
        <v>20</v>
      </c>
      <c r="Q346" s="3">
        <f>IF(P346="","",IF(P346="DNS",0,IF(P346="DQ",0,IF(P346="DNF",1,IF(AND(ISNUMBER(P346),P346&gt;59),1,_xlfn.XLOOKUP(P346,tbl_points[Place],tbl_points[Points],""))))))</f>
        <v>40</v>
      </c>
      <c r="S346" s="3" t="str">
        <f>IF(R346="","",IF(R346="DNS",0,IF(R346="DQ",0,IF(R346="DNF",1,IF(AND(ISNUMBER(R346),R346&gt;59),1,_xlfn.XLOOKUP(R346,tbl_points[Place],tbl_points[Points],""))))))</f>
        <v/>
      </c>
      <c r="T346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6" s="3">
        <f>tbl_individual[[#This Row],[Total]]</f>
        <v>143</v>
      </c>
    </row>
    <row r="347" spans="1:22" x14ac:dyDescent="0.4">
      <c r="A347" t="s">
        <v>344</v>
      </c>
      <c r="B347" t="s">
        <v>28</v>
      </c>
      <c r="C347" t="s">
        <v>1</v>
      </c>
      <c r="D347" s="3">
        <v>12090</v>
      </c>
      <c r="E347" s="3" t="s">
        <v>421</v>
      </c>
      <c r="G347" s="3" t="s">
        <v>403</v>
      </c>
      <c r="H347" s="3">
        <v>10</v>
      </c>
      <c r="I347" s="3">
        <f>IF(H347="","",IF(H347="DNS",0,IF(H347="DQ",0,IF(H347="DNF",1,IF(AND(ISNUMBER(H347),H347&gt;59),1,_xlfn.XLOOKUP(H347,tbl_points[Place],tbl_points[Points],""))))))</f>
        <v>55</v>
      </c>
      <c r="J347" s="3">
        <v>10</v>
      </c>
      <c r="K347" s="3">
        <f>IF(J347="","",IF(J347="DNS",0,IF(J347="DQ",0,IF(J347="DNF",1,IF(AND(ISNUMBER(J347),J347&gt;59),1,_xlfn.XLOOKUP(J347,tbl_points[Place],tbl_points[Points],""))))))</f>
        <v>55</v>
      </c>
      <c r="L347" s="3">
        <v>15</v>
      </c>
      <c r="M347" s="3">
        <f>IF(L347="","",IF(L347="DNS",0,IF(L347="DQ",0,IF(L347="DNF",1,IF(AND(ISNUMBER(L347),L347&gt;59),1,_xlfn.XLOOKUP(L347,tbl_points[Place],tbl_points[Points],""))))))</f>
        <v>45</v>
      </c>
      <c r="N347" s="3">
        <v>7</v>
      </c>
      <c r="O347" s="3">
        <f>IF(N347="","",IF(N347="DNS",0,IF(N347="DQ",0,IF(N347="DNF",1,IF(AND(ISNUMBER(N347),N347&gt;59),1,_xlfn.XLOOKUP(N347,tbl_points[Place],tbl_points[Points],""))))))</f>
        <v>70</v>
      </c>
      <c r="P347" s="3" t="s">
        <v>410</v>
      </c>
      <c r="Q347" s="3">
        <f>IF(P347="","",IF(P347="DNS",0,IF(P347="DQ",0,IF(P347="DNF",1,IF(AND(ISNUMBER(P347),P347&gt;59),1,_xlfn.XLOOKUP(P347,tbl_points[Place],tbl_points[Points],""))))))</f>
        <v>0</v>
      </c>
      <c r="S347" s="3" t="str">
        <f>IF(R347="","",IF(R347="DNS",0,IF(R347="DQ",0,IF(R347="DNF",1,IF(AND(ISNUMBER(R347),R347&gt;59),1,_xlfn.XLOOKUP(R347,tbl_points[Place],tbl_points[Points],""))))))</f>
        <v/>
      </c>
      <c r="T347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7" s="3">
        <f>tbl_individual[[#This Row],[Total]]</f>
        <v>225</v>
      </c>
    </row>
    <row r="348" spans="1:22" x14ac:dyDescent="0.4">
      <c r="A348" t="s">
        <v>345</v>
      </c>
      <c r="B348" t="s">
        <v>28</v>
      </c>
      <c r="C348" t="s">
        <v>1</v>
      </c>
      <c r="D348" s="3">
        <v>12091</v>
      </c>
      <c r="E348" s="3" t="s">
        <v>421</v>
      </c>
      <c r="G348" s="3" t="s">
        <v>403</v>
      </c>
      <c r="H348" s="3" t="s">
        <v>410</v>
      </c>
      <c r="I348" s="3">
        <f>IF(H348="","",IF(H348="DNS",0,IF(H348="DQ",0,IF(H348="DNF",1,IF(AND(ISNUMBER(H348),H348&gt;59),1,_xlfn.XLOOKUP(H348,tbl_points[Place],tbl_points[Points],""))))))</f>
        <v>0</v>
      </c>
      <c r="J348" s="3">
        <v>43</v>
      </c>
      <c r="K348" s="3">
        <f>IF(J348="","",IF(J348="DNS",0,IF(J348="DQ",0,IF(J348="DNF",1,IF(AND(ISNUMBER(J348),J348&gt;59),1,_xlfn.XLOOKUP(J348,tbl_points[Place],tbl_points[Points],""))))))</f>
        <v>17</v>
      </c>
      <c r="L348" s="3" t="s">
        <v>410</v>
      </c>
      <c r="M348" s="3">
        <f>IF(L348="","",IF(L348="DNS",0,IF(L348="DQ",0,IF(L348="DNF",1,IF(AND(ISNUMBER(L348),L348&gt;59),1,_xlfn.XLOOKUP(L348,tbl_points[Place],tbl_points[Points],""))))))</f>
        <v>0</v>
      </c>
      <c r="N348" s="3">
        <v>24</v>
      </c>
      <c r="O348" s="3">
        <f>IF(N348="","",IF(N348="DNS",0,IF(N348="DQ",0,IF(N348="DNF",1,IF(AND(ISNUMBER(N348),N348&gt;59),1,_xlfn.XLOOKUP(N348,tbl_points[Place],tbl_points[Points],""))))))</f>
        <v>36</v>
      </c>
      <c r="P348" s="3">
        <v>38</v>
      </c>
      <c r="Q348" s="3">
        <f>IF(P348="","",IF(P348="DNS",0,IF(P348="DQ",0,IF(P348="DNF",1,IF(AND(ISNUMBER(P348),P348&gt;59),1,_xlfn.XLOOKUP(P348,tbl_points[Place],tbl_points[Points],""))))))</f>
        <v>22</v>
      </c>
      <c r="S348" s="3" t="str">
        <f>IF(R348="","",IF(R348="DNS",0,IF(R348="DQ",0,IF(R348="DNF",1,IF(AND(ISNUMBER(R348),R348&gt;59),1,_xlfn.XLOOKUP(R348,tbl_points[Place],tbl_points[Points],""))))))</f>
        <v/>
      </c>
      <c r="T34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8" s="3">
        <f>tbl_individual[[#This Row],[Total]]</f>
        <v>75</v>
      </c>
    </row>
    <row r="349" spans="1:22" x14ac:dyDescent="0.4">
      <c r="A349" t="s">
        <v>346</v>
      </c>
      <c r="B349" t="s">
        <v>28</v>
      </c>
      <c r="C349" t="s">
        <v>1</v>
      </c>
      <c r="D349" s="3">
        <v>12092</v>
      </c>
      <c r="E349" s="3" t="s">
        <v>421</v>
      </c>
      <c r="G349" s="3" t="s">
        <v>403</v>
      </c>
      <c r="H349" s="3">
        <v>33</v>
      </c>
      <c r="I349" s="3">
        <f>IF(H349="","",IF(H349="DNS",0,IF(H349="DQ",0,IF(H349="DNF",1,IF(AND(ISNUMBER(H349),H349&gt;59),1,_xlfn.XLOOKUP(H349,tbl_points[Place],tbl_points[Points],""))))))</f>
        <v>27</v>
      </c>
      <c r="J349" s="3">
        <v>27</v>
      </c>
      <c r="K349" s="3">
        <f>IF(J349="","",IF(J349="DNS",0,IF(J349="DQ",0,IF(J349="DNF",1,IF(AND(ISNUMBER(J349),J349&gt;59),1,_xlfn.XLOOKUP(J349,tbl_points[Place],tbl_points[Points],""))))))</f>
        <v>33</v>
      </c>
      <c r="L349" s="3">
        <v>26</v>
      </c>
      <c r="M349" s="3">
        <f>IF(L349="","",IF(L349="DNS",0,IF(L349="DQ",0,IF(L349="DNF",1,IF(AND(ISNUMBER(L349),L349&gt;59),1,_xlfn.XLOOKUP(L349,tbl_points[Place],tbl_points[Points],""))))))</f>
        <v>34</v>
      </c>
      <c r="N349" s="3">
        <v>28</v>
      </c>
      <c r="O349" s="3">
        <f>IF(N349="","",IF(N349="DNS",0,IF(N349="DQ",0,IF(N349="DNF",1,IF(AND(ISNUMBER(N349),N349&gt;59),1,_xlfn.XLOOKUP(N349,tbl_points[Place],tbl_points[Points],""))))))</f>
        <v>32</v>
      </c>
      <c r="P349" s="3">
        <v>29</v>
      </c>
      <c r="Q349" s="3">
        <f>IF(P349="","",IF(P349="DNS",0,IF(P349="DQ",0,IF(P349="DNF",1,IF(AND(ISNUMBER(P349),P349&gt;59),1,_xlfn.XLOOKUP(P349,tbl_points[Place],tbl_points[Points],""))))))</f>
        <v>31</v>
      </c>
      <c r="S349" s="3" t="str">
        <f>IF(R349="","",IF(R349="DNS",0,IF(R349="DQ",0,IF(R349="DNF",1,IF(AND(ISNUMBER(R349),R349&gt;59),1,_xlfn.XLOOKUP(R349,tbl_points[Place],tbl_points[Points],""))))))</f>
        <v/>
      </c>
      <c r="T349" s="3">
        <f>SUM(tbl_individual[[#This Row],[R1 Pts]],tbl_individual[[#This Row],[R2 Pts]],tbl_individual[[#This Row],[R3 Pts]],tbl_individual[[#This Row],[R4 Pts]],tbl_individual[[#This Row],[R5 Pts]],tbl_individual[[#This Row],[R6 Pts]])</f>
        <v>157</v>
      </c>
      <c r="U349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349" s="3">
        <f>tbl_individual[[#This Row],[Total]]</f>
        <v>157</v>
      </c>
    </row>
    <row r="350" spans="1:22" x14ac:dyDescent="0.4">
      <c r="A350" t="s">
        <v>347</v>
      </c>
      <c r="B350" t="s">
        <v>28</v>
      </c>
      <c r="C350" t="s">
        <v>1</v>
      </c>
      <c r="D350" s="3">
        <v>12093</v>
      </c>
      <c r="E350" s="3" t="s">
        <v>421</v>
      </c>
      <c r="G350" s="3" t="s">
        <v>407</v>
      </c>
      <c r="H350" s="3" t="s">
        <v>410</v>
      </c>
      <c r="I350" s="3">
        <f>IF(H350="","",IF(H350="DNS",0,IF(H350="DQ",0,IF(H350="DNF",1,IF(AND(ISNUMBER(H350),H350&gt;59),1,_xlfn.XLOOKUP(H350,tbl_points[Place],tbl_points[Points],""))))))</f>
        <v>0</v>
      </c>
      <c r="J350" s="3">
        <v>64</v>
      </c>
      <c r="K350" s="3">
        <f>IF(J350="","",IF(J350="DNS",0,IF(J350="DQ",0,IF(J350="DNF",1,IF(AND(ISNUMBER(J350),J350&gt;59),1,_xlfn.XLOOKUP(J350,tbl_points[Place],tbl_points[Points],""))))))</f>
        <v>1</v>
      </c>
      <c r="L350" s="3" t="s">
        <v>410</v>
      </c>
      <c r="M350" s="3">
        <f>IF(L350="","",IF(L350="DNS",0,IF(L350="DQ",0,IF(L350="DNF",1,IF(AND(ISNUMBER(L350),L350&gt;59),1,_xlfn.XLOOKUP(L350,tbl_points[Place],tbl_points[Points],""))))))</f>
        <v>0</v>
      </c>
      <c r="N350" s="3">
        <v>27</v>
      </c>
      <c r="O350" s="3">
        <f>IF(N350="","",IF(N350="DNS",0,IF(N350="DQ",0,IF(N350="DNF",1,IF(AND(ISNUMBER(N350),N350&gt;59),1,_xlfn.XLOOKUP(N350,tbl_points[Place],tbl_points[Points],""))))))</f>
        <v>33</v>
      </c>
      <c r="P350" s="3">
        <v>48</v>
      </c>
      <c r="Q350" s="3">
        <f>IF(P350="","",IF(P350="DNS",0,IF(P350="DQ",0,IF(P350="DNF",1,IF(AND(ISNUMBER(P350),P350&gt;59),1,_xlfn.XLOOKUP(P350,tbl_points[Place],tbl_points[Points],""))))))</f>
        <v>12</v>
      </c>
      <c r="S350" s="3" t="str">
        <f>IF(R350="","",IF(R350="DNS",0,IF(R350="DQ",0,IF(R350="DNF",1,IF(AND(ISNUMBER(R350),R350&gt;59),1,_xlfn.XLOOKUP(R350,tbl_points[Place],tbl_points[Points],""))))))</f>
        <v/>
      </c>
      <c r="T350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0" s="3">
        <f>tbl_individual[[#This Row],[Total]]</f>
        <v>46</v>
      </c>
    </row>
    <row r="351" spans="1:22" x14ac:dyDescent="0.4">
      <c r="A351" t="s">
        <v>348</v>
      </c>
      <c r="B351" t="s">
        <v>28</v>
      </c>
      <c r="C351" t="s">
        <v>1</v>
      </c>
      <c r="D351" s="3">
        <v>12094</v>
      </c>
      <c r="E351" s="3" t="s">
        <v>421</v>
      </c>
      <c r="G351" s="3" t="s">
        <v>403</v>
      </c>
      <c r="H351" s="3">
        <v>21</v>
      </c>
      <c r="I351" s="3">
        <f>IF(H351="","",IF(H351="DNS",0,IF(H351="DQ",0,IF(H351="DNF",1,IF(AND(ISNUMBER(H351),H351&gt;59),1,_xlfn.XLOOKUP(H351,tbl_points[Place],tbl_points[Points],""))))))</f>
        <v>39</v>
      </c>
      <c r="J351" s="3">
        <v>35</v>
      </c>
      <c r="K351" s="3">
        <f>IF(J351="","",IF(J351="DNS",0,IF(J351="DQ",0,IF(J351="DNF",1,IF(AND(ISNUMBER(J351),J351&gt;59),1,_xlfn.XLOOKUP(J351,tbl_points[Place],tbl_points[Points],""))))))</f>
        <v>25</v>
      </c>
      <c r="L351" s="3">
        <v>24</v>
      </c>
      <c r="M351" s="3">
        <f>IF(L351="","",IF(L351="DNS",0,IF(L351="DQ",0,IF(L351="DNF",1,IF(AND(ISNUMBER(L351),L351&gt;59),1,_xlfn.XLOOKUP(L351,tbl_points[Place],tbl_points[Points],""))))))</f>
        <v>36</v>
      </c>
      <c r="N351" s="3">
        <v>43</v>
      </c>
      <c r="O351" s="3">
        <f>IF(N351="","",IF(N351="DNS",0,IF(N351="DQ",0,IF(N351="DNF",1,IF(AND(ISNUMBER(N351),N351&gt;59),1,_xlfn.XLOOKUP(N351,tbl_points[Place],tbl_points[Points],""))))))</f>
        <v>17</v>
      </c>
      <c r="P351" s="3">
        <v>44</v>
      </c>
      <c r="Q351" s="3">
        <f>IF(P351="","",IF(P351="DNS",0,IF(P351="DQ",0,IF(P351="DNF",1,IF(AND(ISNUMBER(P351),P351&gt;59),1,_xlfn.XLOOKUP(P351,tbl_points[Place],tbl_points[Points],""))))))</f>
        <v>16</v>
      </c>
      <c r="S351" s="3" t="str">
        <f>IF(R351="","",IF(R351="DNS",0,IF(R351="DQ",0,IF(R351="DNF",1,IF(AND(ISNUMBER(R351),R351&gt;59),1,_xlfn.XLOOKUP(R351,tbl_points[Place],tbl_points[Points],""))))))</f>
        <v/>
      </c>
      <c r="T351" s="3">
        <f>SUM(tbl_individual[[#This Row],[R1 Pts]],tbl_individual[[#This Row],[R2 Pts]],tbl_individual[[#This Row],[R3 Pts]],tbl_individual[[#This Row],[R4 Pts]],tbl_individual[[#This Row],[R5 Pts]],tbl_individual[[#This Row],[R6 Pts]])</f>
        <v>133</v>
      </c>
      <c r="U351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351" s="3">
        <f>tbl_individual[[#This Row],[Total]]</f>
        <v>133</v>
      </c>
    </row>
    <row r="352" spans="1:22" x14ac:dyDescent="0.4">
      <c r="A352" t="s">
        <v>353</v>
      </c>
      <c r="B352" t="s">
        <v>29</v>
      </c>
      <c r="C352" t="s">
        <v>1</v>
      </c>
      <c r="D352" s="3">
        <v>12095</v>
      </c>
      <c r="E352" s="3" t="s">
        <v>421</v>
      </c>
      <c r="G352" s="3" t="s">
        <v>403</v>
      </c>
      <c r="H352" s="3" t="s">
        <v>410</v>
      </c>
      <c r="I352" s="3">
        <f>IF(H352="","",IF(H352="DNS",0,IF(H352="DQ",0,IF(H352="DNF",1,IF(AND(ISNUMBER(H352),H352&gt;59),1,_xlfn.XLOOKUP(H352,tbl_points[Place],tbl_points[Points],""))))))</f>
        <v>0</v>
      </c>
      <c r="J352" s="3">
        <v>52</v>
      </c>
      <c r="K352" s="3">
        <f>IF(J352="","",IF(J352="DNS",0,IF(J352="DQ",0,IF(J352="DNF",1,IF(AND(ISNUMBER(J352),J352&gt;59),1,_xlfn.XLOOKUP(J352,tbl_points[Place],tbl_points[Points],""))))))</f>
        <v>8</v>
      </c>
      <c r="L352" s="3">
        <v>23</v>
      </c>
      <c r="M352" s="3">
        <f>IF(L352="","",IF(L352="DNS",0,IF(L352="DQ",0,IF(L352="DNF",1,IF(AND(ISNUMBER(L352),L352&gt;59),1,_xlfn.XLOOKUP(L352,tbl_points[Place],tbl_points[Points],""))))))</f>
        <v>37</v>
      </c>
      <c r="N352" s="3">
        <v>33</v>
      </c>
      <c r="O352" s="3">
        <f>IF(N352="","",IF(N352="DNS",0,IF(N352="DQ",0,IF(N352="DNF",1,IF(AND(ISNUMBER(N352),N352&gt;59),1,_xlfn.XLOOKUP(N352,tbl_points[Place],tbl_points[Points],""))))))</f>
        <v>27</v>
      </c>
      <c r="P352" s="3" t="s">
        <v>410</v>
      </c>
      <c r="Q352" s="3">
        <f>IF(P352="","",IF(P352="DNS",0,IF(P352="DQ",0,IF(P352="DNF",1,IF(AND(ISNUMBER(P352),P352&gt;59),1,_xlfn.XLOOKUP(P352,tbl_points[Place],tbl_points[Points],""))))))</f>
        <v>0</v>
      </c>
      <c r="S352" s="3" t="str">
        <f>IF(R352="","",IF(R352="DNS",0,IF(R352="DQ",0,IF(R352="DNF",1,IF(AND(ISNUMBER(R352),R352&gt;59),1,_xlfn.XLOOKUP(R352,tbl_points[Place],tbl_points[Points],""))))))</f>
        <v/>
      </c>
      <c r="T352" s="3">
        <f>SUM(tbl_individual[[#This Row],[R1 Pts]],tbl_individual[[#This Row],[R2 Pts]],tbl_individual[[#This Row],[R3 Pts]],tbl_individual[[#This Row],[R4 Pts]],tbl_individual[[#This Row],[R5 Pts]],tbl_individual[[#This Row],[R6 Pts]])</f>
        <v>72</v>
      </c>
      <c r="U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2" s="3">
        <f>tbl_individual[[#This Row],[Total]]</f>
        <v>72</v>
      </c>
    </row>
    <row r="353" spans="1:22" x14ac:dyDescent="0.4">
      <c r="A353" t="s">
        <v>375</v>
      </c>
      <c r="B353" t="s">
        <v>30</v>
      </c>
      <c r="C353" t="s">
        <v>1</v>
      </c>
      <c r="D353" s="3">
        <v>12097</v>
      </c>
      <c r="E353" s="3" t="s">
        <v>421</v>
      </c>
      <c r="G353" s="3" t="s">
        <v>403</v>
      </c>
      <c r="H353" s="3" t="s">
        <v>410</v>
      </c>
      <c r="I353" s="3">
        <f>IF(H353="","",IF(H353="DNS",0,IF(H353="DQ",0,IF(H353="DNF",1,IF(AND(ISNUMBER(H353),H353&gt;59),1,_xlfn.XLOOKUP(H353,tbl_points[Place],tbl_points[Points],""))))))</f>
        <v>0</v>
      </c>
      <c r="J353" s="3">
        <v>25</v>
      </c>
      <c r="K353" s="3">
        <f>IF(J353="","",IF(J353="DNS",0,IF(J353="DQ",0,IF(J353="DNF",1,IF(AND(ISNUMBER(J353),J353&gt;59),1,_xlfn.XLOOKUP(J353,tbl_points[Place],tbl_points[Points],""))))))</f>
        <v>35</v>
      </c>
      <c r="L353" s="3" t="s">
        <v>410</v>
      </c>
      <c r="M353" s="3">
        <f>IF(L353="","",IF(L353="DNS",0,IF(L353="DQ",0,IF(L353="DNF",1,IF(AND(ISNUMBER(L353),L353&gt;59),1,_xlfn.XLOOKUP(L353,tbl_points[Place],tbl_points[Points],""))))))</f>
        <v>0</v>
      </c>
      <c r="N353" s="3">
        <v>25</v>
      </c>
      <c r="O353" s="3">
        <f>IF(N353="","",IF(N353="DNS",0,IF(N353="DQ",0,IF(N353="DNF",1,IF(AND(ISNUMBER(N353),N353&gt;59),1,_xlfn.XLOOKUP(N353,tbl_points[Place],tbl_points[Points],""))))))</f>
        <v>35</v>
      </c>
      <c r="P353" s="3">
        <v>36</v>
      </c>
      <c r="Q353" s="3">
        <f>IF(P353="","",IF(P353="DNS",0,IF(P353="DQ",0,IF(P353="DNF",1,IF(AND(ISNUMBER(P353),P353&gt;59),1,_xlfn.XLOOKUP(P353,tbl_points[Place],tbl_points[Points],""))))))</f>
        <v>24</v>
      </c>
      <c r="S353" s="3" t="str">
        <f>IF(R353="","",IF(R353="DNS",0,IF(R353="DQ",0,IF(R353="DNF",1,IF(AND(ISNUMBER(R353),R353&gt;59),1,_xlfn.XLOOKUP(R353,tbl_points[Place],tbl_points[Points],""))))))</f>
        <v/>
      </c>
      <c r="T353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3" s="3">
        <f>tbl_individual[[#This Row],[Total]]</f>
        <v>94</v>
      </c>
    </row>
    <row r="354" spans="1:22" x14ac:dyDescent="0.4">
      <c r="A354" t="s">
        <v>376</v>
      </c>
      <c r="B354" t="s">
        <v>30</v>
      </c>
      <c r="C354" t="s">
        <v>1</v>
      </c>
      <c r="D354" s="3">
        <v>12098</v>
      </c>
      <c r="E354" s="3" t="s">
        <v>421</v>
      </c>
      <c r="G354" s="3" t="s">
        <v>403</v>
      </c>
      <c r="H354" s="3">
        <v>20</v>
      </c>
      <c r="I354" s="3">
        <f>IF(H354="","",IF(H354="DNS",0,IF(H354="DQ",0,IF(H354="DNF",1,IF(AND(ISNUMBER(H354),H354&gt;59),1,_xlfn.XLOOKUP(H354,tbl_points[Place],tbl_points[Points],""))))))</f>
        <v>40</v>
      </c>
      <c r="J354" s="3">
        <v>22</v>
      </c>
      <c r="K354" s="3">
        <f>IF(J354="","",IF(J354="DNS",0,IF(J354="DQ",0,IF(J354="DNF",1,IF(AND(ISNUMBER(J354),J354&gt;59),1,_xlfn.XLOOKUP(J354,tbl_points[Place],tbl_points[Points],""))))))</f>
        <v>38</v>
      </c>
      <c r="L354" s="3">
        <v>25</v>
      </c>
      <c r="M354" s="3">
        <f>IF(L354="","",IF(L354="DNS",0,IF(L354="DQ",0,IF(L354="DNF",1,IF(AND(ISNUMBER(L354),L354&gt;59),1,_xlfn.XLOOKUP(L354,tbl_points[Place],tbl_points[Points],""))))))</f>
        <v>35</v>
      </c>
      <c r="N354" s="3">
        <v>19</v>
      </c>
      <c r="O354" s="3">
        <f>IF(N354="","",IF(N354="DNS",0,IF(N354="DQ",0,IF(N354="DNF",1,IF(AND(ISNUMBER(N354),N354&gt;59),1,_xlfn.XLOOKUP(N354,tbl_points[Place],tbl_points[Points],""))))))</f>
        <v>41</v>
      </c>
      <c r="P354" s="3">
        <v>26</v>
      </c>
      <c r="Q354" s="3">
        <f>IF(P354="","",IF(P354="DNS",0,IF(P354="DQ",0,IF(P354="DNF",1,IF(AND(ISNUMBER(P354),P354&gt;59),1,_xlfn.XLOOKUP(P354,tbl_points[Place],tbl_points[Points],""))))))</f>
        <v>34</v>
      </c>
      <c r="S354" s="3" t="str">
        <f>IF(R354="","",IF(R354="DNS",0,IF(R354="DQ",0,IF(R354="DNF",1,IF(AND(ISNUMBER(R354),R354&gt;59),1,_xlfn.XLOOKUP(R354,tbl_points[Place],tbl_points[Points],""))))))</f>
        <v/>
      </c>
      <c r="T354" s="3">
        <f>SUM(tbl_individual[[#This Row],[R1 Pts]],tbl_individual[[#This Row],[R2 Pts]],tbl_individual[[#This Row],[R3 Pts]],tbl_individual[[#This Row],[R4 Pts]],tbl_individual[[#This Row],[R5 Pts]],tbl_individual[[#This Row],[R6 Pts]])</f>
        <v>188</v>
      </c>
      <c r="U354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354" s="3">
        <f>tbl_individual[[#This Row],[Total]]</f>
        <v>188</v>
      </c>
    </row>
    <row r="355" spans="1:22" x14ac:dyDescent="0.4">
      <c r="A355" t="s">
        <v>377</v>
      </c>
      <c r="B355" t="s">
        <v>30</v>
      </c>
      <c r="C355" t="s">
        <v>1</v>
      </c>
      <c r="D355" s="3">
        <v>12099</v>
      </c>
      <c r="E355" s="3" t="s">
        <v>421</v>
      </c>
      <c r="G355" s="3" t="s">
        <v>403</v>
      </c>
      <c r="H355" s="3">
        <v>15</v>
      </c>
      <c r="I355" s="3">
        <f>IF(H355="","",IF(H355="DNS",0,IF(H355="DQ",0,IF(H355="DNF",1,IF(AND(ISNUMBER(H355),H355&gt;59),1,_xlfn.XLOOKUP(H355,tbl_points[Place],tbl_points[Points],""))))))</f>
        <v>45</v>
      </c>
      <c r="J355" s="3">
        <v>21</v>
      </c>
      <c r="K355" s="3">
        <f>IF(J355="","",IF(J355="DNS",0,IF(J355="DQ",0,IF(J355="DNF",1,IF(AND(ISNUMBER(J355),J355&gt;59),1,_xlfn.XLOOKUP(J355,tbl_points[Place],tbl_points[Points],""))))))</f>
        <v>39</v>
      </c>
      <c r="L355" s="3" t="s">
        <v>410</v>
      </c>
      <c r="M355" s="3">
        <f>IF(L355="","",IF(L355="DNS",0,IF(L355="DQ",0,IF(L355="DNF",1,IF(AND(ISNUMBER(L355),L355&gt;59),1,_xlfn.XLOOKUP(L355,tbl_points[Place],tbl_points[Points],""))))))</f>
        <v>0</v>
      </c>
      <c r="N355" s="3">
        <v>15</v>
      </c>
      <c r="O355" s="3">
        <f>IF(N355="","",IF(N355="DNS",0,IF(N355="DQ",0,IF(N355="DNF",1,IF(AND(ISNUMBER(N355),N355&gt;59),1,_xlfn.XLOOKUP(N355,tbl_points[Place],tbl_points[Points],""))))))</f>
        <v>45</v>
      </c>
      <c r="P355" s="3">
        <v>11</v>
      </c>
      <c r="Q355" s="3">
        <f>IF(P355="","",IF(P355="DNS",0,IF(P355="DQ",0,IF(P355="DNF",1,IF(AND(ISNUMBER(P355),P355&gt;59),1,_xlfn.XLOOKUP(P355,tbl_points[Place],tbl_points[Points],""))))))</f>
        <v>53</v>
      </c>
      <c r="S355" s="3" t="str">
        <f>IF(R355="","",IF(R355="DNS",0,IF(R355="DQ",0,IF(R355="DNF",1,IF(AND(ISNUMBER(R355),R355&gt;59),1,_xlfn.XLOOKUP(R355,tbl_points[Place],tbl_points[Points],""))))))</f>
        <v/>
      </c>
      <c r="T355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3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5" s="3">
        <f>tbl_individual[[#This Row],[Total]]</f>
        <v>182</v>
      </c>
    </row>
    <row r="356" spans="1:22" x14ac:dyDescent="0.4">
      <c r="A356" t="s">
        <v>378</v>
      </c>
      <c r="B356" t="s">
        <v>30</v>
      </c>
      <c r="C356" t="s">
        <v>1</v>
      </c>
      <c r="D356" s="3">
        <v>12100</v>
      </c>
      <c r="E356" s="3" t="s">
        <v>421</v>
      </c>
      <c r="G356" s="3" t="s">
        <v>403</v>
      </c>
      <c r="H356" s="3" t="s">
        <v>410</v>
      </c>
      <c r="I356" s="3">
        <f>IF(H356="","",IF(H356="DNS",0,IF(H356="DQ",0,IF(H356="DNF",1,IF(AND(ISNUMBER(H356),H356&gt;59),1,_xlfn.XLOOKUP(H356,tbl_points[Place],tbl_points[Points],""))))))</f>
        <v>0</v>
      </c>
      <c r="J356" s="3">
        <v>5</v>
      </c>
      <c r="K356" s="3">
        <f>IF(J356="","",IF(J356="DNS",0,IF(J356="DQ",0,IF(J356="DNF",1,IF(AND(ISNUMBER(J356),J356&gt;59),1,_xlfn.XLOOKUP(J356,tbl_points[Place],tbl_points[Points],""))))))</f>
        <v>80</v>
      </c>
      <c r="L356" s="3">
        <v>5</v>
      </c>
      <c r="M356" s="3">
        <f>IF(L356="","",IF(L356="DNS",0,IF(L356="DQ",0,IF(L356="DNF",1,IF(AND(ISNUMBER(L356),L356&gt;59),1,_xlfn.XLOOKUP(L356,tbl_points[Place],tbl_points[Points],""))))))</f>
        <v>80</v>
      </c>
      <c r="N356" s="3">
        <v>8</v>
      </c>
      <c r="O356" s="3">
        <f>IF(N356="","",IF(N356="DNS",0,IF(N356="DQ",0,IF(N356="DNF",1,IF(AND(ISNUMBER(N356),N356&gt;59),1,_xlfn.XLOOKUP(N356,tbl_points[Place],tbl_points[Points],""))))))</f>
        <v>65</v>
      </c>
      <c r="P356" s="3">
        <v>6</v>
      </c>
      <c r="Q356" s="3">
        <f>IF(P356="","",IF(P356="DNS",0,IF(P356="DQ",0,IF(P356="DNF",1,IF(AND(ISNUMBER(P356),P356&gt;59),1,_xlfn.XLOOKUP(P356,tbl_points[Place],tbl_points[Points],""))))))</f>
        <v>75</v>
      </c>
      <c r="S356" s="3" t="str">
        <f>IF(R356="","",IF(R356="DNS",0,IF(R356="DQ",0,IF(R356="DNF",1,IF(AND(ISNUMBER(R356),R356&gt;59),1,_xlfn.XLOOKUP(R356,tbl_points[Place],tbl_points[Points],""))))))</f>
        <v/>
      </c>
      <c r="T356" s="3">
        <f>SUM(tbl_individual[[#This Row],[R1 Pts]],tbl_individual[[#This Row],[R2 Pts]],tbl_individual[[#This Row],[R3 Pts]],tbl_individual[[#This Row],[R4 Pts]],tbl_individual[[#This Row],[R5 Pts]],tbl_individual[[#This Row],[R6 Pts]])</f>
        <v>300</v>
      </c>
      <c r="U3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6" s="3">
        <f>tbl_individual[[#This Row],[Total]]</f>
        <v>300</v>
      </c>
    </row>
    <row r="357" spans="1:22" x14ac:dyDescent="0.4">
      <c r="A357" t="s">
        <v>385</v>
      </c>
      <c r="B357" t="s">
        <v>31</v>
      </c>
      <c r="C357" t="s">
        <v>1</v>
      </c>
      <c r="D357" s="3">
        <v>12101</v>
      </c>
      <c r="E357" s="3" t="s">
        <v>421</v>
      </c>
      <c r="G357" s="3" t="s">
        <v>403</v>
      </c>
      <c r="H357" s="3" t="s">
        <v>410</v>
      </c>
      <c r="I357" s="3">
        <f>IF(H357="","",IF(H357="DNS",0,IF(H357="DQ",0,IF(H357="DNF",1,IF(AND(ISNUMBER(H357),H357&gt;59),1,_xlfn.XLOOKUP(H357,tbl_points[Place],tbl_points[Points],""))))))</f>
        <v>0</v>
      </c>
      <c r="J357" s="3">
        <v>14</v>
      </c>
      <c r="K357" s="3">
        <f>IF(J357="","",IF(J357="DNS",0,IF(J357="DQ",0,IF(J357="DNF",1,IF(AND(ISNUMBER(J357),J357&gt;59),1,_xlfn.XLOOKUP(J357,tbl_points[Place],tbl_points[Points],""))))))</f>
        <v>47</v>
      </c>
      <c r="L357" s="3">
        <v>17</v>
      </c>
      <c r="M357" s="3">
        <f>IF(L357="","",IF(L357="DNS",0,IF(L357="DQ",0,IF(L357="DNF",1,IF(AND(ISNUMBER(L357),L357&gt;59),1,_xlfn.XLOOKUP(L357,tbl_points[Place],tbl_points[Points],""))))))</f>
        <v>43</v>
      </c>
      <c r="N357" s="3">
        <v>14</v>
      </c>
      <c r="O357" s="3">
        <f>IF(N357="","",IF(N357="DNS",0,IF(N357="DQ",0,IF(N357="DNF",1,IF(AND(ISNUMBER(N357),N357&gt;59),1,_xlfn.XLOOKUP(N357,tbl_points[Place],tbl_points[Points],""))))))</f>
        <v>47</v>
      </c>
      <c r="P357" s="3">
        <v>21</v>
      </c>
      <c r="Q357" s="3">
        <f>IF(P357="","",IF(P357="DNS",0,IF(P357="DQ",0,IF(P357="DNF",1,IF(AND(ISNUMBER(P357),P357&gt;59),1,_xlfn.XLOOKUP(P357,tbl_points[Place],tbl_points[Points],""))))))</f>
        <v>39</v>
      </c>
      <c r="S357" s="3" t="str">
        <f>IF(R357="","",IF(R357="DNS",0,IF(R357="DQ",0,IF(R357="DNF",1,IF(AND(ISNUMBER(R357),R357&gt;59),1,_xlfn.XLOOKUP(R357,tbl_points[Place],tbl_points[Points],""))))))</f>
        <v/>
      </c>
      <c r="T357" s="3">
        <f>SUM(tbl_individual[[#This Row],[R1 Pts]],tbl_individual[[#This Row],[R2 Pts]],tbl_individual[[#This Row],[R3 Pts]],tbl_individual[[#This Row],[R4 Pts]],tbl_individual[[#This Row],[R5 Pts]],tbl_individual[[#This Row],[R6 Pts]])</f>
        <v>176</v>
      </c>
      <c r="U3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7" s="3">
        <f>tbl_individual[[#This Row],[Total]]</f>
        <v>176</v>
      </c>
    </row>
    <row r="358" spans="1:22" x14ac:dyDescent="0.4">
      <c r="A358" t="s">
        <v>386</v>
      </c>
      <c r="B358" t="s">
        <v>31</v>
      </c>
      <c r="C358" t="s">
        <v>1</v>
      </c>
      <c r="D358" s="3">
        <v>12102</v>
      </c>
      <c r="E358" s="3" t="s">
        <v>421</v>
      </c>
      <c r="G358" s="3" t="s">
        <v>407</v>
      </c>
      <c r="H358" s="3" t="s">
        <v>410</v>
      </c>
      <c r="I358" s="3">
        <f>IF(H358="","",IF(H358="DNS",0,IF(H358="DQ",0,IF(H358="DNF",1,IF(AND(ISNUMBER(H358),H358&gt;59),1,_xlfn.XLOOKUP(H358,tbl_points[Place],tbl_points[Points],""))))))</f>
        <v>0</v>
      </c>
      <c r="J358" s="3" t="s">
        <v>410</v>
      </c>
      <c r="K358" s="3">
        <f>IF(J358="","",IF(J358="DNS",0,IF(J358="DQ",0,IF(J358="DNF",1,IF(AND(ISNUMBER(J358),J358&gt;59),1,_xlfn.XLOOKUP(J358,tbl_points[Place],tbl_points[Points],""))))))</f>
        <v>0</v>
      </c>
      <c r="L358" s="3" t="s">
        <v>410</v>
      </c>
      <c r="M358" s="3">
        <f>IF(L358="","",IF(L358="DNS",0,IF(L358="DQ",0,IF(L358="DNF",1,IF(AND(ISNUMBER(L358),L358&gt;59),1,_xlfn.XLOOKUP(L358,tbl_points[Place],tbl_points[Points],""))))))</f>
        <v>0</v>
      </c>
      <c r="N358" s="3" t="s">
        <v>410</v>
      </c>
      <c r="O358" s="3">
        <f>IF(N358="","",IF(N358="DNS",0,IF(N358="DQ",0,IF(N358="DNF",1,IF(AND(ISNUMBER(N358),N358&gt;59),1,_xlfn.XLOOKUP(N358,tbl_points[Place],tbl_points[Points],""))))))</f>
        <v>0</v>
      </c>
      <c r="P358" s="3" t="s">
        <v>410</v>
      </c>
      <c r="Q358" s="3">
        <f>IF(P358="","",IF(P358="DNS",0,IF(P358="DQ",0,IF(P358="DNF",1,IF(AND(ISNUMBER(P358),P358&gt;59),1,_xlfn.XLOOKUP(P358,tbl_points[Place],tbl_points[Points],""))))))</f>
        <v>0</v>
      </c>
      <c r="S358" s="3" t="str">
        <f>IF(R358="","",IF(R358="DNS",0,IF(R358="DQ",0,IF(R358="DNF",1,IF(AND(ISNUMBER(R358),R358&gt;59),1,_xlfn.XLOOKUP(R358,tbl_points[Place],tbl_points[Points],""))))))</f>
        <v/>
      </c>
      <c r="T3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8" s="3">
        <f>tbl_individual[[#This Row],[Total]]</f>
        <v>0</v>
      </c>
    </row>
    <row r="359" spans="1:22" x14ac:dyDescent="0.4">
      <c r="A359" t="s">
        <v>125</v>
      </c>
      <c r="B359" t="s">
        <v>13</v>
      </c>
      <c r="C359" t="s">
        <v>1</v>
      </c>
      <c r="D359" s="3">
        <v>12103</v>
      </c>
      <c r="E359" s="3" t="s">
        <v>421</v>
      </c>
      <c r="G359" s="3" t="s">
        <v>403</v>
      </c>
      <c r="H359" s="3">
        <v>1</v>
      </c>
      <c r="I359" s="3">
        <f>IF(H359="","",IF(H359="DNS",0,IF(H359="DQ",0,IF(H359="DNF",1,IF(AND(ISNUMBER(H359),H359&gt;59),1,_xlfn.XLOOKUP(H359,tbl_points[Place],tbl_points[Points],""))))))</f>
        <v>100</v>
      </c>
      <c r="J359" s="3">
        <v>13</v>
      </c>
      <c r="K359" s="3">
        <f>IF(J359="","",IF(J359="DNS",0,IF(J359="DQ",0,IF(J359="DNF",1,IF(AND(ISNUMBER(J359),J359&gt;59),1,_xlfn.XLOOKUP(J359,tbl_points[Place],tbl_points[Points],""))))))</f>
        <v>49</v>
      </c>
      <c r="L359" s="3">
        <v>1</v>
      </c>
      <c r="M359" s="3">
        <f>IF(L359="","",IF(L359="DNS",0,IF(L359="DQ",0,IF(L359="DNF",1,IF(AND(ISNUMBER(L359),L359&gt;59),1,_xlfn.XLOOKUP(L359,tbl_points[Place],tbl_points[Points],""))))))</f>
        <v>100</v>
      </c>
      <c r="N359" s="3">
        <v>12</v>
      </c>
      <c r="O359" s="3">
        <f>IF(N359="","",IF(N359="DNS",0,IF(N359="DQ",0,IF(N359="DNF",1,IF(AND(ISNUMBER(N359),N359&gt;59),1,_xlfn.XLOOKUP(N359,tbl_points[Place],tbl_points[Points],""))))))</f>
        <v>51</v>
      </c>
      <c r="P359" s="3">
        <v>9</v>
      </c>
      <c r="Q359" s="3">
        <f>IF(P359="","",IF(P359="DNS",0,IF(P359="DQ",0,IF(P359="DNF",1,IF(AND(ISNUMBER(P359),P359&gt;59),1,_xlfn.XLOOKUP(P359,tbl_points[Place],tbl_points[Points],""))))))</f>
        <v>60</v>
      </c>
      <c r="S359" s="3" t="str">
        <f>IF(R359="","",IF(R359="DNS",0,IF(R359="DQ",0,IF(R359="DNF",1,IF(AND(ISNUMBER(R359),R359&gt;59),1,_xlfn.XLOOKUP(R359,tbl_points[Place],tbl_points[Points],""))))))</f>
        <v/>
      </c>
      <c r="T359" s="3">
        <f>SUM(tbl_individual[[#This Row],[R1 Pts]],tbl_individual[[#This Row],[R2 Pts]],tbl_individual[[#This Row],[R3 Pts]],tbl_individual[[#This Row],[R4 Pts]],tbl_individual[[#This Row],[R5 Pts]],tbl_individual[[#This Row],[R6 Pts]])</f>
        <v>360</v>
      </c>
      <c r="U359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59" s="3">
        <f>tbl_individual[[#This Row],[Total]]</f>
        <v>360</v>
      </c>
    </row>
    <row r="360" spans="1:22" x14ac:dyDescent="0.4">
      <c r="A360" t="s">
        <v>416</v>
      </c>
      <c r="B360" t="s">
        <v>10</v>
      </c>
      <c r="C360" t="s">
        <v>1</v>
      </c>
      <c r="D360" s="3">
        <v>12104</v>
      </c>
      <c r="E360" s="3" t="s">
        <v>421</v>
      </c>
      <c r="G360" s="3" t="s">
        <v>403</v>
      </c>
      <c r="H360" s="3">
        <v>14</v>
      </c>
      <c r="I360" s="3">
        <f>IF(H360="","",IF(H360="DNS",0,IF(H360="DQ",0,IF(H360="DNF",1,IF(AND(ISNUMBER(H360),H360&gt;59),1,_xlfn.XLOOKUP(H360,tbl_points[Place],tbl_points[Points],""))))))</f>
        <v>47</v>
      </c>
      <c r="J360" s="3">
        <v>63</v>
      </c>
      <c r="K360" s="3">
        <f>IF(J360="","",IF(J360="DNS",0,IF(J360="DQ",0,IF(J360="DNF",1,IF(AND(ISNUMBER(J360),J360&gt;59),1,_xlfn.XLOOKUP(J360,tbl_points[Place],tbl_points[Points],""))))))</f>
        <v>1</v>
      </c>
      <c r="L360" s="3">
        <v>18</v>
      </c>
      <c r="M360" s="3">
        <f>IF(L360="","",IF(L360="DNS",0,IF(L360="DQ",0,IF(L360="DNF",1,IF(AND(ISNUMBER(L360),L360&gt;59),1,_xlfn.XLOOKUP(L360,tbl_points[Place],tbl_points[Points],""))))))</f>
        <v>42</v>
      </c>
      <c r="N360" s="3">
        <v>54</v>
      </c>
      <c r="O360" s="3">
        <f>IF(N360="","",IF(N360="DNS",0,IF(N360="DQ",0,IF(N360="DNF",1,IF(AND(ISNUMBER(N360),N360&gt;59),1,_xlfn.XLOOKUP(N360,tbl_points[Place],tbl_points[Points],""))))))</f>
        <v>6</v>
      </c>
      <c r="P360" s="3">
        <v>52</v>
      </c>
      <c r="Q360" s="3">
        <f>IF(P360="","",IF(P360="DNS",0,IF(P360="DQ",0,IF(P360="DNF",1,IF(AND(ISNUMBER(P360),P360&gt;59),1,_xlfn.XLOOKUP(P360,tbl_points[Place],tbl_points[Points],""))))))</f>
        <v>8</v>
      </c>
      <c r="S360" s="3" t="str">
        <f>IF(R360="","",IF(R360="DNS",0,IF(R360="DQ",0,IF(R360="DNF",1,IF(AND(ISNUMBER(R360),R360&gt;59),1,_xlfn.XLOOKUP(R360,tbl_points[Place],tbl_points[Points],""))))))</f>
        <v/>
      </c>
      <c r="T360" s="3">
        <f>SUM(tbl_individual[[#This Row],[R1 Pts]],tbl_individual[[#This Row],[R2 Pts]],tbl_individual[[#This Row],[R3 Pts]],tbl_individual[[#This Row],[R4 Pts]],tbl_individual[[#This Row],[R5 Pts]],tbl_individual[[#This Row],[R6 Pts]])</f>
        <v>104</v>
      </c>
      <c r="U36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60" s="3">
        <f>tbl_individual[[#This Row],[Total]]</f>
        <v>104</v>
      </c>
    </row>
    <row r="361" spans="1:22" x14ac:dyDescent="0.4">
      <c r="A361" t="s">
        <v>439</v>
      </c>
      <c r="B361" t="s">
        <v>25</v>
      </c>
      <c r="C361" t="s">
        <v>1</v>
      </c>
      <c r="D361" s="3">
        <v>12105</v>
      </c>
      <c r="E361" s="3" t="s">
        <v>421</v>
      </c>
      <c r="F361" s="17" t="s">
        <v>438</v>
      </c>
      <c r="H361" s="3" t="s">
        <v>410</v>
      </c>
      <c r="I361" s="3">
        <f>IF(H361="","",IF(H361="DNS",0,IF(H361="DQ",0,IF(H361="DNF",1,IF(AND(ISNUMBER(H361),H361&gt;59),1,_xlfn.XLOOKUP(H361,tbl_points[Place],tbl_points[Points],""))))))</f>
        <v>0</v>
      </c>
      <c r="J361" s="3">
        <v>9</v>
      </c>
      <c r="K361" s="3">
        <f>IF(J361="","",IF(J361="DNS",0,IF(J361="DQ",0,IF(J361="DNF",1,IF(AND(ISNUMBER(J361),J361&gt;59),1,_xlfn.XLOOKUP(J361,tbl_points[Place],tbl_points[Points],""))))))</f>
        <v>60</v>
      </c>
      <c r="L361" s="3" t="s">
        <v>410</v>
      </c>
      <c r="M361" s="3">
        <f>IF(L361="","",IF(L361="DNS",0,IF(L361="DQ",0,IF(L361="DNF",1,IF(AND(ISNUMBER(L361),L361&gt;59),1,_xlfn.XLOOKUP(L361,tbl_points[Place],tbl_points[Points],""))))))</f>
        <v>0</v>
      </c>
      <c r="N361" s="3" t="s">
        <v>410</v>
      </c>
      <c r="O361" s="3">
        <f>IF(N361="","",IF(N361="DNS",0,IF(N361="DQ",0,IF(N361="DNF",1,IF(AND(ISNUMBER(N361),N361&gt;59),1,_xlfn.XLOOKUP(N361,tbl_points[Place],tbl_points[Points],""))))))</f>
        <v>0</v>
      </c>
      <c r="P361" s="3" t="s">
        <v>410</v>
      </c>
      <c r="Q361" s="3">
        <f>IF(P361="","",IF(P361="DNS",0,IF(P361="DQ",0,IF(P361="DNF",1,IF(AND(ISNUMBER(P361),P361&gt;59),1,_xlfn.XLOOKUP(P361,tbl_points[Place],tbl_points[Points],""))))))</f>
        <v>0</v>
      </c>
      <c r="S361" s="3" t="str">
        <f>IF(R361="","",IF(R361="DNS",0,IF(R361="DQ",0,IF(R361="DNF",1,IF(AND(ISNUMBER(R361),R361&gt;59),1,_xlfn.XLOOKUP(R361,tbl_points[Place],tbl_points[Points],""))))))</f>
        <v/>
      </c>
      <c r="T36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1" s="3">
        <f>tbl_individual[[#This Row],[Total]]</f>
        <v>60</v>
      </c>
    </row>
    <row r="362" spans="1:22" x14ac:dyDescent="0.4">
      <c r="A362" t="s">
        <v>400</v>
      </c>
      <c r="B362" t="s">
        <v>30</v>
      </c>
      <c r="C362" t="s">
        <v>1</v>
      </c>
      <c r="D362" s="3">
        <v>12906</v>
      </c>
      <c r="E362" s="3" t="s">
        <v>421</v>
      </c>
      <c r="G362" s="3" t="s">
        <v>407</v>
      </c>
      <c r="H362" s="3" t="s">
        <v>410</v>
      </c>
      <c r="I362" s="3">
        <f>IF(H362="","",IF(H362="DNS",0,IF(H362="DQ",0,IF(H362="DNF",1,IF(AND(ISNUMBER(H362),H362&gt;59),1,_xlfn.XLOOKUP(H362,tbl_points[Place],tbl_points[Points],""))))))</f>
        <v>0</v>
      </c>
      <c r="J362" s="3" t="s">
        <v>410</v>
      </c>
      <c r="K362" s="3">
        <f>IF(J362="","",IF(J362="DNS",0,IF(J362="DQ",0,IF(J362="DNF",1,IF(AND(ISNUMBER(J362),J362&gt;59),1,_xlfn.XLOOKUP(J362,tbl_points[Place],tbl_points[Points],""))))))</f>
        <v>0</v>
      </c>
      <c r="L362" s="3" t="s">
        <v>410</v>
      </c>
      <c r="M362" s="3">
        <f>IF(L362="","",IF(L362="DNS",0,IF(L362="DQ",0,IF(L362="DNF",1,IF(AND(ISNUMBER(L362),L362&gt;59),1,_xlfn.XLOOKUP(L362,tbl_points[Place],tbl_points[Points],""))))))</f>
        <v>0</v>
      </c>
      <c r="N362" s="3">
        <v>4</v>
      </c>
      <c r="O362" s="3">
        <f>IF(N362="","",IF(N362="DNS",0,IF(N362="DQ",0,IF(N362="DNF",1,IF(AND(ISNUMBER(N362),N362&gt;59),1,_xlfn.XLOOKUP(N362,tbl_points[Place],tbl_points[Points],""))))))</f>
        <v>85</v>
      </c>
      <c r="P362" s="3">
        <v>5</v>
      </c>
      <c r="Q362" s="3">
        <f>IF(P362="","",IF(P362="DNS",0,IF(P362="DQ",0,IF(P362="DNF",1,IF(AND(ISNUMBER(P362),P362&gt;59),1,_xlfn.XLOOKUP(P362,tbl_points[Place],tbl_points[Points],""))))))</f>
        <v>80</v>
      </c>
      <c r="S362" s="3" t="str">
        <f>IF(R362="","",IF(R362="DNS",0,IF(R362="DQ",0,IF(R362="DNF",1,IF(AND(ISNUMBER(R362),R362&gt;59),1,_xlfn.XLOOKUP(R362,tbl_points[Place],tbl_points[Points],""))))))</f>
        <v/>
      </c>
      <c r="T362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3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2" s="3">
        <f>tbl_individual[[#This Row],[Total]]</f>
        <v>165</v>
      </c>
    </row>
    <row r="363" spans="1:22" hidden="1" x14ac:dyDescent="0.4">
      <c r="A363" s="11" t="s">
        <v>146</v>
      </c>
      <c r="B363" s="11" t="s">
        <v>15</v>
      </c>
      <c r="C363" s="11" t="s">
        <v>7</v>
      </c>
      <c r="E363" s="3" t="s">
        <v>422</v>
      </c>
      <c r="F363" s="17" t="s">
        <v>431</v>
      </c>
      <c r="I363" s="3" t="str">
        <f>IF(H363="","",IF(H363="DNS",0,IF(H363="DQ",0,IF(H363="DNF",1,IF(AND(ISNUMBER(H363),H363&gt;59),1,_xlfn.XLOOKUP(H363,tbl_points[Place],tbl_points[Points],""))))))</f>
        <v/>
      </c>
      <c r="K363" s="3" t="str">
        <f>IF(J363="","",IF(J363="DNS",0,IF(J363="DQ",0,IF(J363="DNF",1,IF(AND(ISNUMBER(J363),J363&gt;59),1,_xlfn.XLOOKUP(J363,tbl_points[Place],tbl_points[Points],""))))))</f>
        <v/>
      </c>
      <c r="M363" s="3" t="str">
        <f>IF(L363="","",IF(L363="DNS",0,IF(L363="DQ",0,IF(L363="DNF",1,IF(AND(ISNUMBER(L363),L363&gt;59),1,_xlfn.XLOOKUP(L363,tbl_points[Place],tbl_points[Points],""))))))</f>
        <v/>
      </c>
      <c r="O363" s="3" t="str">
        <f>IF(N363="","",IF(N363="DNS",0,IF(N363="DQ",0,IF(N363="DNF",1,IF(AND(ISNUMBER(N363),N363&gt;59),1,_xlfn.XLOOKUP(N363,tbl_points[Place],tbl_points[Points],""))))))</f>
        <v/>
      </c>
      <c r="Q363" s="3" t="str">
        <f>IF(P363="","",IF(P363="DNS",0,IF(P363="DQ",0,IF(P363="DNF",1,IF(AND(ISNUMBER(P363),P363&gt;59),1,_xlfn.XLOOKUP(P363,tbl_points[Place],tbl_points[Points],""))))))</f>
        <v/>
      </c>
      <c r="S363" s="3" t="str">
        <f>IF(R363="","",IF(R363="DNS",0,IF(R363="DQ",0,IF(R363="DNF",1,IF(AND(ISNUMBER(R363),R363&gt;59),1,_xlfn.XLOOKUP(R363,tbl_points[Place],tbl_points[Points],""))))))</f>
        <v/>
      </c>
      <c r="T3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3" s="3">
        <f>tbl_individual[[#This Row],[Total]]</f>
        <v>0</v>
      </c>
    </row>
    <row r="364" spans="1:22" hidden="1" x14ac:dyDescent="0.4">
      <c r="A364" t="s">
        <v>184</v>
      </c>
      <c r="B364" t="s">
        <v>20</v>
      </c>
      <c r="C364" t="s">
        <v>7</v>
      </c>
      <c r="E364" s="3" t="s">
        <v>433</v>
      </c>
      <c r="F364" s="17" t="s">
        <v>435</v>
      </c>
      <c r="H364" s="3" t="s">
        <v>410</v>
      </c>
      <c r="I364" s="3">
        <f>IF(H364="","",IF(H364="DNS",0,IF(H364="DQ",0,IF(H364="DNF",1,IF(AND(ISNUMBER(H364),H364&gt;59),1,_xlfn.XLOOKUP(H364,tbl_points[Place],tbl_points[Points],""))))))</f>
        <v>0</v>
      </c>
      <c r="K364" s="3" t="str">
        <f>IF(J364="","",IF(J364="DNS",0,IF(J364="DQ",0,IF(J364="DNF",1,IF(AND(ISNUMBER(J364),J364&gt;59),1,_xlfn.XLOOKUP(J364,tbl_points[Place],tbl_points[Points],""))))))</f>
        <v/>
      </c>
      <c r="M364" s="3" t="str">
        <f>IF(L364="","",IF(L364="DNS",0,IF(L364="DQ",0,IF(L364="DNF",1,IF(AND(ISNUMBER(L364),L364&gt;59),1,_xlfn.XLOOKUP(L364,tbl_points[Place],tbl_points[Points],""))))))</f>
        <v/>
      </c>
      <c r="O364" s="3" t="str">
        <f>IF(N364="","",IF(N364="DNS",0,IF(N364="DQ",0,IF(N364="DNF",1,IF(AND(ISNUMBER(N364),N364&gt;59),1,_xlfn.XLOOKUP(N364,tbl_points[Place],tbl_points[Points],""))))))</f>
        <v/>
      </c>
      <c r="Q364" s="3" t="str">
        <f>IF(P364="","",IF(P364="DNS",0,IF(P364="DQ",0,IF(P364="DNF",1,IF(AND(ISNUMBER(P364),P364&gt;59),1,_xlfn.XLOOKUP(P364,tbl_points[Place],tbl_points[Points],""))))))</f>
        <v/>
      </c>
      <c r="S364" s="3" t="str">
        <f>IF(R364="","",IF(R364="DNS",0,IF(R364="DQ",0,IF(R364="DNF",1,IF(AND(ISNUMBER(R364),R364&gt;59),1,_xlfn.XLOOKUP(R364,tbl_points[Place],tbl_points[Points],""))))))</f>
        <v/>
      </c>
      <c r="T3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4" s="3">
        <f>tbl_individual[[#This Row],[Total]]</f>
        <v>0</v>
      </c>
    </row>
    <row r="365" spans="1:22" hidden="1" x14ac:dyDescent="0.4">
      <c r="A365" t="s">
        <v>334</v>
      </c>
      <c r="B365" t="s">
        <v>28</v>
      </c>
      <c r="C365" t="s">
        <v>3</v>
      </c>
      <c r="E365" s="3" t="s">
        <v>433</v>
      </c>
      <c r="F365" s="17" t="s">
        <v>434</v>
      </c>
      <c r="K365" s="3" t="str">
        <f>IF(J365="","",IF(J365="DNS",0,IF(J365="DQ",0,IF(J365="DNF",1,IF(AND(ISNUMBER(J365),J365&gt;59),1,_xlfn.XLOOKUP(J365,tbl_points[Place],tbl_points[Points],""))))))</f>
        <v/>
      </c>
      <c r="M365" s="3" t="str">
        <f>IF(L365="","",IF(L365="DNS",0,IF(L365="DQ",0,IF(L365="DNF",1,IF(AND(ISNUMBER(L365),L365&gt;59),1,_xlfn.XLOOKUP(L365,tbl_points[Place],tbl_points[Points],""))))))</f>
        <v/>
      </c>
      <c r="O365" s="3" t="str">
        <f>IF(N365="","",IF(N365="DNS",0,IF(N365="DQ",0,IF(N365="DNF",1,IF(AND(ISNUMBER(N365),N365&gt;59),1,_xlfn.XLOOKUP(N365,tbl_points[Place],tbl_points[Points],""))))))</f>
        <v/>
      </c>
      <c r="Q365" s="3" t="str">
        <f>IF(P365="","",IF(P365="DNS",0,IF(P365="DQ",0,IF(P365="DNF",1,IF(AND(ISNUMBER(P365),P365&gt;59),1,_xlfn.XLOOKUP(P365,tbl_points[Place],tbl_points[Points],""))))))</f>
        <v/>
      </c>
      <c r="S365" s="3" t="str">
        <f>IF(R365="","",IF(R365="DNS",0,IF(R365="DQ",0,IF(R365="DNF",1,IF(AND(ISNUMBER(R365),R365&gt;59),1,_xlfn.XLOOKUP(R365,tbl_points[Place],tbl_points[Points],""))))))</f>
        <v/>
      </c>
      <c r="T3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5" s="3">
        <f>tbl_individual[[#This Row],[Total]]</f>
        <v>0</v>
      </c>
    </row>
  </sheetData>
  <conditionalFormatting sqref="D2:D380">
    <cfRule type="expression" dxfId="33" priority="17">
      <formula>$C2="Bant Boys"</formula>
    </cfRule>
    <cfRule type="expression" dxfId="32" priority="18">
      <formula>$C2="Bant Girls"</formula>
    </cfRule>
    <cfRule type="expression" dxfId="31" priority="19">
      <formula>$C2="Juv Girls"</formula>
    </cfRule>
    <cfRule type="expression" dxfId="30" priority="20">
      <formula>$C2="Juv Boys"</formula>
    </cfRule>
    <cfRule type="expression" dxfId="29" priority="21">
      <formula>$C2="Jr Girls"</formula>
    </cfRule>
    <cfRule type="expression" dxfId="28" priority="22">
      <formula>$C2="Jr Boys"</formula>
    </cfRule>
    <cfRule type="expression" dxfId="27" priority="23">
      <formula>$C2="Sr Boys"</formula>
    </cfRule>
    <cfRule type="expression" dxfId="26" priority="24">
      <formula>$C2="Sr Girls"</formula>
    </cfRule>
  </conditionalFormatting>
  <conditionalFormatting sqref="D361:D362">
    <cfRule type="expression" dxfId="25" priority="1">
      <formula>$C361="Bant Boys"</formula>
    </cfRule>
    <cfRule type="expression" dxfId="24" priority="2">
      <formula>$C361="Bant Girls"</formula>
    </cfRule>
    <cfRule type="expression" dxfId="23" priority="3">
      <formula>$C361="Juv Girls"</formula>
    </cfRule>
    <cfRule type="expression" dxfId="22" priority="4">
      <formula>$C361="Juv Boys"</formula>
    </cfRule>
    <cfRule type="expression" dxfId="21" priority="5">
      <formula>$C361="Jr Girls"</formula>
    </cfRule>
    <cfRule type="expression" dxfId="20" priority="6">
      <formula>$C361="Jr Boys"</formula>
    </cfRule>
    <cfRule type="expression" dxfId="19" priority="7">
      <formula>$C361="Sr Boys"</formula>
    </cfRule>
    <cfRule type="expression" dxfId="18" priority="8">
      <formula>$C361="Sr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43BE4B-2ABD-4071-9EA1-71E4DA942A1C}">
          <x14:formula1>
            <xm:f>helper!$A$2:$A$9</xm:f>
          </x14:formula1>
          <xm:sqref>C2:C365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B2:B365</xm:sqref>
        </x14:dataValidation>
        <x14:dataValidation type="list" allowBlank="1" showInputMessage="1" showErrorMessage="1" xr:uid="{4BDEEBD0-1304-44D7-B87A-7C098E710F1A}">
          <x14:formula1>
            <xm:f>helper!$H$2:$H$5</xm:f>
          </x14:formula1>
          <xm:sqref>E2:E365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3CDE2-22AB-4C85-AB67-BEE1C1F4ED5F}">
  <dimension ref="A1:XEQ351"/>
  <sheetViews>
    <sheetView workbookViewId="0">
      <selection activeCell="B355" sqref="B355"/>
    </sheetView>
  </sheetViews>
  <sheetFormatPr defaultRowHeight="16.8" x14ac:dyDescent="0.4"/>
  <cols>
    <col min="1" max="1" width="12.69921875" bestFit="1" customWidth="1"/>
    <col min="2" max="2" width="15.5" bestFit="1" customWidth="1"/>
    <col min="3" max="3" width="11.5" bestFit="1" customWidth="1"/>
    <col min="4" max="4" width="9.69921875" customWidth="1"/>
    <col min="5" max="5" width="9" style="3"/>
    <col min="10" max="10" width="13" bestFit="1" customWidth="1"/>
    <col min="11" max="11" width="13.59765625" bestFit="1" customWidth="1"/>
  </cols>
  <sheetData>
    <row r="1" spans="1:16371" x14ac:dyDescent="0.4">
      <c r="A1" s="1" t="s">
        <v>1167</v>
      </c>
      <c r="B1" s="1" t="s">
        <v>1168</v>
      </c>
      <c r="C1" s="1" t="s">
        <v>35</v>
      </c>
      <c r="D1" s="1" t="s">
        <v>36</v>
      </c>
      <c r="E1" s="2" t="s">
        <v>37</v>
      </c>
      <c r="F1" s="2" t="s">
        <v>39</v>
      </c>
      <c r="G1" s="2" t="s">
        <v>41</v>
      </c>
      <c r="H1" s="2" t="s">
        <v>43</v>
      </c>
      <c r="I1" s="2" t="s">
        <v>45</v>
      </c>
      <c r="J1" s="2" t="s">
        <v>1163</v>
      </c>
      <c r="K1" s="2" t="s">
        <v>1161</v>
      </c>
      <c r="L1" s="2" t="s">
        <v>1164</v>
      </c>
      <c r="M1" s="2" t="s">
        <v>1166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  <c r="XO1" s="1"/>
      <c r="XP1" s="1"/>
      <c r="XQ1" s="1"/>
      <c r="XR1" s="1"/>
      <c r="XS1" s="1"/>
      <c r="XT1" s="1"/>
      <c r="XU1" s="1"/>
      <c r="XV1" s="1"/>
      <c r="XW1" s="1"/>
      <c r="XX1" s="1"/>
      <c r="XY1" s="1"/>
      <c r="XZ1" s="1"/>
      <c r="YA1" s="1"/>
      <c r="YB1" s="1"/>
      <c r="YC1" s="1"/>
      <c r="YD1" s="1"/>
      <c r="YE1" s="1"/>
      <c r="YF1" s="1"/>
      <c r="YG1" s="1"/>
      <c r="YH1" s="1"/>
      <c r="YI1" s="1"/>
      <c r="YJ1" s="1"/>
      <c r="YK1" s="1"/>
      <c r="YL1" s="1"/>
      <c r="YM1" s="1"/>
      <c r="YN1" s="1"/>
      <c r="YO1" s="1"/>
      <c r="YP1" s="1"/>
      <c r="YQ1" s="1"/>
      <c r="YR1" s="1"/>
      <c r="YS1" s="1"/>
      <c r="YT1" s="1"/>
      <c r="YU1" s="1"/>
      <c r="YV1" s="1"/>
      <c r="YW1" s="1"/>
      <c r="YX1" s="1"/>
      <c r="YY1" s="1"/>
      <c r="YZ1" s="1"/>
      <c r="ZA1" s="1"/>
      <c r="ZB1" s="1"/>
      <c r="ZC1" s="1"/>
      <c r="ZD1" s="1"/>
      <c r="ZE1" s="1"/>
      <c r="ZF1" s="1"/>
      <c r="ZG1" s="1"/>
      <c r="ZH1" s="1"/>
      <c r="ZI1" s="1"/>
      <c r="ZJ1" s="1"/>
      <c r="ZK1" s="1"/>
      <c r="ZL1" s="1"/>
      <c r="ZM1" s="1"/>
      <c r="ZN1" s="1"/>
      <c r="ZO1" s="1"/>
      <c r="ZP1" s="1"/>
      <c r="ZQ1" s="1"/>
      <c r="ZR1" s="1"/>
      <c r="ZS1" s="1"/>
      <c r="ZT1" s="1"/>
      <c r="ZU1" s="1"/>
      <c r="ZV1" s="1"/>
      <c r="ZW1" s="1"/>
      <c r="ZX1" s="1"/>
      <c r="ZY1" s="1"/>
      <c r="ZZ1" s="1"/>
      <c r="AAA1" s="1"/>
      <c r="AAB1" s="1"/>
      <c r="AAC1" s="1"/>
      <c r="AAD1" s="1"/>
      <c r="AAE1" s="1"/>
      <c r="AAF1" s="1"/>
      <c r="AAG1" s="1"/>
      <c r="AAH1" s="1"/>
      <c r="AAI1" s="1"/>
      <c r="AAJ1" s="1"/>
      <c r="AAK1" s="1"/>
      <c r="AAL1" s="1"/>
      <c r="AAM1" s="1"/>
      <c r="AAN1" s="1"/>
      <c r="AAO1" s="1"/>
      <c r="AAP1" s="1"/>
      <c r="AAQ1" s="1"/>
      <c r="AAR1" s="1"/>
      <c r="AAS1" s="1"/>
      <c r="AAT1" s="1"/>
      <c r="AAU1" s="1"/>
      <c r="AAV1" s="1"/>
      <c r="AAW1" s="1"/>
      <c r="AAX1" s="1"/>
      <c r="AAY1" s="1"/>
      <c r="AAZ1" s="1"/>
      <c r="ABA1" s="1"/>
      <c r="ABB1" s="1"/>
      <c r="ABC1" s="1"/>
      <c r="ABD1" s="1"/>
      <c r="ABE1" s="1"/>
      <c r="ABF1" s="1"/>
      <c r="ABG1" s="1"/>
      <c r="ABH1" s="1"/>
      <c r="ABI1" s="1"/>
      <c r="ABJ1" s="1"/>
      <c r="ABK1" s="1"/>
      <c r="ABL1" s="1"/>
      <c r="ABM1" s="1"/>
      <c r="ABN1" s="1"/>
      <c r="ABO1" s="1"/>
      <c r="ABP1" s="1"/>
      <c r="ABQ1" s="1"/>
      <c r="ABR1" s="1"/>
      <c r="ABS1" s="1"/>
      <c r="ABT1" s="1"/>
      <c r="ABU1" s="1"/>
      <c r="ABV1" s="1"/>
      <c r="ABW1" s="1"/>
      <c r="ABX1" s="1"/>
      <c r="ABY1" s="1"/>
      <c r="ABZ1" s="1"/>
      <c r="ACA1" s="1"/>
      <c r="ACB1" s="1"/>
      <c r="ACC1" s="1"/>
      <c r="ACD1" s="1"/>
      <c r="ACE1" s="1"/>
      <c r="ACF1" s="1"/>
      <c r="ACG1" s="1"/>
      <c r="ACH1" s="1"/>
      <c r="ACI1" s="1"/>
      <c r="ACJ1" s="1"/>
      <c r="ACK1" s="1"/>
      <c r="ACL1" s="1"/>
      <c r="ACM1" s="1"/>
      <c r="ACN1" s="1"/>
      <c r="ACO1" s="1"/>
      <c r="ACP1" s="1"/>
      <c r="ACQ1" s="1"/>
      <c r="ACR1" s="1"/>
      <c r="ACS1" s="1"/>
      <c r="ACT1" s="1"/>
      <c r="ACU1" s="1"/>
      <c r="ACV1" s="1"/>
      <c r="ACW1" s="1"/>
      <c r="ACX1" s="1"/>
      <c r="ACY1" s="1"/>
      <c r="ACZ1" s="1"/>
      <c r="ADA1" s="1"/>
      <c r="ADB1" s="1"/>
      <c r="ADC1" s="1"/>
      <c r="ADD1" s="1"/>
      <c r="ADE1" s="1"/>
      <c r="ADF1" s="1"/>
      <c r="ADG1" s="1"/>
      <c r="ADH1" s="1"/>
      <c r="ADI1" s="1"/>
      <c r="ADJ1" s="1"/>
      <c r="ADK1" s="1"/>
      <c r="ADL1" s="1"/>
      <c r="ADM1" s="1"/>
      <c r="ADN1" s="1"/>
      <c r="ADO1" s="1"/>
      <c r="ADP1" s="1"/>
      <c r="ADQ1" s="1"/>
      <c r="ADR1" s="1"/>
      <c r="ADS1" s="1"/>
      <c r="ADT1" s="1"/>
      <c r="ADU1" s="1"/>
      <c r="ADV1" s="1"/>
      <c r="ADW1" s="1"/>
      <c r="ADX1" s="1"/>
      <c r="ADY1" s="1"/>
      <c r="ADZ1" s="1"/>
      <c r="AEA1" s="1"/>
      <c r="AEB1" s="1"/>
      <c r="AEC1" s="1"/>
      <c r="AED1" s="1"/>
      <c r="AEE1" s="1"/>
      <c r="AEF1" s="1"/>
      <c r="AEG1" s="1"/>
      <c r="AEH1" s="1"/>
      <c r="AEI1" s="1"/>
      <c r="AEJ1" s="1"/>
      <c r="AEK1" s="1"/>
      <c r="AEL1" s="1"/>
      <c r="AEM1" s="1"/>
      <c r="AEN1" s="1"/>
      <c r="AEO1" s="1"/>
      <c r="AEP1" s="1"/>
      <c r="AEQ1" s="1"/>
      <c r="AER1" s="1"/>
      <c r="AES1" s="1"/>
      <c r="AET1" s="1"/>
      <c r="AEU1" s="1"/>
      <c r="AEV1" s="1"/>
      <c r="AEW1" s="1"/>
      <c r="AEX1" s="1"/>
      <c r="AEY1" s="1"/>
      <c r="AEZ1" s="1"/>
      <c r="AFA1" s="1"/>
      <c r="AFB1" s="1"/>
      <c r="AFC1" s="1"/>
      <c r="AFD1" s="1"/>
      <c r="AFE1" s="1"/>
      <c r="AFF1" s="1"/>
      <c r="AFG1" s="1"/>
      <c r="AFH1" s="1"/>
      <c r="AFI1" s="1"/>
      <c r="AFJ1" s="1"/>
      <c r="AFK1" s="1"/>
      <c r="AFL1" s="1"/>
      <c r="AFM1" s="1"/>
      <c r="AFN1" s="1"/>
      <c r="AFO1" s="1"/>
      <c r="AFP1" s="1"/>
      <c r="AFQ1" s="1"/>
      <c r="AFR1" s="1"/>
      <c r="AFS1" s="1"/>
      <c r="AFT1" s="1"/>
      <c r="AFU1" s="1"/>
      <c r="AFV1" s="1"/>
      <c r="AFW1" s="1"/>
      <c r="AFX1" s="1"/>
      <c r="AFY1" s="1"/>
      <c r="AFZ1" s="1"/>
      <c r="AGA1" s="1"/>
      <c r="AGB1" s="1"/>
      <c r="AGC1" s="1"/>
      <c r="AGD1" s="1"/>
      <c r="AGE1" s="1"/>
      <c r="AGF1" s="1"/>
      <c r="AGG1" s="1"/>
      <c r="AGH1" s="1"/>
      <c r="AGI1" s="1"/>
      <c r="AGJ1" s="1"/>
      <c r="AGK1" s="1"/>
      <c r="AGL1" s="1"/>
      <c r="AGM1" s="1"/>
      <c r="AGN1" s="1"/>
      <c r="AGO1" s="1"/>
      <c r="AGP1" s="1"/>
      <c r="AGQ1" s="1"/>
      <c r="AGR1" s="1"/>
      <c r="AGS1" s="1"/>
      <c r="AGT1" s="1"/>
      <c r="AGU1" s="1"/>
      <c r="AGV1" s="1"/>
      <c r="AGW1" s="1"/>
      <c r="AGX1" s="1"/>
      <c r="AGY1" s="1"/>
      <c r="AGZ1" s="1"/>
      <c r="AHA1" s="1"/>
      <c r="AHB1" s="1"/>
      <c r="AHC1" s="1"/>
      <c r="AHD1" s="1"/>
      <c r="AHE1" s="1"/>
      <c r="AHF1" s="1"/>
      <c r="AHG1" s="1"/>
      <c r="AHH1" s="1"/>
      <c r="AHI1" s="1"/>
      <c r="AHJ1" s="1"/>
      <c r="AHK1" s="1"/>
      <c r="AHL1" s="1"/>
      <c r="AHM1" s="1"/>
      <c r="AHN1" s="1"/>
      <c r="AHO1" s="1"/>
      <c r="AHP1" s="1"/>
      <c r="AHQ1" s="1"/>
      <c r="AHR1" s="1"/>
      <c r="AHS1" s="1"/>
      <c r="AHT1" s="1"/>
      <c r="AHU1" s="1"/>
      <c r="AHV1" s="1"/>
      <c r="AHW1" s="1"/>
      <c r="AHX1" s="1"/>
      <c r="AHY1" s="1"/>
      <c r="AHZ1" s="1"/>
      <c r="AIA1" s="1"/>
      <c r="AIB1" s="1"/>
      <c r="AIC1" s="1"/>
      <c r="AID1" s="1"/>
      <c r="AIE1" s="1"/>
      <c r="AIF1" s="1"/>
      <c r="AIG1" s="1"/>
      <c r="AIH1" s="1"/>
      <c r="AII1" s="1"/>
      <c r="AIJ1" s="1"/>
      <c r="AIK1" s="1"/>
      <c r="AIL1" s="1"/>
      <c r="AIM1" s="1"/>
      <c r="AIN1" s="1"/>
      <c r="AIO1" s="1"/>
      <c r="AIP1" s="1"/>
      <c r="AIQ1" s="1"/>
      <c r="AIR1" s="1"/>
      <c r="AIS1" s="1"/>
      <c r="AIT1" s="1"/>
      <c r="AIU1" s="1"/>
      <c r="AIV1" s="1"/>
      <c r="AIW1" s="1"/>
      <c r="AIX1" s="1"/>
      <c r="AIY1" s="1"/>
      <c r="AIZ1" s="1"/>
      <c r="AJA1" s="1"/>
      <c r="AJB1" s="1"/>
      <c r="AJC1" s="1"/>
      <c r="AJD1" s="1"/>
      <c r="AJE1" s="1"/>
      <c r="AJF1" s="1"/>
      <c r="AJG1" s="1"/>
      <c r="AJH1" s="1"/>
      <c r="AJI1" s="1"/>
      <c r="AJJ1" s="1"/>
      <c r="AJK1" s="1"/>
      <c r="AJL1" s="1"/>
      <c r="AJM1" s="1"/>
      <c r="AJN1" s="1"/>
      <c r="AJO1" s="1"/>
      <c r="AJP1" s="1"/>
      <c r="AJQ1" s="1"/>
      <c r="AJR1" s="1"/>
      <c r="AJS1" s="1"/>
      <c r="AJT1" s="1"/>
      <c r="AJU1" s="1"/>
      <c r="AJV1" s="1"/>
      <c r="AJW1" s="1"/>
      <c r="AJX1" s="1"/>
      <c r="AJY1" s="1"/>
      <c r="AJZ1" s="1"/>
      <c r="AKA1" s="1"/>
      <c r="AKB1" s="1"/>
      <c r="AKC1" s="1"/>
      <c r="AKD1" s="1"/>
      <c r="AKE1" s="1"/>
      <c r="AKF1" s="1"/>
      <c r="AKG1" s="1"/>
      <c r="AKH1" s="1"/>
      <c r="AKI1" s="1"/>
      <c r="AKJ1" s="1"/>
      <c r="AKK1" s="1"/>
      <c r="AKL1" s="1"/>
      <c r="AKM1" s="1"/>
      <c r="AKN1" s="1"/>
      <c r="AKO1" s="1"/>
      <c r="AKP1" s="1"/>
      <c r="AKQ1" s="1"/>
      <c r="AKR1" s="1"/>
      <c r="AKS1" s="1"/>
      <c r="AKT1" s="1"/>
      <c r="AKU1" s="1"/>
      <c r="AKV1" s="1"/>
      <c r="AKW1" s="1"/>
      <c r="AKX1" s="1"/>
      <c r="AKY1" s="1"/>
      <c r="AKZ1" s="1"/>
      <c r="ALA1" s="1"/>
      <c r="ALB1" s="1"/>
      <c r="ALC1" s="1"/>
      <c r="ALD1" s="1"/>
      <c r="ALE1" s="1"/>
      <c r="ALF1" s="1"/>
      <c r="ALG1" s="1"/>
      <c r="ALH1" s="1"/>
      <c r="ALI1" s="1"/>
      <c r="ALJ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  <c r="AMJ1" s="1"/>
      <c r="AMK1" s="1"/>
      <c r="AML1" s="1"/>
      <c r="AMM1" s="1"/>
      <c r="AMN1" s="1"/>
      <c r="AMO1" s="1"/>
      <c r="AMP1" s="1"/>
      <c r="AMQ1" s="1"/>
      <c r="AMR1" s="1"/>
      <c r="AMS1" s="1"/>
      <c r="AMT1" s="1"/>
      <c r="AMU1" s="1"/>
      <c r="AMV1" s="1"/>
      <c r="AMW1" s="1"/>
      <c r="AMX1" s="1"/>
      <c r="AMY1" s="1"/>
      <c r="AMZ1" s="1"/>
      <c r="ANA1" s="1"/>
      <c r="ANB1" s="1"/>
      <c r="ANC1" s="1"/>
      <c r="AND1" s="1"/>
      <c r="ANE1" s="1"/>
      <c r="ANF1" s="1"/>
      <c r="ANG1" s="1"/>
      <c r="ANH1" s="1"/>
      <c r="ANI1" s="1"/>
      <c r="ANJ1" s="1"/>
      <c r="ANK1" s="1"/>
      <c r="ANL1" s="1"/>
      <c r="ANM1" s="1"/>
      <c r="ANN1" s="1"/>
      <c r="ANO1" s="1"/>
      <c r="ANP1" s="1"/>
      <c r="ANQ1" s="1"/>
      <c r="ANR1" s="1"/>
      <c r="ANS1" s="1"/>
      <c r="ANT1" s="1"/>
      <c r="ANU1" s="1"/>
      <c r="ANV1" s="1"/>
      <c r="ANW1" s="1"/>
      <c r="ANX1" s="1"/>
      <c r="ANY1" s="1"/>
      <c r="ANZ1" s="1"/>
      <c r="AOA1" s="1"/>
      <c r="AOB1" s="1"/>
      <c r="AOC1" s="1"/>
      <c r="AOD1" s="1"/>
      <c r="AOE1" s="1"/>
      <c r="AOF1" s="1"/>
      <c r="AOG1" s="1"/>
      <c r="AOH1" s="1"/>
      <c r="AOI1" s="1"/>
      <c r="AOJ1" s="1"/>
      <c r="AOK1" s="1"/>
      <c r="AOL1" s="1"/>
      <c r="AOM1" s="1"/>
      <c r="AON1" s="1"/>
      <c r="AOO1" s="1"/>
      <c r="AOP1" s="1"/>
      <c r="AOQ1" s="1"/>
      <c r="AOR1" s="1"/>
      <c r="AOS1" s="1"/>
      <c r="AOT1" s="1"/>
      <c r="AOU1" s="1"/>
      <c r="AOV1" s="1"/>
      <c r="AOW1" s="1"/>
      <c r="AOX1" s="1"/>
      <c r="AOY1" s="1"/>
      <c r="AOZ1" s="1"/>
      <c r="APA1" s="1"/>
      <c r="APB1" s="1"/>
      <c r="APC1" s="1"/>
      <c r="APD1" s="1"/>
      <c r="APE1" s="1"/>
      <c r="APF1" s="1"/>
      <c r="APG1" s="1"/>
      <c r="APH1" s="1"/>
      <c r="API1" s="1"/>
      <c r="APJ1" s="1"/>
      <c r="APK1" s="1"/>
      <c r="APL1" s="1"/>
      <c r="APM1" s="1"/>
      <c r="APN1" s="1"/>
      <c r="APO1" s="1"/>
      <c r="APP1" s="1"/>
      <c r="APQ1" s="1"/>
      <c r="APR1" s="1"/>
      <c r="APS1" s="1"/>
      <c r="APT1" s="1"/>
      <c r="APU1" s="1"/>
      <c r="APV1" s="1"/>
      <c r="APW1" s="1"/>
      <c r="APX1" s="1"/>
      <c r="APY1" s="1"/>
      <c r="APZ1" s="1"/>
      <c r="AQA1" s="1"/>
      <c r="AQB1" s="1"/>
      <c r="AQC1" s="1"/>
      <c r="AQD1" s="1"/>
      <c r="AQE1" s="1"/>
      <c r="AQF1" s="1"/>
      <c r="AQG1" s="1"/>
      <c r="AQH1" s="1"/>
      <c r="AQI1" s="1"/>
      <c r="AQJ1" s="1"/>
      <c r="AQK1" s="1"/>
      <c r="AQL1" s="1"/>
      <c r="AQM1" s="1"/>
      <c r="AQN1" s="1"/>
      <c r="AQO1" s="1"/>
      <c r="AQP1" s="1"/>
      <c r="AQQ1" s="1"/>
      <c r="AQR1" s="1"/>
      <c r="AQS1" s="1"/>
      <c r="AQT1" s="1"/>
      <c r="AQU1" s="1"/>
      <c r="AQV1" s="1"/>
      <c r="AQW1" s="1"/>
      <c r="AQX1" s="1"/>
      <c r="AQY1" s="1"/>
      <c r="AQZ1" s="1"/>
      <c r="ARA1" s="1"/>
      <c r="ARB1" s="1"/>
      <c r="ARC1" s="1"/>
      <c r="ARD1" s="1"/>
      <c r="ARE1" s="1"/>
      <c r="ARF1" s="1"/>
      <c r="ARG1" s="1"/>
      <c r="ARH1" s="1"/>
      <c r="ARI1" s="1"/>
      <c r="ARJ1" s="1"/>
      <c r="ARK1" s="1"/>
      <c r="ARL1" s="1"/>
      <c r="ARM1" s="1"/>
      <c r="ARN1" s="1"/>
      <c r="ARO1" s="1"/>
      <c r="ARP1" s="1"/>
      <c r="ARQ1" s="1"/>
      <c r="ARR1" s="1"/>
      <c r="ARS1" s="1"/>
      <c r="ART1" s="1"/>
      <c r="ARU1" s="1"/>
      <c r="ARV1" s="1"/>
      <c r="ARW1" s="1"/>
      <c r="ARX1" s="1"/>
      <c r="ARY1" s="1"/>
      <c r="ARZ1" s="1"/>
      <c r="ASA1" s="1"/>
      <c r="ASB1" s="1"/>
      <c r="ASC1" s="1"/>
      <c r="ASD1" s="1"/>
      <c r="ASE1" s="1"/>
      <c r="ASF1" s="1"/>
      <c r="ASG1" s="1"/>
      <c r="ASH1" s="1"/>
      <c r="ASI1" s="1"/>
      <c r="ASJ1" s="1"/>
      <c r="ASK1" s="1"/>
      <c r="ASL1" s="1"/>
      <c r="ASM1" s="1"/>
      <c r="ASN1" s="1"/>
      <c r="ASO1" s="1"/>
      <c r="ASP1" s="1"/>
      <c r="ASQ1" s="1"/>
      <c r="ASR1" s="1"/>
      <c r="ASS1" s="1"/>
      <c r="AST1" s="1"/>
      <c r="ASU1" s="1"/>
      <c r="ASV1" s="1"/>
      <c r="ASW1" s="1"/>
      <c r="ASX1" s="1"/>
      <c r="ASY1" s="1"/>
      <c r="ASZ1" s="1"/>
      <c r="ATA1" s="1"/>
      <c r="ATB1" s="1"/>
      <c r="ATC1" s="1"/>
      <c r="ATD1" s="1"/>
      <c r="ATE1" s="1"/>
      <c r="ATF1" s="1"/>
      <c r="ATG1" s="1"/>
      <c r="ATH1" s="1"/>
      <c r="ATI1" s="1"/>
      <c r="ATJ1" s="1"/>
      <c r="ATK1" s="1"/>
      <c r="ATL1" s="1"/>
      <c r="ATM1" s="1"/>
      <c r="ATN1" s="1"/>
      <c r="ATO1" s="1"/>
      <c r="ATP1" s="1"/>
      <c r="ATQ1" s="1"/>
      <c r="ATR1" s="1"/>
      <c r="ATS1" s="1"/>
      <c r="ATT1" s="1"/>
      <c r="ATU1" s="1"/>
      <c r="ATV1" s="1"/>
      <c r="ATW1" s="1"/>
      <c r="ATX1" s="1"/>
      <c r="ATY1" s="1"/>
      <c r="ATZ1" s="1"/>
      <c r="AUA1" s="1"/>
      <c r="AUB1" s="1"/>
      <c r="AUC1" s="1"/>
      <c r="AUD1" s="1"/>
      <c r="AUE1" s="1"/>
      <c r="AUF1" s="1"/>
      <c r="AUG1" s="1"/>
      <c r="AUH1" s="1"/>
      <c r="AUI1" s="1"/>
      <c r="AUJ1" s="1"/>
      <c r="AUK1" s="1"/>
      <c r="AUL1" s="1"/>
      <c r="AUM1" s="1"/>
      <c r="AUN1" s="1"/>
      <c r="AUO1" s="1"/>
      <c r="AUP1" s="1"/>
      <c r="AUQ1" s="1"/>
      <c r="AUR1" s="1"/>
      <c r="AUS1" s="1"/>
      <c r="AUT1" s="1"/>
      <c r="AUU1" s="1"/>
      <c r="AUV1" s="1"/>
      <c r="AUW1" s="1"/>
      <c r="AUX1" s="1"/>
      <c r="AUY1" s="1"/>
      <c r="AUZ1" s="1"/>
      <c r="AVA1" s="1"/>
      <c r="AVB1" s="1"/>
      <c r="AVC1" s="1"/>
      <c r="AVD1" s="1"/>
      <c r="AVE1" s="1"/>
      <c r="AVF1" s="1"/>
      <c r="AVG1" s="1"/>
      <c r="AVH1" s="1"/>
      <c r="AVI1" s="1"/>
      <c r="AVJ1" s="1"/>
      <c r="AVK1" s="1"/>
      <c r="AVL1" s="1"/>
      <c r="AVM1" s="1"/>
      <c r="AVN1" s="1"/>
      <c r="AVO1" s="1"/>
      <c r="AVP1" s="1"/>
      <c r="AVQ1" s="1"/>
      <c r="AVR1" s="1"/>
      <c r="AVS1" s="1"/>
      <c r="AVT1" s="1"/>
      <c r="AVU1" s="1"/>
      <c r="AVV1" s="1"/>
      <c r="AVW1" s="1"/>
      <c r="AVX1" s="1"/>
      <c r="AVY1" s="1"/>
      <c r="AVZ1" s="1"/>
      <c r="AWA1" s="1"/>
      <c r="AWB1" s="1"/>
      <c r="AWC1" s="1"/>
      <c r="AWD1" s="1"/>
      <c r="AWE1" s="1"/>
      <c r="AWF1" s="1"/>
      <c r="AWG1" s="1"/>
      <c r="AWH1" s="1"/>
      <c r="AWI1" s="1"/>
      <c r="AWJ1" s="1"/>
      <c r="AWK1" s="1"/>
      <c r="AWL1" s="1"/>
      <c r="AWM1" s="1"/>
      <c r="AWN1" s="1"/>
      <c r="AWO1" s="1"/>
      <c r="AWP1" s="1"/>
      <c r="AWQ1" s="1"/>
      <c r="AWR1" s="1"/>
      <c r="AWS1" s="1"/>
      <c r="AWT1" s="1"/>
      <c r="AWU1" s="1"/>
      <c r="AWV1" s="1"/>
      <c r="AWW1" s="1"/>
      <c r="AWX1" s="1"/>
      <c r="AWY1" s="1"/>
      <c r="AWZ1" s="1"/>
      <c r="AXA1" s="1"/>
      <c r="AXB1" s="1"/>
      <c r="AXC1" s="1"/>
      <c r="AXD1" s="1"/>
      <c r="AXE1" s="1"/>
      <c r="AXF1" s="1"/>
      <c r="AXG1" s="1"/>
      <c r="AXH1" s="1"/>
      <c r="AXI1" s="1"/>
      <c r="AXJ1" s="1"/>
      <c r="AXK1" s="1"/>
      <c r="AXL1" s="1"/>
      <c r="AXM1" s="1"/>
      <c r="AXN1" s="1"/>
      <c r="AXO1" s="1"/>
      <c r="AXP1" s="1"/>
      <c r="AXQ1" s="1"/>
      <c r="AXR1" s="1"/>
      <c r="AXS1" s="1"/>
      <c r="AXT1" s="1"/>
      <c r="AXU1" s="1"/>
      <c r="AXV1" s="1"/>
      <c r="AXW1" s="1"/>
      <c r="AXX1" s="1"/>
      <c r="AXY1" s="1"/>
      <c r="AXZ1" s="1"/>
      <c r="AYA1" s="1"/>
      <c r="AYB1" s="1"/>
      <c r="AYC1" s="1"/>
      <c r="AYD1" s="1"/>
      <c r="AYE1" s="1"/>
      <c r="AYF1" s="1"/>
      <c r="AYG1" s="1"/>
      <c r="AYH1" s="1"/>
      <c r="AYI1" s="1"/>
      <c r="AYJ1" s="1"/>
      <c r="AYK1" s="1"/>
      <c r="AYL1" s="1"/>
      <c r="AYM1" s="1"/>
      <c r="AYN1" s="1"/>
      <c r="AYO1" s="1"/>
      <c r="AYP1" s="1"/>
      <c r="AYQ1" s="1"/>
      <c r="AYR1" s="1"/>
      <c r="AYS1" s="1"/>
      <c r="AYT1" s="1"/>
      <c r="AYU1" s="1"/>
      <c r="AYV1" s="1"/>
      <c r="AYW1" s="1"/>
      <c r="AYX1" s="1"/>
      <c r="AYY1" s="1"/>
      <c r="AYZ1" s="1"/>
      <c r="AZA1" s="1"/>
      <c r="AZB1" s="1"/>
      <c r="AZC1" s="1"/>
      <c r="AZD1" s="1"/>
      <c r="AZE1" s="1"/>
      <c r="AZF1" s="1"/>
      <c r="AZG1" s="1"/>
      <c r="AZH1" s="1"/>
      <c r="AZI1" s="1"/>
      <c r="AZJ1" s="1"/>
      <c r="AZK1" s="1"/>
      <c r="AZL1" s="1"/>
      <c r="AZM1" s="1"/>
      <c r="AZN1" s="1"/>
      <c r="AZO1" s="1"/>
      <c r="AZP1" s="1"/>
      <c r="AZQ1" s="1"/>
      <c r="AZR1" s="1"/>
      <c r="AZS1" s="1"/>
      <c r="AZT1" s="1"/>
      <c r="AZU1" s="1"/>
      <c r="AZV1" s="1"/>
      <c r="AZW1" s="1"/>
      <c r="AZX1" s="1"/>
      <c r="AZY1" s="1"/>
      <c r="AZZ1" s="1"/>
      <c r="BAA1" s="1"/>
      <c r="BAB1" s="1"/>
      <c r="BAC1" s="1"/>
      <c r="BAD1" s="1"/>
      <c r="BAE1" s="1"/>
      <c r="BAF1" s="1"/>
      <c r="BAG1" s="1"/>
      <c r="BAH1" s="1"/>
      <c r="BAI1" s="1"/>
      <c r="BAJ1" s="1"/>
      <c r="BAK1" s="1"/>
      <c r="BAL1" s="1"/>
      <c r="BAM1" s="1"/>
      <c r="BAN1" s="1"/>
      <c r="BAO1" s="1"/>
      <c r="BAP1" s="1"/>
      <c r="BAQ1" s="1"/>
      <c r="BAR1" s="1"/>
      <c r="BAS1" s="1"/>
      <c r="BAT1" s="1"/>
      <c r="BAU1" s="1"/>
      <c r="BAV1" s="1"/>
      <c r="BAW1" s="1"/>
      <c r="BAX1" s="1"/>
      <c r="BAY1" s="1"/>
      <c r="BAZ1" s="1"/>
      <c r="BBA1" s="1"/>
      <c r="BBB1" s="1"/>
      <c r="BBC1" s="1"/>
      <c r="BBD1" s="1"/>
      <c r="BBE1" s="1"/>
      <c r="BBF1" s="1"/>
      <c r="BBG1" s="1"/>
      <c r="BBH1" s="1"/>
      <c r="BBI1" s="1"/>
      <c r="BBJ1" s="1"/>
      <c r="BBK1" s="1"/>
      <c r="BBL1" s="1"/>
      <c r="BBM1" s="1"/>
      <c r="BBN1" s="1"/>
      <c r="BBO1" s="1"/>
      <c r="BBP1" s="1"/>
      <c r="BBQ1" s="1"/>
      <c r="BBR1" s="1"/>
      <c r="BBS1" s="1"/>
      <c r="BBT1" s="1"/>
      <c r="BBU1" s="1"/>
      <c r="BBV1" s="1"/>
      <c r="BBW1" s="1"/>
      <c r="BBX1" s="1"/>
      <c r="BBY1" s="1"/>
      <c r="BBZ1" s="1"/>
      <c r="BCA1" s="1"/>
      <c r="BCB1" s="1"/>
      <c r="BCC1" s="1"/>
      <c r="BCD1" s="1"/>
      <c r="BCE1" s="1"/>
      <c r="BCF1" s="1"/>
      <c r="BCG1" s="1"/>
      <c r="BCH1" s="1"/>
      <c r="BCI1" s="1"/>
      <c r="BCJ1" s="1"/>
      <c r="BCK1" s="1"/>
      <c r="BCL1" s="1"/>
      <c r="BCM1" s="1"/>
      <c r="BCN1" s="1"/>
      <c r="BCO1" s="1"/>
      <c r="BCP1" s="1"/>
      <c r="BCQ1" s="1"/>
      <c r="BCR1" s="1"/>
      <c r="BCS1" s="1"/>
      <c r="BCT1" s="1"/>
      <c r="BCU1" s="1"/>
      <c r="BCV1" s="1"/>
      <c r="BCW1" s="1"/>
      <c r="BCX1" s="1"/>
      <c r="BCY1" s="1"/>
      <c r="BCZ1" s="1"/>
      <c r="BDA1" s="1"/>
      <c r="BDB1" s="1"/>
      <c r="BDC1" s="1"/>
      <c r="BDD1" s="1"/>
      <c r="BDE1" s="1"/>
      <c r="BDF1" s="1"/>
      <c r="BDG1" s="1"/>
      <c r="BDH1" s="1"/>
      <c r="BDI1" s="1"/>
      <c r="BDJ1" s="1"/>
      <c r="BDK1" s="1"/>
      <c r="BDL1" s="1"/>
      <c r="BDM1" s="1"/>
      <c r="BDN1" s="1"/>
      <c r="BDO1" s="1"/>
      <c r="BDP1" s="1"/>
      <c r="BDQ1" s="1"/>
      <c r="BDR1" s="1"/>
      <c r="BDS1" s="1"/>
      <c r="BDT1" s="1"/>
      <c r="BDU1" s="1"/>
      <c r="BDV1" s="1"/>
      <c r="BDW1" s="1"/>
      <c r="BDX1" s="1"/>
      <c r="BDY1" s="1"/>
      <c r="BDZ1" s="1"/>
      <c r="BEA1" s="1"/>
      <c r="BEB1" s="1"/>
      <c r="BEC1" s="1"/>
      <c r="BED1" s="1"/>
      <c r="BEE1" s="1"/>
      <c r="BEF1" s="1"/>
      <c r="BEG1" s="1"/>
      <c r="BEH1" s="1"/>
      <c r="BEI1" s="1"/>
      <c r="BEJ1" s="1"/>
      <c r="BEK1" s="1"/>
      <c r="BEL1" s="1"/>
      <c r="BEM1" s="1"/>
      <c r="BEN1" s="1"/>
      <c r="BEO1" s="1"/>
      <c r="BEP1" s="1"/>
      <c r="BEQ1" s="1"/>
      <c r="BER1" s="1"/>
      <c r="BES1" s="1"/>
      <c r="BET1" s="1"/>
      <c r="BEU1" s="1"/>
      <c r="BEV1" s="1"/>
      <c r="BEW1" s="1"/>
      <c r="BEX1" s="1"/>
      <c r="BEY1" s="1"/>
      <c r="BEZ1" s="1"/>
      <c r="BFA1" s="1"/>
      <c r="BFB1" s="1"/>
      <c r="BFC1" s="1"/>
      <c r="BFD1" s="1"/>
      <c r="BFE1" s="1"/>
      <c r="BFF1" s="1"/>
      <c r="BFG1" s="1"/>
      <c r="BFH1" s="1"/>
      <c r="BFI1" s="1"/>
      <c r="BFJ1" s="1"/>
      <c r="BFK1" s="1"/>
      <c r="BFL1" s="1"/>
      <c r="BFM1" s="1"/>
      <c r="BFN1" s="1"/>
      <c r="BFO1" s="1"/>
      <c r="BFP1" s="1"/>
      <c r="BFQ1" s="1"/>
      <c r="BFR1" s="1"/>
      <c r="BFS1" s="1"/>
      <c r="BFT1" s="1"/>
      <c r="BFU1" s="1"/>
      <c r="BFV1" s="1"/>
      <c r="BFW1" s="1"/>
      <c r="BFX1" s="1"/>
      <c r="BFY1" s="1"/>
      <c r="BFZ1" s="1"/>
      <c r="BGA1" s="1"/>
      <c r="BGB1" s="1"/>
      <c r="BGC1" s="1"/>
      <c r="BGD1" s="1"/>
      <c r="BGE1" s="1"/>
      <c r="BGF1" s="1"/>
      <c r="BGG1" s="1"/>
      <c r="BGH1" s="1"/>
      <c r="BGI1" s="1"/>
      <c r="BGJ1" s="1"/>
      <c r="BGK1" s="1"/>
      <c r="BGL1" s="1"/>
      <c r="BGM1" s="1"/>
      <c r="BGN1" s="1"/>
      <c r="BGO1" s="1"/>
      <c r="BGP1" s="1"/>
      <c r="BGQ1" s="1"/>
      <c r="BGR1" s="1"/>
      <c r="BGS1" s="1"/>
      <c r="BGT1" s="1"/>
      <c r="BGU1" s="1"/>
      <c r="BGV1" s="1"/>
      <c r="BGW1" s="1"/>
      <c r="BGX1" s="1"/>
      <c r="BGY1" s="1"/>
      <c r="BGZ1" s="1"/>
      <c r="BHA1" s="1"/>
      <c r="BHB1" s="1"/>
      <c r="BHC1" s="1"/>
      <c r="BHD1" s="1"/>
      <c r="BHE1" s="1"/>
      <c r="BHF1" s="1"/>
      <c r="BHG1" s="1"/>
      <c r="BHH1" s="1"/>
      <c r="BHI1" s="1"/>
      <c r="BHJ1" s="1"/>
      <c r="BHK1" s="1"/>
      <c r="BHL1" s="1"/>
      <c r="BHM1" s="1"/>
      <c r="BHN1" s="1"/>
      <c r="BHO1" s="1"/>
      <c r="BHP1" s="1"/>
      <c r="BHQ1" s="1"/>
      <c r="BHR1" s="1"/>
      <c r="BHS1" s="1"/>
      <c r="BHT1" s="1"/>
      <c r="BHU1" s="1"/>
      <c r="BHV1" s="1"/>
      <c r="BHW1" s="1"/>
      <c r="BHX1" s="1"/>
      <c r="BHY1" s="1"/>
      <c r="BHZ1" s="1"/>
      <c r="BIA1" s="1"/>
      <c r="BIB1" s="1"/>
      <c r="BIC1" s="1"/>
      <c r="BID1" s="1"/>
      <c r="BIE1" s="1"/>
      <c r="BIF1" s="1"/>
      <c r="BIG1" s="1"/>
      <c r="BIH1" s="1"/>
      <c r="BII1" s="1"/>
      <c r="BIJ1" s="1"/>
      <c r="BIK1" s="1"/>
      <c r="BIL1" s="1"/>
      <c r="BIM1" s="1"/>
      <c r="BIN1" s="1"/>
      <c r="BIO1" s="1"/>
      <c r="BIP1" s="1"/>
      <c r="BIQ1" s="1"/>
      <c r="BIR1" s="1"/>
      <c r="BIS1" s="1"/>
      <c r="BIT1" s="1"/>
      <c r="BIU1" s="1"/>
      <c r="BIV1" s="1"/>
      <c r="BIW1" s="1"/>
      <c r="BIX1" s="1"/>
      <c r="BIY1" s="1"/>
      <c r="BIZ1" s="1"/>
      <c r="BJA1" s="1"/>
      <c r="BJB1" s="1"/>
      <c r="BJC1" s="1"/>
      <c r="BJD1" s="1"/>
      <c r="BJE1" s="1"/>
      <c r="BJF1" s="1"/>
      <c r="BJG1" s="1"/>
      <c r="BJH1" s="1"/>
      <c r="BJI1" s="1"/>
      <c r="BJJ1" s="1"/>
      <c r="BJK1" s="1"/>
      <c r="BJL1" s="1"/>
      <c r="BJM1" s="1"/>
      <c r="BJN1" s="1"/>
      <c r="BJO1" s="1"/>
      <c r="BJP1" s="1"/>
      <c r="BJQ1" s="1"/>
      <c r="BJR1" s="1"/>
      <c r="BJS1" s="1"/>
      <c r="BJT1" s="1"/>
      <c r="BJU1" s="1"/>
      <c r="BJV1" s="1"/>
      <c r="BJW1" s="1"/>
      <c r="BJX1" s="1"/>
      <c r="BJY1" s="1"/>
      <c r="BJZ1" s="1"/>
      <c r="BKA1" s="1"/>
      <c r="BKB1" s="1"/>
      <c r="BKC1" s="1"/>
      <c r="BKD1" s="1"/>
      <c r="BKE1" s="1"/>
      <c r="BKF1" s="1"/>
      <c r="BKG1" s="1"/>
      <c r="BKH1" s="1"/>
      <c r="BKI1" s="1"/>
      <c r="BKJ1" s="1"/>
      <c r="BKK1" s="1"/>
      <c r="BKL1" s="1"/>
      <c r="BKM1" s="1"/>
      <c r="BKN1" s="1"/>
      <c r="BKO1" s="1"/>
      <c r="BKP1" s="1"/>
      <c r="BKQ1" s="1"/>
      <c r="BKR1" s="1"/>
      <c r="BKS1" s="1"/>
      <c r="BKT1" s="1"/>
      <c r="BKU1" s="1"/>
      <c r="BKV1" s="1"/>
      <c r="BKW1" s="1"/>
      <c r="BKX1" s="1"/>
      <c r="BKY1" s="1"/>
      <c r="BKZ1" s="1"/>
      <c r="BLA1" s="1"/>
      <c r="BLB1" s="1"/>
      <c r="BLC1" s="1"/>
      <c r="BLD1" s="1"/>
      <c r="BLE1" s="1"/>
      <c r="BLF1" s="1"/>
      <c r="BLG1" s="1"/>
      <c r="BLH1" s="1"/>
      <c r="BLI1" s="1"/>
      <c r="BLJ1" s="1"/>
      <c r="BLK1" s="1"/>
      <c r="BLL1" s="1"/>
      <c r="BLM1" s="1"/>
      <c r="BLN1" s="1"/>
      <c r="BLO1" s="1"/>
      <c r="BLP1" s="1"/>
      <c r="BLQ1" s="1"/>
      <c r="BLR1" s="1"/>
      <c r="BLS1" s="1"/>
      <c r="BLT1" s="1"/>
      <c r="BLU1" s="1"/>
      <c r="BLV1" s="1"/>
      <c r="BLW1" s="1"/>
      <c r="BLX1" s="1"/>
      <c r="BLY1" s="1"/>
      <c r="BLZ1" s="1"/>
      <c r="BMA1" s="1"/>
      <c r="BMB1" s="1"/>
      <c r="BMC1" s="1"/>
      <c r="BMD1" s="1"/>
      <c r="BME1" s="1"/>
      <c r="BMF1" s="1"/>
      <c r="BMG1" s="1"/>
      <c r="BMH1" s="1"/>
      <c r="BMI1" s="1"/>
      <c r="BMJ1" s="1"/>
      <c r="BMK1" s="1"/>
      <c r="BML1" s="1"/>
      <c r="BMM1" s="1"/>
      <c r="BMN1" s="1"/>
      <c r="BMO1" s="1"/>
      <c r="BMP1" s="1"/>
      <c r="BMQ1" s="1"/>
      <c r="BMR1" s="1"/>
      <c r="BMS1" s="1"/>
      <c r="BMT1" s="1"/>
      <c r="BMU1" s="1"/>
      <c r="BMV1" s="1"/>
      <c r="BMW1" s="1"/>
      <c r="BMX1" s="1"/>
      <c r="BMY1" s="1"/>
      <c r="BMZ1" s="1"/>
      <c r="BNA1" s="1"/>
      <c r="BNB1" s="1"/>
      <c r="BNC1" s="1"/>
      <c r="BND1" s="1"/>
      <c r="BNE1" s="1"/>
      <c r="BNF1" s="1"/>
      <c r="BNG1" s="1"/>
      <c r="BNH1" s="1"/>
      <c r="BNI1" s="1"/>
      <c r="BNJ1" s="1"/>
      <c r="BNK1" s="1"/>
      <c r="BNL1" s="1"/>
      <c r="BNM1" s="1"/>
      <c r="BNN1" s="1"/>
      <c r="BNO1" s="1"/>
      <c r="BNP1" s="1"/>
      <c r="BNQ1" s="1"/>
      <c r="BNR1" s="1"/>
      <c r="BNS1" s="1"/>
      <c r="BNT1" s="1"/>
      <c r="BNU1" s="1"/>
      <c r="BNV1" s="1"/>
      <c r="BNW1" s="1"/>
      <c r="BNX1" s="1"/>
      <c r="BNY1" s="1"/>
      <c r="BNZ1" s="1"/>
      <c r="BOA1" s="1"/>
      <c r="BOB1" s="1"/>
      <c r="BOC1" s="1"/>
      <c r="BOD1" s="1"/>
      <c r="BOE1" s="1"/>
      <c r="BOF1" s="1"/>
      <c r="BOG1" s="1"/>
      <c r="BOH1" s="1"/>
      <c r="BOI1" s="1"/>
      <c r="BOJ1" s="1"/>
      <c r="BOK1" s="1"/>
      <c r="BOL1" s="1"/>
      <c r="BOM1" s="1"/>
      <c r="BON1" s="1"/>
      <c r="BOO1" s="1"/>
      <c r="BOP1" s="1"/>
      <c r="BOQ1" s="1"/>
      <c r="BOR1" s="1"/>
      <c r="BOS1" s="1"/>
      <c r="BOT1" s="1"/>
      <c r="BOU1" s="1"/>
      <c r="BOV1" s="1"/>
      <c r="BOW1" s="1"/>
      <c r="BOX1" s="1"/>
      <c r="BOY1" s="1"/>
      <c r="BOZ1" s="1"/>
      <c r="BPA1" s="1"/>
      <c r="BPB1" s="1"/>
      <c r="BPC1" s="1"/>
      <c r="BPD1" s="1"/>
      <c r="BPE1" s="1"/>
      <c r="BPF1" s="1"/>
      <c r="BPG1" s="1"/>
      <c r="BPH1" s="1"/>
      <c r="BPI1" s="1"/>
      <c r="BPJ1" s="1"/>
      <c r="BPK1" s="1"/>
      <c r="BPL1" s="1"/>
      <c r="BPM1" s="1"/>
      <c r="BPN1" s="1"/>
      <c r="BPO1" s="1"/>
      <c r="BPP1" s="1"/>
      <c r="BPQ1" s="1"/>
      <c r="BPR1" s="1"/>
      <c r="BPS1" s="1"/>
      <c r="BPT1" s="1"/>
      <c r="BPU1" s="1"/>
      <c r="BPV1" s="1"/>
      <c r="BPW1" s="1"/>
      <c r="BPX1" s="1"/>
      <c r="BPY1" s="1"/>
      <c r="BPZ1" s="1"/>
      <c r="BQA1" s="1"/>
      <c r="BQB1" s="1"/>
      <c r="BQC1" s="1"/>
      <c r="BQD1" s="1"/>
      <c r="BQE1" s="1"/>
      <c r="BQF1" s="1"/>
      <c r="BQG1" s="1"/>
      <c r="BQH1" s="1"/>
      <c r="BQI1" s="1"/>
      <c r="BQJ1" s="1"/>
      <c r="BQK1" s="1"/>
      <c r="BQL1" s="1"/>
      <c r="BQM1" s="1"/>
      <c r="BQN1" s="1"/>
      <c r="BQO1" s="1"/>
      <c r="BQP1" s="1"/>
      <c r="BQQ1" s="1"/>
      <c r="BQR1" s="1"/>
      <c r="BQS1" s="1"/>
      <c r="BQT1" s="1"/>
      <c r="BQU1" s="1"/>
      <c r="BQV1" s="1"/>
      <c r="BQW1" s="1"/>
      <c r="BQX1" s="1"/>
      <c r="BQY1" s="1"/>
      <c r="BQZ1" s="1"/>
      <c r="BRA1" s="1"/>
      <c r="BRB1" s="1"/>
      <c r="BRC1" s="1"/>
      <c r="BRD1" s="1"/>
      <c r="BRE1" s="1"/>
      <c r="BRF1" s="1"/>
      <c r="BRG1" s="1"/>
      <c r="BRH1" s="1"/>
      <c r="BRI1" s="1"/>
      <c r="BRJ1" s="1"/>
      <c r="BRK1" s="1"/>
      <c r="BRL1" s="1"/>
      <c r="BRM1" s="1"/>
      <c r="BRN1" s="1"/>
      <c r="BRO1" s="1"/>
      <c r="BRP1" s="1"/>
      <c r="BRQ1" s="1"/>
      <c r="BRR1" s="1"/>
      <c r="BRS1" s="1"/>
      <c r="BRT1" s="1"/>
      <c r="BRU1" s="1"/>
      <c r="BRV1" s="1"/>
      <c r="BRW1" s="1"/>
      <c r="BRX1" s="1"/>
      <c r="BRY1" s="1"/>
      <c r="BRZ1" s="1"/>
      <c r="BSA1" s="1"/>
      <c r="BSB1" s="1"/>
      <c r="BSC1" s="1"/>
      <c r="BSD1" s="1"/>
      <c r="BSE1" s="1"/>
      <c r="BSF1" s="1"/>
      <c r="BSG1" s="1"/>
      <c r="BSH1" s="1"/>
      <c r="BSI1" s="1"/>
      <c r="BSJ1" s="1"/>
      <c r="BSK1" s="1"/>
      <c r="BSL1" s="1"/>
      <c r="BSM1" s="1"/>
      <c r="BSN1" s="1"/>
      <c r="BSO1" s="1"/>
      <c r="BSP1" s="1"/>
      <c r="BSQ1" s="1"/>
      <c r="BSR1" s="1"/>
      <c r="BSS1" s="1"/>
      <c r="BST1" s="1"/>
      <c r="BSU1" s="1"/>
      <c r="BSV1" s="1"/>
      <c r="BSW1" s="1"/>
      <c r="BSX1" s="1"/>
      <c r="BSY1" s="1"/>
      <c r="BSZ1" s="1"/>
      <c r="BTA1" s="1"/>
      <c r="BTB1" s="1"/>
      <c r="BTC1" s="1"/>
      <c r="BTD1" s="1"/>
      <c r="BTE1" s="1"/>
      <c r="BTF1" s="1"/>
      <c r="BTG1" s="1"/>
      <c r="BTH1" s="1"/>
      <c r="BTI1" s="1"/>
      <c r="BTJ1" s="1"/>
      <c r="BTK1" s="1"/>
      <c r="BTL1" s="1"/>
      <c r="BTM1" s="1"/>
      <c r="BTN1" s="1"/>
      <c r="BTO1" s="1"/>
      <c r="BTP1" s="1"/>
      <c r="BTQ1" s="1"/>
      <c r="BTR1" s="1"/>
      <c r="BTS1" s="1"/>
      <c r="BTT1" s="1"/>
      <c r="BTU1" s="1"/>
      <c r="BTV1" s="1"/>
      <c r="BTW1" s="1"/>
      <c r="BTX1" s="1"/>
      <c r="BTY1" s="1"/>
      <c r="BTZ1" s="1"/>
      <c r="BUA1" s="1"/>
      <c r="BUB1" s="1"/>
      <c r="BUC1" s="1"/>
      <c r="BUD1" s="1"/>
      <c r="BUE1" s="1"/>
      <c r="BUF1" s="1"/>
      <c r="BUG1" s="1"/>
      <c r="BUH1" s="1"/>
      <c r="BUI1" s="1"/>
      <c r="BUJ1" s="1"/>
      <c r="BUK1" s="1"/>
      <c r="BUL1" s="1"/>
      <c r="BUM1" s="1"/>
      <c r="BUN1" s="1"/>
      <c r="BUO1" s="1"/>
      <c r="BUP1" s="1"/>
      <c r="BUQ1" s="1"/>
      <c r="BUR1" s="1"/>
      <c r="BUS1" s="1"/>
      <c r="BUT1" s="1"/>
      <c r="BUU1" s="1"/>
      <c r="BUV1" s="1"/>
      <c r="BUW1" s="1"/>
      <c r="BUX1" s="1"/>
      <c r="BUY1" s="1"/>
      <c r="BUZ1" s="1"/>
      <c r="BVA1" s="1"/>
      <c r="BVB1" s="1"/>
      <c r="BVC1" s="1"/>
      <c r="BVD1" s="1"/>
      <c r="BVE1" s="1"/>
      <c r="BVF1" s="1"/>
      <c r="BVG1" s="1"/>
      <c r="BVH1" s="1"/>
      <c r="BVI1" s="1"/>
      <c r="BVJ1" s="1"/>
      <c r="BVK1" s="1"/>
      <c r="BVL1" s="1"/>
      <c r="BVM1" s="1"/>
      <c r="BVN1" s="1"/>
      <c r="BVO1" s="1"/>
      <c r="BVP1" s="1"/>
      <c r="BVQ1" s="1"/>
      <c r="BVR1" s="1"/>
      <c r="BVS1" s="1"/>
      <c r="BVT1" s="1"/>
      <c r="BVU1" s="1"/>
      <c r="BVV1" s="1"/>
      <c r="BVW1" s="1"/>
      <c r="BVX1" s="1"/>
      <c r="BVY1" s="1"/>
      <c r="BVZ1" s="1"/>
      <c r="BWA1" s="1"/>
      <c r="BWB1" s="1"/>
      <c r="BWC1" s="1"/>
      <c r="BWD1" s="1"/>
      <c r="BWE1" s="1"/>
      <c r="BWF1" s="1"/>
      <c r="BWG1" s="1"/>
      <c r="BWH1" s="1"/>
      <c r="BWI1" s="1"/>
      <c r="BWJ1" s="1"/>
      <c r="BWK1" s="1"/>
      <c r="BWL1" s="1"/>
      <c r="BWM1" s="1"/>
      <c r="BWN1" s="1"/>
      <c r="BWO1" s="1"/>
      <c r="BWP1" s="1"/>
      <c r="BWQ1" s="1"/>
      <c r="BWR1" s="1"/>
      <c r="BWS1" s="1"/>
      <c r="BWT1" s="1"/>
      <c r="BWU1" s="1"/>
      <c r="BWV1" s="1"/>
      <c r="BWW1" s="1"/>
      <c r="BWX1" s="1"/>
      <c r="BWY1" s="1"/>
      <c r="BWZ1" s="1"/>
      <c r="BXA1" s="1"/>
      <c r="BXB1" s="1"/>
      <c r="BXC1" s="1"/>
      <c r="BXD1" s="1"/>
      <c r="BXE1" s="1"/>
      <c r="BXF1" s="1"/>
      <c r="BXG1" s="1"/>
      <c r="BXH1" s="1"/>
      <c r="BXI1" s="1"/>
      <c r="BXJ1" s="1"/>
      <c r="BXK1" s="1"/>
      <c r="BXL1" s="1"/>
      <c r="BXM1" s="1"/>
      <c r="BXN1" s="1"/>
      <c r="BXO1" s="1"/>
      <c r="BXP1" s="1"/>
      <c r="BXQ1" s="1"/>
      <c r="BXR1" s="1"/>
      <c r="BXS1" s="1"/>
      <c r="BXT1" s="1"/>
      <c r="BXU1" s="1"/>
      <c r="BXV1" s="1"/>
      <c r="BXW1" s="1"/>
      <c r="BXX1" s="1"/>
      <c r="BXY1" s="1"/>
      <c r="BXZ1" s="1"/>
      <c r="BYA1" s="1"/>
      <c r="BYB1" s="1"/>
      <c r="BYC1" s="1"/>
      <c r="BYD1" s="1"/>
      <c r="BYE1" s="1"/>
      <c r="BYF1" s="1"/>
      <c r="BYG1" s="1"/>
      <c r="BYH1" s="1"/>
      <c r="BYI1" s="1"/>
      <c r="BYJ1" s="1"/>
      <c r="BYK1" s="1"/>
      <c r="BYL1" s="1"/>
      <c r="BYM1" s="1"/>
      <c r="BYN1" s="1"/>
      <c r="BYO1" s="1"/>
      <c r="BYP1" s="1"/>
      <c r="BYQ1" s="1"/>
      <c r="BYR1" s="1"/>
      <c r="BYS1" s="1"/>
      <c r="BYT1" s="1"/>
      <c r="BYU1" s="1"/>
      <c r="BYV1" s="1"/>
      <c r="BYW1" s="1"/>
      <c r="BYX1" s="1"/>
      <c r="BYY1" s="1"/>
      <c r="BYZ1" s="1"/>
      <c r="BZA1" s="1"/>
      <c r="BZB1" s="1"/>
      <c r="BZC1" s="1"/>
      <c r="BZD1" s="1"/>
      <c r="BZE1" s="1"/>
      <c r="BZF1" s="1"/>
      <c r="BZG1" s="1"/>
      <c r="BZH1" s="1"/>
      <c r="BZI1" s="1"/>
      <c r="BZJ1" s="1"/>
      <c r="BZK1" s="1"/>
      <c r="BZL1" s="1"/>
      <c r="BZM1" s="1"/>
      <c r="BZN1" s="1"/>
      <c r="BZO1" s="1"/>
      <c r="BZP1" s="1"/>
      <c r="BZQ1" s="1"/>
      <c r="BZR1" s="1"/>
      <c r="BZS1" s="1"/>
      <c r="BZT1" s="1"/>
      <c r="BZU1" s="1"/>
      <c r="BZV1" s="1"/>
      <c r="BZW1" s="1"/>
      <c r="BZX1" s="1"/>
      <c r="BZY1" s="1"/>
      <c r="BZZ1" s="1"/>
      <c r="CAA1" s="1"/>
      <c r="CAB1" s="1"/>
      <c r="CAC1" s="1"/>
      <c r="CAD1" s="1"/>
      <c r="CAE1" s="1"/>
      <c r="CAF1" s="1"/>
      <c r="CAG1" s="1"/>
      <c r="CAH1" s="1"/>
      <c r="CAI1" s="1"/>
      <c r="CAJ1" s="1"/>
      <c r="CAK1" s="1"/>
      <c r="CAL1" s="1"/>
      <c r="CAM1" s="1"/>
      <c r="CAN1" s="1"/>
      <c r="CAO1" s="1"/>
      <c r="CAP1" s="1"/>
      <c r="CAQ1" s="1"/>
      <c r="CAR1" s="1"/>
      <c r="CAS1" s="1"/>
      <c r="CAT1" s="1"/>
      <c r="CAU1" s="1"/>
      <c r="CAV1" s="1"/>
      <c r="CAW1" s="1"/>
      <c r="CAX1" s="1"/>
      <c r="CAY1" s="1"/>
      <c r="CAZ1" s="1"/>
      <c r="CBA1" s="1"/>
      <c r="CBB1" s="1"/>
      <c r="CBC1" s="1"/>
      <c r="CBD1" s="1"/>
      <c r="CBE1" s="1"/>
      <c r="CBF1" s="1"/>
      <c r="CBG1" s="1"/>
      <c r="CBH1" s="1"/>
      <c r="CBI1" s="1"/>
      <c r="CBJ1" s="1"/>
      <c r="CBK1" s="1"/>
      <c r="CBL1" s="1"/>
      <c r="CBM1" s="1"/>
      <c r="CBN1" s="1"/>
      <c r="CBO1" s="1"/>
      <c r="CBP1" s="1"/>
      <c r="CBQ1" s="1"/>
      <c r="CBR1" s="1"/>
      <c r="CBS1" s="1"/>
      <c r="CBT1" s="1"/>
      <c r="CBU1" s="1"/>
      <c r="CBV1" s="1"/>
      <c r="CBW1" s="1"/>
      <c r="CBX1" s="1"/>
      <c r="CBY1" s="1"/>
      <c r="CBZ1" s="1"/>
      <c r="CCA1" s="1"/>
      <c r="CCB1" s="1"/>
      <c r="CCC1" s="1"/>
      <c r="CCD1" s="1"/>
      <c r="CCE1" s="1"/>
      <c r="CCF1" s="1"/>
      <c r="CCG1" s="1"/>
      <c r="CCH1" s="1"/>
      <c r="CCI1" s="1"/>
      <c r="CCJ1" s="1"/>
      <c r="CCK1" s="1"/>
      <c r="CCL1" s="1"/>
      <c r="CCM1" s="1"/>
      <c r="CCN1" s="1"/>
      <c r="CCO1" s="1"/>
      <c r="CCP1" s="1"/>
      <c r="CCQ1" s="1"/>
      <c r="CCR1" s="1"/>
      <c r="CCS1" s="1"/>
      <c r="CCT1" s="1"/>
      <c r="CCU1" s="1"/>
      <c r="CCV1" s="1"/>
      <c r="CCW1" s="1"/>
      <c r="CCX1" s="1"/>
      <c r="CCY1" s="1"/>
      <c r="CCZ1" s="1"/>
      <c r="CDA1" s="1"/>
      <c r="CDB1" s="1"/>
      <c r="CDC1" s="1"/>
      <c r="CDD1" s="1"/>
      <c r="CDE1" s="1"/>
      <c r="CDF1" s="1"/>
      <c r="CDG1" s="1"/>
      <c r="CDH1" s="1"/>
      <c r="CDI1" s="1"/>
      <c r="CDJ1" s="1"/>
      <c r="CDK1" s="1"/>
      <c r="CDL1" s="1"/>
      <c r="CDM1" s="1"/>
      <c r="CDN1" s="1"/>
      <c r="CDO1" s="1"/>
      <c r="CDP1" s="1"/>
      <c r="CDQ1" s="1"/>
      <c r="CDR1" s="1"/>
      <c r="CDS1" s="1"/>
      <c r="CDT1" s="1"/>
      <c r="CDU1" s="1"/>
      <c r="CDV1" s="1"/>
      <c r="CDW1" s="1"/>
      <c r="CDX1" s="1"/>
      <c r="CDY1" s="1"/>
      <c r="CDZ1" s="1"/>
      <c r="CEA1" s="1"/>
      <c r="CEB1" s="1"/>
      <c r="CEC1" s="1"/>
      <c r="CED1" s="1"/>
      <c r="CEE1" s="1"/>
      <c r="CEF1" s="1"/>
      <c r="CEG1" s="1"/>
      <c r="CEH1" s="1"/>
      <c r="CEI1" s="1"/>
      <c r="CEJ1" s="1"/>
      <c r="CEK1" s="1"/>
      <c r="CEL1" s="1"/>
      <c r="CEM1" s="1"/>
      <c r="CEN1" s="1"/>
      <c r="CEO1" s="1"/>
      <c r="CEP1" s="1"/>
      <c r="CEQ1" s="1"/>
      <c r="CER1" s="1"/>
      <c r="CES1" s="1"/>
      <c r="CET1" s="1"/>
      <c r="CEU1" s="1"/>
      <c r="CEV1" s="1"/>
      <c r="CEW1" s="1"/>
      <c r="CEX1" s="1"/>
      <c r="CEY1" s="1"/>
      <c r="CEZ1" s="1"/>
      <c r="CFA1" s="1"/>
      <c r="CFB1" s="1"/>
      <c r="CFC1" s="1"/>
      <c r="CFD1" s="1"/>
      <c r="CFE1" s="1"/>
      <c r="CFF1" s="1"/>
      <c r="CFG1" s="1"/>
      <c r="CFH1" s="1"/>
      <c r="CFI1" s="1"/>
      <c r="CFJ1" s="1"/>
      <c r="CFK1" s="1"/>
      <c r="CFL1" s="1"/>
      <c r="CFM1" s="1"/>
      <c r="CFN1" s="1"/>
      <c r="CFO1" s="1"/>
      <c r="CFP1" s="1"/>
      <c r="CFQ1" s="1"/>
      <c r="CFR1" s="1"/>
      <c r="CFS1" s="1"/>
      <c r="CFT1" s="1"/>
      <c r="CFU1" s="1"/>
      <c r="CFV1" s="1"/>
      <c r="CFW1" s="1"/>
      <c r="CFX1" s="1"/>
      <c r="CFY1" s="1"/>
      <c r="CFZ1" s="1"/>
      <c r="CGA1" s="1"/>
      <c r="CGB1" s="1"/>
      <c r="CGC1" s="1"/>
      <c r="CGD1" s="1"/>
      <c r="CGE1" s="1"/>
      <c r="CGF1" s="1"/>
      <c r="CGG1" s="1"/>
      <c r="CGH1" s="1"/>
      <c r="CGI1" s="1"/>
      <c r="CGJ1" s="1"/>
      <c r="CGK1" s="1"/>
      <c r="CGL1" s="1"/>
      <c r="CGM1" s="1"/>
      <c r="CGN1" s="1"/>
      <c r="CGO1" s="1"/>
      <c r="CGP1" s="1"/>
      <c r="CGQ1" s="1"/>
      <c r="CGR1" s="1"/>
      <c r="CGS1" s="1"/>
      <c r="CGT1" s="1"/>
      <c r="CGU1" s="1"/>
      <c r="CGV1" s="1"/>
      <c r="CGW1" s="1"/>
      <c r="CGX1" s="1"/>
      <c r="CGY1" s="1"/>
      <c r="CGZ1" s="1"/>
      <c r="CHA1" s="1"/>
      <c r="CHB1" s="1"/>
      <c r="CHC1" s="1"/>
      <c r="CHD1" s="1"/>
      <c r="CHE1" s="1"/>
      <c r="CHF1" s="1"/>
      <c r="CHG1" s="1"/>
      <c r="CHH1" s="1"/>
      <c r="CHI1" s="1"/>
      <c r="CHJ1" s="1"/>
      <c r="CHK1" s="1"/>
      <c r="CHL1" s="1"/>
      <c r="CHM1" s="1"/>
      <c r="CHN1" s="1"/>
      <c r="CHO1" s="1"/>
      <c r="CHP1" s="1"/>
      <c r="CHQ1" s="1"/>
      <c r="CHR1" s="1"/>
      <c r="CHS1" s="1"/>
      <c r="CHT1" s="1"/>
      <c r="CHU1" s="1"/>
      <c r="CHV1" s="1"/>
      <c r="CHW1" s="1"/>
      <c r="CHX1" s="1"/>
      <c r="CHY1" s="1"/>
      <c r="CHZ1" s="1"/>
      <c r="CIA1" s="1"/>
      <c r="CIB1" s="1"/>
      <c r="CIC1" s="1"/>
      <c r="CID1" s="1"/>
      <c r="CIE1" s="1"/>
      <c r="CIF1" s="1"/>
      <c r="CIG1" s="1"/>
      <c r="CIH1" s="1"/>
      <c r="CII1" s="1"/>
      <c r="CIJ1" s="1"/>
      <c r="CIK1" s="1"/>
      <c r="CIL1" s="1"/>
      <c r="CIM1" s="1"/>
      <c r="CIN1" s="1"/>
      <c r="CIO1" s="1"/>
      <c r="CIP1" s="1"/>
      <c r="CIQ1" s="1"/>
      <c r="CIR1" s="1"/>
      <c r="CIS1" s="1"/>
      <c r="CIT1" s="1"/>
      <c r="CIU1" s="1"/>
      <c r="CIV1" s="1"/>
      <c r="CIW1" s="1"/>
      <c r="CIX1" s="1"/>
      <c r="CIY1" s="1"/>
      <c r="CIZ1" s="1"/>
      <c r="CJA1" s="1"/>
      <c r="CJB1" s="1"/>
      <c r="CJC1" s="1"/>
      <c r="CJD1" s="1"/>
      <c r="CJE1" s="1"/>
      <c r="CJF1" s="1"/>
      <c r="CJG1" s="1"/>
      <c r="CJH1" s="1"/>
      <c r="CJI1" s="1"/>
      <c r="CJJ1" s="1"/>
      <c r="CJK1" s="1"/>
      <c r="CJL1" s="1"/>
      <c r="CJM1" s="1"/>
      <c r="CJN1" s="1"/>
      <c r="CJO1" s="1"/>
      <c r="CJP1" s="1"/>
      <c r="CJQ1" s="1"/>
      <c r="CJR1" s="1"/>
      <c r="CJS1" s="1"/>
      <c r="CJT1" s="1"/>
      <c r="CJU1" s="1"/>
      <c r="CJV1" s="1"/>
      <c r="CJW1" s="1"/>
      <c r="CJX1" s="1"/>
      <c r="CJY1" s="1"/>
      <c r="CJZ1" s="1"/>
      <c r="CKA1" s="1"/>
      <c r="CKB1" s="1"/>
      <c r="CKC1" s="1"/>
      <c r="CKD1" s="1"/>
      <c r="CKE1" s="1"/>
      <c r="CKF1" s="1"/>
      <c r="CKG1" s="1"/>
      <c r="CKH1" s="1"/>
      <c r="CKI1" s="1"/>
      <c r="CKJ1" s="1"/>
      <c r="CKK1" s="1"/>
      <c r="CKL1" s="1"/>
      <c r="CKM1" s="1"/>
      <c r="CKN1" s="1"/>
      <c r="CKO1" s="1"/>
      <c r="CKP1" s="1"/>
      <c r="CKQ1" s="1"/>
      <c r="CKR1" s="1"/>
      <c r="CKS1" s="1"/>
      <c r="CKT1" s="1"/>
      <c r="CKU1" s="1"/>
      <c r="CKV1" s="1"/>
      <c r="CKW1" s="1"/>
      <c r="CKX1" s="1"/>
      <c r="CKY1" s="1"/>
      <c r="CKZ1" s="1"/>
      <c r="CLA1" s="1"/>
      <c r="CLB1" s="1"/>
      <c r="CLC1" s="1"/>
      <c r="CLD1" s="1"/>
      <c r="CLE1" s="1"/>
      <c r="CLF1" s="1"/>
      <c r="CLG1" s="1"/>
      <c r="CLH1" s="1"/>
      <c r="CLI1" s="1"/>
      <c r="CLJ1" s="1"/>
      <c r="CLK1" s="1"/>
      <c r="CLL1" s="1"/>
      <c r="CLM1" s="1"/>
      <c r="CLN1" s="1"/>
      <c r="CLO1" s="1"/>
      <c r="CLP1" s="1"/>
      <c r="CLQ1" s="1"/>
      <c r="CLR1" s="1"/>
      <c r="CLS1" s="1"/>
      <c r="CLT1" s="1"/>
      <c r="CLU1" s="1"/>
      <c r="CLV1" s="1"/>
      <c r="CLW1" s="1"/>
      <c r="CLX1" s="1"/>
      <c r="CLY1" s="1"/>
      <c r="CLZ1" s="1"/>
      <c r="CMA1" s="1"/>
      <c r="CMB1" s="1"/>
      <c r="CMC1" s="1"/>
      <c r="CMD1" s="1"/>
      <c r="CME1" s="1"/>
      <c r="CMF1" s="1"/>
      <c r="CMG1" s="1"/>
      <c r="CMH1" s="1"/>
      <c r="CMI1" s="1"/>
      <c r="CMJ1" s="1"/>
      <c r="CMK1" s="1"/>
      <c r="CML1" s="1"/>
      <c r="CMM1" s="1"/>
      <c r="CMN1" s="1"/>
      <c r="CMO1" s="1"/>
      <c r="CMP1" s="1"/>
      <c r="CMQ1" s="1"/>
      <c r="CMR1" s="1"/>
      <c r="CMS1" s="1"/>
      <c r="CMT1" s="1"/>
      <c r="CMU1" s="1"/>
      <c r="CMV1" s="1"/>
      <c r="CMW1" s="1"/>
      <c r="CMX1" s="1"/>
      <c r="CMY1" s="1"/>
      <c r="CMZ1" s="1"/>
      <c r="CNA1" s="1"/>
      <c r="CNB1" s="1"/>
      <c r="CNC1" s="1"/>
      <c r="CND1" s="1"/>
      <c r="CNE1" s="1"/>
      <c r="CNF1" s="1"/>
      <c r="CNG1" s="1"/>
      <c r="CNH1" s="1"/>
      <c r="CNI1" s="1"/>
      <c r="CNJ1" s="1"/>
      <c r="CNK1" s="1"/>
      <c r="CNL1" s="1"/>
      <c r="CNM1" s="1"/>
      <c r="CNN1" s="1"/>
      <c r="CNO1" s="1"/>
      <c r="CNP1" s="1"/>
      <c r="CNQ1" s="1"/>
      <c r="CNR1" s="1"/>
      <c r="CNS1" s="1"/>
      <c r="CNT1" s="1"/>
      <c r="CNU1" s="1"/>
      <c r="CNV1" s="1"/>
      <c r="CNW1" s="1"/>
      <c r="CNX1" s="1"/>
      <c r="CNY1" s="1"/>
      <c r="CNZ1" s="1"/>
      <c r="COA1" s="1"/>
      <c r="COB1" s="1"/>
      <c r="COC1" s="1"/>
      <c r="COD1" s="1"/>
      <c r="COE1" s="1"/>
      <c r="COF1" s="1"/>
      <c r="COG1" s="1"/>
      <c r="COH1" s="1"/>
      <c r="COI1" s="1"/>
      <c r="COJ1" s="1"/>
      <c r="COK1" s="1"/>
      <c r="COL1" s="1"/>
      <c r="COM1" s="1"/>
      <c r="CON1" s="1"/>
      <c r="COO1" s="1"/>
      <c r="COP1" s="1"/>
      <c r="COQ1" s="1"/>
      <c r="COR1" s="1"/>
      <c r="COS1" s="1"/>
      <c r="COT1" s="1"/>
      <c r="COU1" s="1"/>
      <c r="COV1" s="1"/>
      <c r="COW1" s="1"/>
      <c r="COX1" s="1"/>
      <c r="COY1" s="1"/>
      <c r="COZ1" s="1"/>
      <c r="CPA1" s="1"/>
      <c r="CPB1" s="1"/>
      <c r="CPC1" s="1"/>
      <c r="CPD1" s="1"/>
      <c r="CPE1" s="1"/>
      <c r="CPF1" s="1"/>
      <c r="CPG1" s="1"/>
      <c r="CPH1" s="1"/>
      <c r="CPI1" s="1"/>
      <c r="CPJ1" s="1"/>
      <c r="CPK1" s="1"/>
      <c r="CPL1" s="1"/>
      <c r="CPM1" s="1"/>
      <c r="CPN1" s="1"/>
      <c r="CPO1" s="1"/>
      <c r="CPP1" s="1"/>
      <c r="CPQ1" s="1"/>
      <c r="CPR1" s="1"/>
      <c r="CPS1" s="1"/>
      <c r="CPT1" s="1"/>
      <c r="CPU1" s="1"/>
      <c r="CPV1" s="1"/>
      <c r="CPW1" s="1"/>
      <c r="CPX1" s="1"/>
      <c r="CPY1" s="1"/>
      <c r="CPZ1" s="1"/>
      <c r="CQA1" s="1"/>
      <c r="CQB1" s="1"/>
      <c r="CQC1" s="1"/>
      <c r="CQD1" s="1"/>
      <c r="CQE1" s="1"/>
      <c r="CQF1" s="1"/>
      <c r="CQG1" s="1"/>
      <c r="CQH1" s="1"/>
      <c r="CQI1" s="1"/>
      <c r="CQJ1" s="1"/>
      <c r="CQK1" s="1"/>
      <c r="CQL1" s="1"/>
      <c r="CQM1" s="1"/>
      <c r="CQN1" s="1"/>
      <c r="CQO1" s="1"/>
      <c r="CQP1" s="1"/>
      <c r="CQQ1" s="1"/>
      <c r="CQR1" s="1"/>
      <c r="CQS1" s="1"/>
      <c r="CQT1" s="1"/>
      <c r="CQU1" s="1"/>
      <c r="CQV1" s="1"/>
      <c r="CQW1" s="1"/>
      <c r="CQX1" s="1"/>
      <c r="CQY1" s="1"/>
      <c r="CQZ1" s="1"/>
      <c r="CRA1" s="1"/>
      <c r="CRB1" s="1"/>
      <c r="CRC1" s="1"/>
      <c r="CRD1" s="1"/>
      <c r="CRE1" s="1"/>
      <c r="CRF1" s="1"/>
      <c r="CRG1" s="1"/>
      <c r="CRH1" s="1"/>
      <c r="CRI1" s="1"/>
      <c r="CRJ1" s="1"/>
      <c r="CRK1" s="1"/>
      <c r="CRL1" s="1"/>
      <c r="CRM1" s="1"/>
      <c r="CRN1" s="1"/>
      <c r="CRO1" s="1"/>
      <c r="CRP1" s="1"/>
      <c r="CRQ1" s="1"/>
      <c r="CRR1" s="1"/>
      <c r="CRS1" s="1"/>
      <c r="CRT1" s="1"/>
      <c r="CRU1" s="1"/>
      <c r="CRV1" s="1"/>
      <c r="CRW1" s="1"/>
      <c r="CRX1" s="1"/>
      <c r="CRY1" s="1"/>
      <c r="CRZ1" s="1"/>
      <c r="CSA1" s="1"/>
      <c r="CSB1" s="1"/>
      <c r="CSC1" s="1"/>
      <c r="CSD1" s="1"/>
      <c r="CSE1" s="1"/>
      <c r="CSF1" s="1"/>
      <c r="CSG1" s="1"/>
      <c r="CSH1" s="1"/>
      <c r="CSI1" s="1"/>
      <c r="CSJ1" s="1"/>
      <c r="CSK1" s="1"/>
      <c r="CSL1" s="1"/>
      <c r="CSM1" s="1"/>
      <c r="CSN1" s="1"/>
      <c r="CSO1" s="1"/>
      <c r="CSP1" s="1"/>
      <c r="CSQ1" s="1"/>
      <c r="CSR1" s="1"/>
      <c r="CSS1" s="1"/>
      <c r="CST1" s="1"/>
      <c r="CSU1" s="1"/>
      <c r="CSV1" s="1"/>
      <c r="CSW1" s="1"/>
      <c r="CSX1" s="1"/>
      <c r="CSY1" s="1"/>
      <c r="CSZ1" s="1"/>
      <c r="CTA1" s="1"/>
      <c r="CTB1" s="1"/>
      <c r="CTC1" s="1"/>
      <c r="CTD1" s="1"/>
      <c r="CTE1" s="1"/>
      <c r="CTF1" s="1"/>
      <c r="CTG1" s="1"/>
      <c r="CTH1" s="1"/>
      <c r="CTI1" s="1"/>
      <c r="CTJ1" s="1"/>
      <c r="CTK1" s="1"/>
      <c r="CTL1" s="1"/>
      <c r="CTM1" s="1"/>
      <c r="CTN1" s="1"/>
      <c r="CTO1" s="1"/>
      <c r="CTP1" s="1"/>
      <c r="CTQ1" s="1"/>
      <c r="CTR1" s="1"/>
      <c r="CTS1" s="1"/>
      <c r="CTT1" s="1"/>
      <c r="CTU1" s="1"/>
      <c r="CTV1" s="1"/>
      <c r="CTW1" s="1"/>
      <c r="CTX1" s="1"/>
      <c r="CTY1" s="1"/>
      <c r="CTZ1" s="1"/>
      <c r="CUA1" s="1"/>
      <c r="CUB1" s="1"/>
      <c r="CUC1" s="1"/>
      <c r="CUD1" s="1"/>
      <c r="CUE1" s="1"/>
      <c r="CUF1" s="1"/>
      <c r="CUG1" s="1"/>
      <c r="CUH1" s="1"/>
      <c r="CUI1" s="1"/>
      <c r="CUJ1" s="1"/>
      <c r="CUK1" s="1"/>
      <c r="CUL1" s="1"/>
      <c r="CUM1" s="1"/>
      <c r="CUN1" s="1"/>
      <c r="CUO1" s="1"/>
      <c r="CUP1" s="1"/>
      <c r="CUQ1" s="1"/>
      <c r="CUR1" s="1"/>
      <c r="CUS1" s="1"/>
      <c r="CUT1" s="1"/>
      <c r="CUU1" s="1"/>
      <c r="CUV1" s="1"/>
      <c r="CUW1" s="1"/>
      <c r="CUX1" s="1"/>
      <c r="CUY1" s="1"/>
      <c r="CUZ1" s="1"/>
      <c r="CVA1" s="1"/>
      <c r="CVB1" s="1"/>
      <c r="CVC1" s="1"/>
      <c r="CVD1" s="1"/>
      <c r="CVE1" s="1"/>
      <c r="CVF1" s="1"/>
      <c r="CVG1" s="1"/>
      <c r="CVH1" s="1"/>
      <c r="CVI1" s="1"/>
      <c r="CVJ1" s="1"/>
      <c r="CVK1" s="1"/>
      <c r="CVL1" s="1"/>
      <c r="CVM1" s="1"/>
      <c r="CVN1" s="1"/>
      <c r="CVO1" s="1"/>
      <c r="CVP1" s="1"/>
      <c r="CVQ1" s="1"/>
      <c r="CVR1" s="1"/>
      <c r="CVS1" s="1"/>
      <c r="CVT1" s="1"/>
      <c r="CVU1" s="1"/>
      <c r="CVV1" s="1"/>
      <c r="CVW1" s="1"/>
      <c r="CVX1" s="1"/>
      <c r="CVY1" s="1"/>
      <c r="CVZ1" s="1"/>
      <c r="CWA1" s="1"/>
      <c r="CWB1" s="1"/>
      <c r="CWC1" s="1"/>
      <c r="CWD1" s="1"/>
      <c r="CWE1" s="1"/>
      <c r="CWF1" s="1"/>
      <c r="CWG1" s="1"/>
      <c r="CWH1" s="1"/>
      <c r="CWI1" s="1"/>
      <c r="CWJ1" s="1"/>
      <c r="CWK1" s="1"/>
      <c r="CWL1" s="1"/>
      <c r="CWM1" s="1"/>
      <c r="CWN1" s="1"/>
      <c r="CWO1" s="1"/>
      <c r="CWP1" s="1"/>
      <c r="CWQ1" s="1"/>
      <c r="CWR1" s="1"/>
      <c r="CWS1" s="1"/>
      <c r="CWT1" s="1"/>
      <c r="CWU1" s="1"/>
      <c r="CWV1" s="1"/>
      <c r="CWW1" s="1"/>
      <c r="CWX1" s="1"/>
      <c r="CWY1" s="1"/>
      <c r="CWZ1" s="1"/>
      <c r="CXA1" s="1"/>
      <c r="CXB1" s="1"/>
      <c r="CXC1" s="1"/>
      <c r="CXD1" s="1"/>
      <c r="CXE1" s="1"/>
      <c r="CXF1" s="1"/>
      <c r="CXG1" s="1"/>
      <c r="CXH1" s="1"/>
      <c r="CXI1" s="1"/>
      <c r="CXJ1" s="1"/>
      <c r="CXK1" s="1"/>
      <c r="CXL1" s="1"/>
      <c r="CXM1" s="1"/>
      <c r="CXN1" s="1"/>
      <c r="CXO1" s="1"/>
      <c r="CXP1" s="1"/>
      <c r="CXQ1" s="1"/>
      <c r="CXR1" s="1"/>
      <c r="CXS1" s="1"/>
      <c r="CXT1" s="1"/>
      <c r="CXU1" s="1"/>
      <c r="CXV1" s="1"/>
      <c r="CXW1" s="1"/>
      <c r="CXX1" s="1"/>
      <c r="CXY1" s="1"/>
      <c r="CXZ1" s="1"/>
      <c r="CYA1" s="1"/>
      <c r="CYB1" s="1"/>
      <c r="CYC1" s="1"/>
      <c r="CYD1" s="1"/>
      <c r="CYE1" s="1"/>
      <c r="CYF1" s="1"/>
      <c r="CYG1" s="1"/>
      <c r="CYH1" s="1"/>
      <c r="CYI1" s="1"/>
      <c r="CYJ1" s="1"/>
      <c r="CYK1" s="1"/>
      <c r="CYL1" s="1"/>
      <c r="CYM1" s="1"/>
      <c r="CYN1" s="1"/>
      <c r="CYO1" s="1"/>
      <c r="CYP1" s="1"/>
      <c r="CYQ1" s="1"/>
      <c r="CYR1" s="1"/>
      <c r="CYS1" s="1"/>
      <c r="CYT1" s="1"/>
      <c r="CYU1" s="1"/>
      <c r="CYV1" s="1"/>
      <c r="CYW1" s="1"/>
      <c r="CYX1" s="1"/>
      <c r="CYY1" s="1"/>
      <c r="CYZ1" s="1"/>
      <c r="CZA1" s="1"/>
      <c r="CZB1" s="1"/>
      <c r="CZC1" s="1"/>
      <c r="CZD1" s="1"/>
      <c r="CZE1" s="1"/>
      <c r="CZF1" s="1"/>
      <c r="CZG1" s="1"/>
      <c r="CZH1" s="1"/>
      <c r="CZI1" s="1"/>
      <c r="CZJ1" s="1"/>
      <c r="CZK1" s="1"/>
      <c r="CZL1" s="1"/>
      <c r="CZM1" s="1"/>
      <c r="CZN1" s="1"/>
      <c r="CZO1" s="1"/>
      <c r="CZP1" s="1"/>
      <c r="CZQ1" s="1"/>
      <c r="CZR1" s="1"/>
      <c r="CZS1" s="1"/>
      <c r="CZT1" s="1"/>
      <c r="CZU1" s="1"/>
      <c r="CZV1" s="1"/>
      <c r="CZW1" s="1"/>
      <c r="CZX1" s="1"/>
      <c r="CZY1" s="1"/>
      <c r="CZZ1" s="1"/>
      <c r="DAA1" s="1"/>
      <c r="DAB1" s="1"/>
      <c r="DAC1" s="1"/>
      <c r="DAD1" s="1"/>
      <c r="DAE1" s="1"/>
      <c r="DAF1" s="1"/>
      <c r="DAG1" s="1"/>
      <c r="DAH1" s="1"/>
      <c r="DAI1" s="1"/>
      <c r="DAJ1" s="1"/>
      <c r="DAK1" s="1"/>
      <c r="DAL1" s="1"/>
      <c r="DAM1" s="1"/>
      <c r="DAN1" s="1"/>
      <c r="DAO1" s="1"/>
      <c r="DAP1" s="1"/>
      <c r="DAQ1" s="1"/>
      <c r="DAR1" s="1"/>
      <c r="DAS1" s="1"/>
      <c r="DAT1" s="1"/>
      <c r="DAU1" s="1"/>
      <c r="DAV1" s="1"/>
      <c r="DAW1" s="1"/>
      <c r="DAX1" s="1"/>
      <c r="DAY1" s="1"/>
      <c r="DAZ1" s="1"/>
      <c r="DBA1" s="1"/>
      <c r="DBB1" s="1"/>
      <c r="DBC1" s="1"/>
      <c r="DBD1" s="1"/>
      <c r="DBE1" s="1"/>
      <c r="DBF1" s="1"/>
      <c r="DBG1" s="1"/>
      <c r="DBH1" s="1"/>
      <c r="DBI1" s="1"/>
      <c r="DBJ1" s="1"/>
      <c r="DBK1" s="1"/>
      <c r="DBL1" s="1"/>
      <c r="DBM1" s="1"/>
      <c r="DBN1" s="1"/>
      <c r="DBO1" s="1"/>
      <c r="DBP1" s="1"/>
      <c r="DBQ1" s="1"/>
      <c r="DBR1" s="1"/>
      <c r="DBS1" s="1"/>
      <c r="DBT1" s="1"/>
      <c r="DBU1" s="1"/>
      <c r="DBV1" s="1"/>
      <c r="DBW1" s="1"/>
      <c r="DBX1" s="1"/>
      <c r="DBY1" s="1"/>
      <c r="DBZ1" s="1"/>
      <c r="DCA1" s="1"/>
      <c r="DCB1" s="1"/>
      <c r="DCC1" s="1"/>
      <c r="DCD1" s="1"/>
      <c r="DCE1" s="1"/>
      <c r="DCF1" s="1"/>
      <c r="DCG1" s="1"/>
      <c r="DCH1" s="1"/>
      <c r="DCI1" s="1"/>
      <c r="DCJ1" s="1"/>
      <c r="DCK1" s="1"/>
      <c r="DCL1" s="1"/>
      <c r="DCM1" s="1"/>
      <c r="DCN1" s="1"/>
      <c r="DCO1" s="1"/>
      <c r="DCP1" s="1"/>
      <c r="DCQ1" s="1"/>
      <c r="DCR1" s="1"/>
      <c r="DCS1" s="1"/>
      <c r="DCT1" s="1"/>
      <c r="DCU1" s="1"/>
      <c r="DCV1" s="1"/>
      <c r="DCW1" s="1"/>
      <c r="DCX1" s="1"/>
      <c r="DCY1" s="1"/>
      <c r="DCZ1" s="1"/>
      <c r="DDA1" s="1"/>
      <c r="DDB1" s="1"/>
      <c r="DDC1" s="1"/>
      <c r="DDD1" s="1"/>
      <c r="DDE1" s="1"/>
      <c r="DDF1" s="1"/>
      <c r="DDG1" s="1"/>
      <c r="DDH1" s="1"/>
      <c r="DDI1" s="1"/>
      <c r="DDJ1" s="1"/>
      <c r="DDK1" s="1"/>
      <c r="DDL1" s="1"/>
      <c r="DDM1" s="1"/>
      <c r="DDN1" s="1"/>
      <c r="DDO1" s="1"/>
      <c r="DDP1" s="1"/>
      <c r="DDQ1" s="1"/>
      <c r="DDR1" s="1"/>
      <c r="DDS1" s="1"/>
      <c r="DDT1" s="1"/>
      <c r="DDU1" s="1"/>
      <c r="DDV1" s="1"/>
      <c r="DDW1" s="1"/>
      <c r="DDX1" s="1"/>
      <c r="DDY1" s="1"/>
      <c r="DDZ1" s="1"/>
      <c r="DEA1" s="1"/>
      <c r="DEB1" s="1"/>
      <c r="DEC1" s="1"/>
      <c r="DED1" s="1"/>
      <c r="DEE1" s="1"/>
      <c r="DEF1" s="1"/>
      <c r="DEG1" s="1"/>
      <c r="DEH1" s="1"/>
      <c r="DEI1" s="1"/>
      <c r="DEJ1" s="1"/>
      <c r="DEK1" s="1"/>
      <c r="DEL1" s="1"/>
      <c r="DEM1" s="1"/>
      <c r="DEN1" s="1"/>
      <c r="DEO1" s="1"/>
      <c r="DEP1" s="1"/>
      <c r="DEQ1" s="1"/>
      <c r="DER1" s="1"/>
      <c r="DES1" s="1"/>
      <c r="DET1" s="1"/>
      <c r="DEU1" s="1"/>
      <c r="DEV1" s="1"/>
      <c r="DEW1" s="1"/>
      <c r="DEX1" s="1"/>
      <c r="DEY1" s="1"/>
      <c r="DEZ1" s="1"/>
      <c r="DFA1" s="1"/>
      <c r="DFB1" s="1"/>
      <c r="DFC1" s="1"/>
      <c r="DFD1" s="1"/>
      <c r="DFE1" s="1"/>
      <c r="DFF1" s="1"/>
      <c r="DFG1" s="1"/>
      <c r="DFH1" s="1"/>
      <c r="DFI1" s="1"/>
      <c r="DFJ1" s="1"/>
      <c r="DFK1" s="1"/>
      <c r="DFL1" s="1"/>
      <c r="DFM1" s="1"/>
      <c r="DFN1" s="1"/>
      <c r="DFO1" s="1"/>
      <c r="DFP1" s="1"/>
      <c r="DFQ1" s="1"/>
      <c r="DFR1" s="1"/>
      <c r="DFS1" s="1"/>
      <c r="DFT1" s="1"/>
      <c r="DFU1" s="1"/>
      <c r="DFV1" s="1"/>
      <c r="DFW1" s="1"/>
      <c r="DFX1" s="1"/>
      <c r="DFY1" s="1"/>
      <c r="DFZ1" s="1"/>
      <c r="DGA1" s="1"/>
      <c r="DGB1" s="1"/>
      <c r="DGC1" s="1"/>
      <c r="DGD1" s="1"/>
      <c r="DGE1" s="1"/>
      <c r="DGF1" s="1"/>
      <c r="DGG1" s="1"/>
      <c r="DGH1" s="1"/>
      <c r="DGI1" s="1"/>
      <c r="DGJ1" s="1"/>
      <c r="DGK1" s="1"/>
      <c r="DGL1" s="1"/>
      <c r="DGM1" s="1"/>
      <c r="DGN1" s="1"/>
      <c r="DGO1" s="1"/>
      <c r="DGP1" s="1"/>
      <c r="DGQ1" s="1"/>
      <c r="DGR1" s="1"/>
      <c r="DGS1" s="1"/>
      <c r="DGT1" s="1"/>
      <c r="DGU1" s="1"/>
      <c r="DGV1" s="1"/>
      <c r="DGW1" s="1"/>
      <c r="DGX1" s="1"/>
      <c r="DGY1" s="1"/>
      <c r="DGZ1" s="1"/>
      <c r="DHA1" s="1"/>
      <c r="DHB1" s="1"/>
      <c r="DHC1" s="1"/>
      <c r="DHD1" s="1"/>
      <c r="DHE1" s="1"/>
      <c r="DHF1" s="1"/>
      <c r="DHG1" s="1"/>
      <c r="DHH1" s="1"/>
      <c r="DHI1" s="1"/>
      <c r="DHJ1" s="1"/>
      <c r="DHK1" s="1"/>
      <c r="DHL1" s="1"/>
      <c r="DHM1" s="1"/>
      <c r="DHN1" s="1"/>
      <c r="DHO1" s="1"/>
      <c r="DHP1" s="1"/>
      <c r="DHQ1" s="1"/>
      <c r="DHR1" s="1"/>
      <c r="DHS1" s="1"/>
      <c r="DHT1" s="1"/>
      <c r="DHU1" s="1"/>
      <c r="DHV1" s="1"/>
      <c r="DHW1" s="1"/>
      <c r="DHX1" s="1"/>
      <c r="DHY1" s="1"/>
      <c r="DHZ1" s="1"/>
      <c r="DIA1" s="1"/>
      <c r="DIB1" s="1"/>
      <c r="DIC1" s="1"/>
      <c r="DID1" s="1"/>
      <c r="DIE1" s="1"/>
      <c r="DIF1" s="1"/>
      <c r="DIG1" s="1"/>
      <c r="DIH1" s="1"/>
      <c r="DII1" s="1"/>
      <c r="DIJ1" s="1"/>
      <c r="DIK1" s="1"/>
      <c r="DIL1" s="1"/>
      <c r="DIM1" s="1"/>
      <c r="DIN1" s="1"/>
      <c r="DIO1" s="1"/>
      <c r="DIP1" s="1"/>
      <c r="DIQ1" s="1"/>
      <c r="DIR1" s="1"/>
      <c r="DIS1" s="1"/>
      <c r="DIT1" s="1"/>
      <c r="DIU1" s="1"/>
      <c r="DIV1" s="1"/>
      <c r="DIW1" s="1"/>
      <c r="DIX1" s="1"/>
      <c r="DIY1" s="1"/>
      <c r="DIZ1" s="1"/>
      <c r="DJA1" s="1"/>
      <c r="DJB1" s="1"/>
      <c r="DJC1" s="1"/>
      <c r="DJD1" s="1"/>
      <c r="DJE1" s="1"/>
      <c r="DJF1" s="1"/>
      <c r="DJG1" s="1"/>
      <c r="DJH1" s="1"/>
      <c r="DJI1" s="1"/>
      <c r="DJJ1" s="1"/>
      <c r="DJK1" s="1"/>
      <c r="DJL1" s="1"/>
      <c r="DJM1" s="1"/>
      <c r="DJN1" s="1"/>
      <c r="DJO1" s="1"/>
      <c r="DJP1" s="1"/>
      <c r="DJQ1" s="1"/>
      <c r="DJR1" s="1"/>
      <c r="DJS1" s="1"/>
      <c r="DJT1" s="1"/>
      <c r="DJU1" s="1"/>
      <c r="DJV1" s="1"/>
      <c r="DJW1" s="1"/>
      <c r="DJX1" s="1"/>
      <c r="DJY1" s="1"/>
      <c r="DJZ1" s="1"/>
      <c r="DKA1" s="1"/>
      <c r="DKB1" s="1"/>
      <c r="DKC1" s="1"/>
      <c r="DKD1" s="1"/>
      <c r="DKE1" s="1"/>
      <c r="DKF1" s="1"/>
      <c r="DKG1" s="1"/>
      <c r="DKH1" s="1"/>
      <c r="DKI1" s="1"/>
      <c r="DKJ1" s="1"/>
      <c r="DKK1" s="1"/>
      <c r="DKL1" s="1"/>
      <c r="DKM1" s="1"/>
      <c r="DKN1" s="1"/>
      <c r="DKO1" s="1"/>
      <c r="DKP1" s="1"/>
      <c r="DKQ1" s="1"/>
      <c r="DKR1" s="1"/>
      <c r="DKS1" s="1"/>
      <c r="DKT1" s="1"/>
      <c r="DKU1" s="1"/>
      <c r="DKV1" s="1"/>
      <c r="DKW1" s="1"/>
      <c r="DKX1" s="1"/>
      <c r="DKY1" s="1"/>
      <c r="DKZ1" s="1"/>
      <c r="DLA1" s="1"/>
      <c r="DLB1" s="1"/>
      <c r="DLC1" s="1"/>
      <c r="DLD1" s="1"/>
      <c r="DLE1" s="1"/>
      <c r="DLF1" s="1"/>
      <c r="DLG1" s="1"/>
      <c r="DLH1" s="1"/>
      <c r="DLI1" s="1"/>
      <c r="DLJ1" s="1"/>
      <c r="DLK1" s="1"/>
      <c r="DLL1" s="1"/>
      <c r="DLM1" s="1"/>
      <c r="DLN1" s="1"/>
      <c r="DLO1" s="1"/>
      <c r="DLP1" s="1"/>
      <c r="DLQ1" s="1"/>
      <c r="DLR1" s="1"/>
      <c r="DLS1" s="1"/>
      <c r="DLT1" s="1"/>
      <c r="DLU1" s="1"/>
      <c r="DLV1" s="1"/>
      <c r="DLW1" s="1"/>
      <c r="DLX1" s="1"/>
      <c r="DLY1" s="1"/>
      <c r="DLZ1" s="1"/>
      <c r="DMA1" s="1"/>
      <c r="DMB1" s="1"/>
      <c r="DMC1" s="1"/>
      <c r="DMD1" s="1"/>
      <c r="DME1" s="1"/>
      <c r="DMF1" s="1"/>
      <c r="DMG1" s="1"/>
      <c r="DMH1" s="1"/>
      <c r="DMI1" s="1"/>
      <c r="DMJ1" s="1"/>
      <c r="DMK1" s="1"/>
      <c r="DML1" s="1"/>
      <c r="DMM1" s="1"/>
      <c r="DMN1" s="1"/>
      <c r="DMO1" s="1"/>
      <c r="DMP1" s="1"/>
      <c r="DMQ1" s="1"/>
      <c r="DMR1" s="1"/>
      <c r="DMS1" s="1"/>
      <c r="DMT1" s="1"/>
      <c r="DMU1" s="1"/>
      <c r="DMV1" s="1"/>
      <c r="DMW1" s="1"/>
      <c r="DMX1" s="1"/>
      <c r="DMY1" s="1"/>
      <c r="DMZ1" s="1"/>
      <c r="DNA1" s="1"/>
      <c r="DNB1" s="1"/>
      <c r="DNC1" s="1"/>
      <c r="DND1" s="1"/>
      <c r="DNE1" s="1"/>
      <c r="DNF1" s="1"/>
      <c r="DNG1" s="1"/>
      <c r="DNH1" s="1"/>
      <c r="DNI1" s="1"/>
      <c r="DNJ1" s="1"/>
      <c r="DNK1" s="1"/>
      <c r="DNL1" s="1"/>
      <c r="DNM1" s="1"/>
      <c r="DNN1" s="1"/>
      <c r="DNO1" s="1"/>
      <c r="DNP1" s="1"/>
      <c r="DNQ1" s="1"/>
      <c r="DNR1" s="1"/>
      <c r="DNS1" s="1"/>
      <c r="DNT1" s="1"/>
      <c r="DNU1" s="1"/>
      <c r="DNV1" s="1"/>
      <c r="DNW1" s="1"/>
      <c r="DNX1" s="1"/>
      <c r="DNY1" s="1"/>
      <c r="DNZ1" s="1"/>
      <c r="DOA1" s="1"/>
      <c r="DOB1" s="1"/>
      <c r="DOC1" s="1"/>
      <c r="DOD1" s="1"/>
      <c r="DOE1" s="1"/>
      <c r="DOF1" s="1"/>
      <c r="DOG1" s="1"/>
      <c r="DOH1" s="1"/>
      <c r="DOI1" s="1"/>
      <c r="DOJ1" s="1"/>
      <c r="DOK1" s="1"/>
      <c r="DOL1" s="1"/>
      <c r="DOM1" s="1"/>
      <c r="DON1" s="1"/>
      <c r="DOO1" s="1"/>
      <c r="DOP1" s="1"/>
      <c r="DOQ1" s="1"/>
      <c r="DOR1" s="1"/>
      <c r="DOS1" s="1"/>
      <c r="DOT1" s="1"/>
      <c r="DOU1" s="1"/>
      <c r="DOV1" s="1"/>
      <c r="DOW1" s="1"/>
      <c r="DOX1" s="1"/>
      <c r="DOY1" s="1"/>
      <c r="DOZ1" s="1"/>
      <c r="DPA1" s="1"/>
      <c r="DPB1" s="1"/>
      <c r="DPC1" s="1"/>
      <c r="DPD1" s="1"/>
      <c r="DPE1" s="1"/>
      <c r="DPF1" s="1"/>
      <c r="DPG1" s="1"/>
      <c r="DPH1" s="1"/>
      <c r="DPI1" s="1"/>
      <c r="DPJ1" s="1"/>
      <c r="DPK1" s="1"/>
      <c r="DPL1" s="1"/>
      <c r="DPM1" s="1"/>
      <c r="DPN1" s="1"/>
      <c r="DPO1" s="1"/>
      <c r="DPP1" s="1"/>
      <c r="DPQ1" s="1"/>
      <c r="DPR1" s="1"/>
      <c r="DPS1" s="1"/>
      <c r="DPT1" s="1"/>
      <c r="DPU1" s="1"/>
      <c r="DPV1" s="1"/>
      <c r="DPW1" s="1"/>
      <c r="DPX1" s="1"/>
      <c r="DPY1" s="1"/>
      <c r="DPZ1" s="1"/>
      <c r="DQA1" s="1"/>
      <c r="DQB1" s="1"/>
      <c r="DQC1" s="1"/>
      <c r="DQD1" s="1"/>
      <c r="DQE1" s="1"/>
      <c r="DQF1" s="1"/>
      <c r="DQG1" s="1"/>
      <c r="DQH1" s="1"/>
      <c r="DQI1" s="1"/>
      <c r="DQJ1" s="1"/>
      <c r="DQK1" s="1"/>
      <c r="DQL1" s="1"/>
      <c r="DQM1" s="1"/>
      <c r="DQN1" s="1"/>
      <c r="DQO1" s="1"/>
      <c r="DQP1" s="1"/>
      <c r="DQQ1" s="1"/>
      <c r="DQR1" s="1"/>
      <c r="DQS1" s="1"/>
      <c r="DQT1" s="1"/>
      <c r="DQU1" s="1"/>
      <c r="DQV1" s="1"/>
      <c r="DQW1" s="1"/>
      <c r="DQX1" s="1"/>
      <c r="DQY1" s="1"/>
      <c r="DQZ1" s="1"/>
      <c r="DRA1" s="1"/>
      <c r="DRB1" s="1"/>
      <c r="DRC1" s="1"/>
      <c r="DRD1" s="1"/>
      <c r="DRE1" s="1"/>
      <c r="DRF1" s="1"/>
      <c r="DRG1" s="1"/>
      <c r="DRH1" s="1"/>
      <c r="DRI1" s="1"/>
      <c r="DRJ1" s="1"/>
      <c r="DRK1" s="1"/>
      <c r="DRL1" s="1"/>
      <c r="DRM1" s="1"/>
      <c r="DRN1" s="1"/>
      <c r="DRO1" s="1"/>
      <c r="DRP1" s="1"/>
      <c r="DRQ1" s="1"/>
      <c r="DRR1" s="1"/>
      <c r="DRS1" s="1"/>
      <c r="DRT1" s="1"/>
      <c r="DRU1" s="1"/>
      <c r="DRV1" s="1"/>
      <c r="DRW1" s="1"/>
      <c r="DRX1" s="1"/>
      <c r="DRY1" s="1"/>
      <c r="DRZ1" s="1"/>
      <c r="DSA1" s="1"/>
      <c r="DSB1" s="1"/>
      <c r="DSC1" s="1"/>
      <c r="DSD1" s="1"/>
      <c r="DSE1" s="1"/>
      <c r="DSF1" s="1"/>
      <c r="DSG1" s="1"/>
      <c r="DSH1" s="1"/>
      <c r="DSI1" s="1"/>
      <c r="DSJ1" s="1"/>
      <c r="DSK1" s="1"/>
      <c r="DSL1" s="1"/>
      <c r="DSM1" s="1"/>
      <c r="DSN1" s="1"/>
      <c r="DSO1" s="1"/>
      <c r="DSP1" s="1"/>
      <c r="DSQ1" s="1"/>
      <c r="DSR1" s="1"/>
      <c r="DSS1" s="1"/>
      <c r="DST1" s="1"/>
      <c r="DSU1" s="1"/>
      <c r="DSV1" s="1"/>
      <c r="DSW1" s="1"/>
      <c r="DSX1" s="1"/>
      <c r="DSY1" s="1"/>
      <c r="DSZ1" s="1"/>
      <c r="DTA1" s="1"/>
      <c r="DTB1" s="1"/>
      <c r="DTC1" s="1"/>
      <c r="DTD1" s="1"/>
      <c r="DTE1" s="1"/>
      <c r="DTF1" s="1"/>
      <c r="DTG1" s="1"/>
      <c r="DTH1" s="1"/>
      <c r="DTI1" s="1"/>
      <c r="DTJ1" s="1"/>
      <c r="DTK1" s="1"/>
      <c r="DTL1" s="1"/>
      <c r="DTM1" s="1"/>
      <c r="DTN1" s="1"/>
      <c r="DTO1" s="1"/>
      <c r="DTP1" s="1"/>
      <c r="DTQ1" s="1"/>
      <c r="DTR1" s="1"/>
      <c r="DTS1" s="1"/>
      <c r="DTT1" s="1"/>
      <c r="DTU1" s="1"/>
      <c r="DTV1" s="1"/>
      <c r="DTW1" s="1"/>
      <c r="DTX1" s="1"/>
      <c r="DTY1" s="1"/>
      <c r="DTZ1" s="1"/>
      <c r="DUA1" s="1"/>
      <c r="DUB1" s="1"/>
      <c r="DUC1" s="1"/>
      <c r="DUD1" s="1"/>
      <c r="DUE1" s="1"/>
      <c r="DUF1" s="1"/>
      <c r="DUG1" s="1"/>
      <c r="DUH1" s="1"/>
      <c r="DUI1" s="1"/>
      <c r="DUJ1" s="1"/>
      <c r="DUK1" s="1"/>
      <c r="DUL1" s="1"/>
      <c r="DUM1" s="1"/>
      <c r="DUN1" s="1"/>
      <c r="DUO1" s="1"/>
      <c r="DUP1" s="1"/>
      <c r="DUQ1" s="1"/>
      <c r="DUR1" s="1"/>
      <c r="DUS1" s="1"/>
      <c r="DUT1" s="1"/>
      <c r="DUU1" s="1"/>
      <c r="DUV1" s="1"/>
      <c r="DUW1" s="1"/>
      <c r="DUX1" s="1"/>
      <c r="DUY1" s="1"/>
      <c r="DUZ1" s="1"/>
      <c r="DVA1" s="1"/>
      <c r="DVB1" s="1"/>
      <c r="DVC1" s="1"/>
      <c r="DVD1" s="1"/>
      <c r="DVE1" s="1"/>
      <c r="DVF1" s="1"/>
      <c r="DVG1" s="1"/>
      <c r="DVH1" s="1"/>
      <c r="DVI1" s="1"/>
      <c r="DVJ1" s="1"/>
      <c r="DVK1" s="1"/>
      <c r="DVL1" s="1"/>
      <c r="DVM1" s="1"/>
      <c r="DVN1" s="1"/>
      <c r="DVO1" s="1"/>
      <c r="DVP1" s="1"/>
      <c r="DVQ1" s="1"/>
      <c r="DVR1" s="1"/>
      <c r="DVS1" s="1"/>
      <c r="DVT1" s="1"/>
      <c r="DVU1" s="1"/>
      <c r="DVV1" s="1"/>
      <c r="DVW1" s="1"/>
      <c r="DVX1" s="1"/>
      <c r="DVY1" s="1"/>
      <c r="DVZ1" s="1"/>
      <c r="DWA1" s="1"/>
      <c r="DWB1" s="1"/>
      <c r="DWC1" s="1"/>
      <c r="DWD1" s="1"/>
      <c r="DWE1" s="1"/>
      <c r="DWF1" s="1"/>
      <c r="DWG1" s="1"/>
      <c r="DWH1" s="1"/>
      <c r="DWI1" s="1"/>
      <c r="DWJ1" s="1"/>
      <c r="DWK1" s="1"/>
      <c r="DWL1" s="1"/>
      <c r="DWM1" s="1"/>
      <c r="DWN1" s="1"/>
      <c r="DWO1" s="1"/>
      <c r="DWP1" s="1"/>
      <c r="DWQ1" s="1"/>
      <c r="DWR1" s="1"/>
      <c r="DWS1" s="1"/>
      <c r="DWT1" s="1"/>
      <c r="DWU1" s="1"/>
      <c r="DWV1" s="1"/>
      <c r="DWW1" s="1"/>
      <c r="DWX1" s="1"/>
      <c r="DWY1" s="1"/>
      <c r="DWZ1" s="1"/>
      <c r="DXA1" s="1"/>
      <c r="DXB1" s="1"/>
      <c r="DXC1" s="1"/>
      <c r="DXD1" s="1"/>
      <c r="DXE1" s="1"/>
      <c r="DXF1" s="1"/>
      <c r="DXG1" s="1"/>
      <c r="DXH1" s="1"/>
      <c r="DXI1" s="1"/>
      <c r="DXJ1" s="1"/>
      <c r="DXK1" s="1"/>
      <c r="DXL1" s="1"/>
      <c r="DXM1" s="1"/>
      <c r="DXN1" s="1"/>
      <c r="DXO1" s="1"/>
      <c r="DXP1" s="1"/>
      <c r="DXQ1" s="1"/>
      <c r="DXR1" s="1"/>
      <c r="DXS1" s="1"/>
      <c r="DXT1" s="1"/>
      <c r="DXU1" s="1"/>
      <c r="DXV1" s="1"/>
      <c r="DXW1" s="1"/>
      <c r="DXX1" s="1"/>
      <c r="DXY1" s="1"/>
      <c r="DXZ1" s="1"/>
      <c r="DYA1" s="1"/>
      <c r="DYB1" s="1"/>
      <c r="DYC1" s="1"/>
      <c r="DYD1" s="1"/>
      <c r="DYE1" s="1"/>
      <c r="DYF1" s="1"/>
      <c r="DYG1" s="1"/>
      <c r="DYH1" s="1"/>
      <c r="DYI1" s="1"/>
      <c r="DYJ1" s="1"/>
      <c r="DYK1" s="1"/>
      <c r="DYL1" s="1"/>
      <c r="DYM1" s="1"/>
      <c r="DYN1" s="1"/>
      <c r="DYO1" s="1"/>
      <c r="DYP1" s="1"/>
      <c r="DYQ1" s="1"/>
      <c r="DYR1" s="1"/>
      <c r="DYS1" s="1"/>
      <c r="DYT1" s="1"/>
      <c r="DYU1" s="1"/>
      <c r="DYV1" s="1"/>
      <c r="DYW1" s="1"/>
      <c r="DYX1" s="1"/>
      <c r="DYY1" s="1"/>
      <c r="DYZ1" s="1"/>
      <c r="DZA1" s="1"/>
      <c r="DZB1" s="1"/>
      <c r="DZC1" s="1"/>
      <c r="DZD1" s="1"/>
      <c r="DZE1" s="1"/>
      <c r="DZF1" s="1"/>
      <c r="DZG1" s="1"/>
      <c r="DZH1" s="1"/>
      <c r="DZI1" s="1"/>
      <c r="DZJ1" s="1"/>
      <c r="DZK1" s="1"/>
      <c r="DZL1" s="1"/>
      <c r="DZM1" s="1"/>
      <c r="DZN1" s="1"/>
      <c r="DZO1" s="1"/>
      <c r="DZP1" s="1"/>
      <c r="DZQ1" s="1"/>
      <c r="DZR1" s="1"/>
      <c r="DZS1" s="1"/>
      <c r="DZT1" s="1"/>
      <c r="DZU1" s="1"/>
      <c r="DZV1" s="1"/>
      <c r="DZW1" s="1"/>
      <c r="DZX1" s="1"/>
      <c r="DZY1" s="1"/>
      <c r="DZZ1" s="1"/>
      <c r="EAA1" s="1"/>
      <c r="EAB1" s="1"/>
      <c r="EAC1" s="1"/>
      <c r="EAD1" s="1"/>
      <c r="EAE1" s="1"/>
      <c r="EAF1" s="1"/>
      <c r="EAG1" s="1"/>
      <c r="EAH1" s="1"/>
      <c r="EAI1" s="1"/>
      <c r="EAJ1" s="1"/>
      <c r="EAK1" s="1"/>
      <c r="EAL1" s="1"/>
      <c r="EAM1" s="1"/>
      <c r="EAN1" s="1"/>
      <c r="EAO1" s="1"/>
      <c r="EAP1" s="1"/>
      <c r="EAQ1" s="1"/>
      <c r="EAR1" s="1"/>
      <c r="EAS1" s="1"/>
      <c r="EAT1" s="1"/>
      <c r="EAU1" s="1"/>
      <c r="EAV1" s="1"/>
      <c r="EAW1" s="1"/>
      <c r="EAX1" s="1"/>
      <c r="EAY1" s="1"/>
      <c r="EAZ1" s="1"/>
      <c r="EBA1" s="1"/>
      <c r="EBB1" s="1"/>
      <c r="EBC1" s="1"/>
      <c r="EBD1" s="1"/>
      <c r="EBE1" s="1"/>
      <c r="EBF1" s="1"/>
      <c r="EBG1" s="1"/>
      <c r="EBH1" s="1"/>
      <c r="EBI1" s="1"/>
      <c r="EBJ1" s="1"/>
      <c r="EBK1" s="1"/>
      <c r="EBL1" s="1"/>
      <c r="EBM1" s="1"/>
      <c r="EBN1" s="1"/>
      <c r="EBO1" s="1"/>
      <c r="EBP1" s="1"/>
      <c r="EBQ1" s="1"/>
      <c r="EBR1" s="1"/>
      <c r="EBS1" s="1"/>
      <c r="EBT1" s="1"/>
      <c r="EBU1" s="1"/>
      <c r="EBV1" s="1"/>
      <c r="EBW1" s="1"/>
      <c r="EBX1" s="1"/>
      <c r="EBY1" s="1"/>
      <c r="EBZ1" s="1"/>
      <c r="ECA1" s="1"/>
      <c r="ECB1" s="1"/>
      <c r="ECC1" s="1"/>
      <c r="ECD1" s="1"/>
      <c r="ECE1" s="1"/>
      <c r="ECF1" s="1"/>
      <c r="ECG1" s="1"/>
      <c r="ECH1" s="1"/>
      <c r="ECI1" s="1"/>
      <c r="ECJ1" s="1"/>
      <c r="ECK1" s="1"/>
      <c r="ECL1" s="1"/>
      <c r="ECM1" s="1"/>
      <c r="ECN1" s="1"/>
      <c r="ECO1" s="1"/>
      <c r="ECP1" s="1"/>
      <c r="ECQ1" s="1"/>
      <c r="ECR1" s="1"/>
      <c r="ECS1" s="1"/>
      <c r="ECT1" s="1"/>
      <c r="ECU1" s="1"/>
      <c r="ECV1" s="1"/>
      <c r="ECW1" s="1"/>
      <c r="ECX1" s="1"/>
      <c r="ECY1" s="1"/>
      <c r="ECZ1" s="1"/>
      <c r="EDA1" s="1"/>
      <c r="EDB1" s="1"/>
      <c r="EDC1" s="1"/>
      <c r="EDD1" s="1"/>
      <c r="EDE1" s="1"/>
      <c r="EDF1" s="1"/>
      <c r="EDG1" s="1"/>
      <c r="EDH1" s="1"/>
      <c r="EDI1" s="1"/>
      <c r="EDJ1" s="1"/>
      <c r="EDK1" s="1"/>
      <c r="EDL1" s="1"/>
      <c r="EDM1" s="1"/>
      <c r="EDN1" s="1"/>
      <c r="EDO1" s="1"/>
      <c r="EDP1" s="1"/>
      <c r="EDQ1" s="1"/>
      <c r="EDR1" s="1"/>
      <c r="EDS1" s="1"/>
      <c r="EDT1" s="1"/>
      <c r="EDU1" s="1"/>
      <c r="EDV1" s="1"/>
      <c r="EDW1" s="1"/>
      <c r="EDX1" s="1"/>
      <c r="EDY1" s="1"/>
      <c r="EDZ1" s="1"/>
      <c r="EEA1" s="1"/>
      <c r="EEB1" s="1"/>
      <c r="EEC1" s="1"/>
      <c r="EED1" s="1"/>
      <c r="EEE1" s="1"/>
      <c r="EEF1" s="1"/>
      <c r="EEG1" s="1"/>
      <c r="EEH1" s="1"/>
      <c r="EEI1" s="1"/>
      <c r="EEJ1" s="1"/>
      <c r="EEK1" s="1"/>
      <c r="EEL1" s="1"/>
      <c r="EEM1" s="1"/>
      <c r="EEN1" s="1"/>
      <c r="EEO1" s="1"/>
      <c r="EEP1" s="1"/>
      <c r="EEQ1" s="1"/>
      <c r="EER1" s="1"/>
      <c r="EES1" s="1"/>
      <c r="EET1" s="1"/>
      <c r="EEU1" s="1"/>
      <c r="EEV1" s="1"/>
      <c r="EEW1" s="1"/>
      <c r="EEX1" s="1"/>
      <c r="EEY1" s="1"/>
      <c r="EEZ1" s="1"/>
      <c r="EFA1" s="1"/>
      <c r="EFB1" s="1"/>
      <c r="EFC1" s="1"/>
      <c r="EFD1" s="1"/>
      <c r="EFE1" s="1"/>
      <c r="EFF1" s="1"/>
      <c r="EFG1" s="1"/>
      <c r="EFH1" s="1"/>
      <c r="EFI1" s="1"/>
      <c r="EFJ1" s="1"/>
      <c r="EFK1" s="1"/>
      <c r="EFL1" s="1"/>
      <c r="EFM1" s="1"/>
      <c r="EFN1" s="1"/>
      <c r="EFO1" s="1"/>
      <c r="EFP1" s="1"/>
      <c r="EFQ1" s="1"/>
      <c r="EFR1" s="1"/>
      <c r="EFS1" s="1"/>
      <c r="EFT1" s="1"/>
      <c r="EFU1" s="1"/>
      <c r="EFV1" s="1"/>
      <c r="EFW1" s="1"/>
      <c r="EFX1" s="1"/>
      <c r="EFY1" s="1"/>
      <c r="EFZ1" s="1"/>
      <c r="EGA1" s="1"/>
      <c r="EGB1" s="1"/>
      <c r="EGC1" s="1"/>
      <c r="EGD1" s="1"/>
      <c r="EGE1" s="1"/>
      <c r="EGF1" s="1"/>
      <c r="EGG1" s="1"/>
      <c r="EGH1" s="1"/>
      <c r="EGI1" s="1"/>
      <c r="EGJ1" s="1"/>
      <c r="EGK1" s="1"/>
      <c r="EGL1" s="1"/>
      <c r="EGM1" s="1"/>
      <c r="EGN1" s="1"/>
      <c r="EGO1" s="1"/>
      <c r="EGP1" s="1"/>
      <c r="EGQ1" s="1"/>
      <c r="EGR1" s="1"/>
      <c r="EGS1" s="1"/>
      <c r="EGT1" s="1"/>
      <c r="EGU1" s="1"/>
      <c r="EGV1" s="1"/>
      <c r="EGW1" s="1"/>
      <c r="EGX1" s="1"/>
      <c r="EGY1" s="1"/>
      <c r="EGZ1" s="1"/>
      <c r="EHA1" s="1"/>
      <c r="EHB1" s="1"/>
      <c r="EHC1" s="1"/>
      <c r="EHD1" s="1"/>
      <c r="EHE1" s="1"/>
      <c r="EHF1" s="1"/>
      <c r="EHG1" s="1"/>
      <c r="EHH1" s="1"/>
      <c r="EHI1" s="1"/>
      <c r="EHJ1" s="1"/>
      <c r="EHK1" s="1"/>
      <c r="EHL1" s="1"/>
      <c r="EHM1" s="1"/>
      <c r="EHN1" s="1"/>
      <c r="EHO1" s="1"/>
      <c r="EHP1" s="1"/>
      <c r="EHQ1" s="1"/>
      <c r="EHR1" s="1"/>
      <c r="EHS1" s="1"/>
      <c r="EHT1" s="1"/>
      <c r="EHU1" s="1"/>
      <c r="EHV1" s="1"/>
      <c r="EHW1" s="1"/>
      <c r="EHX1" s="1"/>
      <c r="EHY1" s="1"/>
      <c r="EHZ1" s="1"/>
      <c r="EIA1" s="1"/>
      <c r="EIB1" s="1"/>
      <c r="EIC1" s="1"/>
      <c r="EID1" s="1"/>
      <c r="EIE1" s="1"/>
      <c r="EIF1" s="1"/>
      <c r="EIG1" s="1"/>
      <c r="EIH1" s="1"/>
      <c r="EII1" s="1"/>
      <c r="EIJ1" s="1"/>
      <c r="EIK1" s="1"/>
      <c r="EIL1" s="1"/>
      <c r="EIM1" s="1"/>
      <c r="EIN1" s="1"/>
      <c r="EIO1" s="1"/>
      <c r="EIP1" s="1"/>
      <c r="EIQ1" s="1"/>
      <c r="EIR1" s="1"/>
      <c r="EIS1" s="1"/>
      <c r="EIT1" s="1"/>
      <c r="EIU1" s="1"/>
      <c r="EIV1" s="1"/>
      <c r="EIW1" s="1"/>
      <c r="EIX1" s="1"/>
      <c r="EIY1" s="1"/>
      <c r="EIZ1" s="1"/>
      <c r="EJA1" s="1"/>
      <c r="EJB1" s="1"/>
      <c r="EJC1" s="1"/>
      <c r="EJD1" s="1"/>
      <c r="EJE1" s="1"/>
      <c r="EJF1" s="1"/>
      <c r="EJG1" s="1"/>
      <c r="EJH1" s="1"/>
      <c r="EJI1" s="1"/>
      <c r="EJJ1" s="1"/>
      <c r="EJK1" s="1"/>
      <c r="EJL1" s="1"/>
      <c r="EJM1" s="1"/>
      <c r="EJN1" s="1"/>
      <c r="EJO1" s="1"/>
      <c r="EJP1" s="1"/>
      <c r="EJQ1" s="1"/>
      <c r="EJR1" s="1"/>
      <c r="EJS1" s="1"/>
      <c r="EJT1" s="1"/>
      <c r="EJU1" s="1"/>
      <c r="EJV1" s="1"/>
      <c r="EJW1" s="1"/>
      <c r="EJX1" s="1"/>
      <c r="EJY1" s="1"/>
      <c r="EJZ1" s="1"/>
      <c r="EKA1" s="1"/>
      <c r="EKB1" s="1"/>
      <c r="EKC1" s="1"/>
      <c r="EKD1" s="1"/>
      <c r="EKE1" s="1"/>
      <c r="EKF1" s="1"/>
      <c r="EKG1" s="1"/>
      <c r="EKH1" s="1"/>
      <c r="EKI1" s="1"/>
      <c r="EKJ1" s="1"/>
      <c r="EKK1" s="1"/>
      <c r="EKL1" s="1"/>
      <c r="EKM1" s="1"/>
      <c r="EKN1" s="1"/>
      <c r="EKO1" s="1"/>
      <c r="EKP1" s="1"/>
      <c r="EKQ1" s="1"/>
      <c r="EKR1" s="1"/>
      <c r="EKS1" s="1"/>
      <c r="EKT1" s="1"/>
      <c r="EKU1" s="1"/>
      <c r="EKV1" s="1"/>
      <c r="EKW1" s="1"/>
      <c r="EKX1" s="1"/>
      <c r="EKY1" s="1"/>
      <c r="EKZ1" s="1"/>
      <c r="ELA1" s="1"/>
      <c r="ELB1" s="1"/>
      <c r="ELC1" s="1"/>
      <c r="ELD1" s="1"/>
      <c r="ELE1" s="1"/>
      <c r="ELF1" s="1"/>
      <c r="ELG1" s="1"/>
      <c r="ELH1" s="1"/>
      <c r="ELI1" s="1"/>
      <c r="ELJ1" s="1"/>
      <c r="ELK1" s="1"/>
      <c r="ELL1" s="1"/>
      <c r="ELM1" s="1"/>
      <c r="ELN1" s="1"/>
      <c r="ELO1" s="1"/>
      <c r="ELP1" s="1"/>
      <c r="ELQ1" s="1"/>
      <c r="ELR1" s="1"/>
      <c r="ELS1" s="1"/>
      <c r="ELT1" s="1"/>
      <c r="ELU1" s="1"/>
      <c r="ELV1" s="1"/>
      <c r="ELW1" s="1"/>
      <c r="ELX1" s="1"/>
      <c r="ELY1" s="1"/>
      <c r="ELZ1" s="1"/>
      <c r="EMA1" s="1"/>
      <c r="EMB1" s="1"/>
      <c r="EMC1" s="1"/>
      <c r="EMD1" s="1"/>
      <c r="EME1" s="1"/>
      <c r="EMF1" s="1"/>
      <c r="EMG1" s="1"/>
      <c r="EMH1" s="1"/>
      <c r="EMI1" s="1"/>
      <c r="EMJ1" s="1"/>
      <c r="EMK1" s="1"/>
      <c r="EML1" s="1"/>
      <c r="EMM1" s="1"/>
      <c r="EMN1" s="1"/>
      <c r="EMO1" s="1"/>
      <c r="EMP1" s="1"/>
      <c r="EMQ1" s="1"/>
      <c r="EMR1" s="1"/>
      <c r="EMS1" s="1"/>
      <c r="EMT1" s="1"/>
      <c r="EMU1" s="1"/>
      <c r="EMV1" s="1"/>
      <c r="EMW1" s="1"/>
      <c r="EMX1" s="1"/>
      <c r="EMY1" s="1"/>
      <c r="EMZ1" s="1"/>
      <c r="ENA1" s="1"/>
      <c r="ENB1" s="1"/>
      <c r="ENC1" s="1"/>
      <c r="END1" s="1"/>
      <c r="ENE1" s="1"/>
      <c r="ENF1" s="1"/>
      <c r="ENG1" s="1"/>
      <c r="ENH1" s="1"/>
      <c r="ENI1" s="1"/>
      <c r="ENJ1" s="1"/>
      <c r="ENK1" s="1"/>
      <c r="ENL1" s="1"/>
      <c r="ENM1" s="1"/>
      <c r="ENN1" s="1"/>
      <c r="ENO1" s="1"/>
      <c r="ENP1" s="1"/>
      <c r="ENQ1" s="1"/>
      <c r="ENR1" s="1"/>
      <c r="ENS1" s="1"/>
      <c r="ENT1" s="1"/>
      <c r="ENU1" s="1"/>
      <c r="ENV1" s="1"/>
      <c r="ENW1" s="1"/>
      <c r="ENX1" s="1"/>
      <c r="ENY1" s="1"/>
      <c r="ENZ1" s="1"/>
      <c r="EOA1" s="1"/>
      <c r="EOB1" s="1"/>
      <c r="EOC1" s="1"/>
      <c r="EOD1" s="1"/>
      <c r="EOE1" s="1"/>
      <c r="EOF1" s="1"/>
      <c r="EOG1" s="1"/>
      <c r="EOH1" s="1"/>
      <c r="EOI1" s="1"/>
      <c r="EOJ1" s="1"/>
      <c r="EOK1" s="1"/>
      <c r="EOL1" s="1"/>
      <c r="EOM1" s="1"/>
      <c r="EON1" s="1"/>
      <c r="EOO1" s="1"/>
      <c r="EOP1" s="1"/>
      <c r="EOQ1" s="1"/>
      <c r="EOR1" s="1"/>
      <c r="EOS1" s="1"/>
      <c r="EOT1" s="1"/>
      <c r="EOU1" s="1"/>
      <c r="EOV1" s="1"/>
      <c r="EOW1" s="1"/>
      <c r="EOX1" s="1"/>
      <c r="EOY1" s="1"/>
      <c r="EOZ1" s="1"/>
      <c r="EPA1" s="1"/>
      <c r="EPB1" s="1"/>
      <c r="EPC1" s="1"/>
      <c r="EPD1" s="1"/>
      <c r="EPE1" s="1"/>
      <c r="EPF1" s="1"/>
      <c r="EPG1" s="1"/>
      <c r="EPH1" s="1"/>
      <c r="EPI1" s="1"/>
      <c r="EPJ1" s="1"/>
      <c r="EPK1" s="1"/>
      <c r="EPL1" s="1"/>
      <c r="EPM1" s="1"/>
      <c r="EPN1" s="1"/>
      <c r="EPO1" s="1"/>
      <c r="EPP1" s="1"/>
      <c r="EPQ1" s="1"/>
      <c r="EPR1" s="1"/>
      <c r="EPS1" s="1"/>
      <c r="EPT1" s="1"/>
      <c r="EPU1" s="1"/>
      <c r="EPV1" s="1"/>
      <c r="EPW1" s="1"/>
      <c r="EPX1" s="1"/>
      <c r="EPY1" s="1"/>
      <c r="EPZ1" s="1"/>
      <c r="EQA1" s="1"/>
      <c r="EQB1" s="1"/>
      <c r="EQC1" s="1"/>
      <c r="EQD1" s="1"/>
      <c r="EQE1" s="1"/>
      <c r="EQF1" s="1"/>
      <c r="EQG1" s="1"/>
      <c r="EQH1" s="1"/>
      <c r="EQI1" s="1"/>
      <c r="EQJ1" s="1"/>
      <c r="EQK1" s="1"/>
      <c r="EQL1" s="1"/>
      <c r="EQM1" s="1"/>
      <c r="EQN1" s="1"/>
      <c r="EQO1" s="1"/>
      <c r="EQP1" s="1"/>
      <c r="EQQ1" s="1"/>
      <c r="EQR1" s="1"/>
      <c r="EQS1" s="1"/>
      <c r="EQT1" s="1"/>
      <c r="EQU1" s="1"/>
      <c r="EQV1" s="1"/>
      <c r="EQW1" s="1"/>
      <c r="EQX1" s="1"/>
      <c r="EQY1" s="1"/>
      <c r="EQZ1" s="1"/>
      <c r="ERA1" s="1"/>
      <c r="ERB1" s="1"/>
      <c r="ERC1" s="1"/>
      <c r="ERD1" s="1"/>
      <c r="ERE1" s="1"/>
      <c r="ERF1" s="1"/>
      <c r="ERG1" s="1"/>
      <c r="ERH1" s="1"/>
      <c r="ERI1" s="1"/>
      <c r="ERJ1" s="1"/>
      <c r="ERK1" s="1"/>
      <c r="ERL1" s="1"/>
      <c r="ERM1" s="1"/>
      <c r="ERN1" s="1"/>
      <c r="ERO1" s="1"/>
      <c r="ERP1" s="1"/>
      <c r="ERQ1" s="1"/>
      <c r="ERR1" s="1"/>
      <c r="ERS1" s="1"/>
      <c r="ERT1" s="1"/>
      <c r="ERU1" s="1"/>
      <c r="ERV1" s="1"/>
      <c r="ERW1" s="1"/>
      <c r="ERX1" s="1"/>
      <c r="ERY1" s="1"/>
      <c r="ERZ1" s="1"/>
      <c r="ESA1" s="1"/>
      <c r="ESB1" s="1"/>
      <c r="ESC1" s="1"/>
      <c r="ESD1" s="1"/>
      <c r="ESE1" s="1"/>
      <c r="ESF1" s="1"/>
      <c r="ESG1" s="1"/>
      <c r="ESH1" s="1"/>
      <c r="ESI1" s="1"/>
      <c r="ESJ1" s="1"/>
      <c r="ESK1" s="1"/>
      <c r="ESL1" s="1"/>
      <c r="ESM1" s="1"/>
      <c r="ESN1" s="1"/>
      <c r="ESO1" s="1"/>
      <c r="ESP1" s="1"/>
      <c r="ESQ1" s="1"/>
      <c r="ESR1" s="1"/>
      <c r="ESS1" s="1"/>
      <c r="EST1" s="1"/>
      <c r="ESU1" s="1"/>
      <c r="ESV1" s="1"/>
      <c r="ESW1" s="1"/>
      <c r="ESX1" s="1"/>
      <c r="ESY1" s="1"/>
      <c r="ESZ1" s="1"/>
      <c r="ETA1" s="1"/>
      <c r="ETB1" s="1"/>
      <c r="ETC1" s="1"/>
      <c r="ETD1" s="1"/>
      <c r="ETE1" s="1"/>
      <c r="ETF1" s="1"/>
      <c r="ETG1" s="1"/>
      <c r="ETH1" s="1"/>
      <c r="ETI1" s="1"/>
      <c r="ETJ1" s="1"/>
      <c r="ETK1" s="1"/>
      <c r="ETL1" s="1"/>
      <c r="ETM1" s="1"/>
      <c r="ETN1" s="1"/>
      <c r="ETO1" s="1"/>
      <c r="ETP1" s="1"/>
      <c r="ETQ1" s="1"/>
      <c r="ETR1" s="1"/>
      <c r="ETS1" s="1"/>
      <c r="ETT1" s="1"/>
      <c r="ETU1" s="1"/>
      <c r="ETV1" s="1"/>
      <c r="ETW1" s="1"/>
      <c r="ETX1" s="1"/>
      <c r="ETY1" s="1"/>
      <c r="ETZ1" s="1"/>
      <c r="EUA1" s="1"/>
      <c r="EUB1" s="1"/>
      <c r="EUC1" s="1"/>
      <c r="EUD1" s="1"/>
      <c r="EUE1" s="1"/>
      <c r="EUF1" s="1"/>
      <c r="EUG1" s="1"/>
      <c r="EUH1" s="1"/>
      <c r="EUI1" s="1"/>
      <c r="EUJ1" s="1"/>
      <c r="EUK1" s="1"/>
      <c r="EUL1" s="1"/>
      <c r="EUM1" s="1"/>
      <c r="EUN1" s="1"/>
      <c r="EUO1" s="1"/>
      <c r="EUP1" s="1"/>
      <c r="EUQ1" s="1"/>
      <c r="EUR1" s="1"/>
      <c r="EUS1" s="1"/>
      <c r="EUT1" s="1"/>
      <c r="EUU1" s="1"/>
      <c r="EUV1" s="1"/>
      <c r="EUW1" s="1"/>
      <c r="EUX1" s="1"/>
      <c r="EUY1" s="1"/>
      <c r="EUZ1" s="1"/>
      <c r="EVA1" s="1"/>
      <c r="EVB1" s="1"/>
      <c r="EVC1" s="1"/>
      <c r="EVD1" s="1"/>
      <c r="EVE1" s="1"/>
      <c r="EVF1" s="1"/>
      <c r="EVG1" s="1"/>
      <c r="EVH1" s="1"/>
      <c r="EVI1" s="1"/>
      <c r="EVJ1" s="1"/>
      <c r="EVK1" s="1"/>
      <c r="EVL1" s="1"/>
      <c r="EVM1" s="1"/>
      <c r="EVN1" s="1"/>
      <c r="EVO1" s="1"/>
      <c r="EVP1" s="1"/>
      <c r="EVQ1" s="1"/>
      <c r="EVR1" s="1"/>
      <c r="EVS1" s="1"/>
      <c r="EVT1" s="1"/>
      <c r="EVU1" s="1"/>
      <c r="EVV1" s="1"/>
      <c r="EVW1" s="1"/>
      <c r="EVX1" s="1"/>
      <c r="EVY1" s="1"/>
      <c r="EVZ1" s="1"/>
      <c r="EWA1" s="1"/>
      <c r="EWB1" s="1"/>
      <c r="EWC1" s="1"/>
      <c r="EWD1" s="1"/>
      <c r="EWE1" s="1"/>
      <c r="EWF1" s="1"/>
      <c r="EWG1" s="1"/>
      <c r="EWH1" s="1"/>
      <c r="EWI1" s="1"/>
      <c r="EWJ1" s="1"/>
      <c r="EWK1" s="1"/>
      <c r="EWL1" s="1"/>
      <c r="EWM1" s="1"/>
      <c r="EWN1" s="1"/>
      <c r="EWO1" s="1"/>
      <c r="EWP1" s="1"/>
      <c r="EWQ1" s="1"/>
      <c r="EWR1" s="1"/>
      <c r="EWS1" s="1"/>
      <c r="EWT1" s="1"/>
      <c r="EWU1" s="1"/>
      <c r="EWV1" s="1"/>
      <c r="EWW1" s="1"/>
      <c r="EWX1" s="1"/>
      <c r="EWY1" s="1"/>
      <c r="EWZ1" s="1"/>
      <c r="EXA1" s="1"/>
      <c r="EXB1" s="1"/>
      <c r="EXC1" s="1"/>
      <c r="EXD1" s="1"/>
      <c r="EXE1" s="1"/>
      <c r="EXF1" s="1"/>
      <c r="EXG1" s="1"/>
      <c r="EXH1" s="1"/>
      <c r="EXI1" s="1"/>
      <c r="EXJ1" s="1"/>
      <c r="EXK1" s="1"/>
      <c r="EXL1" s="1"/>
      <c r="EXM1" s="1"/>
      <c r="EXN1" s="1"/>
      <c r="EXO1" s="1"/>
      <c r="EXP1" s="1"/>
      <c r="EXQ1" s="1"/>
      <c r="EXR1" s="1"/>
      <c r="EXS1" s="1"/>
      <c r="EXT1" s="1"/>
      <c r="EXU1" s="1"/>
      <c r="EXV1" s="1"/>
      <c r="EXW1" s="1"/>
      <c r="EXX1" s="1"/>
      <c r="EXY1" s="1"/>
      <c r="EXZ1" s="1"/>
      <c r="EYA1" s="1"/>
      <c r="EYB1" s="1"/>
      <c r="EYC1" s="1"/>
      <c r="EYD1" s="1"/>
      <c r="EYE1" s="1"/>
      <c r="EYF1" s="1"/>
      <c r="EYG1" s="1"/>
      <c r="EYH1" s="1"/>
      <c r="EYI1" s="1"/>
      <c r="EYJ1" s="1"/>
      <c r="EYK1" s="1"/>
      <c r="EYL1" s="1"/>
      <c r="EYM1" s="1"/>
      <c r="EYN1" s="1"/>
      <c r="EYO1" s="1"/>
      <c r="EYP1" s="1"/>
      <c r="EYQ1" s="1"/>
      <c r="EYR1" s="1"/>
      <c r="EYS1" s="1"/>
      <c r="EYT1" s="1"/>
      <c r="EYU1" s="1"/>
      <c r="EYV1" s="1"/>
      <c r="EYW1" s="1"/>
      <c r="EYX1" s="1"/>
      <c r="EYY1" s="1"/>
      <c r="EYZ1" s="1"/>
      <c r="EZA1" s="1"/>
      <c r="EZB1" s="1"/>
      <c r="EZC1" s="1"/>
      <c r="EZD1" s="1"/>
      <c r="EZE1" s="1"/>
      <c r="EZF1" s="1"/>
      <c r="EZG1" s="1"/>
      <c r="EZH1" s="1"/>
      <c r="EZI1" s="1"/>
      <c r="EZJ1" s="1"/>
      <c r="EZK1" s="1"/>
      <c r="EZL1" s="1"/>
      <c r="EZM1" s="1"/>
      <c r="EZN1" s="1"/>
      <c r="EZO1" s="1"/>
      <c r="EZP1" s="1"/>
      <c r="EZQ1" s="1"/>
      <c r="EZR1" s="1"/>
      <c r="EZS1" s="1"/>
      <c r="EZT1" s="1"/>
      <c r="EZU1" s="1"/>
      <c r="EZV1" s="1"/>
      <c r="EZW1" s="1"/>
      <c r="EZX1" s="1"/>
      <c r="EZY1" s="1"/>
      <c r="EZZ1" s="1"/>
      <c r="FAA1" s="1"/>
      <c r="FAB1" s="1"/>
      <c r="FAC1" s="1"/>
      <c r="FAD1" s="1"/>
      <c r="FAE1" s="1"/>
      <c r="FAF1" s="1"/>
      <c r="FAG1" s="1"/>
      <c r="FAH1" s="1"/>
      <c r="FAI1" s="1"/>
      <c r="FAJ1" s="1"/>
      <c r="FAK1" s="1"/>
      <c r="FAL1" s="1"/>
      <c r="FAM1" s="1"/>
      <c r="FAN1" s="1"/>
      <c r="FAO1" s="1"/>
      <c r="FAP1" s="1"/>
      <c r="FAQ1" s="1"/>
      <c r="FAR1" s="1"/>
      <c r="FAS1" s="1"/>
      <c r="FAT1" s="1"/>
      <c r="FAU1" s="1"/>
      <c r="FAV1" s="1"/>
      <c r="FAW1" s="1"/>
      <c r="FAX1" s="1"/>
      <c r="FAY1" s="1"/>
      <c r="FAZ1" s="1"/>
      <c r="FBA1" s="1"/>
      <c r="FBB1" s="1"/>
      <c r="FBC1" s="1"/>
      <c r="FBD1" s="1"/>
      <c r="FBE1" s="1"/>
      <c r="FBF1" s="1"/>
      <c r="FBG1" s="1"/>
      <c r="FBH1" s="1"/>
      <c r="FBI1" s="1"/>
      <c r="FBJ1" s="1"/>
      <c r="FBK1" s="1"/>
      <c r="FBL1" s="1"/>
      <c r="FBM1" s="1"/>
      <c r="FBN1" s="1"/>
      <c r="FBO1" s="1"/>
      <c r="FBP1" s="1"/>
      <c r="FBQ1" s="1"/>
      <c r="FBR1" s="1"/>
      <c r="FBS1" s="1"/>
      <c r="FBT1" s="1"/>
      <c r="FBU1" s="1"/>
      <c r="FBV1" s="1"/>
      <c r="FBW1" s="1"/>
      <c r="FBX1" s="1"/>
      <c r="FBY1" s="1"/>
      <c r="FBZ1" s="1"/>
      <c r="FCA1" s="1"/>
      <c r="FCB1" s="1"/>
      <c r="FCC1" s="1"/>
      <c r="FCD1" s="1"/>
      <c r="FCE1" s="1"/>
      <c r="FCF1" s="1"/>
      <c r="FCG1" s="1"/>
      <c r="FCH1" s="1"/>
      <c r="FCI1" s="1"/>
      <c r="FCJ1" s="1"/>
      <c r="FCK1" s="1"/>
      <c r="FCL1" s="1"/>
      <c r="FCM1" s="1"/>
      <c r="FCN1" s="1"/>
      <c r="FCO1" s="1"/>
      <c r="FCP1" s="1"/>
      <c r="FCQ1" s="1"/>
      <c r="FCR1" s="1"/>
      <c r="FCS1" s="1"/>
      <c r="FCT1" s="1"/>
      <c r="FCU1" s="1"/>
      <c r="FCV1" s="1"/>
      <c r="FCW1" s="1"/>
      <c r="FCX1" s="1"/>
      <c r="FCY1" s="1"/>
      <c r="FCZ1" s="1"/>
      <c r="FDA1" s="1"/>
      <c r="FDB1" s="1"/>
      <c r="FDC1" s="1"/>
      <c r="FDD1" s="1"/>
      <c r="FDE1" s="1"/>
      <c r="FDF1" s="1"/>
      <c r="FDG1" s="1"/>
      <c r="FDH1" s="1"/>
      <c r="FDI1" s="1"/>
      <c r="FDJ1" s="1"/>
      <c r="FDK1" s="1"/>
      <c r="FDL1" s="1"/>
      <c r="FDM1" s="1"/>
      <c r="FDN1" s="1"/>
      <c r="FDO1" s="1"/>
      <c r="FDP1" s="1"/>
      <c r="FDQ1" s="1"/>
      <c r="FDR1" s="1"/>
      <c r="FDS1" s="1"/>
      <c r="FDT1" s="1"/>
      <c r="FDU1" s="1"/>
      <c r="FDV1" s="1"/>
      <c r="FDW1" s="1"/>
      <c r="FDX1" s="1"/>
      <c r="FDY1" s="1"/>
      <c r="FDZ1" s="1"/>
      <c r="FEA1" s="1"/>
      <c r="FEB1" s="1"/>
      <c r="FEC1" s="1"/>
      <c r="FED1" s="1"/>
      <c r="FEE1" s="1"/>
      <c r="FEF1" s="1"/>
      <c r="FEG1" s="1"/>
      <c r="FEH1" s="1"/>
      <c r="FEI1" s="1"/>
      <c r="FEJ1" s="1"/>
      <c r="FEK1" s="1"/>
      <c r="FEL1" s="1"/>
      <c r="FEM1" s="1"/>
      <c r="FEN1" s="1"/>
      <c r="FEO1" s="1"/>
      <c r="FEP1" s="1"/>
      <c r="FEQ1" s="1"/>
      <c r="FER1" s="1"/>
      <c r="FES1" s="1"/>
      <c r="FET1" s="1"/>
      <c r="FEU1" s="1"/>
      <c r="FEV1" s="1"/>
      <c r="FEW1" s="1"/>
      <c r="FEX1" s="1"/>
      <c r="FEY1" s="1"/>
      <c r="FEZ1" s="1"/>
      <c r="FFA1" s="1"/>
      <c r="FFB1" s="1"/>
      <c r="FFC1" s="1"/>
      <c r="FFD1" s="1"/>
      <c r="FFE1" s="1"/>
      <c r="FFF1" s="1"/>
      <c r="FFG1" s="1"/>
      <c r="FFH1" s="1"/>
      <c r="FFI1" s="1"/>
      <c r="FFJ1" s="1"/>
      <c r="FFK1" s="1"/>
      <c r="FFL1" s="1"/>
      <c r="FFM1" s="1"/>
      <c r="FFN1" s="1"/>
      <c r="FFO1" s="1"/>
      <c r="FFP1" s="1"/>
      <c r="FFQ1" s="1"/>
      <c r="FFR1" s="1"/>
      <c r="FFS1" s="1"/>
      <c r="FFT1" s="1"/>
      <c r="FFU1" s="1"/>
      <c r="FFV1" s="1"/>
      <c r="FFW1" s="1"/>
      <c r="FFX1" s="1"/>
      <c r="FFY1" s="1"/>
      <c r="FFZ1" s="1"/>
      <c r="FGA1" s="1"/>
      <c r="FGB1" s="1"/>
      <c r="FGC1" s="1"/>
      <c r="FGD1" s="1"/>
      <c r="FGE1" s="1"/>
      <c r="FGF1" s="1"/>
      <c r="FGG1" s="1"/>
      <c r="FGH1" s="1"/>
      <c r="FGI1" s="1"/>
      <c r="FGJ1" s="1"/>
      <c r="FGK1" s="1"/>
      <c r="FGL1" s="1"/>
      <c r="FGM1" s="1"/>
      <c r="FGN1" s="1"/>
      <c r="FGO1" s="1"/>
      <c r="FGP1" s="1"/>
      <c r="FGQ1" s="1"/>
      <c r="FGR1" s="1"/>
      <c r="FGS1" s="1"/>
      <c r="FGT1" s="1"/>
      <c r="FGU1" s="1"/>
      <c r="FGV1" s="1"/>
      <c r="FGW1" s="1"/>
      <c r="FGX1" s="1"/>
      <c r="FGY1" s="1"/>
      <c r="FGZ1" s="1"/>
      <c r="FHA1" s="1"/>
      <c r="FHB1" s="1"/>
      <c r="FHC1" s="1"/>
      <c r="FHD1" s="1"/>
      <c r="FHE1" s="1"/>
      <c r="FHF1" s="1"/>
      <c r="FHG1" s="1"/>
      <c r="FHH1" s="1"/>
      <c r="FHI1" s="1"/>
      <c r="FHJ1" s="1"/>
      <c r="FHK1" s="1"/>
      <c r="FHL1" s="1"/>
      <c r="FHM1" s="1"/>
      <c r="FHN1" s="1"/>
      <c r="FHO1" s="1"/>
      <c r="FHP1" s="1"/>
      <c r="FHQ1" s="1"/>
      <c r="FHR1" s="1"/>
      <c r="FHS1" s="1"/>
      <c r="FHT1" s="1"/>
      <c r="FHU1" s="1"/>
      <c r="FHV1" s="1"/>
      <c r="FHW1" s="1"/>
      <c r="FHX1" s="1"/>
      <c r="FHY1" s="1"/>
      <c r="FHZ1" s="1"/>
      <c r="FIA1" s="1"/>
      <c r="FIB1" s="1"/>
      <c r="FIC1" s="1"/>
      <c r="FID1" s="1"/>
      <c r="FIE1" s="1"/>
      <c r="FIF1" s="1"/>
      <c r="FIG1" s="1"/>
      <c r="FIH1" s="1"/>
      <c r="FII1" s="1"/>
      <c r="FIJ1" s="1"/>
      <c r="FIK1" s="1"/>
      <c r="FIL1" s="1"/>
      <c r="FIM1" s="1"/>
      <c r="FIN1" s="1"/>
      <c r="FIO1" s="1"/>
      <c r="FIP1" s="1"/>
      <c r="FIQ1" s="1"/>
      <c r="FIR1" s="1"/>
      <c r="FIS1" s="1"/>
      <c r="FIT1" s="1"/>
      <c r="FIU1" s="1"/>
      <c r="FIV1" s="1"/>
      <c r="FIW1" s="1"/>
      <c r="FIX1" s="1"/>
      <c r="FIY1" s="1"/>
      <c r="FIZ1" s="1"/>
      <c r="FJA1" s="1"/>
      <c r="FJB1" s="1"/>
      <c r="FJC1" s="1"/>
      <c r="FJD1" s="1"/>
      <c r="FJE1" s="1"/>
      <c r="FJF1" s="1"/>
      <c r="FJG1" s="1"/>
      <c r="FJH1" s="1"/>
      <c r="FJI1" s="1"/>
      <c r="FJJ1" s="1"/>
      <c r="FJK1" s="1"/>
      <c r="FJL1" s="1"/>
      <c r="FJM1" s="1"/>
      <c r="FJN1" s="1"/>
      <c r="FJO1" s="1"/>
      <c r="FJP1" s="1"/>
      <c r="FJQ1" s="1"/>
      <c r="FJR1" s="1"/>
      <c r="FJS1" s="1"/>
      <c r="FJT1" s="1"/>
      <c r="FJU1" s="1"/>
      <c r="FJV1" s="1"/>
      <c r="FJW1" s="1"/>
      <c r="FJX1" s="1"/>
      <c r="FJY1" s="1"/>
      <c r="FJZ1" s="1"/>
      <c r="FKA1" s="1"/>
      <c r="FKB1" s="1"/>
      <c r="FKC1" s="1"/>
      <c r="FKD1" s="1"/>
      <c r="FKE1" s="1"/>
      <c r="FKF1" s="1"/>
      <c r="FKG1" s="1"/>
      <c r="FKH1" s="1"/>
      <c r="FKI1" s="1"/>
      <c r="FKJ1" s="1"/>
      <c r="FKK1" s="1"/>
      <c r="FKL1" s="1"/>
      <c r="FKM1" s="1"/>
      <c r="FKN1" s="1"/>
      <c r="FKO1" s="1"/>
      <c r="FKP1" s="1"/>
      <c r="FKQ1" s="1"/>
      <c r="FKR1" s="1"/>
      <c r="FKS1" s="1"/>
      <c r="FKT1" s="1"/>
      <c r="FKU1" s="1"/>
      <c r="FKV1" s="1"/>
      <c r="FKW1" s="1"/>
      <c r="FKX1" s="1"/>
      <c r="FKY1" s="1"/>
      <c r="FKZ1" s="1"/>
      <c r="FLA1" s="1"/>
      <c r="FLB1" s="1"/>
      <c r="FLC1" s="1"/>
      <c r="FLD1" s="1"/>
      <c r="FLE1" s="1"/>
      <c r="FLF1" s="1"/>
      <c r="FLG1" s="1"/>
      <c r="FLH1" s="1"/>
      <c r="FLI1" s="1"/>
      <c r="FLJ1" s="1"/>
      <c r="FLK1" s="1"/>
      <c r="FLL1" s="1"/>
      <c r="FLM1" s="1"/>
      <c r="FLN1" s="1"/>
      <c r="FLO1" s="1"/>
      <c r="FLP1" s="1"/>
      <c r="FLQ1" s="1"/>
      <c r="FLR1" s="1"/>
      <c r="FLS1" s="1"/>
      <c r="FLT1" s="1"/>
      <c r="FLU1" s="1"/>
      <c r="FLV1" s="1"/>
      <c r="FLW1" s="1"/>
      <c r="FLX1" s="1"/>
      <c r="FLY1" s="1"/>
      <c r="FLZ1" s="1"/>
      <c r="FMA1" s="1"/>
      <c r="FMB1" s="1"/>
      <c r="FMC1" s="1"/>
      <c r="FMD1" s="1"/>
      <c r="FME1" s="1"/>
      <c r="FMF1" s="1"/>
      <c r="FMG1" s="1"/>
      <c r="FMH1" s="1"/>
      <c r="FMI1" s="1"/>
      <c r="FMJ1" s="1"/>
      <c r="FMK1" s="1"/>
      <c r="FML1" s="1"/>
      <c r="FMM1" s="1"/>
      <c r="FMN1" s="1"/>
      <c r="FMO1" s="1"/>
      <c r="FMP1" s="1"/>
      <c r="FMQ1" s="1"/>
      <c r="FMR1" s="1"/>
      <c r="FMS1" s="1"/>
      <c r="FMT1" s="1"/>
      <c r="FMU1" s="1"/>
      <c r="FMV1" s="1"/>
      <c r="FMW1" s="1"/>
      <c r="FMX1" s="1"/>
      <c r="FMY1" s="1"/>
      <c r="FMZ1" s="1"/>
      <c r="FNA1" s="1"/>
      <c r="FNB1" s="1"/>
      <c r="FNC1" s="1"/>
      <c r="FND1" s="1"/>
      <c r="FNE1" s="1"/>
      <c r="FNF1" s="1"/>
      <c r="FNG1" s="1"/>
      <c r="FNH1" s="1"/>
      <c r="FNI1" s="1"/>
      <c r="FNJ1" s="1"/>
      <c r="FNK1" s="1"/>
      <c r="FNL1" s="1"/>
      <c r="FNM1" s="1"/>
      <c r="FNN1" s="1"/>
      <c r="FNO1" s="1"/>
      <c r="FNP1" s="1"/>
      <c r="FNQ1" s="1"/>
      <c r="FNR1" s="1"/>
      <c r="FNS1" s="1"/>
      <c r="FNT1" s="1"/>
      <c r="FNU1" s="1"/>
      <c r="FNV1" s="1"/>
      <c r="FNW1" s="1"/>
      <c r="FNX1" s="1"/>
      <c r="FNY1" s="1"/>
      <c r="FNZ1" s="1"/>
      <c r="FOA1" s="1"/>
      <c r="FOB1" s="1"/>
      <c r="FOC1" s="1"/>
      <c r="FOD1" s="1"/>
      <c r="FOE1" s="1"/>
      <c r="FOF1" s="1"/>
      <c r="FOG1" s="1"/>
      <c r="FOH1" s="1"/>
      <c r="FOI1" s="1"/>
      <c r="FOJ1" s="1"/>
      <c r="FOK1" s="1"/>
      <c r="FOL1" s="1"/>
      <c r="FOM1" s="1"/>
      <c r="FON1" s="1"/>
      <c r="FOO1" s="1"/>
      <c r="FOP1" s="1"/>
      <c r="FOQ1" s="1"/>
      <c r="FOR1" s="1"/>
      <c r="FOS1" s="1"/>
      <c r="FOT1" s="1"/>
      <c r="FOU1" s="1"/>
      <c r="FOV1" s="1"/>
      <c r="FOW1" s="1"/>
      <c r="FOX1" s="1"/>
      <c r="FOY1" s="1"/>
      <c r="FOZ1" s="1"/>
      <c r="FPA1" s="1"/>
      <c r="FPB1" s="1"/>
      <c r="FPC1" s="1"/>
      <c r="FPD1" s="1"/>
      <c r="FPE1" s="1"/>
      <c r="FPF1" s="1"/>
      <c r="FPG1" s="1"/>
      <c r="FPH1" s="1"/>
      <c r="FPI1" s="1"/>
      <c r="FPJ1" s="1"/>
      <c r="FPK1" s="1"/>
      <c r="FPL1" s="1"/>
      <c r="FPM1" s="1"/>
      <c r="FPN1" s="1"/>
      <c r="FPO1" s="1"/>
      <c r="FPP1" s="1"/>
      <c r="FPQ1" s="1"/>
      <c r="FPR1" s="1"/>
      <c r="FPS1" s="1"/>
      <c r="FPT1" s="1"/>
      <c r="FPU1" s="1"/>
      <c r="FPV1" s="1"/>
      <c r="FPW1" s="1"/>
      <c r="FPX1" s="1"/>
      <c r="FPY1" s="1"/>
      <c r="FPZ1" s="1"/>
      <c r="FQA1" s="1"/>
      <c r="FQB1" s="1"/>
      <c r="FQC1" s="1"/>
      <c r="FQD1" s="1"/>
      <c r="FQE1" s="1"/>
      <c r="FQF1" s="1"/>
      <c r="FQG1" s="1"/>
      <c r="FQH1" s="1"/>
      <c r="FQI1" s="1"/>
      <c r="FQJ1" s="1"/>
      <c r="FQK1" s="1"/>
      <c r="FQL1" s="1"/>
      <c r="FQM1" s="1"/>
      <c r="FQN1" s="1"/>
      <c r="FQO1" s="1"/>
      <c r="FQP1" s="1"/>
      <c r="FQQ1" s="1"/>
      <c r="FQR1" s="1"/>
      <c r="FQS1" s="1"/>
      <c r="FQT1" s="1"/>
      <c r="FQU1" s="1"/>
      <c r="FQV1" s="1"/>
      <c r="FQW1" s="1"/>
      <c r="FQX1" s="1"/>
      <c r="FQY1" s="1"/>
      <c r="FQZ1" s="1"/>
      <c r="FRA1" s="1"/>
      <c r="FRB1" s="1"/>
      <c r="FRC1" s="1"/>
      <c r="FRD1" s="1"/>
      <c r="FRE1" s="1"/>
      <c r="FRF1" s="1"/>
      <c r="FRG1" s="1"/>
      <c r="FRH1" s="1"/>
      <c r="FRI1" s="1"/>
      <c r="FRJ1" s="1"/>
      <c r="FRK1" s="1"/>
      <c r="FRL1" s="1"/>
      <c r="FRM1" s="1"/>
      <c r="FRN1" s="1"/>
      <c r="FRO1" s="1"/>
      <c r="FRP1" s="1"/>
      <c r="FRQ1" s="1"/>
      <c r="FRR1" s="1"/>
      <c r="FRS1" s="1"/>
      <c r="FRT1" s="1"/>
      <c r="FRU1" s="1"/>
      <c r="FRV1" s="1"/>
      <c r="FRW1" s="1"/>
      <c r="FRX1" s="1"/>
      <c r="FRY1" s="1"/>
      <c r="FRZ1" s="1"/>
      <c r="FSA1" s="1"/>
      <c r="FSB1" s="1"/>
      <c r="FSC1" s="1"/>
      <c r="FSD1" s="1"/>
      <c r="FSE1" s="1"/>
      <c r="FSF1" s="1"/>
      <c r="FSG1" s="1"/>
      <c r="FSH1" s="1"/>
      <c r="FSI1" s="1"/>
      <c r="FSJ1" s="1"/>
      <c r="FSK1" s="1"/>
      <c r="FSL1" s="1"/>
      <c r="FSM1" s="1"/>
      <c r="FSN1" s="1"/>
      <c r="FSO1" s="1"/>
      <c r="FSP1" s="1"/>
      <c r="FSQ1" s="1"/>
      <c r="FSR1" s="1"/>
      <c r="FSS1" s="1"/>
      <c r="FST1" s="1"/>
      <c r="FSU1" s="1"/>
      <c r="FSV1" s="1"/>
      <c r="FSW1" s="1"/>
      <c r="FSX1" s="1"/>
      <c r="FSY1" s="1"/>
      <c r="FSZ1" s="1"/>
      <c r="FTA1" s="1"/>
      <c r="FTB1" s="1"/>
      <c r="FTC1" s="1"/>
      <c r="FTD1" s="1"/>
      <c r="FTE1" s="1"/>
      <c r="FTF1" s="1"/>
      <c r="FTG1" s="1"/>
      <c r="FTH1" s="1"/>
      <c r="FTI1" s="1"/>
      <c r="FTJ1" s="1"/>
      <c r="FTK1" s="1"/>
      <c r="FTL1" s="1"/>
      <c r="FTM1" s="1"/>
      <c r="FTN1" s="1"/>
      <c r="FTO1" s="1"/>
      <c r="FTP1" s="1"/>
      <c r="FTQ1" s="1"/>
      <c r="FTR1" s="1"/>
      <c r="FTS1" s="1"/>
      <c r="FTT1" s="1"/>
      <c r="FTU1" s="1"/>
      <c r="FTV1" s="1"/>
      <c r="FTW1" s="1"/>
      <c r="FTX1" s="1"/>
      <c r="FTY1" s="1"/>
      <c r="FTZ1" s="1"/>
      <c r="FUA1" s="1"/>
      <c r="FUB1" s="1"/>
      <c r="FUC1" s="1"/>
      <c r="FUD1" s="1"/>
      <c r="FUE1" s="1"/>
      <c r="FUF1" s="1"/>
      <c r="FUG1" s="1"/>
      <c r="FUH1" s="1"/>
      <c r="FUI1" s="1"/>
      <c r="FUJ1" s="1"/>
      <c r="FUK1" s="1"/>
      <c r="FUL1" s="1"/>
      <c r="FUM1" s="1"/>
      <c r="FUN1" s="1"/>
      <c r="FUO1" s="1"/>
      <c r="FUP1" s="1"/>
      <c r="FUQ1" s="1"/>
      <c r="FUR1" s="1"/>
      <c r="FUS1" s="1"/>
      <c r="FUT1" s="1"/>
      <c r="FUU1" s="1"/>
      <c r="FUV1" s="1"/>
      <c r="FUW1" s="1"/>
      <c r="FUX1" s="1"/>
      <c r="FUY1" s="1"/>
      <c r="FUZ1" s="1"/>
      <c r="FVA1" s="1"/>
      <c r="FVB1" s="1"/>
      <c r="FVC1" s="1"/>
      <c r="FVD1" s="1"/>
      <c r="FVE1" s="1"/>
      <c r="FVF1" s="1"/>
      <c r="FVG1" s="1"/>
      <c r="FVH1" s="1"/>
      <c r="FVI1" s="1"/>
      <c r="FVJ1" s="1"/>
      <c r="FVK1" s="1"/>
      <c r="FVL1" s="1"/>
      <c r="FVM1" s="1"/>
      <c r="FVN1" s="1"/>
      <c r="FVO1" s="1"/>
      <c r="FVP1" s="1"/>
      <c r="FVQ1" s="1"/>
      <c r="FVR1" s="1"/>
      <c r="FVS1" s="1"/>
      <c r="FVT1" s="1"/>
      <c r="FVU1" s="1"/>
      <c r="FVV1" s="1"/>
      <c r="FVW1" s="1"/>
      <c r="FVX1" s="1"/>
      <c r="FVY1" s="1"/>
      <c r="FVZ1" s="1"/>
      <c r="FWA1" s="1"/>
      <c r="FWB1" s="1"/>
      <c r="FWC1" s="1"/>
      <c r="FWD1" s="1"/>
      <c r="FWE1" s="1"/>
      <c r="FWF1" s="1"/>
      <c r="FWG1" s="1"/>
      <c r="FWH1" s="1"/>
      <c r="FWI1" s="1"/>
      <c r="FWJ1" s="1"/>
      <c r="FWK1" s="1"/>
      <c r="FWL1" s="1"/>
      <c r="FWM1" s="1"/>
      <c r="FWN1" s="1"/>
      <c r="FWO1" s="1"/>
      <c r="FWP1" s="1"/>
      <c r="FWQ1" s="1"/>
      <c r="FWR1" s="1"/>
      <c r="FWS1" s="1"/>
      <c r="FWT1" s="1"/>
      <c r="FWU1" s="1"/>
      <c r="FWV1" s="1"/>
      <c r="FWW1" s="1"/>
      <c r="FWX1" s="1"/>
      <c r="FWY1" s="1"/>
      <c r="FWZ1" s="1"/>
      <c r="FXA1" s="1"/>
      <c r="FXB1" s="1"/>
      <c r="FXC1" s="1"/>
      <c r="FXD1" s="1"/>
      <c r="FXE1" s="1"/>
      <c r="FXF1" s="1"/>
      <c r="FXG1" s="1"/>
      <c r="FXH1" s="1"/>
      <c r="FXI1" s="1"/>
      <c r="FXJ1" s="1"/>
      <c r="FXK1" s="1"/>
      <c r="FXL1" s="1"/>
      <c r="FXM1" s="1"/>
      <c r="FXN1" s="1"/>
      <c r="FXO1" s="1"/>
      <c r="FXP1" s="1"/>
      <c r="FXQ1" s="1"/>
      <c r="FXR1" s="1"/>
      <c r="FXS1" s="1"/>
      <c r="FXT1" s="1"/>
      <c r="FXU1" s="1"/>
      <c r="FXV1" s="1"/>
      <c r="FXW1" s="1"/>
      <c r="FXX1" s="1"/>
      <c r="FXY1" s="1"/>
      <c r="FXZ1" s="1"/>
      <c r="FYA1" s="1"/>
      <c r="FYB1" s="1"/>
      <c r="FYC1" s="1"/>
      <c r="FYD1" s="1"/>
      <c r="FYE1" s="1"/>
      <c r="FYF1" s="1"/>
      <c r="FYG1" s="1"/>
      <c r="FYH1" s="1"/>
      <c r="FYI1" s="1"/>
      <c r="FYJ1" s="1"/>
      <c r="FYK1" s="1"/>
      <c r="FYL1" s="1"/>
      <c r="FYM1" s="1"/>
      <c r="FYN1" s="1"/>
      <c r="FYO1" s="1"/>
      <c r="FYP1" s="1"/>
      <c r="FYQ1" s="1"/>
      <c r="FYR1" s="1"/>
      <c r="FYS1" s="1"/>
      <c r="FYT1" s="1"/>
      <c r="FYU1" s="1"/>
      <c r="FYV1" s="1"/>
      <c r="FYW1" s="1"/>
      <c r="FYX1" s="1"/>
      <c r="FYY1" s="1"/>
      <c r="FYZ1" s="1"/>
      <c r="FZA1" s="1"/>
      <c r="FZB1" s="1"/>
      <c r="FZC1" s="1"/>
      <c r="FZD1" s="1"/>
      <c r="FZE1" s="1"/>
      <c r="FZF1" s="1"/>
      <c r="FZG1" s="1"/>
      <c r="FZH1" s="1"/>
      <c r="FZI1" s="1"/>
      <c r="FZJ1" s="1"/>
      <c r="FZK1" s="1"/>
      <c r="FZL1" s="1"/>
      <c r="FZM1" s="1"/>
      <c r="FZN1" s="1"/>
      <c r="FZO1" s="1"/>
      <c r="FZP1" s="1"/>
      <c r="FZQ1" s="1"/>
      <c r="FZR1" s="1"/>
      <c r="FZS1" s="1"/>
      <c r="FZT1" s="1"/>
      <c r="FZU1" s="1"/>
      <c r="FZV1" s="1"/>
      <c r="FZW1" s="1"/>
      <c r="FZX1" s="1"/>
      <c r="FZY1" s="1"/>
      <c r="FZZ1" s="1"/>
      <c r="GAA1" s="1"/>
      <c r="GAB1" s="1"/>
      <c r="GAC1" s="1"/>
      <c r="GAD1" s="1"/>
      <c r="GAE1" s="1"/>
      <c r="GAF1" s="1"/>
      <c r="GAG1" s="1"/>
      <c r="GAH1" s="1"/>
      <c r="GAI1" s="1"/>
      <c r="GAJ1" s="1"/>
      <c r="GAK1" s="1"/>
      <c r="GAL1" s="1"/>
      <c r="GAM1" s="1"/>
      <c r="GAN1" s="1"/>
      <c r="GAO1" s="1"/>
      <c r="GAP1" s="1"/>
      <c r="GAQ1" s="1"/>
      <c r="GAR1" s="1"/>
      <c r="GAS1" s="1"/>
      <c r="GAT1" s="1"/>
      <c r="GAU1" s="1"/>
      <c r="GAV1" s="1"/>
      <c r="GAW1" s="1"/>
      <c r="GAX1" s="1"/>
      <c r="GAY1" s="1"/>
      <c r="GAZ1" s="1"/>
      <c r="GBA1" s="1"/>
      <c r="GBB1" s="1"/>
      <c r="GBC1" s="1"/>
      <c r="GBD1" s="1"/>
      <c r="GBE1" s="1"/>
      <c r="GBF1" s="1"/>
      <c r="GBG1" s="1"/>
      <c r="GBH1" s="1"/>
      <c r="GBI1" s="1"/>
      <c r="GBJ1" s="1"/>
      <c r="GBK1" s="1"/>
      <c r="GBL1" s="1"/>
      <c r="GBM1" s="1"/>
      <c r="GBN1" s="1"/>
      <c r="GBO1" s="1"/>
      <c r="GBP1" s="1"/>
      <c r="GBQ1" s="1"/>
      <c r="GBR1" s="1"/>
      <c r="GBS1" s="1"/>
      <c r="GBT1" s="1"/>
      <c r="GBU1" s="1"/>
      <c r="GBV1" s="1"/>
      <c r="GBW1" s="1"/>
      <c r="GBX1" s="1"/>
      <c r="GBY1" s="1"/>
      <c r="GBZ1" s="1"/>
      <c r="GCA1" s="1"/>
      <c r="GCB1" s="1"/>
      <c r="GCC1" s="1"/>
      <c r="GCD1" s="1"/>
      <c r="GCE1" s="1"/>
      <c r="GCF1" s="1"/>
      <c r="GCG1" s="1"/>
      <c r="GCH1" s="1"/>
      <c r="GCI1" s="1"/>
      <c r="GCJ1" s="1"/>
      <c r="GCK1" s="1"/>
      <c r="GCL1" s="1"/>
      <c r="GCM1" s="1"/>
      <c r="GCN1" s="1"/>
      <c r="GCO1" s="1"/>
      <c r="GCP1" s="1"/>
      <c r="GCQ1" s="1"/>
      <c r="GCR1" s="1"/>
      <c r="GCS1" s="1"/>
      <c r="GCT1" s="1"/>
      <c r="GCU1" s="1"/>
      <c r="GCV1" s="1"/>
      <c r="GCW1" s="1"/>
      <c r="GCX1" s="1"/>
      <c r="GCY1" s="1"/>
      <c r="GCZ1" s="1"/>
      <c r="GDA1" s="1"/>
      <c r="GDB1" s="1"/>
      <c r="GDC1" s="1"/>
      <c r="GDD1" s="1"/>
      <c r="GDE1" s="1"/>
      <c r="GDF1" s="1"/>
      <c r="GDG1" s="1"/>
      <c r="GDH1" s="1"/>
      <c r="GDI1" s="1"/>
      <c r="GDJ1" s="1"/>
      <c r="GDK1" s="1"/>
      <c r="GDL1" s="1"/>
      <c r="GDM1" s="1"/>
      <c r="GDN1" s="1"/>
      <c r="GDO1" s="1"/>
      <c r="GDP1" s="1"/>
      <c r="GDQ1" s="1"/>
      <c r="GDR1" s="1"/>
      <c r="GDS1" s="1"/>
      <c r="GDT1" s="1"/>
      <c r="GDU1" s="1"/>
      <c r="GDV1" s="1"/>
      <c r="GDW1" s="1"/>
      <c r="GDX1" s="1"/>
      <c r="GDY1" s="1"/>
      <c r="GDZ1" s="1"/>
      <c r="GEA1" s="1"/>
      <c r="GEB1" s="1"/>
      <c r="GEC1" s="1"/>
      <c r="GED1" s="1"/>
      <c r="GEE1" s="1"/>
      <c r="GEF1" s="1"/>
      <c r="GEG1" s="1"/>
      <c r="GEH1" s="1"/>
      <c r="GEI1" s="1"/>
      <c r="GEJ1" s="1"/>
      <c r="GEK1" s="1"/>
      <c r="GEL1" s="1"/>
      <c r="GEM1" s="1"/>
      <c r="GEN1" s="1"/>
      <c r="GEO1" s="1"/>
      <c r="GEP1" s="1"/>
      <c r="GEQ1" s="1"/>
      <c r="GER1" s="1"/>
      <c r="GES1" s="1"/>
      <c r="GET1" s="1"/>
      <c r="GEU1" s="1"/>
      <c r="GEV1" s="1"/>
      <c r="GEW1" s="1"/>
      <c r="GEX1" s="1"/>
      <c r="GEY1" s="1"/>
      <c r="GEZ1" s="1"/>
      <c r="GFA1" s="1"/>
      <c r="GFB1" s="1"/>
      <c r="GFC1" s="1"/>
      <c r="GFD1" s="1"/>
      <c r="GFE1" s="1"/>
      <c r="GFF1" s="1"/>
      <c r="GFG1" s="1"/>
      <c r="GFH1" s="1"/>
      <c r="GFI1" s="1"/>
      <c r="GFJ1" s="1"/>
      <c r="GFK1" s="1"/>
      <c r="GFL1" s="1"/>
      <c r="GFM1" s="1"/>
      <c r="GFN1" s="1"/>
      <c r="GFO1" s="1"/>
      <c r="GFP1" s="1"/>
      <c r="GFQ1" s="1"/>
      <c r="GFR1" s="1"/>
      <c r="GFS1" s="1"/>
      <c r="GFT1" s="1"/>
      <c r="GFU1" s="1"/>
      <c r="GFV1" s="1"/>
      <c r="GFW1" s="1"/>
      <c r="GFX1" s="1"/>
      <c r="GFY1" s="1"/>
      <c r="GFZ1" s="1"/>
      <c r="GGA1" s="1"/>
      <c r="GGB1" s="1"/>
      <c r="GGC1" s="1"/>
      <c r="GGD1" s="1"/>
      <c r="GGE1" s="1"/>
      <c r="GGF1" s="1"/>
      <c r="GGG1" s="1"/>
      <c r="GGH1" s="1"/>
      <c r="GGI1" s="1"/>
      <c r="GGJ1" s="1"/>
      <c r="GGK1" s="1"/>
      <c r="GGL1" s="1"/>
      <c r="GGM1" s="1"/>
      <c r="GGN1" s="1"/>
      <c r="GGO1" s="1"/>
      <c r="GGP1" s="1"/>
      <c r="GGQ1" s="1"/>
      <c r="GGR1" s="1"/>
      <c r="GGS1" s="1"/>
      <c r="GGT1" s="1"/>
      <c r="GGU1" s="1"/>
      <c r="GGV1" s="1"/>
      <c r="GGW1" s="1"/>
      <c r="GGX1" s="1"/>
      <c r="GGY1" s="1"/>
      <c r="GGZ1" s="1"/>
      <c r="GHA1" s="1"/>
      <c r="GHB1" s="1"/>
      <c r="GHC1" s="1"/>
      <c r="GHD1" s="1"/>
      <c r="GHE1" s="1"/>
      <c r="GHF1" s="1"/>
      <c r="GHG1" s="1"/>
      <c r="GHH1" s="1"/>
      <c r="GHI1" s="1"/>
      <c r="GHJ1" s="1"/>
      <c r="GHK1" s="1"/>
      <c r="GHL1" s="1"/>
      <c r="GHM1" s="1"/>
      <c r="GHN1" s="1"/>
      <c r="GHO1" s="1"/>
      <c r="GHP1" s="1"/>
      <c r="GHQ1" s="1"/>
      <c r="GHR1" s="1"/>
      <c r="GHS1" s="1"/>
      <c r="GHT1" s="1"/>
      <c r="GHU1" s="1"/>
      <c r="GHV1" s="1"/>
      <c r="GHW1" s="1"/>
      <c r="GHX1" s="1"/>
      <c r="GHY1" s="1"/>
      <c r="GHZ1" s="1"/>
      <c r="GIA1" s="1"/>
      <c r="GIB1" s="1"/>
      <c r="GIC1" s="1"/>
      <c r="GID1" s="1"/>
      <c r="GIE1" s="1"/>
      <c r="GIF1" s="1"/>
      <c r="GIG1" s="1"/>
      <c r="GIH1" s="1"/>
      <c r="GII1" s="1"/>
      <c r="GIJ1" s="1"/>
      <c r="GIK1" s="1"/>
      <c r="GIL1" s="1"/>
      <c r="GIM1" s="1"/>
      <c r="GIN1" s="1"/>
      <c r="GIO1" s="1"/>
      <c r="GIP1" s="1"/>
      <c r="GIQ1" s="1"/>
      <c r="GIR1" s="1"/>
      <c r="GIS1" s="1"/>
      <c r="GIT1" s="1"/>
      <c r="GIU1" s="1"/>
      <c r="GIV1" s="1"/>
      <c r="GIW1" s="1"/>
      <c r="GIX1" s="1"/>
      <c r="GIY1" s="1"/>
      <c r="GIZ1" s="1"/>
      <c r="GJA1" s="1"/>
      <c r="GJB1" s="1"/>
      <c r="GJC1" s="1"/>
      <c r="GJD1" s="1"/>
      <c r="GJE1" s="1"/>
      <c r="GJF1" s="1"/>
      <c r="GJG1" s="1"/>
      <c r="GJH1" s="1"/>
      <c r="GJI1" s="1"/>
      <c r="GJJ1" s="1"/>
      <c r="GJK1" s="1"/>
      <c r="GJL1" s="1"/>
      <c r="GJM1" s="1"/>
      <c r="GJN1" s="1"/>
      <c r="GJO1" s="1"/>
      <c r="GJP1" s="1"/>
      <c r="GJQ1" s="1"/>
      <c r="GJR1" s="1"/>
      <c r="GJS1" s="1"/>
      <c r="GJT1" s="1"/>
      <c r="GJU1" s="1"/>
      <c r="GJV1" s="1"/>
      <c r="GJW1" s="1"/>
      <c r="GJX1" s="1"/>
      <c r="GJY1" s="1"/>
      <c r="GJZ1" s="1"/>
      <c r="GKA1" s="1"/>
      <c r="GKB1" s="1"/>
      <c r="GKC1" s="1"/>
      <c r="GKD1" s="1"/>
      <c r="GKE1" s="1"/>
      <c r="GKF1" s="1"/>
      <c r="GKG1" s="1"/>
      <c r="GKH1" s="1"/>
      <c r="GKI1" s="1"/>
      <c r="GKJ1" s="1"/>
      <c r="GKK1" s="1"/>
      <c r="GKL1" s="1"/>
      <c r="GKM1" s="1"/>
      <c r="GKN1" s="1"/>
      <c r="GKO1" s="1"/>
      <c r="GKP1" s="1"/>
      <c r="GKQ1" s="1"/>
      <c r="GKR1" s="1"/>
      <c r="GKS1" s="1"/>
      <c r="GKT1" s="1"/>
      <c r="GKU1" s="1"/>
      <c r="GKV1" s="1"/>
      <c r="GKW1" s="1"/>
      <c r="GKX1" s="1"/>
      <c r="GKY1" s="1"/>
      <c r="GKZ1" s="1"/>
      <c r="GLA1" s="1"/>
      <c r="GLB1" s="1"/>
      <c r="GLC1" s="1"/>
      <c r="GLD1" s="1"/>
      <c r="GLE1" s="1"/>
      <c r="GLF1" s="1"/>
      <c r="GLG1" s="1"/>
      <c r="GLH1" s="1"/>
      <c r="GLI1" s="1"/>
      <c r="GLJ1" s="1"/>
      <c r="GLK1" s="1"/>
      <c r="GLL1" s="1"/>
      <c r="GLM1" s="1"/>
      <c r="GLN1" s="1"/>
      <c r="GLO1" s="1"/>
      <c r="GLP1" s="1"/>
      <c r="GLQ1" s="1"/>
      <c r="GLR1" s="1"/>
      <c r="GLS1" s="1"/>
      <c r="GLT1" s="1"/>
      <c r="GLU1" s="1"/>
      <c r="GLV1" s="1"/>
      <c r="GLW1" s="1"/>
      <c r="GLX1" s="1"/>
      <c r="GLY1" s="1"/>
      <c r="GLZ1" s="1"/>
      <c r="GMA1" s="1"/>
      <c r="GMB1" s="1"/>
      <c r="GMC1" s="1"/>
      <c r="GMD1" s="1"/>
      <c r="GME1" s="1"/>
      <c r="GMF1" s="1"/>
      <c r="GMG1" s="1"/>
      <c r="GMH1" s="1"/>
      <c r="GMI1" s="1"/>
      <c r="GMJ1" s="1"/>
      <c r="GMK1" s="1"/>
      <c r="GML1" s="1"/>
      <c r="GMM1" s="1"/>
      <c r="GMN1" s="1"/>
      <c r="GMO1" s="1"/>
      <c r="GMP1" s="1"/>
      <c r="GMQ1" s="1"/>
      <c r="GMR1" s="1"/>
      <c r="GMS1" s="1"/>
      <c r="GMT1" s="1"/>
      <c r="GMU1" s="1"/>
      <c r="GMV1" s="1"/>
      <c r="GMW1" s="1"/>
      <c r="GMX1" s="1"/>
      <c r="GMY1" s="1"/>
      <c r="GMZ1" s="1"/>
      <c r="GNA1" s="1"/>
      <c r="GNB1" s="1"/>
      <c r="GNC1" s="1"/>
      <c r="GND1" s="1"/>
      <c r="GNE1" s="1"/>
      <c r="GNF1" s="1"/>
      <c r="GNG1" s="1"/>
      <c r="GNH1" s="1"/>
      <c r="GNI1" s="1"/>
      <c r="GNJ1" s="1"/>
      <c r="GNK1" s="1"/>
      <c r="GNL1" s="1"/>
      <c r="GNM1" s="1"/>
      <c r="GNN1" s="1"/>
      <c r="GNO1" s="1"/>
      <c r="GNP1" s="1"/>
      <c r="GNQ1" s="1"/>
      <c r="GNR1" s="1"/>
      <c r="GNS1" s="1"/>
      <c r="GNT1" s="1"/>
      <c r="GNU1" s="1"/>
      <c r="GNV1" s="1"/>
      <c r="GNW1" s="1"/>
      <c r="GNX1" s="1"/>
      <c r="GNY1" s="1"/>
      <c r="GNZ1" s="1"/>
      <c r="GOA1" s="1"/>
      <c r="GOB1" s="1"/>
      <c r="GOC1" s="1"/>
      <c r="GOD1" s="1"/>
      <c r="GOE1" s="1"/>
      <c r="GOF1" s="1"/>
      <c r="GOG1" s="1"/>
      <c r="GOH1" s="1"/>
      <c r="GOI1" s="1"/>
      <c r="GOJ1" s="1"/>
      <c r="GOK1" s="1"/>
      <c r="GOL1" s="1"/>
      <c r="GOM1" s="1"/>
      <c r="GON1" s="1"/>
      <c r="GOO1" s="1"/>
      <c r="GOP1" s="1"/>
      <c r="GOQ1" s="1"/>
      <c r="GOR1" s="1"/>
      <c r="GOS1" s="1"/>
      <c r="GOT1" s="1"/>
      <c r="GOU1" s="1"/>
      <c r="GOV1" s="1"/>
      <c r="GOW1" s="1"/>
      <c r="GOX1" s="1"/>
      <c r="GOY1" s="1"/>
      <c r="GOZ1" s="1"/>
      <c r="GPA1" s="1"/>
      <c r="GPB1" s="1"/>
      <c r="GPC1" s="1"/>
      <c r="GPD1" s="1"/>
      <c r="GPE1" s="1"/>
      <c r="GPF1" s="1"/>
      <c r="GPG1" s="1"/>
      <c r="GPH1" s="1"/>
      <c r="GPI1" s="1"/>
      <c r="GPJ1" s="1"/>
      <c r="GPK1" s="1"/>
      <c r="GPL1" s="1"/>
      <c r="GPM1" s="1"/>
      <c r="GPN1" s="1"/>
      <c r="GPO1" s="1"/>
      <c r="GPP1" s="1"/>
      <c r="GPQ1" s="1"/>
      <c r="GPR1" s="1"/>
      <c r="GPS1" s="1"/>
      <c r="GPT1" s="1"/>
      <c r="GPU1" s="1"/>
      <c r="GPV1" s="1"/>
      <c r="GPW1" s="1"/>
      <c r="GPX1" s="1"/>
      <c r="GPY1" s="1"/>
      <c r="GPZ1" s="1"/>
      <c r="GQA1" s="1"/>
      <c r="GQB1" s="1"/>
      <c r="GQC1" s="1"/>
      <c r="GQD1" s="1"/>
      <c r="GQE1" s="1"/>
      <c r="GQF1" s="1"/>
      <c r="GQG1" s="1"/>
      <c r="GQH1" s="1"/>
      <c r="GQI1" s="1"/>
      <c r="GQJ1" s="1"/>
      <c r="GQK1" s="1"/>
      <c r="GQL1" s="1"/>
      <c r="GQM1" s="1"/>
      <c r="GQN1" s="1"/>
      <c r="GQO1" s="1"/>
      <c r="GQP1" s="1"/>
      <c r="GQQ1" s="1"/>
      <c r="GQR1" s="1"/>
      <c r="GQS1" s="1"/>
      <c r="GQT1" s="1"/>
      <c r="GQU1" s="1"/>
      <c r="GQV1" s="1"/>
      <c r="GQW1" s="1"/>
      <c r="GQX1" s="1"/>
      <c r="GQY1" s="1"/>
      <c r="GQZ1" s="1"/>
      <c r="GRA1" s="1"/>
      <c r="GRB1" s="1"/>
      <c r="GRC1" s="1"/>
      <c r="GRD1" s="1"/>
      <c r="GRE1" s="1"/>
      <c r="GRF1" s="1"/>
      <c r="GRG1" s="1"/>
      <c r="GRH1" s="1"/>
      <c r="GRI1" s="1"/>
      <c r="GRJ1" s="1"/>
      <c r="GRK1" s="1"/>
      <c r="GRL1" s="1"/>
      <c r="GRM1" s="1"/>
      <c r="GRN1" s="1"/>
      <c r="GRO1" s="1"/>
      <c r="GRP1" s="1"/>
      <c r="GRQ1" s="1"/>
      <c r="GRR1" s="1"/>
      <c r="GRS1" s="1"/>
      <c r="GRT1" s="1"/>
      <c r="GRU1" s="1"/>
      <c r="GRV1" s="1"/>
      <c r="GRW1" s="1"/>
      <c r="GRX1" s="1"/>
      <c r="GRY1" s="1"/>
      <c r="GRZ1" s="1"/>
      <c r="GSA1" s="1"/>
      <c r="GSB1" s="1"/>
      <c r="GSC1" s="1"/>
      <c r="GSD1" s="1"/>
      <c r="GSE1" s="1"/>
      <c r="GSF1" s="1"/>
      <c r="GSG1" s="1"/>
      <c r="GSH1" s="1"/>
      <c r="GSI1" s="1"/>
      <c r="GSJ1" s="1"/>
      <c r="GSK1" s="1"/>
      <c r="GSL1" s="1"/>
      <c r="GSM1" s="1"/>
      <c r="GSN1" s="1"/>
      <c r="GSO1" s="1"/>
      <c r="GSP1" s="1"/>
      <c r="GSQ1" s="1"/>
      <c r="GSR1" s="1"/>
      <c r="GSS1" s="1"/>
      <c r="GST1" s="1"/>
      <c r="GSU1" s="1"/>
      <c r="GSV1" s="1"/>
      <c r="GSW1" s="1"/>
      <c r="GSX1" s="1"/>
      <c r="GSY1" s="1"/>
      <c r="GSZ1" s="1"/>
      <c r="GTA1" s="1"/>
      <c r="GTB1" s="1"/>
      <c r="GTC1" s="1"/>
      <c r="GTD1" s="1"/>
      <c r="GTE1" s="1"/>
      <c r="GTF1" s="1"/>
      <c r="GTG1" s="1"/>
      <c r="GTH1" s="1"/>
      <c r="GTI1" s="1"/>
      <c r="GTJ1" s="1"/>
      <c r="GTK1" s="1"/>
      <c r="GTL1" s="1"/>
      <c r="GTM1" s="1"/>
      <c r="GTN1" s="1"/>
      <c r="GTO1" s="1"/>
      <c r="GTP1" s="1"/>
      <c r="GTQ1" s="1"/>
      <c r="GTR1" s="1"/>
      <c r="GTS1" s="1"/>
      <c r="GTT1" s="1"/>
      <c r="GTU1" s="1"/>
      <c r="GTV1" s="1"/>
      <c r="GTW1" s="1"/>
      <c r="GTX1" s="1"/>
      <c r="GTY1" s="1"/>
      <c r="GTZ1" s="1"/>
      <c r="GUA1" s="1"/>
      <c r="GUB1" s="1"/>
      <c r="GUC1" s="1"/>
      <c r="GUD1" s="1"/>
      <c r="GUE1" s="1"/>
      <c r="GUF1" s="1"/>
      <c r="GUG1" s="1"/>
      <c r="GUH1" s="1"/>
      <c r="GUI1" s="1"/>
      <c r="GUJ1" s="1"/>
      <c r="GUK1" s="1"/>
      <c r="GUL1" s="1"/>
      <c r="GUM1" s="1"/>
      <c r="GUN1" s="1"/>
      <c r="GUO1" s="1"/>
      <c r="GUP1" s="1"/>
      <c r="GUQ1" s="1"/>
      <c r="GUR1" s="1"/>
      <c r="GUS1" s="1"/>
      <c r="GUT1" s="1"/>
      <c r="GUU1" s="1"/>
      <c r="GUV1" s="1"/>
      <c r="GUW1" s="1"/>
      <c r="GUX1" s="1"/>
      <c r="GUY1" s="1"/>
      <c r="GUZ1" s="1"/>
      <c r="GVA1" s="1"/>
      <c r="GVB1" s="1"/>
      <c r="GVC1" s="1"/>
      <c r="GVD1" s="1"/>
      <c r="GVE1" s="1"/>
      <c r="GVF1" s="1"/>
      <c r="GVG1" s="1"/>
      <c r="GVH1" s="1"/>
      <c r="GVI1" s="1"/>
      <c r="GVJ1" s="1"/>
      <c r="GVK1" s="1"/>
      <c r="GVL1" s="1"/>
      <c r="GVM1" s="1"/>
      <c r="GVN1" s="1"/>
      <c r="GVO1" s="1"/>
      <c r="GVP1" s="1"/>
      <c r="GVQ1" s="1"/>
      <c r="GVR1" s="1"/>
      <c r="GVS1" s="1"/>
      <c r="GVT1" s="1"/>
      <c r="GVU1" s="1"/>
      <c r="GVV1" s="1"/>
      <c r="GVW1" s="1"/>
      <c r="GVX1" s="1"/>
      <c r="GVY1" s="1"/>
      <c r="GVZ1" s="1"/>
      <c r="GWA1" s="1"/>
      <c r="GWB1" s="1"/>
      <c r="GWC1" s="1"/>
      <c r="GWD1" s="1"/>
      <c r="GWE1" s="1"/>
      <c r="GWF1" s="1"/>
      <c r="GWG1" s="1"/>
      <c r="GWH1" s="1"/>
      <c r="GWI1" s="1"/>
      <c r="GWJ1" s="1"/>
      <c r="GWK1" s="1"/>
      <c r="GWL1" s="1"/>
      <c r="GWM1" s="1"/>
      <c r="GWN1" s="1"/>
      <c r="GWO1" s="1"/>
      <c r="GWP1" s="1"/>
      <c r="GWQ1" s="1"/>
      <c r="GWR1" s="1"/>
      <c r="GWS1" s="1"/>
      <c r="GWT1" s="1"/>
      <c r="GWU1" s="1"/>
      <c r="GWV1" s="1"/>
      <c r="GWW1" s="1"/>
      <c r="GWX1" s="1"/>
      <c r="GWY1" s="1"/>
      <c r="GWZ1" s="1"/>
      <c r="GXA1" s="1"/>
      <c r="GXB1" s="1"/>
      <c r="GXC1" s="1"/>
      <c r="GXD1" s="1"/>
      <c r="GXE1" s="1"/>
      <c r="GXF1" s="1"/>
      <c r="GXG1" s="1"/>
      <c r="GXH1" s="1"/>
      <c r="GXI1" s="1"/>
      <c r="GXJ1" s="1"/>
      <c r="GXK1" s="1"/>
      <c r="GXL1" s="1"/>
      <c r="GXM1" s="1"/>
      <c r="GXN1" s="1"/>
      <c r="GXO1" s="1"/>
      <c r="GXP1" s="1"/>
      <c r="GXQ1" s="1"/>
      <c r="GXR1" s="1"/>
      <c r="GXS1" s="1"/>
      <c r="GXT1" s="1"/>
      <c r="GXU1" s="1"/>
      <c r="GXV1" s="1"/>
      <c r="GXW1" s="1"/>
      <c r="GXX1" s="1"/>
      <c r="GXY1" s="1"/>
      <c r="GXZ1" s="1"/>
      <c r="GYA1" s="1"/>
      <c r="GYB1" s="1"/>
      <c r="GYC1" s="1"/>
      <c r="GYD1" s="1"/>
      <c r="GYE1" s="1"/>
      <c r="GYF1" s="1"/>
      <c r="GYG1" s="1"/>
      <c r="GYH1" s="1"/>
      <c r="GYI1" s="1"/>
      <c r="GYJ1" s="1"/>
      <c r="GYK1" s="1"/>
      <c r="GYL1" s="1"/>
      <c r="GYM1" s="1"/>
      <c r="GYN1" s="1"/>
      <c r="GYO1" s="1"/>
      <c r="GYP1" s="1"/>
      <c r="GYQ1" s="1"/>
      <c r="GYR1" s="1"/>
      <c r="GYS1" s="1"/>
      <c r="GYT1" s="1"/>
      <c r="GYU1" s="1"/>
      <c r="GYV1" s="1"/>
      <c r="GYW1" s="1"/>
      <c r="GYX1" s="1"/>
      <c r="GYY1" s="1"/>
      <c r="GYZ1" s="1"/>
      <c r="GZA1" s="1"/>
      <c r="GZB1" s="1"/>
      <c r="GZC1" s="1"/>
      <c r="GZD1" s="1"/>
      <c r="GZE1" s="1"/>
      <c r="GZF1" s="1"/>
      <c r="GZG1" s="1"/>
      <c r="GZH1" s="1"/>
      <c r="GZI1" s="1"/>
      <c r="GZJ1" s="1"/>
      <c r="GZK1" s="1"/>
      <c r="GZL1" s="1"/>
      <c r="GZM1" s="1"/>
      <c r="GZN1" s="1"/>
      <c r="GZO1" s="1"/>
      <c r="GZP1" s="1"/>
      <c r="GZQ1" s="1"/>
      <c r="GZR1" s="1"/>
      <c r="GZS1" s="1"/>
      <c r="GZT1" s="1"/>
      <c r="GZU1" s="1"/>
      <c r="GZV1" s="1"/>
      <c r="GZW1" s="1"/>
      <c r="GZX1" s="1"/>
      <c r="GZY1" s="1"/>
      <c r="GZZ1" s="1"/>
      <c r="HAA1" s="1"/>
      <c r="HAB1" s="1"/>
      <c r="HAC1" s="1"/>
      <c r="HAD1" s="1"/>
      <c r="HAE1" s="1"/>
      <c r="HAF1" s="1"/>
      <c r="HAG1" s="1"/>
      <c r="HAH1" s="1"/>
      <c r="HAI1" s="1"/>
      <c r="HAJ1" s="1"/>
      <c r="HAK1" s="1"/>
      <c r="HAL1" s="1"/>
      <c r="HAM1" s="1"/>
      <c r="HAN1" s="1"/>
      <c r="HAO1" s="1"/>
      <c r="HAP1" s="1"/>
      <c r="HAQ1" s="1"/>
      <c r="HAR1" s="1"/>
      <c r="HAS1" s="1"/>
      <c r="HAT1" s="1"/>
      <c r="HAU1" s="1"/>
      <c r="HAV1" s="1"/>
      <c r="HAW1" s="1"/>
      <c r="HAX1" s="1"/>
      <c r="HAY1" s="1"/>
      <c r="HAZ1" s="1"/>
      <c r="HBA1" s="1"/>
      <c r="HBB1" s="1"/>
      <c r="HBC1" s="1"/>
      <c r="HBD1" s="1"/>
      <c r="HBE1" s="1"/>
      <c r="HBF1" s="1"/>
      <c r="HBG1" s="1"/>
      <c r="HBH1" s="1"/>
      <c r="HBI1" s="1"/>
      <c r="HBJ1" s="1"/>
      <c r="HBK1" s="1"/>
      <c r="HBL1" s="1"/>
      <c r="HBM1" s="1"/>
      <c r="HBN1" s="1"/>
      <c r="HBO1" s="1"/>
      <c r="HBP1" s="1"/>
      <c r="HBQ1" s="1"/>
      <c r="HBR1" s="1"/>
      <c r="HBS1" s="1"/>
      <c r="HBT1" s="1"/>
      <c r="HBU1" s="1"/>
      <c r="HBV1" s="1"/>
      <c r="HBW1" s="1"/>
      <c r="HBX1" s="1"/>
      <c r="HBY1" s="1"/>
      <c r="HBZ1" s="1"/>
      <c r="HCA1" s="1"/>
      <c r="HCB1" s="1"/>
      <c r="HCC1" s="1"/>
      <c r="HCD1" s="1"/>
      <c r="HCE1" s="1"/>
      <c r="HCF1" s="1"/>
      <c r="HCG1" s="1"/>
      <c r="HCH1" s="1"/>
      <c r="HCI1" s="1"/>
      <c r="HCJ1" s="1"/>
      <c r="HCK1" s="1"/>
      <c r="HCL1" s="1"/>
      <c r="HCM1" s="1"/>
      <c r="HCN1" s="1"/>
      <c r="HCO1" s="1"/>
      <c r="HCP1" s="1"/>
      <c r="HCQ1" s="1"/>
      <c r="HCR1" s="1"/>
      <c r="HCS1" s="1"/>
      <c r="HCT1" s="1"/>
      <c r="HCU1" s="1"/>
      <c r="HCV1" s="1"/>
      <c r="HCW1" s="1"/>
      <c r="HCX1" s="1"/>
      <c r="HCY1" s="1"/>
      <c r="HCZ1" s="1"/>
      <c r="HDA1" s="1"/>
      <c r="HDB1" s="1"/>
      <c r="HDC1" s="1"/>
      <c r="HDD1" s="1"/>
      <c r="HDE1" s="1"/>
      <c r="HDF1" s="1"/>
      <c r="HDG1" s="1"/>
      <c r="HDH1" s="1"/>
      <c r="HDI1" s="1"/>
      <c r="HDJ1" s="1"/>
      <c r="HDK1" s="1"/>
      <c r="HDL1" s="1"/>
      <c r="HDM1" s="1"/>
      <c r="HDN1" s="1"/>
      <c r="HDO1" s="1"/>
      <c r="HDP1" s="1"/>
      <c r="HDQ1" s="1"/>
      <c r="HDR1" s="1"/>
      <c r="HDS1" s="1"/>
      <c r="HDT1" s="1"/>
      <c r="HDU1" s="1"/>
      <c r="HDV1" s="1"/>
      <c r="HDW1" s="1"/>
      <c r="HDX1" s="1"/>
      <c r="HDY1" s="1"/>
      <c r="HDZ1" s="1"/>
      <c r="HEA1" s="1"/>
      <c r="HEB1" s="1"/>
      <c r="HEC1" s="1"/>
      <c r="HED1" s="1"/>
      <c r="HEE1" s="1"/>
      <c r="HEF1" s="1"/>
      <c r="HEG1" s="1"/>
      <c r="HEH1" s="1"/>
      <c r="HEI1" s="1"/>
      <c r="HEJ1" s="1"/>
      <c r="HEK1" s="1"/>
      <c r="HEL1" s="1"/>
      <c r="HEM1" s="1"/>
      <c r="HEN1" s="1"/>
      <c r="HEO1" s="1"/>
      <c r="HEP1" s="1"/>
      <c r="HEQ1" s="1"/>
      <c r="HER1" s="1"/>
      <c r="HES1" s="1"/>
      <c r="HET1" s="1"/>
      <c r="HEU1" s="1"/>
      <c r="HEV1" s="1"/>
      <c r="HEW1" s="1"/>
      <c r="HEX1" s="1"/>
      <c r="HEY1" s="1"/>
      <c r="HEZ1" s="1"/>
      <c r="HFA1" s="1"/>
      <c r="HFB1" s="1"/>
      <c r="HFC1" s="1"/>
      <c r="HFD1" s="1"/>
      <c r="HFE1" s="1"/>
      <c r="HFF1" s="1"/>
      <c r="HFG1" s="1"/>
      <c r="HFH1" s="1"/>
      <c r="HFI1" s="1"/>
      <c r="HFJ1" s="1"/>
      <c r="HFK1" s="1"/>
      <c r="HFL1" s="1"/>
      <c r="HFM1" s="1"/>
      <c r="HFN1" s="1"/>
      <c r="HFO1" s="1"/>
      <c r="HFP1" s="1"/>
      <c r="HFQ1" s="1"/>
      <c r="HFR1" s="1"/>
      <c r="HFS1" s="1"/>
      <c r="HFT1" s="1"/>
      <c r="HFU1" s="1"/>
      <c r="HFV1" s="1"/>
      <c r="HFW1" s="1"/>
      <c r="HFX1" s="1"/>
      <c r="HFY1" s="1"/>
      <c r="HFZ1" s="1"/>
      <c r="HGA1" s="1"/>
      <c r="HGB1" s="1"/>
      <c r="HGC1" s="1"/>
      <c r="HGD1" s="1"/>
      <c r="HGE1" s="1"/>
      <c r="HGF1" s="1"/>
      <c r="HGG1" s="1"/>
      <c r="HGH1" s="1"/>
      <c r="HGI1" s="1"/>
      <c r="HGJ1" s="1"/>
      <c r="HGK1" s="1"/>
      <c r="HGL1" s="1"/>
      <c r="HGM1" s="1"/>
      <c r="HGN1" s="1"/>
      <c r="HGO1" s="1"/>
      <c r="HGP1" s="1"/>
      <c r="HGQ1" s="1"/>
      <c r="HGR1" s="1"/>
      <c r="HGS1" s="1"/>
      <c r="HGT1" s="1"/>
      <c r="HGU1" s="1"/>
      <c r="HGV1" s="1"/>
      <c r="HGW1" s="1"/>
      <c r="HGX1" s="1"/>
      <c r="HGY1" s="1"/>
      <c r="HGZ1" s="1"/>
      <c r="HHA1" s="1"/>
      <c r="HHB1" s="1"/>
      <c r="HHC1" s="1"/>
      <c r="HHD1" s="1"/>
      <c r="HHE1" s="1"/>
      <c r="HHF1" s="1"/>
      <c r="HHG1" s="1"/>
      <c r="HHH1" s="1"/>
      <c r="HHI1" s="1"/>
      <c r="HHJ1" s="1"/>
      <c r="HHK1" s="1"/>
      <c r="HHL1" s="1"/>
      <c r="HHM1" s="1"/>
      <c r="HHN1" s="1"/>
      <c r="HHO1" s="1"/>
      <c r="HHP1" s="1"/>
      <c r="HHQ1" s="1"/>
      <c r="HHR1" s="1"/>
      <c r="HHS1" s="1"/>
      <c r="HHT1" s="1"/>
      <c r="HHU1" s="1"/>
      <c r="HHV1" s="1"/>
      <c r="HHW1" s="1"/>
      <c r="HHX1" s="1"/>
      <c r="HHY1" s="1"/>
      <c r="HHZ1" s="1"/>
      <c r="HIA1" s="1"/>
      <c r="HIB1" s="1"/>
      <c r="HIC1" s="1"/>
      <c r="HID1" s="1"/>
      <c r="HIE1" s="1"/>
      <c r="HIF1" s="1"/>
      <c r="HIG1" s="1"/>
      <c r="HIH1" s="1"/>
      <c r="HII1" s="1"/>
      <c r="HIJ1" s="1"/>
      <c r="HIK1" s="1"/>
      <c r="HIL1" s="1"/>
      <c r="HIM1" s="1"/>
      <c r="HIN1" s="1"/>
      <c r="HIO1" s="1"/>
      <c r="HIP1" s="1"/>
      <c r="HIQ1" s="1"/>
      <c r="HIR1" s="1"/>
      <c r="HIS1" s="1"/>
      <c r="HIT1" s="1"/>
      <c r="HIU1" s="1"/>
      <c r="HIV1" s="1"/>
      <c r="HIW1" s="1"/>
      <c r="HIX1" s="1"/>
      <c r="HIY1" s="1"/>
      <c r="HIZ1" s="1"/>
      <c r="HJA1" s="1"/>
      <c r="HJB1" s="1"/>
      <c r="HJC1" s="1"/>
      <c r="HJD1" s="1"/>
      <c r="HJE1" s="1"/>
      <c r="HJF1" s="1"/>
      <c r="HJG1" s="1"/>
      <c r="HJH1" s="1"/>
      <c r="HJI1" s="1"/>
      <c r="HJJ1" s="1"/>
      <c r="HJK1" s="1"/>
      <c r="HJL1" s="1"/>
      <c r="HJM1" s="1"/>
      <c r="HJN1" s="1"/>
      <c r="HJO1" s="1"/>
      <c r="HJP1" s="1"/>
      <c r="HJQ1" s="1"/>
      <c r="HJR1" s="1"/>
      <c r="HJS1" s="1"/>
      <c r="HJT1" s="1"/>
      <c r="HJU1" s="1"/>
      <c r="HJV1" s="1"/>
      <c r="HJW1" s="1"/>
      <c r="HJX1" s="1"/>
      <c r="HJY1" s="1"/>
      <c r="HJZ1" s="1"/>
      <c r="HKA1" s="1"/>
      <c r="HKB1" s="1"/>
      <c r="HKC1" s="1"/>
      <c r="HKD1" s="1"/>
      <c r="HKE1" s="1"/>
      <c r="HKF1" s="1"/>
      <c r="HKG1" s="1"/>
      <c r="HKH1" s="1"/>
      <c r="HKI1" s="1"/>
      <c r="HKJ1" s="1"/>
      <c r="HKK1" s="1"/>
      <c r="HKL1" s="1"/>
      <c r="HKM1" s="1"/>
      <c r="HKN1" s="1"/>
      <c r="HKO1" s="1"/>
      <c r="HKP1" s="1"/>
      <c r="HKQ1" s="1"/>
      <c r="HKR1" s="1"/>
      <c r="HKS1" s="1"/>
      <c r="HKT1" s="1"/>
      <c r="HKU1" s="1"/>
      <c r="HKV1" s="1"/>
      <c r="HKW1" s="1"/>
      <c r="HKX1" s="1"/>
      <c r="HKY1" s="1"/>
      <c r="HKZ1" s="1"/>
      <c r="HLA1" s="1"/>
      <c r="HLB1" s="1"/>
      <c r="HLC1" s="1"/>
      <c r="HLD1" s="1"/>
      <c r="HLE1" s="1"/>
      <c r="HLF1" s="1"/>
      <c r="HLG1" s="1"/>
      <c r="HLH1" s="1"/>
      <c r="HLI1" s="1"/>
      <c r="HLJ1" s="1"/>
      <c r="HLK1" s="1"/>
      <c r="HLL1" s="1"/>
      <c r="HLM1" s="1"/>
      <c r="HLN1" s="1"/>
      <c r="HLO1" s="1"/>
      <c r="HLP1" s="1"/>
      <c r="HLQ1" s="1"/>
      <c r="HLR1" s="1"/>
      <c r="HLS1" s="1"/>
      <c r="HLT1" s="1"/>
      <c r="HLU1" s="1"/>
      <c r="HLV1" s="1"/>
      <c r="HLW1" s="1"/>
      <c r="HLX1" s="1"/>
      <c r="HLY1" s="1"/>
      <c r="HLZ1" s="1"/>
      <c r="HMA1" s="1"/>
      <c r="HMB1" s="1"/>
      <c r="HMC1" s="1"/>
      <c r="HMD1" s="1"/>
      <c r="HME1" s="1"/>
      <c r="HMF1" s="1"/>
      <c r="HMG1" s="1"/>
      <c r="HMH1" s="1"/>
      <c r="HMI1" s="1"/>
      <c r="HMJ1" s="1"/>
      <c r="HMK1" s="1"/>
      <c r="HML1" s="1"/>
      <c r="HMM1" s="1"/>
      <c r="HMN1" s="1"/>
      <c r="HMO1" s="1"/>
      <c r="HMP1" s="1"/>
      <c r="HMQ1" s="1"/>
      <c r="HMR1" s="1"/>
      <c r="HMS1" s="1"/>
      <c r="HMT1" s="1"/>
      <c r="HMU1" s="1"/>
      <c r="HMV1" s="1"/>
      <c r="HMW1" s="1"/>
      <c r="HMX1" s="1"/>
      <c r="HMY1" s="1"/>
      <c r="HMZ1" s="1"/>
      <c r="HNA1" s="1"/>
      <c r="HNB1" s="1"/>
      <c r="HNC1" s="1"/>
      <c r="HND1" s="1"/>
      <c r="HNE1" s="1"/>
      <c r="HNF1" s="1"/>
      <c r="HNG1" s="1"/>
      <c r="HNH1" s="1"/>
      <c r="HNI1" s="1"/>
      <c r="HNJ1" s="1"/>
      <c r="HNK1" s="1"/>
      <c r="HNL1" s="1"/>
      <c r="HNM1" s="1"/>
      <c r="HNN1" s="1"/>
      <c r="HNO1" s="1"/>
      <c r="HNP1" s="1"/>
      <c r="HNQ1" s="1"/>
      <c r="HNR1" s="1"/>
      <c r="HNS1" s="1"/>
      <c r="HNT1" s="1"/>
      <c r="HNU1" s="1"/>
      <c r="HNV1" s="1"/>
      <c r="HNW1" s="1"/>
      <c r="HNX1" s="1"/>
      <c r="HNY1" s="1"/>
      <c r="HNZ1" s="1"/>
      <c r="HOA1" s="1"/>
      <c r="HOB1" s="1"/>
      <c r="HOC1" s="1"/>
      <c r="HOD1" s="1"/>
      <c r="HOE1" s="1"/>
      <c r="HOF1" s="1"/>
      <c r="HOG1" s="1"/>
      <c r="HOH1" s="1"/>
      <c r="HOI1" s="1"/>
      <c r="HOJ1" s="1"/>
      <c r="HOK1" s="1"/>
      <c r="HOL1" s="1"/>
      <c r="HOM1" s="1"/>
      <c r="HON1" s="1"/>
      <c r="HOO1" s="1"/>
      <c r="HOP1" s="1"/>
      <c r="HOQ1" s="1"/>
      <c r="HOR1" s="1"/>
      <c r="HOS1" s="1"/>
      <c r="HOT1" s="1"/>
      <c r="HOU1" s="1"/>
      <c r="HOV1" s="1"/>
      <c r="HOW1" s="1"/>
      <c r="HOX1" s="1"/>
      <c r="HOY1" s="1"/>
      <c r="HOZ1" s="1"/>
      <c r="HPA1" s="1"/>
      <c r="HPB1" s="1"/>
      <c r="HPC1" s="1"/>
      <c r="HPD1" s="1"/>
      <c r="HPE1" s="1"/>
      <c r="HPF1" s="1"/>
      <c r="HPG1" s="1"/>
      <c r="HPH1" s="1"/>
      <c r="HPI1" s="1"/>
      <c r="HPJ1" s="1"/>
      <c r="HPK1" s="1"/>
      <c r="HPL1" s="1"/>
      <c r="HPM1" s="1"/>
      <c r="HPN1" s="1"/>
      <c r="HPO1" s="1"/>
      <c r="HPP1" s="1"/>
      <c r="HPQ1" s="1"/>
      <c r="HPR1" s="1"/>
      <c r="HPS1" s="1"/>
      <c r="HPT1" s="1"/>
      <c r="HPU1" s="1"/>
      <c r="HPV1" s="1"/>
      <c r="HPW1" s="1"/>
      <c r="HPX1" s="1"/>
      <c r="HPY1" s="1"/>
      <c r="HPZ1" s="1"/>
      <c r="HQA1" s="1"/>
      <c r="HQB1" s="1"/>
      <c r="HQC1" s="1"/>
      <c r="HQD1" s="1"/>
      <c r="HQE1" s="1"/>
      <c r="HQF1" s="1"/>
      <c r="HQG1" s="1"/>
      <c r="HQH1" s="1"/>
      <c r="HQI1" s="1"/>
      <c r="HQJ1" s="1"/>
      <c r="HQK1" s="1"/>
      <c r="HQL1" s="1"/>
      <c r="HQM1" s="1"/>
      <c r="HQN1" s="1"/>
      <c r="HQO1" s="1"/>
      <c r="HQP1" s="1"/>
      <c r="HQQ1" s="1"/>
      <c r="HQR1" s="1"/>
      <c r="HQS1" s="1"/>
      <c r="HQT1" s="1"/>
      <c r="HQU1" s="1"/>
      <c r="HQV1" s="1"/>
      <c r="HQW1" s="1"/>
      <c r="HQX1" s="1"/>
      <c r="HQY1" s="1"/>
      <c r="HQZ1" s="1"/>
      <c r="HRA1" s="1"/>
      <c r="HRB1" s="1"/>
      <c r="HRC1" s="1"/>
      <c r="HRD1" s="1"/>
      <c r="HRE1" s="1"/>
      <c r="HRF1" s="1"/>
      <c r="HRG1" s="1"/>
      <c r="HRH1" s="1"/>
      <c r="HRI1" s="1"/>
      <c r="HRJ1" s="1"/>
      <c r="HRK1" s="1"/>
      <c r="HRL1" s="1"/>
      <c r="HRM1" s="1"/>
      <c r="HRN1" s="1"/>
      <c r="HRO1" s="1"/>
      <c r="HRP1" s="1"/>
      <c r="HRQ1" s="1"/>
      <c r="HRR1" s="1"/>
      <c r="HRS1" s="1"/>
      <c r="HRT1" s="1"/>
      <c r="HRU1" s="1"/>
      <c r="HRV1" s="1"/>
      <c r="HRW1" s="1"/>
      <c r="HRX1" s="1"/>
      <c r="HRY1" s="1"/>
      <c r="HRZ1" s="1"/>
      <c r="HSA1" s="1"/>
      <c r="HSB1" s="1"/>
      <c r="HSC1" s="1"/>
      <c r="HSD1" s="1"/>
      <c r="HSE1" s="1"/>
      <c r="HSF1" s="1"/>
      <c r="HSG1" s="1"/>
      <c r="HSH1" s="1"/>
      <c r="HSI1" s="1"/>
      <c r="HSJ1" s="1"/>
      <c r="HSK1" s="1"/>
      <c r="HSL1" s="1"/>
      <c r="HSM1" s="1"/>
      <c r="HSN1" s="1"/>
      <c r="HSO1" s="1"/>
      <c r="HSP1" s="1"/>
      <c r="HSQ1" s="1"/>
      <c r="HSR1" s="1"/>
      <c r="HSS1" s="1"/>
      <c r="HST1" s="1"/>
      <c r="HSU1" s="1"/>
      <c r="HSV1" s="1"/>
      <c r="HSW1" s="1"/>
      <c r="HSX1" s="1"/>
      <c r="HSY1" s="1"/>
      <c r="HSZ1" s="1"/>
      <c r="HTA1" s="1"/>
      <c r="HTB1" s="1"/>
      <c r="HTC1" s="1"/>
      <c r="HTD1" s="1"/>
      <c r="HTE1" s="1"/>
      <c r="HTF1" s="1"/>
      <c r="HTG1" s="1"/>
      <c r="HTH1" s="1"/>
      <c r="HTI1" s="1"/>
      <c r="HTJ1" s="1"/>
      <c r="HTK1" s="1"/>
      <c r="HTL1" s="1"/>
      <c r="HTM1" s="1"/>
      <c r="HTN1" s="1"/>
      <c r="HTO1" s="1"/>
      <c r="HTP1" s="1"/>
      <c r="HTQ1" s="1"/>
      <c r="HTR1" s="1"/>
      <c r="HTS1" s="1"/>
      <c r="HTT1" s="1"/>
      <c r="HTU1" s="1"/>
      <c r="HTV1" s="1"/>
      <c r="HTW1" s="1"/>
      <c r="HTX1" s="1"/>
      <c r="HTY1" s="1"/>
      <c r="HTZ1" s="1"/>
      <c r="HUA1" s="1"/>
      <c r="HUB1" s="1"/>
      <c r="HUC1" s="1"/>
      <c r="HUD1" s="1"/>
      <c r="HUE1" s="1"/>
      <c r="HUF1" s="1"/>
      <c r="HUG1" s="1"/>
      <c r="HUH1" s="1"/>
      <c r="HUI1" s="1"/>
      <c r="HUJ1" s="1"/>
      <c r="HUK1" s="1"/>
      <c r="HUL1" s="1"/>
      <c r="HUM1" s="1"/>
      <c r="HUN1" s="1"/>
      <c r="HUO1" s="1"/>
      <c r="HUP1" s="1"/>
      <c r="HUQ1" s="1"/>
      <c r="HUR1" s="1"/>
      <c r="HUS1" s="1"/>
      <c r="HUT1" s="1"/>
      <c r="HUU1" s="1"/>
      <c r="HUV1" s="1"/>
      <c r="HUW1" s="1"/>
      <c r="HUX1" s="1"/>
      <c r="HUY1" s="1"/>
      <c r="HUZ1" s="1"/>
      <c r="HVA1" s="1"/>
      <c r="HVB1" s="1"/>
      <c r="HVC1" s="1"/>
      <c r="HVD1" s="1"/>
      <c r="HVE1" s="1"/>
      <c r="HVF1" s="1"/>
      <c r="HVG1" s="1"/>
      <c r="HVH1" s="1"/>
      <c r="HVI1" s="1"/>
      <c r="HVJ1" s="1"/>
      <c r="HVK1" s="1"/>
      <c r="HVL1" s="1"/>
      <c r="HVM1" s="1"/>
      <c r="HVN1" s="1"/>
      <c r="HVO1" s="1"/>
      <c r="HVP1" s="1"/>
      <c r="HVQ1" s="1"/>
      <c r="HVR1" s="1"/>
      <c r="HVS1" s="1"/>
      <c r="HVT1" s="1"/>
      <c r="HVU1" s="1"/>
      <c r="HVV1" s="1"/>
      <c r="HVW1" s="1"/>
      <c r="HVX1" s="1"/>
      <c r="HVY1" s="1"/>
      <c r="HVZ1" s="1"/>
      <c r="HWA1" s="1"/>
      <c r="HWB1" s="1"/>
      <c r="HWC1" s="1"/>
      <c r="HWD1" s="1"/>
      <c r="HWE1" s="1"/>
      <c r="HWF1" s="1"/>
      <c r="HWG1" s="1"/>
      <c r="HWH1" s="1"/>
      <c r="HWI1" s="1"/>
      <c r="HWJ1" s="1"/>
      <c r="HWK1" s="1"/>
      <c r="HWL1" s="1"/>
      <c r="HWM1" s="1"/>
      <c r="HWN1" s="1"/>
      <c r="HWO1" s="1"/>
      <c r="HWP1" s="1"/>
      <c r="HWQ1" s="1"/>
      <c r="HWR1" s="1"/>
      <c r="HWS1" s="1"/>
      <c r="HWT1" s="1"/>
      <c r="HWU1" s="1"/>
      <c r="HWV1" s="1"/>
      <c r="HWW1" s="1"/>
      <c r="HWX1" s="1"/>
      <c r="HWY1" s="1"/>
      <c r="HWZ1" s="1"/>
      <c r="HXA1" s="1"/>
      <c r="HXB1" s="1"/>
      <c r="HXC1" s="1"/>
      <c r="HXD1" s="1"/>
      <c r="HXE1" s="1"/>
      <c r="HXF1" s="1"/>
      <c r="HXG1" s="1"/>
      <c r="HXH1" s="1"/>
      <c r="HXI1" s="1"/>
      <c r="HXJ1" s="1"/>
      <c r="HXK1" s="1"/>
      <c r="HXL1" s="1"/>
      <c r="HXM1" s="1"/>
      <c r="HXN1" s="1"/>
      <c r="HXO1" s="1"/>
      <c r="HXP1" s="1"/>
      <c r="HXQ1" s="1"/>
      <c r="HXR1" s="1"/>
      <c r="HXS1" s="1"/>
      <c r="HXT1" s="1"/>
      <c r="HXU1" s="1"/>
      <c r="HXV1" s="1"/>
      <c r="HXW1" s="1"/>
      <c r="HXX1" s="1"/>
      <c r="HXY1" s="1"/>
      <c r="HXZ1" s="1"/>
      <c r="HYA1" s="1"/>
      <c r="HYB1" s="1"/>
      <c r="HYC1" s="1"/>
      <c r="HYD1" s="1"/>
      <c r="HYE1" s="1"/>
      <c r="HYF1" s="1"/>
      <c r="HYG1" s="1"/>
      <c r="HYH1" s="1"/>
      <c r="HYI1" s="1"/>
      <c r="HYJ1" s="1"/>
      <c r="HYK1" s="1"/>
      <c r="HYL1" s="1"/>
      <c r="HYM1" s="1"/>
      <c r="HYN1" s="1"/>
      <c r="HYO1" s="1"/>
      <c r="HYP1" s="1"/>
      <c r="HYQ1" s="1"/>
      <c r="HYR1" s="1"/>
      <c r="HYS1" s="1"/>
      <c r="HYT1" s="1"/>
      <c r="HYU1" s="1"/>
      <c r="HYV1" s="1"/>
      <c r="HYW1" s="1"/>
      <c r="HYX1" s="1"/>
      <c r="HYY1" s="1"/>
      <c r="HYZ1" s="1"/>
      <c r="HZA1" s="1"/>
      <c r="HZB1" s="1"/>
      <c r="HZC1" s="1"/>
      <c r="HZD1" s="1"/>
      <c r="HZE1" s="1"/>
      <c r="HZF1" s="1"/>
      <c r="HZG1" s="1"/>
      <c r="HZH1" s="1"/>
      <c r="HZI1" s="1"/>
      <c r="HZJ1" s="1"/>
      <c r="HZK1" s="1"/>
      <c r="HZL1" s="1"/>
      <c r="HZM1" s="1"/>
      <c r="HZN1" s="1"/>
      <c r="HZO1" s="1"/>
      <c r="HZP1" s="1"/>
      <c r="HZQ1" s="1"/>
      <c r="HZR1" s="1"/>
      <c r="HZS1" s="1"/>
      <c r="HZT1" s="1"/>
      <c r="HZU1" s="1"/>
      <c r="HZV1" s="1"/>
      <c r="HZW1" s="1"/>
      <c r="HZX1" s="1"/>
      <c r="HZY1" s="1"/>
      <c r="HZZ1" s="1"/>
      <c r="IAA1" s="1"/>
      <c r="IAB1" s="1"/>
      <c r="IAC1" s="1"/>
      <c r="IAD1" s="1"/>
      <c r="IAE1" s="1"/>
      <c r="IAF1" s="1"/>
      <c r="IAG1" s="1"/>
      <c r="IAH1" s="1"/>
      <c r="IAI1" s="1"/>
      <c r="IAJ1" s="1"/>
      <c r="IAK1" s="1"/>
      <c r="IAL1" s="1"/>
      <c r="IAM1" s="1"/>
      <c r="IAN1" s="1"/>
      <c r="IAO1" s="1"/>
      <c r="IAP1" s="1"/>
      <c r="IAQ1" s="1"/>
      <c r="IAR1" s="1"/>
      <c r="IAS1" s="1"/>
      <c r="IAT1" s="1"/>
      <c r="IAU1" s="1"/>
      <c r="IAV1" s="1"/>
      <c r="IAW1" s="1"/>
      <c r="IAX1" s="1"/>
      <c r="IAY1" s="1"/>
      <c r="IAZ1" s="1"/>
      <c r="IBA1" s="1"/>
      <c r="IBB1" s="1"/>
      <c r="IBC1" s="1"/>
      <c r="IBD1" s="1"/>
      <c r="IBE1" s="1"/>
      <c r="IBF1" s="1"/>
      <c r="IBG1" s="1"/>
      <c r="IBH1" s="1"/>
      <c r="IBI1" s="1"/>
      <c r="IBJ1" s="1"/>
      <c r="IBK1" s="1"/>
      <c r="IBL1" s="1"/>
      <c r="IBM1" s="1"/>
      <c r="IBN1" s="1"/>
      <c r="IBO1" s="1"/>
      <c r="IBP1" s="1"/>
      <c r="IBQ1" s="1"/>
      <c r="IBR1" s="1"/>
      <c r="IBS1" s="1"/>
      <c r="IBT1" s="1"/>
      <c r="IBU1" s="1"/>
      <c r="IBV1" s="1"/>
      <c r="IBW1" s="1"/>
      <c r="IBX1" s="1"/>
      <c r="IBY1" s="1"/>
      <c r="IBZ1" s="1"/>
      <c r="ICA1" s="1"/>
      <c r="ICB1" s="1"/>
      <c r="ICC1" s="1"/>
      <c r="ICD1" s="1"/>
      <c r="ICE1" s="1"/>
      <c r="ICF1" s="1"/>
      <c r="ICG1" s="1"/>
      <c r="ICH1" s="1"/>
      <c r="ICI1" s="1"/>
      <c r="ICJ1" s="1"/>
      <c r="ICK1" s="1"/>
      <c r="ICL1" s="1"/>
      <c r="ICM1" s="1"/>
      <c r="ICN1" s="1"/>
      <c r="ICO1" s="1"/>
      <c r="ICP1" s="1"/>
      <c r="ICQ1" s="1"/>
      <c r="ICR1" s="1"/>
      <c r="ICS1" s="1"/>
      <c r="ICT1" s="1"/>
      <c r="ICU1" s="1"/>
      <c r="ICV1" s="1"/>
      <c r="ICW1" s="1"/>
      <c r="ICX1" s="1"/>
      <c r="ICY1" s="1"/>
      <c r="ICZ1" s="1"/>
      <c r="IDA1" s="1"/>
      <c r="IDB1" s="1"/>
      <c r="IDC1" s="1"/>
      <c r="IDD1" s="1"/>
      <c r="IDE1" s="1"/>
      <c r="IDF1" s="1"/>
      <c r="IDG1" s="1"/>
      <c r="IDH1" s="1"/>
      <c r="IDI1" s="1"/>
      <c r="IDJ1" s="1"/>
      <c r="IDK1" s="1"/>
      <c r="IDL1" s="1"/>
      <c r="IDM1" s="1"/>
      <c r="IDN1" s="1"/>
      <c r="IDO1" s="1"/>
      <c r="IDP1" s="1"/>
      <c r="IDQ1" s="1"/>
      <c r="IDR1" s="1"/>
      <c r="IDS1" s="1"/>
      <c r="IDT1" s="1"/>
      <c r="IDU1" s="1"/>
      <c r="IDV1" s="1"/>
      <c r="IDW1" s="1"/>
      <c r="IDX1" s="1"/>
      <c r="IDY1" s="1"/>
      <c r="IDZ1" s="1"/>
      <c r="IEA1" s="1"/>
      <c r="IEB1" s="1"/>
      <c r="IEC1" s="1"/>
      <c r="IED1" s="1"/>
      <c r="IEE1" s="1"/>
      <c r="IEF1" s="1"/>
      <c r="IEG1" s="1"/>
      <c r="IEH1" s="1"/>
      <c r="IEI1" s="1"/>
      <c r="IEJ1" s="1"/>
      <c r="IEK1" s="1"/>
      <c r="IEL1" s="1"/>
      <c r="IEM1" s="1"/>
      <c r="IEN1" s="1"/>
      <c r="IEO1" s="1"/>
      <c r="IEP1" s="1"/>
      <c r="IEQ1" s="1"/>
      <c r="IER1" s="1"/>
      <c r="IES1" s="1"/>
      <c r="IET1" s="1"/>
      <c r="IEU1" s="1"/>
      <c r="IEV1" s="1"/>
      <c r="IEW1" s="1"/>
      <c r="IEX1" s="1"/>
      <c r="IEY1" s="1"/>
      <c r="IEZ1" s="1"/>
      <c r="IFA1" s="1"/>
      <c r="IFB1" s="1"/>
      <c r="IFC1" s="1"/>
      <c r="IFD1" s="1"/>
      <c r="IFE1" s="1"/>
      <c r="IFF1" s="1"/>
      <c r="IFG1" s="1"/>
      <c r="IFH1" s="1"/>
      <c r="IFI1" s="1"/>
      <c r="IFJ1" s="1"/>
      <c r="IFK1" s="1"/>
      <c r="IFL1" s="1"/>
      <c r="IFM1" s="1"/>
      <c r="IFN1" s="1"/>
      <c r="IFO1" s="1"/>
      <c r="IFP1" s="1"/>
      <c r="IFQ1" s="1"/>
      <c r="IFR1" s="1"/>
      <c r="IFS1" s="1"/>
      <c r="IFT1" s="1"/>
      <c r="IFU1" s="1"/>
      <c r="IFV1" s="1"/>
      <c r="IFW1" s="1"/>
      <c r="IFX1" s="1"/>
      <c r="IFY1" s="1"/>
      <c r="IFZ1" s="1"/>
      <c r="IGA1" s="1"/>
      <c r="IGB1" s="1"/>
      <c r="IGC1" s="1"/>
      <c r="IGD1" s="1"/>
      <c r="IGE1" s="1"/>
      <c r="IGF1" s="1"/>
      <c r="IGG1" s="1"/>
      <c r="IGH1" s="1"/>
      <c r="IGI1" s="1"/>
      <c r="IGJ1" s="1"/>
      <c r="IGK1" s="1"/>
      <c r="IGL1" s="1"/>
      <c r="IGM1" s="1"/>
      <c r="IGN1" s="1"/>
      <c r="IGO1" s="1"/>
      <c r="IGP1" s="1"/>
      <c r="IGQ1" s="1"/>
      <c r="IGR1" s="1"/>
      <c r="IGS1" s="1"/>
      <c r="IGT1" s="1"/>
      <c r="IGU1" s="1"/>
      <c r="IGV1" s="1"/>
      <c r="IGW1" s="1"/>
      <c r="IGX1" s="1"/>
      <c r="IGY1" s="1"/>
      <c r="IGZ1" s="1"/>
      <c r="IHA1" s="1"/>
      <c r="IHB1" s="1"/>
      <c r="IHC1" s="1"/>
      <c r="IHD1" s="1"/>
      <c r="IHE1" s="1"/>
      <c r="IHF1" s="1"/>
      <c r="IHG1" s="1"/>
      <c r="IHH1" s="1"/>
      <c r="IHI1" s="1"/>
      <c r="IHJ1" s="1"/>
      <c r="IHK1" s="1"/>
      <c r="IHL1" s="1"/>
      <c r="IHM1" s="1"/>
      <c r="IHN1" s="1"/>
      <c r="IHO1" s="1"/>
      <c r="IHP1" s="1"/>
      <c r="IHQ1" s="1"/>
      <c r="IHR1" s="1"/>
      <c r="IHS1" s="1"/>
      <c r="IHT1" s="1"/>
      <c r="IHU1" s="1"/>
      <c r="IHV1" s="1"/>
      <c r="IHW1" s="1"/>
      <c r="IHX1" s="1"/>
      <c r="IHY1" s="1"/>
      <c r="IHZ1" s="1"/>
      <c r="IIA1" s="1"/>
      <c r="IIB1" s="1"/>
      <c r="IIC1" s="1"/>
      <c r="IID1" s="1"/>
      <c r="IIE1" s="1"/>
      <c r="IIF1" s="1"/>
      <c r="IIG1" s="1"/>
      <c r="IIH1" s="1"/>
      <c r="III1" s="1"/>
      <c r="IIJ1" s="1"/>
      <c r="IIK1" s="1"/>
      <c r="IIL1" s="1"/>
      <c r="IIM1" s="1"/>
      <c r="IIN1" s="1"/>
      <c r="IIO1" s="1"/>
      <c r="IIP1" s="1"/>
      <c r="IIQ1" s="1"/>
      <c r="IIR1" s="1"/>
      <c r="IIS1" s="1"/>
      <c r="IIT1" s="1"/>
      <c r="IIU1" s="1"/>
      <c r="IIV1" s="1"/>
      <c r="IIW1" s="1"/>
      <c r="IIX1" s="1"/>
      <c r="IIY1" s="1"/>
      <c r="IIZ1" s="1"/>
      <c r="IJA1" s="1"/>
      <c r="IJB1" s="1"/>
      <c r="IJC1" s="1"/>
      <c r="IJD1" s="1"/>
      <c r="IJE1" s="1"/>
      <c r="IJF1" s="1"/>
      <c r="IJG1" s="1"/>
      <c r="IJH1" s="1"/>
      <c r="IJI1" s="1"/>
      <c r="IJJ1" s="1"/>
      <c r="IJK1" s="1"/>
      <c r="IJL1" s="1"/>
      <c r="IJM1" s="1"/>
      <c r="IJN1" s="1"/>
      <c r="IJO1" s="1"/>
      <c r="IJP1" s="1"/>
      <c r="IJQ1" s="1"/>
      <c r="IJR1" s="1"/>
      <c r="IJS1" s="1"/>
      <c r="IJT1" s="1"/>
      <c r="IJU1" s="1"/>
      <c r="IJV1" s="1"/>
      <c r="IJW1" s="1"/>
      <c r="IJX1" s="1"/>
      <c r="IJY1" s="1"/>
      <c r="IJZ1" s="1"/>
      <c r="IKA1" s="1"/>
      <c r="IKB1" s="1"/>
      <c r="IKC1" s="1"/>
      <c r="IKD1" s="1"/>
      <c r="IKE1" s="1"/>
      <c r="IKF1" s="1"/>
      <c r="IKG1" s="1"/>
      <c r="IKH1" s="1"/>
      <c r="IKI1" s="1"/>
      <c r="IKJ1" s="1"/>
      <c r="IKK1" s="1"/>
      <c r="IKL1" s="1"/>
      <c r="IKM1" s="1"/>
      <c r="IKN1" s="1"/>
      <c r="IKO1" s="1"/>
      <c r="IKP1" s="1"/>
      <c r="IKQ1" s="1"/>
      <c r="IKR1" s="1"/>
      <c r="IKS1" s="1"/>
      <c r="IKT1" s="1"/>
      <c r="IKU1" s="1"/>
      <c r="IKV1" s="1"/>
      <c r="IKW1" s="1"/>
      <c r="IKX1" s="1"/>
      <c r="IKY1" s="1"/>
      <c r="IKZ1" s="1"/>
      <c r="ILA1" s="1"/>
      <c r="ILB1" s="1"/>
      <c r="ILC1" s="1"/>
      <c r="ILD1" s="1"/>
      <c r="ILE1" s="1"/>
      <c r="ILF1" s="1"/>
      <c r="ILG1" s="1"/>
      <c r="ILH1" s="1"/>
      <c r="ILI1" s="1"/>
      <c r="ILJ1" s="1"/>
      <c r="ILK1" s="1"/>
      <c r="ILL1" s="1"/>
      <c r="ILM1" s="1"/>
      <c r="ILN1" s="1"/>
      <c r="ILO1" s="1"/>
      <c r="ILP1" s="1"/>
      <c r="ILQ1" s="1"/>
      <c r="ILR1" s="1"/>
      <c r="ILS1" s="1"/>
      <c r="ILT1" s="1"/>
      <c r="ILU1" s="1"/>
      <c r="ILV1" s="1"/>
      <c r="ILW1" s="1"/>
      <c r="ILX1" s="1"/>
      <c r="ILY1" s="1"/>
      <c r="ILZ1" s="1"/>
      <c r="IMA1" s="1"/>
      <c r="IMB1" s="1"/>
      <c r="IMC1" s="1"/>
      <c r="IMD1" s="1"/>
      <c r="IME1" s="1"/>
      <c r="IMF1" s="1"/>
      <c r="IMG1" s="1"/>
      <c r="IMH1" s="1"/>
      <c r="IMI1" s="1"/>
      <c r="IMJ1" s="1"/>
      <c r="IMK1" s="1"/>
      <c r="IML1" s="1"/>
      <c r="IMM1" s="1"/>
      <c r="IMN1" s="1"/>
      <c r="IMO1" s="1"/>
      <c r="IMP1" s="1"/>
      <c r="IMQ1" s="1"/>
      <c r="IMR1" s="1"/>
      <c r="IMS1" s="1"/>
      <c r="IMT1" s="1"/>
      <c r="IMU1" s="1"/>
      <c r="IMV1" s="1"/>
      <c r="IMW1" s="1"/>
      <c r="IMX1" s="1"/>
      <c r="IMY1" s="1"/>
      <c r="IMZ1" s="1"/>
      <c r="INA1" s="1"/>
      <c r="INB1" s="1"/>
      <c r="INC1" s="1"/>
      <c r="IND1" s="1"/>
      <c r="INE1" s="1"/>
      <c r="INF1" s="1"/>
      <c r="ING1" s="1"/>
      <c r="INH1" s="1"/>
      <c r="INI1" s="1"/>
      <c r="INJ1" s="1"/>
      <c r="INK1" s="1"/>
      <c r="INL1" s="1"/>
      <c r="INM1" s="1"/>
      <c r="INN1" s="1"/>
      <c r="INO1" s="1"/>
      <c r="INP1" s="1"/>
      <c r="INQ1" s="1"/>
      <c r="INR1" s="1"/>
      <c r="INS1" s="1"/>
      <c r="INT1" s="1"/>
      <c r="INU1" s="1"/>
      <c r="INV1" s="1"/>
      <c r="INW1" s="1"/>
      <c r="INX1" s="1"/>
      <c r="INY1" s="1"/>
      <c r="INZ1" s="1"/>
      <c r="IOA1" s="1"/>
      <c r="IOB1" s="1"/>
      <c r="IOC1" s="1"/>
      <c r="IOD1" s="1"/>
      <c r="IOE1" s="1"/>
      <c r="IOF1" s="1"/>
      <c r="IOG1" s="1"/>
      <c r="IOH1" s="1"/>
      <c r="IOI1" s="1"/>
      <c r="IOJ1" s="1"/>
      <c r="IOK1" s="1"/>
      <c r="IOL1" s="1"/>
      <c r="IOM1" s="1"/>
      <c r="ION1" s="1"/>
      <c r="IOO1" s="1"/>
      <c r="IOP1" s="1"/>
      <c r="IOQ1" s="1"/>
      <c r="IOR1" s="1"/>
      <c r="IOS1" s="1"/>
      <c r="IOT1" s="1"/>
      <c r="IOU1" s="1"/>
      <c r="IOV1" s="1"/>
      <c r="IOW1" s="1"/>
      <c r="IOX1" s="1"/>
      <c r="IOY1" s="1"/>
      <c r="IOZ1" s="1"/>
      <c r="IPA1" s="1"/>
      <c r="IPB1" s="1"/>
      <c r="IPC1" s="1"/>
      <c r="IPD1" s="1"/>
      <c r="IPE1" s="1"/>
      <c r="IPF1" s="1"/>
      <c r="IPG1" s="1"/>
      <c r="IPH1" s="1"/>
      <c r="IPI1" s="1"/>
      <c r="IPJ1" s="1"/>
      <c r="IPK1" s="1"/>
      <c r="IPL1" s="1"/>
      <c r="IPM1" s="1"/>
      <c r="IPN1" s="1"/>
      <c r="IPO1" s="1"/>
      <c r="IPP1" s="1"/>
      <c r="IPQ1" s="1"/>
      <c r="IPR1" s="1"/>
      <c r="IPS1" s="1"/>
      <c r="IPT1" s="1"/>
      <c r="IPU1" s="1"/>
      <c r="IPV1" s="1"/>
      <c r="IPW1" s="1"/>
      <c r="IPX1" s="1"/>
      <c r="IPY1" s="1"/>
      <c r="IPZ1" s="1"/>
      <c r="IQA1" s="1"/>
      <c r="IQB1" s="1"/>
      <c r="IQC1" s="1"/>
      <c r="IQD1" s="1"/>
      <c r="IQE1" s="1"/>
      <c r="IQF1" s="1"/>
      <c r="IQG1" s="1"/>
      <c r="IQH1" s="1"/>
      <c r="IQI1" s="1"/>
      <c r="IQJ1" s="1"/>
      <c r="IQK1" s="1"/>
      <c r="IQL1" s="1"/>
      <c r="IQM1" s="1"/>
      <c r="IQN1" s="1"/>
      <c r="IQO1" s="1"/>
      <c r="IQP1" s="1"/>
      <c r="IQQ1" s="1"/>
      <c r="IQR1" s="1"/>
      <c r="IQS1" s="1"/>
      <c r="IQT1" s="1"/>
      <c r="IQU1" s="1"/>
      <c r="IQV1" s="1"/>
      <c r="IQW1" s="1"/>
      <c r="IQX1" s="1"/>
      <c r="IQY1" s="1"/>
      <c r="IQZ1" s="1"/>
      <c r="IRA1" s="1"/>
      <c r="IRB1" s="1"/>
      <c r="IRC1" s="1"/>
      <c r="IRD1" s="1"/>
      <c r="IRE1" s="1"/>
      <c r="IRF1" s="1"/>
      <c r="IRG1" s="1"/>
      <c r="IRH1" s="1"/>
      <c r="IRI1" s="1"/>
      <c r="IRJ1" s="1"/>
      <c r="IRK1" s="1"/>
      <c r="IRL1" s="1"/>
      <c r="IRM1" s="1"/>
      <c r="IRN1" s="1"/>
      <c r="IRO1" s="1"/>
      <c r="IRP1" s="1"/>
      <c r="IRQ1" s="1"/>
      <c r="IRR1" s="1"/>
      <c r="IRS1" s="1"/>
      <c r="IRT1" s="1"/>
      <c r="IRU1" s="1"/>
      <c r="IRV1" s="1"/>
      <c r="IRW1" s="1"/>
      <c r="IRX1" s="1"/>
      <c r="IRY1" s="1"/>
      <c r="IRZ1" s="1"/>
      <c r="ISA1" s="1"/>
      <c r="ISB1" s="1"/>
      <c r="ISC1" s="1"/>
      <c r="ISD1" s="1"/>
      <c r="ISE1" s="1"/>
      <c r="ISF1" s="1"/>
      <c r="ISG1" s="1"/>
      <c r="ISH1" s="1"/>
      <c r="ISI1" s="1"/>
      <c r="ISJ1" s="1"/>
      <c r="ISK1" s="1"/>
      <c r="ISL1" s="1"/>
      <c r="ISM1" s="1"/>
      <c r="ISN1" s="1"/>
      <c r="ISO1" s="1"/>
      <c r="ISP1" s="1"/>
      <c r="ISQ1" s="1"/>
      <c r="ISR1" s="1"/>
      <c r="ISS1" s="1"/>
      <c r="IST1" s="1"/>
      <c r="ISU1" s="1"/>
      <c r="ISV1" s="1"/>
      <c r="ISW1" s="1"/>
      <c r="ISX1" s="1"/>
      <c r="ISY1" s="1"/>
      <c r="ISZ1" s="1"/>
      <c r="ITA1" s="1"/>
      <c r="ITB1" s="1"/>
      <c r="ITC1" s="1"/>
      <c r="ITD1" s="1"/>
      <c r="ITE1" s="1"/>
      <c r="ITF1" s="1"/>
      <c r="ITG1" s="1"/>
      <c r="ITH1" s="1"/>
      <c r="ITI1" s="1"/>
      <c r="ITJ1" s="1"/>
      <c r="ITK1" s="1"/>
      <c r="ITL1" s="1"/>
      <c r="ITM1" s="1"/>
      <c r="ITN1" s="1"/>
      <c r="ITO1" s="1"/>
      <c r="ITP1" s="1"/>
      <c r="ITQ1" s="1"/>
      <c r="ITR1" s="1"/>
      <c r="ITS1" s="1"/>
      <c r="ITT1" s="1"/>
      <c r="ITU1" s="1"/>
      <c r="ITV1" s="1"/>
      <c r="ITW1" s="1"/>
      <c r="ITX1" s="1"/>
      <c r="ITY1" s="1"/>
      <c r="ITZ1" s="1"/>
      <c r="IUA1" s="1"/>
      <c r="IUB1" s="1"/>
      <c r="IUC1" s="1"/>
      <c r="IUD1" s="1"/>
      <c r="IUE1" s="1"/>
      <c r="IUF1" s="1"/>
      <c r="IUG1" s="1"/>
      <c r="IUH1" s="1"/>
      <c r="IUI1" s="1"/>
      <c r="IUJ1" s="1"/>
      <c r="IUK1" s="1"/>
      <c r="IUL1" s="1"/>
      <c r="IUM1" s="1"/>
      <c r="IUN1" s="1"/>
      <c r="IUO1" s="1"/>
      <c r="IUP1" s="1"/>
      <c r="IUQ1" s="1"/>
      <c r="IUR1" s="1"/>
      <c r="IUS1" s="1"/>
      <c r="IUT1" s="1"/>
      <c r="IUU1" s="1"/>
      <c r="IUV1" s="1"/>
      <c r="IUW1" s="1"/>
      <c r="IUX1" s="1"/>
      <c r="IUY1" s="1"/>
      <c r="IUZ1" s="1"/>
      <c r="IVA1" s="1"/>
      <c r="IVB1" s="1"/>
      <c r="IVC1" s="1"/>
      <c r="IVD1" s="1"/>
      <c r="IVE1" s="1"/>
      <c r="IVF1" s="1"/>
      <c r="IVG1" s="1"/>
      <c r="IVH1" s="1"/>
      <c r="IVI1" s="1"/>
      <c r="IVJ1" s="1"/>
      <c r="IVK1" s="1"/>
      <c r="IVL1" s="1"/>
      <c r="IVM1" s="1"/>
      <c r="IVN1" s="1"/>
      <c r="IVO1" s="1"/>
      <c r="IVP1" s="1"/>
      <c r="IVQ1" s="1"/>
      <c r="IVR1" s="1"/>
      <c r="IVS1" s="1"/>
      <c r="IVT1" s="1"/>
      <c r="IVU1" s="1"/>
      <c r="IVV1" s="1"/>
      <c r="IVW1" s="1"/>
      <c r="IVX1" s="1"/>
      <c r="IVY1" s="1"/>
      <c r="IVZ1" s="1"/>
      <c r="IWA1" s="1"/>
      <c r="IWB1" s="1"/>
      <c r="IWC1" s="1"/>
      <c r="IWD1" s="1"/>
      <c r="IWE1" s="1"/>
      <c r="IWF1" s="1"/>
      <c r="IWG1" s="1"/>
      <c r="IWH1" s="1"/>
      <c r="IWI1" s="1"/>
      <c r="IWJ1" s="1"/>
      <c r="IWK1" s="1"/>
      <c r="IWL1" s="1"/>
      <c r="IWM1" s="1"/>
      <c r="IWN1" s="1"/>
      <c r="IWO1" s="1"/>
      <c r="IWP1" s="1"/>
      <c r="IWQ1" s="1"/>
      <c r="IWR1" s="1"/>
      <c r="IWS1" s="1"/>
      <c r="IWT1" s="1"/>
      <c r="IWU1" s="1"/>
      <c r="IWV1" s="1"/>
      <c r="IWW1" s="1"/>
      <c r="IWX1" s="1"/>
      <c r="IWY1" s="1"/>
      <c r="IWZ1" s="1"/>
      <c r="IXA1" s="1"/>
      <c r="IXB1" s="1"/>
      <c r="IXC1" s="1"/>
      <c r="IXD1" s="1"/>
      <c r="IXE1" s="1"/>
      <c r="IXF1" s="1"/>
      <c r="IXG1" s="1"/>
      <c r="IXH1" s="1"/>
      <c r="IXI1" s="1"/>
      <c r="IXJ1" s="1"/>
      <c r="IXK1" s="1"/>
      <c r="IXL1" s="1"/>
      <c r="IXM1" s="1"/>
      <c r="IXN1" s="1"/>
      <c r="IXO1" s="1"/>
      <c r="IXP1" s="1"/>
      <c r="IXQ1" s="1"/>
      <c r="IXR1" s="1"/>
      <c r="IXS1" s="1"/>
      <c r="IXT1" s="1"/>
      <c r="IXU1" s="1"/>
      <c r="IXV1" s="1"/>
      <c r="IXW1" s="1"/>
      <c r="IXX1" s="1"/>
      <c r="IXY1" s="1"/>
      <c r="IXZ1" s="1"/>
      <c r="IYA1" s="1"/>
      <c r="IYB1" s="1"/>
      <c r="IYC1" s="1"/>
      <c r="IYD1" s="1"/>
      <c r="IYE1" s="1"/>
      <c r="IYF1" s="1"/>
      <c r="IYG1" s="1"/>
      <c r="IYH1" s="1"/>
      <c r="IYI1" s="1"/>
      <c r="IYJ1" s="1"/>
      <c r="IYK1" s="1"/>
      <c r="IYL1" s="1"/>
      <c r="IYM1" s="1"/>
      <c r="IYN1" s="1"/>
      <c r="IYO1" s="1"/>
      <c r="IYP1" s="1"/>
      <c r="IYQ1" s="1"/>
      <c r="IYR1" s="1"/>
      <c r="IYS1" s="1"/>
      <c r="IYT1" s="1"/>
      <c r="IYU1" s="1"/>
      <c r="IYV1" s="1"/>
      <c r="IYW1" s="1"/>
      <c r="IYX1" s="1"/>
      <c r="IYY1" s="1"/>
      <c r="IYZ1" s="1"/>
      <c r="IZA1" s="1"/>
      <c r="IZB1" s="1"/>
      <c r="IZC1" s="1"/>
      <c r="IZD1" s="1"/>
      <c r="IZE1" s="1"/>
      <c r="IZF1" s="1"/>
      <c r="IZG1" s="1"/>
      <c r="IZH1" s="1"/>
      <c r="IZI1" s="1"/>
      <c r="IZJ1" s="1"/>
      <c r="IZK1" s="1"/>
      <c r="IZL1" s="1"/>
      <c r="IZM1" s="1"/>
      <c r="IZN1" s="1"/>
      <c r="IZO1" s="1"/>
      <c r="IZP1" s="1"/>
      <c r="IZQ1" s="1"/>
      <c r="IZR1" s="1"/>
      <c r="IZS1" s="1"/>
      <c r="IZT1" s="1"/>
      <c r="IZU1" s="1"/>
      <c r="IZV1" s="1"/>
      <c r="IZW1" s="1"/>
      <c r="IZX1" s="1"/>
      <c r="IZY1" s="1"/>
      <c r="IZZ1" s="1"/>
      <c r="JAA1" s="1"/>
      <c r="JAB1" s="1"/>
      <c r="JAC1" s="1"/>
      <c r="JAD1" s="1"/>
      <c r="JAE1" s="1"/>
      <c r="JAF1" s="1"/>
      <c r="JAG1" s="1"/>
      <c r="JAH1" s="1"/>
      <c r="JAI1" s="1"/>
      <c r="JAJ1" s="1"/>
      <c r="JAK1" s="1"/>
      <c r="JAL1" s="1"/>
      <c r="JAM1" s="1"/>
      <c r="JAN1" s="1"/>
      <c r="JAO1" s="1"/>
      <c r="JAP1" s="1"/>
      <c r="JAQ1" s="1"/>
      <c r="JAR1" s="1"/>
      <c r="JAS1" s="1"/>
      <c r="JAT1" s="1"/>
      <c r="JAU1" s="1"/>
      <c r="JAV1" s="1"/>
      <c r="JAW1" s="1"/>
      <c r="JAX1" s="1"/>
      <c r="JAY1" s="1"/>
      <c r="JAZ1" s="1"/>
      <c r="JBA1" s="1"/>
      <c r="JBB1" s="1"/>
      <c r="JBC1" s="1"/>
      <c r="JBD1" s="1"/>
      <c r="JBE1" s="1"/>
      <c r="JBF1" s="1"/>
      <c r="JBG1" s="1"/>
      <c r="JBH1" s="1"/>
      <c r="JBI1" s="1"/>
      <c r="JBJ1" s="1"/>
      <c r="JBK1" s="1"/>
      <c r="JBL1" s="1"/>
      <c r="JBM1" s="1"/>
      <c r="JBN1" s="1"/>
      <c r="JBO1" s="1"/>
      <c r="JBP1" s="1"/>
      <c r="JBQ1" s="1"/>
      <c r="JBR1" s="1"/>
      <c r="JBS1" s="1"/>
      <c r="JBT1" s="1"/>
      <c r="JBU1" s="1"/>
      <c r="JBV1" s="1"/>
      <c r="JBW1" s="1"/>
      <c r="JBX1" s="1"/>
      <c r="JBY1" s="1"/>
      <c r="JBZ1" s="1"/>
      <c r="JCA1" s="1"/>
      <c r="JCB1" s="1"/>
      <c r="JCC1" s="1"/>
      <c r="JCD1" s="1"/>
      <c r="JCE1" s="1"/>
      <c r="JCF1" s="1"/>
      <c r="JCG1" s="1"/>
      <c r="JCH1" s="1"/>
      <c r="JCI1" s="1"/>
      <c r="JCJ1" s="1"/>
      <c r="JCK1" s="1"/>
      <c r="JCL1" s="1"/>
      <c r="JCM1" s="1"/>
      <c r="JCN1" s="1"/>
      <c r="JCO1" s="1"/>
      <c r="JCP1" s="1"/>
      <c r="JCQ1" s="1"/>
      <c r="JCR1" s="1"/>
      <c r="JCS1" s="1"/>
      <c r="JCT1" s="1"/>
      <c r="JCU1" s="1"/>
      <c r="JCV1" s="1"/>
      <c r="JCW1" s="1"/>
      <c r="JCX1" s="1"/>
      <c r="JCY1" s="1"/>
      <c r="JCZ1" s="1"/>
      <c r="JDA1" s="1"/>
      <c r="JDB1" s="1"/>
      <c r="JDC1" s="1"/>
      <c r="JDD1" s="1"/>
      <c r="JDE1" s="1"/>
      <c r="JDF1" s="1"/>
      <c r="JDG1" s="1"/>
      <c r="JDH1" s="1"/>
      <c r="JDI1" s="1"/>
      <c r="JDJ1" s="1"/>
      <c r="JDK1" s="1"/>
      <c r="JDL1" s="1"/>
      <c r="JDM1" s="1"/>
      <c r="JDN1" s="1"/>
      <c r="JDO1" s="1"/>
      <c r="JDP1" s="1"/>
      <c r="JDQ1" s="1"/>
      <c r="JDR1" s="1"/>
      <c r="JDS1" s="1"/>
      <c r="JDT1" s="1"/>
      <c r="JDU1" s="1"/>
      <c r="JDV1" s="1"/>
      <c r="JDW1" s="1"/>
      <c r="JDX1" s="1"/>
      <c r="JDY1" s="1"/>
      <c r="JDZ1" s="1"/>
      <c r="JEA1" s="1"/>
      <c r="JEB1" s="1"/>
      <c r="JEC1" s="1"/>
      <c r="JED1" s="1"/>
      <c r="JEE1" s="1"/>
      <c r="JEF1" s="1"/>
      <c r="JEG1" s="1"/>
      <c r="JEH1" s="1"/>
      <c r="JEI1" s="1"/>
      <c r="JEJ1" s="1"/>
      <c r="JEK1" s="1"/>
      <c r="JEL1" s="1"/>
      <c r="JEM1" s="1"/>
      <c r="JEN1" s="1"/>
      <c r="JEO1" s="1"/>
      <c r="JEP1" s="1"/>
      <c r="JEQ1" s="1"/>
      <c r="JER1" s="1"/>
      <c r="JES1" s="1"/>
      <c r="JET1" s="1"/>
      <c r="JEU1" s="1"/>
      <c r="JEV1" s="1"/>
      <c r="JEW1" s="1"/>
      <c r="JEX1" s="1"/>
      <c r="JEY1" s="1"/>
      <c r="JEZ1" s="1"/>
      <c r="JFA1" s="1"/>
      <c r="JFB1" s="1"/>
      <c r="JFC1" s="1"/>
      <c r="JFD1" s="1"/>
      <c r="JFE1" s="1"/>
      <c r="JFF1" s="1"/>
      <c r="JFG1" s="1"/>
      <c r="JFH1" s="1"/>
      <c r="JFI1" s="1"/>
      <c r="JFJ1" s="1"/>
      <c r="JFK1" s="1"/>
      <c r="JFL1" s="1"/>
      <c r="JFM1" s="1"/>
      <c r="JFN1" s="1"/>
      <c r="JFO1" s="1"/>
      <c r="JFP1" s="1"/>
      <c r="JFQ1" s="1"/>
      <c r="JFR1" s="1"/>
      <c r="JFS1" s="1"/>
      <c r="JFT1" s="1"/>
      <c r="JFU1" s="1"/>
      <c r="JFV1" s="1"/>
      <c r="JFW1" s="1"/>
      <c r="JFX1" s="1"/>
      <c r="JFY1" s="1"/>
      <c r="JFZ1" s="1"/>
      <c r="JGA1" s="1"/>
      <c r="JGB1" s="1"/>
      <c r="JGC1" s="1"/>
      <c r="JGD1" s="1"/>
      <c r="JGE1" s="1"/>
      <c r="JGF1" s="1"/>
      <c r="JGG1" s="1"/>
      <c r="JGH1" s="1"/>
      <c r="JGI1" s="1"/>
      <c r="JGJ1" s="1"/>
      <c r="JGK1" s="1"/>
      <c r="JGL1" s="1"/>
      <c r="JGM1" s="1"/>
      <c r="JGN1" s="1"/>
      <c r="JGO1" s="1"/>
      <c r="JGP1" s="1"/>
      <c r="JGQ1" s="1"/>
      <c r="JGR1" s="1"/>
      <c r="JGS1" s="1"/>
      <c r="JGT1" s="1"/>
      <c r="JGU1" s="1"/>
      <c r="JGV1" s="1"/>
      <c r="JGW1" s="1"/>
      <c r="JGX1" s="1"/>
      <c r="JGY1" s="1"/>
      <c r="JGZ1" s="1"/>
      <c r="JHA1" s="1"/>
      <c r="JHB1" s="1"/>
      <c r="JHC1" s="1"/>
      <c r="JHD1" s="1"/>
      <c r="JHE1" s="1"/>
      <c r="JHF1" s="1"/>
      <c r="JHG1" s="1"/>
      <c r="JHH1" s="1"/>
      <c r="JHI1" s="1"/>
      <c r="JHJ1" s="1"/>
      <c r="JHK1" s="1"/>
      <c r="JHL1" s="1"/>
      <c r="JHM1" s="1"/>
      <c r="JHN1" s="1"/>
      <c r="JHO1" s="1"/>
      <c r="JHP1" s="1"/>
      <c r="JHQ1" s="1"/>
      <c r="JHR1" s="1"/>
      <c r="JHS1" s="1"/>
      <c r="JHT1" s="1"/>
      <c r="JHU1" s="1"/>
      <c r="JHV1" s="1"/>
      <c r="JHW1" s="1"/>
      <c r="JHX1" s="1"/>
      <c r="JHY1" s="1"/>
      <c r="JHZ1" s="1"/>
      <c r="JIA1" s="1"/>
      <c r="JIB1" s="1"/>
      <c r="JIC1" s="1"/>
      <c r="JID1" s="1"/>
      <c r="JIE1" s="1"/>
      <c r="JIF1" s="1"/>
      <c r="JIG1" s="1"/>
      <c r="JIH1" s="1"/>
      <c r="JII1" s="1"/>
      <c r="JIJ1" s="1"/>
      <c r="JIK1" s="1"/>
      <c r="JIL1" s="1"/>
      <c r="JIM1" s="1"/>
      <c r="JIN1" s="1"/>
      <c r="JIO1" s="1"/>
      <c r="JIP1" s="1"/>
      <c r="JIQ1" s="1"/>
      <c r="JIR1" s="1"/>
      <c r="JIS1" s="1"/>
      <c r="JIT1" s="1"/>
      <c r="JIU1" s="1"/>
      <c r="JIV1" s="1"/>
      <c r="JIW1" s="1"/>
      <c r="JIX1" s="1"/>
      <c r="JIY1" s="1"/>
      <c r="JIZ1" s="1"/>
      <c r="JJA1" s="1"/>
      <c r="JJB1" s="1"/>
      <c r="JJC1" s="1"/>
      <c r="JJD1" s="1"/>
      <c r="JJE1" s="1"/>
      <c r="JJF1" s="1"/>
      <c r="JJG1" s="1"/>
      <c r="JJH1" s="1"/>
      <c r="JJI1" s="1"/>
      <c r="JJJ1" s="1"/>
      <c r="JJK1" s="1"/>
      <c r="JJL1" s="1"/>
      <c r="JJM1" s="1"/>
      <c r="JJN1" s="1"/>
      <c r="JJO1" s="1"/>
      <c r="JJP1" s="1"/>
      <c r="JJQ1" s="1"/>
      <c r="JJR1" s="1"/>
      <c r="JJS1" s="1"/>
      <c r="JJT1" s="1"/>
      <c r="JJU1" s="1"/>
      <c r="JJV1" s="1"/>
      <c r="JJW1" s="1"/>
      <c r="JJX1" s="1"/>
      <c r="JJY1" s="1"/>
      <c r="JJZ1" s="1"/>
      <c r="JKA1" s="1"/>
      <c r="JKB1" s="1"/>
      <c r="JKC1" s="1"/>
      <c r="JKD1" s="1"/>
      <c r="JKE1" s="1"/>
      <c r="JKF1" s="1"/>
      <c r="JKG1" s="1"/>
      <c r="JKH1" s="1"/>
      <c r="JKI1" s="1"/>
      <c r="JKJ1" s="1"/>
      <c r="JKK1" s="1"/>
      <c r="JKL1" s="1"/>
      <c r="JKM1" s="1"/>
      <c r="JKN1" s="1"/>
      <c r="JKO1" s="1"/>
      <c r="JKP1" s="1"/>
      <c r="JKQ1" s="1"/>
      <c r="JKR1" s="1"/>
      <c r="JKS1" s="1"/>
      <c r="JKT1" s="1"/>
      <c r="JKU1" s="1"/>
      <c r="JKV1" s="1"/>
      <c r="JKW1" s="1"/>
      <c r="JKX1" s="1"/>
      <c r="JKY1" s="1"/>
      <c r="JKZ1" s="1"/>
      <c r="JLA1" s="1"/>
      <c r="JLB1" s="1"/>
      <c r="JLC1" s="1"/>
      <c r="JLD1" s="1"/>
      <c r="JLE1" s="1"/>
      <c r="JLF1" s="1"/>
      <c r="JLG1" s="1"/>
      <c r="JLH1" s="1"/>
      <c r="JLI1" s="1"/>
      <c r="JLJ1" s="1"/>
      <c r="JLK1" s="1"/>
      <c r="JLL1" s="1"/>
      <c r="JLM1" s="1"/>
      <c r="JLN1" s="1"/>
      <c r="JLO1" s="1"/>
      <c r="JLP1" s="1"/>
      <c r="JLQ1" s="1"/>
      <c r="JLR1" s="1"/>
      <c r="JLS1" s="1"/>
      <c r="JLT1" s="1"/>
      <c r="JLU1" s="1"/>
      <c r="JLV1" s="1"/>
      <c r="JLW1" s="1"/>
      <c r="JLX1" s="1"/>
      <c r="JLY1" s="1"/>
      <c r="JLZ1" s="1"/>
      <c r="JMA1" s="1"/>
      <c r="JMB1" s="1"/>
      <c r="JMC1" s="1"/>
      <c r="JMD1" s="1"/>
      <c r="JME1" s="1"/>
      <c r="JMF1" s="1"/>
      <c r="JMG1" s="1"/>
      <c r="JMH1" s="1"/>
      <c r="JMI1" s="1"/>
      <c r="JMJ1" s="1"/>
      <c r="JMK1" s="1"/>
      <c r="JML1" s="1"/>
      <c r="JMM1" s="1"/>
      <c r="JMN1" s="1"/>
      <c r="JMO1" s="1"/>
      <c r="JMP1" s="1"/>
      <c r="JMQ1" s="1"/>
      <c r="JMR1" s="1"/>
      <c r="JMS1" s="1"/>
      <c r="JMT1" s="1"/>
      <c r="JMU1" s="1"/>
      <c r="JMV1" s="1"/>
      <c r="JMW1" s="1"/>
      <c r="JMX1" s="1"/>
      <c r="JMY1" s="1"/>
      <c r="JMZ1" s="1"/>
      <c r="JNA1" s="1"/>
      <c r="JNB1" s="1"/>
      <c r="JNC1" s="1"/>
      <c r="JND1" s="1"/>
      <c r="JNE1" s="1"/>
      <c r="JNF1" s="1"/>
      <c r="JNG1" s="1"/>
      <c r="JNH1" s="1"/>
      <c r="JNI1" s="1"/>
      <c r="JNJ1" s="1"/>
      <c r="JNK1" s="1"/>
      <c r="JNL1" s="1"/>
      <c r="JNM1" s="1"/>
      <c r="JNN1" s="1"/>
      <c r="JNO1" s="1"/>
      <c r="JNP1" s="1"/>
      <c r="JNQ1" s="1"/>
      <c r="JNR1" s="1"/>
      <c r="JNS1" s="1"/>
      <c r="JNT1" s="1"/>
      <c r="JNU1" s="1"/>
      <c r="JNV1" s="1"/>
      <c r="JNW1" s="1"/>
      <c r="JNX1" s="1"/>
      <c r="JNY1" s="1"/>
      <c r="JNZ1" s="1"/>
      <c r="JOA1" s="1"/>
      <c r="JOB1" s="1"/>
      <c r="JOC1" s="1"/>
      <c r="JOD1" s="1"/>
      <c r="JOE1" s="1"/>
      <c r="JOF1" s="1"/>
      <c r="JOG1" s="1"/>
      <c r="JOH1" s="1"/>
      <c r="JOI1" s="1"/>
      <c r="JOJ1" s="1"/>
      <c r="JOK1" s="1"/>
      <c r="JOL1" s="1"/>
      <c r="JOM1" s="1"/>
      <c r="JON1" s="1"/>
      <c r="JOO1" s="1"/>
      <c r="JOP1" s="1"/>
      <c r="JOQ1" s="1"/>
      <c r="JOR1" s="1"/>
      <c r="JOS1" s="1"/>
      <c r="JOT1" s="1"/>
      <c r="JOU1" s="1"/>
      <c r="JOV1" s="1"/>
      <c r="JOW1" s="1"/>
      <c r="JOX1" s="1"/>
      <c r="JOY1" s="1"/>
      <c r="JOZ1" s="1"/>
      <c r="JPA1" s="1"/>
      <c r="JPB1" s="1"/>
      <c r="JPC1" s="1"/>
      <c r="JPD1" s="1"/>
      <c r="JPE1" s="1"/>
      <c r="JPF1" s="1"/>
      <c r="JPG1" s="1"/>
      <c r="JPH1" s="1"/>
      <c r="JPI1" s="1"/>
      <c r="JPJ1" s="1"/>
      <c r="JPK1" s="1"/>
      <c r="JPL1" s="1"/>
      <c r="JPM1" s="1"/>
      <c r="JPN1" s="1"/>
      <c r="JPO1" s="1"/>
      <c r="JPP1" s="1"/>
      <c r="JPQ1" s="1"/>
      <c r="JPR1" s="1"/>
      <c r="JPS1" s="1"/>
      <c r="JPT1" s="1"/>
      <c r="JPU1" s="1"/>
      <c r="JPV1" s="1"/>
      <c r="JPW1" s="1"/>
      <c r="JPX1" s="1"/>
      <c r="JPY1" s="1"/>
      <c r="JPZ1" s="1"/>
      <c r="JQA1" s="1"/>
      <c r="JQB1" s="1"/>
      <c r="JQC1" s="1"/>
      <c r="JQD1" s="1"/>
      <c r="JQE1" s="1"/>
      <c r="JQF1" s="1"/>
      <c r="JQG1" s="1"/>
      <c r="JQH1" s="1"/>
      <c r="JQI1" s="1"/>
      <c r="JQJ1" s="1"/>
      <c r="JQK1" s="1"/>
      <c r="JQL1" s="1"/>
      <c r="JQM1" s="1"/>
      <c r="JQN1" s="1"/>
      <c r="JQO1" s="1"/>
      <c r="JQP1" s="1"/>
      <c r="JQQ1" s="1"/>
      <c r="JQR1" s="1"/>
      <c r="JQS1" s="1"/>
      <c r="JQT1" s="1"/>
      <c r="JQU1" s="1"/>
      <c r="JQV1" s="1"/>
      <c r="JQW1" s="1"/>
      <c r="JQX1" s="1"/>
      <c r="JQY1" s="1"/>
      <c r="JQZ1" s="1"/>
      <c r="JRA1" s="1"/>
      <c r="JRB1" s="1"/>
      <c r="JRC1" s="1"/>
      <c r="JRD1" s="1"/>
      <c r="JRE1" s="1"/>
      <c r="JRF1" s="1"/>
      <c r="JRG1" s="1"/>
      <c r="JRH1" s="1"/>
      <c r="JRI1" s="1"/>
      <c r="JRJ1" s="1"/>
      <c r="JRK1" s="1"/>
      <c r="JRL1" s="1"/>
      <c r="JRM1" s="1"/>
      <c r="JRN1" s="1"/>
      <c r="JRO1" s="1"/>
      <c r="JRP1" s="1"/>
      <c r="JRQ1" s="1"/>
      <c r="JRR1" s="1"/>
      <c r="JRS1" s="1"/>
      <c r="JRT1" s="1"/>
      <c r="JRU1" s="1"/>
      <c r="JRV1" s="1"/>
      <c r="JRW1" s="1"/>
      <c r="JRX1" s="1"/>
      <c r="JRY1" s="1"/>
      <c r="JRZ1" s="1"/>
      <c r="JSA1" s="1"/>
      <c r="JSB1" s="1"/>
      <c r="JSC1" s="1"/>
      <c r="JSD1" s="1"/>
      <c r="JSE1" s="1"/>
      <c r="JSF1" s="1"/>
      <c r="JSG1" s="1"/>
      <c r="JSH1" s="1"/>
      <c r="JSI1" s="1"/>
      <c r="JSJ1" s="1"/>
      <c r="JSK1" s="1"/>
      <c r="JSL1" s="1"/>
      <c r="JSM1" s="1"/>
      <c r="JSN1" s="1"/>
      <c r="JSO1" s="1"/>
      <c r="JSP1" s="1"/>
      <c r="JSQ1" s="1"/>
      <c r="JSR1" s="1"/>
      <c r="JSS1" s="1"/>
      <c r="JST1" s="1"/>
      <c r="JSU1" s="1"/>
      <c r="JSV1" s="1"/>
      <c r="JSW1" s="1"/>
      <c r="JSX1" s="1"/>
      <c r="JSY1" s="1"/>
      <c r="JSZ1" s="1"/>
      <c r="JTA1" s="1"/>
      <c r="JTB1" s="1"/>
      <c r="JTC1" s="1"/>
      <c r="JTD1" s="1"/>
      <c r="JTE1" s="1"/>
      <c r="JTF1" s="1"/>
      <c r="JTG1" s="1"/>
      <c r="JTH1" s="1"/>
      <c r="JTI1" s="1"/>
      <c r="JTJ1" s="1"/>
      <c r="JTK1" s="1"/>
      <c r="JTL1" s="1"/>
      <c r="JTM1" s="1"/>
      <c r="JTN1" s="1"/>
      <c r="JTO1" s="1"/>
      <c r="JTP1" s="1"/>
      <c r="JTQ1" s="1"/>
      <c r="JTR1" s="1"/>
      <c r="JTS1" s="1"/>
      <c r="JTT1" s="1"/>
      <c r="JTU1" s="1"/>
      <c r="JTV1" s="1"/>
      <c r="JTW1" s="1"/>
      <c r="JTX1" s="1"/>
      <c r="JTY1" s="1"/>
      <c r="JTZ1" s="1"/>
      <c r="JUA1" s="1"/>
      <c r="JUB1" s="1"/>
      <c r="JUC1" s="1"/>
      <c r="JUD1" s="1"/>
      <c r="JUE1" s="1"/>
      <c r="JUF1" s="1"/>
      <c r="JUG1" s="1"/>
      <c r="JUH1" s="1"/>
      <c r="JUI1" s="1"/>
      <c r="JUJ1" s="1"/>
      <c r="JUK1" s="1"/>
      <c r="JUL1" s="1"/>
      <c r="JUM1" s="1"/>
      <c r="JUN1" s="1"/>
      <c r="JUO1" s="1"/>
      <c r="JUP1" s="1"/>
      <c r="JUQ1" s="1"/>
      <c r="JUR1" s="1"/>
      <c r="JUS1" s="1"/>
      <c r="JUT1" s="1"/>
      <c r="JUU1" s="1"/>
      <c r="JUV1" s="1"/>
      <c r="JUW1" s="1"/>
      <c r="JUX1" s="1"/>
      <c r="JUY1" s="1"/>
      <c r="JUZ1" s="1"/>
      <c r="JVA1" s="1"/>
      <c r="JVB1" s="1"/>
      <c r="JVC1" s="1"/>
      <c r="JVD1" s="1"/>
      <c r="JVE1" s="1"/>
      <c r="JVF1" s="1"/>
      <c r="JVG1" s="1"/>
      <c r="JVH1" s="1"/>
      <c r="JVI1" s="1"/>
      <c r="JVJ1" s="1"/>
      <c r="JVK1" s="1"/>
      <c r="JVL1" s="1"/>
      <c r="JVM1" s="1"/>
      <c r="JVN1" s="1"/>
      <c r="JVO1" s="1"/>
      <c r="JVP1" s="1"/>
      <c r="JVQ1" s="1"/>
      <c r="JVR1" s="1"/>
      <c r="JVS1" s="1"/>
      <c r="JVT1" s="1"/>
      <c r="JVU1" s="1"/>
      <c r="JVV1" s="1"/>
      <c r="JVW1" s="1"/>
      <c r="JVX1" s="1"/>
      <c r="JVY1" s="1"/>
      <c r="JVZ1" s="1"/>
      <c r="JWA1" s="1"/>
      <c r="JWB1" s="1"/>
      <c r="JWC1" s="1"/>
      <c r="JWD1" s="1"/>
      <c r="JWE1" s="1"/>
      <c r="JWF1" s="1"/>
      <c r="JWG1" s="1"/>
      <c r="JWH1" s="1"/>
      <c r="JWI1" s="1"/>
      <c r="JWJ1" s="1"/>
      <c r="JWK1" s="1"/>
      <c r="JWL1" s="1"/>
      <c r="JWM1" s="1"/>
      <c r="JWN1" s="1"/>
      <c r="JWO1" s="1"/>
      <c r="JWP1" s="1"/>
      <c r="JWQ1" s="1"/>
      <c r="JWR1" s="1"/>
      <c r="JWS1" s="1"/>
      <c r="JWT1" s="1"/>
      <c r="JWU1" s="1"/>
      <c r="JWV1" s="1"/>
      <c r="JWW1" s="1"/>
      <c r="JWX1" s="1"/>
      <c r="JWY1" s="1"/>
      <c r="JWZ1" s="1"/>
      <c r="JXA1" s="1"/>
      <c r="JXB1" s="1"/>
      <c r="JXC1" s="1"/>
      <c r="JXD1" s="1"/>
      <c r="JXE1" s="1"/>
      <c r="JXF1" s="1"/>
      <c r="JXG1" s="1"/>
      <c r="JXH1" s="1"/>
      <c r="JXI1" s="1"/>
      <c r="JXJ1" s="1"/>
      <c r="JXK1" s="1"/>
      <c r="JXL1" s="1"/>
      <c r="JXM1" s="1"/>
      <c r="JXN1" s="1"/>
      <c r="JXO1" s="1"/>
      <c r="JXP1" s="1"/>
      <c r="JXQ1" s="1"/>
      <c r="JXR1" s="1"/>
      <c r="JXS1" s="1"/>
      <c r="JXT1" s="1"/>
      <c r="JXU1" s="1"/>
      <c r="JXV1" s="1"/>
      <c r="JXW1" s="1"/>
      <c r="JXX1" s="1"/>
      <c r="JXY1" s="1"/>
      <c r="JXZ1" s="1"/>
      <c r="JYA1" s="1"/>
      <c r="JYB1" s="1"/>
      <c r="JYC1" s="1"/>
      <c r="JYD1" s="1"/>
      <c r="JYE1" s="1"/>
      <c r="JYF1" s="1"/>
      <c r="JYG1" s="1"/>
      <c r="JYH1" s="1"/>
      <c r="JYI1" s="1"/>
      <c r="JYJ1" s="1"/>
      <c r="JYK1" s="1"/>
      <c r="JYL1" s="1"/>
      <c r="JYM1" s="1"/>
      <c r="JYN1" s="1"/>
      <c r="JYO1" s="1"/>
      <c r="JYP1" s="1"/>
      <c r="JYQ1" s="1"/>
      <c r="JYR1" s="1"/>
      <c r="JYS1" s="1"/>
      <c r="JYT1" s="1"/>
      <c r="JYU1" s="1"/>
      <c r="JYV1" s="1"/>
      <c r="JYW1" s="1"/>
      <c r="JYX1" s="1"/>
      <c r="JYY1" s="1"/>
      <c r="JYZ1" s="1"/>
      <c r="JZA1" s="1"/>
      <c r="JZB1" s="1"/>
      <c r="JZC1" s="1"/>
      <c r="JZD1" s="1"/>
      <c r="JZE1" s="1"/>
      <c r="JZF1" s="1"/>
      <c r="JZG1" s="1"/>
      <c r="JZH1" s="1"/>
      <c r="JZI1" s="1"/>
      <c r="JZJ1" s="1"/>
      <c r="JZK1" s="1"/>
      <c r="JZL1" s="1"/>
      <c r="JZM1" s="1"/>
      <c r="JZN1" s="1"/>
      <c r="JZO1" s="1"/>
      <c r="JZP1" s="1"/>
      <c r="JZQ1" s="1"/>
      <c r="JZR1" s="1"/>
      <c r="JZS1" s="1"/>
      <c r="JZT1" s="1"/>
      <c r="JZU1" s="1"/>
      <c r="JZV1" s="1"/>
      <c r="JZW1" s="1"/>
      <c r="JZX1" s="1"/>
      <c r="JZY1" s="1"/>
      <c r="JZZ1" s="1"/>
      <c r="KAA1" s="1"/>
      <c r="KAB1" s="1"/>
      <c r="KAC1" s="1"/>
      <c r="KAD1" s="1"/>
      <c r="KAE1" s="1"/>
      <c r="KAF1" s="1"/>
      <c r="KAG1" s="1"/>
      <c r="KAH1" s="1"/>
      <c r="KAI1" s="1"/>
      <c r="KAJ1" s="1"/>
      <c r="KAK1" s="1"/>
      <c r="KAL1" s="1"/>
      <c r="KAM1" s="1"/>
      <c r="KAN1" s="1"/>
      <c r="KAO1" s="1"/>
      <c r="KAP1" s="1"/>
      <c r="KAQ1" s="1"/>
      <c r="KAR1" s="1"/>
      <c r="KAS1" s="1"/>
      <c r="KAT1" s="1"/>
      <c r="KAU1" s="1"/>
      <c r="KAV1" s="1"/>
      <c r="KAW1" s="1"/>
      <c r="KAX1" s="1"/>
      <c r="KAY1" s="1"/>
      <c r="KAZ1" s="1"/>
      <c r="KBA1" s="1"/>
      <c r="KBB1" s="1"/>
      <c r="KBC1" s="1"/>
      <c r="KBD1" s="1"/>
      <c r="KBE1" s="1"/>
      <c r="KBF1" s="1"/>
      <c r="KBG1" s="1"/>
      <c r="KBH1" s="1"/>
      <c r="KBI1" s="1"/>
      <c r="KBJ1" s="1"/>
      <c r="KBK1" s="1"/>
      <c r="KBL1" s="1"/>
      <c r="KBM1" s="1"/>
      <c r="KBN1" s="1"/>
      <c r="KBO1" s="1"/>
      <c r="KBP1" s="1"/>
      <c r="KBQ1" s="1"/>
      <c r="KBR1" s="1"/>
      <c r="KBS1" s="1"/>
      <c r="KBT1" s="1"/>
      <c r="KBU1" s="1"/>
      <c r="KBV1" s="1"/>
      <c r="KBW1" s="1"/>
      <c r="KBX1" s="1"/>
      <c r="KBY1" s="1"/>
      <c r="KBZ1" s="1"/>
      <c r="KCA1" s="1"/>
      <c r="KCB1" s="1"/>
      <c r="KCC1" s="1"/>
      <c r="KCD1" s="1"/>
      <c r="KCE1" s="1"/>
      <c r="KCF1" s="1"/>
      <c r="KCG1" s="1"/>
      <c r="KCH1" s="1"/>
      <c r="KCI1" s="1"/>
      <c r="KCJ1" s="1"/>
      <c r="KCK1" s="1"/>
      <c r="KCL1" s="1"/>
      <c r="KCM1" s="1"/>
      <c r="KCN1" s="1"/>
      <c r="KCO1" s="1"/>
      <c r="KCP1" s="1"/>
      <c r="KCQ1" s="1"/>
      <c r="KCR1" s="1"/>
      <c r="KCS1" s="1"/>
      <c r="KCT1" s="1"/>
      <c r="KCU1" s="1"/>
      <c r="KCV1" s="1"/>
      <c r="KCW1" s="1"/>
      <c r="KCX1" s="1"/>
      <c r="KCY1" s="1"/>
      <c r="KCZ1" s="1"/>
      <c r="KDA1" s="1"/>
      <c r="KDB1" s="1"/>
      <c r="KDC1" s="1"/>
      <c r="KDD1" s="1"/>
      <c r="KDE1" s="1"/>
      <c r="KDF1" s="1"/>
      <c r="KDG1" s="1"/>
      <c r="KDH1" s="1"/>
      <c r="KDI1" s="1"/>
      <c r="KDJ1" s="1"/>
      <c r="KDK1" s="1"/>
      <c r="KDL1" s="1"/>
      <c r="KDM1" s="1"/>
      <c r="KDN1" s="1"/>
      <c r="KDO1" s="1"/>
      <c r="KDP1" s="1"/>
      <c r="KDQ1" s="1"/>
      <c r="KDR1" s="1"/>
      <c r="KDS1" s="1"/>
      <c r="KDT1" s="1"/>
      <c r="KDU1" s="1"/>
      <c r="KDV1" s="1"/>
      <c r="KDW1" s="1"/>
      <c r="KDX1" s="1"/>
      <c r="KDY1" s="1"/>
      <c r="KDZ1" s="1"/>
      <c r="KEA1" s="1"/>
      <c r="KEB1" s="1"/>
      <c r="KEC1" s="1"/>
      <c r="KED1" s="1"/>
      <c r="KEE1" s="1"/>
      <c r="KEF1" s="1"/>
      <c r="KEG1" s="1"/>
      <c r="KEH1" s="1"/>
      <c r="KEI1" s="1"/>
      <c r="KEJ1" s="1"/>
      <c r="KEK1" s="1"/>
      <c r="KEL1" s="1"/>
      <c r="KEM1" s="1"/>
      <c r="KEN1" s="1"/>
      <c r="KEO1" s="1"/>
      <c r="KEP1" s="1"/>
      <c r="KEQ1" s="1"/>
      <c r="KER1" s="1"/>
      <c r="KES1" s="1"/>
      <c r="KET1" s="1"/>
      <c r="KEU1" s="1"/>
      <c r="KEV1" s="1"/>
      <c r="KEW1" s="1"/>
      <c r="KEX1" s="1"/>
      <c r="KEY1" s="1"/>
      <c r="KEZ1" s="1"/>
      <c r="KFA1" s="1"/>
      <c r="KFB1" s="1"/>
      <c r="KFC1" s="1"/>
      <c r="KFD1" s="1"/>
      <c r="KFE1" s="1"/>
      <c r="KFF1" s="1"/>
      <c r="KFG1" s="1"/>
      <c r="KFH1" s="1"/>
      <c r="KFI1" s="1"/>
      <c r="KFJ1" s="1"/>
      <c r="KFK1" s="1"/>
      <c r="KFL1" s="1"/>
      <c r="KFM1" s="1"/>
      <c r="KFN1" s="1"/>
      <c r="KFO1" s="1"/>
      <c r="KFP1" s="1"/>
      <c r="KFQ1" s="1"/>
      <c r="KFR1" s="1"/>
      <c r="KFS1" s="1"/>
      <c r="KFT1" s="1"/>
      <c r="KFU1" s="1"/>
      <c r="KFV1" s="1"/>
      <c r="KFW1" s="1"/>
      <c r="KFX1" s="1"/>
      <c r="KFY1" s="1"/>
      <c r="KFZ1" s="1"/>
      <c r="KGA1" s="1"/>
      <c r="KGB1" s="1"/>
      <c r="KGC1" s="1"/>
      <c r="KGD1" s="1"/>
      <c r="KGE1" s="1"/>
      <c r="KGF1" s="1"/>
      <c r="KGG1" s="1"/>
      <c r="KGH1" s="1"/>
      <c r="KGI1" s="1"/>
      <c r="KGJ1" s="1"/>
      <c r="KGK1" s="1"/>
      <c r="KGL1" s="1"/>
      <c r="KGM1" s="1"/>
      <c r="KGN1" s="1"/>
      <c r="KGO1" s="1"/>
      <c r="KGP1" s="1"/>
      <c r="KGQ1" s="1"/>
      <c r="KGR1" s="1"/>
      <c r="KGS1" s="1"/>
      <c r="KGT1" s="1"/>
      <c r="KGU1" s="1"/>
      <c r="KGV1" s="1"/>
      <c r="KGW1" s="1"/>
      <c r="KGX1" s="1"/>
      <c r="KGY1" s="1"/>
      <c r="KGZ1" s="1"/>
      <c r="KHA1" s="1"/>
      <c r="KHB1" s="1"/>
      <c r="KHC1" s="1"/>
      <c r="KHD1" s="1"/>
      <c r="KHE1" s="1"/>
      <c r="KHF1" s="1"/>
      <c r="KHG1" s="1"/>
      <c r="KHH1" s="1"/>
      <c r="KHI1" s="1"/>
      <c r="KHJ1" s="1"/>
      <c r="KHK1" s="1"/>
      <c r="KHL1" s="1"/>
      <c r="KHM1" s="1"/>
      <c r="KHN1" s="1"/>
      <c r="KHO1" s="1"/>
      <c r="KHP1" s="1"/>
      <c r="KHQ1" s="1"/>
      <c r="KHR1" s="1"/>
      <c r="KHS1" s="1"/>
      <c r="KHT1" s="1"/>
      <c r="KHU1" s="1"/>
      <c r="KHV1" s="1"/>
      <c r="KHW1" s="1"/>
      <c r="KHX1" s="1"/>
      <c r="KHY1" s="1"/>
      <c r="KHZ1" s="1"/>
      <c r="KIA1" s="1"/>
      <c r="KIB1" s="1"/>
      <c r="KIC1" s="1"/>
      <c r="KID1" s="1"/>
      <c r="KIE1" s="1"/>
      <c r="KIF1" s="1"/>
      <c r="KIG1" s="1"/>
      <c r="KIH1" s="1"/>
      <c r="KII1" s="1"/>
      <c r="KIJ1" s="1"/>
      <c r="KIK1" s="1"/>
      <c r="KIL1" s="1"/>
      <c r="KIM1" s="1"/>
      <c r="KIN1" s="1"/>
      <c r="KIO1" s="1"/>
      <c r="KIP1" s="1"/>
      <c r="KIQ1" s="1"/>
      <c r="KIR1" s="1"/>
      <c r="KIS1" s="1"/>
      <c r="KIT1" s="1"/>
      <c r="KIU1" s="1"/>
      <c r="KIV1" s="1"/>
      <c r="KIW1" s="1"/>
      <c r="KIX1" s="1"/>
      <c r="KIY1" s="1"/>
      <c r="KIZ1" s="1"/>
      <c r="KJA1" s="1"/>
      <c r="KJB1" s="1"/>
      <c r="KJC1" s="1"/>
      <c r="KJD1" s="1"/>
      <c r="KJE1" s="1"/>
      <c r="KJF1" s="1"/>
      <c r="KJG1" s="1"/>
      <c r="KJH1" s="1"/>
      <c r="KJI1" s="1"/>
      <c r="KJJ1" s="1"/>
      <c r="KJK1" s="1"/>
      <c r="KJL1" s="1"/>
      <c r="KJM1" s="1"/>
      <c r="KJN1" s="1"/>
      <c r="KJO1" s="1"/>
      <c r="KJP1" s="1"/>
      <c r="KJQ1" s="1"/>
      <c r="KJR1" s="1"/>
      <c r="KJS1" s="1"/>
      <c r="KJT1" s="1"/>
      <c r="KJU1" s="1"/>
      <c r="KJV1" s="1"/>
      <c r="KJW1" s="1"/>
      <c r="KJX1" s="1"/>
      <c r="KJY1" s="1"/>
      <c r="KJZ1" s="1"/>
      <c r="KKA1" s="1"/>
      <c r="KKB1" s="1"/>
      <c r="KKC1" s="1"/>
      <c r="KKD1" s="1"/>
      <c r="KKE1" s="1"/>
      <c r="KKF1" s="1"/>
      <c r="KKG1" s="1"/>
      <c r="KKH1" s="1"/>
      <c r="KKI1" s="1"/>
      <c r="KKJ1" s="1"/>
      <c r="KKK1" s="1"/>
      <c r="KKL1" s="1"/>
      <c r="KKM1" s="1"/>
      <c r="KKN1" s="1"/>
      <c r="KKO1" s="1"/>
      <c r="KKP1" s="1"/>
      <c r="KKQ1" s="1"/>
      <c r="KKR1" s="1"/>
      <c r="KKS1" s="1"/>
      <c r="KKT1" s="1"/>
      <c r="KKU1" s="1"/>
      <c r="KKV1" s="1"/>
      <c r="KKW1" s="1"/>
      <c r="KKX1" s="1"/>
      <c r="KKY1" s="1"/>
      <c r="KKZ1" s="1"/>
      <c r="KLA1" s="1"/>
      <c r="KLB1" s="1"/>
      <c r="KLC1" s="1"/>
      <c r="KLD1" s="1"/>
      <c r="KLE1" s="1"/>
      <c r="KLF1" s="1"/>
      <c r="KLG1" s="1"/>
      <c r="KLH1" s="1"/>
      <c r="KLI1" s="1"/>
      <c r="KLJ1" s="1"/>
      <c r="KLK1" s="1"/>
      <c r="KLL1" s="1"/>
      <c r="KLM1" s="1"/>
      <c r="KLN1" s="1"/>
      <c r="KLO1" s="1"/>
      <c r="KLP1" s="1"/>
      <c r="KLQ1" s="1"/>
      <c r="KLR1" s="1"/>
      <c r="KLS1" s="1"/>
      <c r="KLT1" s="1"/>
      <c r="KLU1" s="1"/>
      <c r="KLV1" s="1"/>
      <c r="KLW1" s="1"/>
      <c r="KLX1" s="1"/>
      <c r="KLY1" s="1"/>
      <c r="KLZ1" s="1"/>
      <c r="KMA1" s="1"/>
      <c r="KMB1" s="1"/>
      <c r="KMC1" s="1"/>
      <c r="KMD1" s="1"/>
      <c r="KME1" s="1"/>
      <c r="KMF1" s="1"/>
      <c r="KMG1" s="1"/>
      <c r="KMH1" s="1"/>
      <c r="KMI1" s="1"/>
      <c r="KMJ1" s="1"/>
      <c r="KMK1" s="1"/>
      <c r="KML1" s="1"/>
      <c r="KMM1" s="1"/>
      <c r="KMN1" s="1"/>
      <c r="KMO1" s="1"/>
      <c r="KMP1" s="1"/>
      <c r="KMQ1" s="1"/>
      <c r="KMR1" s="1"/>
      <c r="KMS1" s="1"/>
      <c r="KMT1" s="1"/>
      <c r="KMU1" s="1"/>
      <c r="KMV1" s="1"/>
      <c r="KMW1" s="1"/>
      <c r="KMX1" s="1"/>
      <c r="KMY1" s="1"/>
      <c r="KMZ1" s="1"/>
      <c r="KNA1" s="1"/>
      <c r="KNB1" s="1"/>
      <c r="KNC1" s="1"/>
      <c r="KND1" s="1"/>
      <c r="KNE1" s="1"/>
      <c r="KNF1" s="1"/>
      <c r="KNG1" s="1"/>
      <c r="KNH1" s="1"/>
      <c r="KNI1" s="1"/>
      <c r="KNJ1" s="1"/>
      <c r="KNK1" s="1"/>
      <c r="KNL1" s="1"/>
      <c r="KNM1" s="1"/>
      <c r="KNN1" s="1"/>
      <c r="KNO1" s="1"/>
      <c r="KNP1" s="1"/>
      <c r="KNQ1" s="1"/>
      <c r="KNR1" s="1"/>
      <c r="KNS1" s="1"/>
      <c r="KNT1" s="1"/>
      <c r="KNU1" s="1"/>
      <c r="KNV1" s="1"/>
      <c r="KNW1" s="1"/>
      <c r="KNX1" s="1"/>
      <c r="KNY1" s="1"/>
      <c r="KNZ1" s="1"/>
      <c r="KOA1" s="1"/>
      <c r="KOB1" s="1"/>
      <c r="KOC1" s="1"/>
      <c r="KOD1" s="1"/>
      <c r="KOE1" s="1"/>
      <c r="KOF1" s="1"/>
      <c r="KOG1" s="1"/>
      <c r="KOH1" s="1"/>
      <c r="KOI1" s="1"/>
      <c r="KOJ1" s="1"/>
      <c r="KOK1" s="1"/>
      <c r="KOL1" s="1"/>
      <c r="KOM1" s="1"/>
      <c r="KON1" s="1"/>
      <c r="KOO1" s="1"/>
      <c r="KOP1" s="1"/>
      <c r="KOQ1" s="1"/>
      <c r="KOR1" s="1"/>
      <c r="KOS1" s="1"/>
      <c r="KOT1" s="1"/>
      <c r="KOU1" s="1"/>
      <c r="KOV1" s="1"/>
      <c r="KOW1" s="1"/>
      <c r="KOX1" s="1"/>
      <c r="KOY1" s="1"/>
      <c r="KOZ1" s="1"/>
      <c r="KPA1" s="1"/>
      <c r="KPB1" s="1"/>
      <c r="KPC1" s="1"/>
      <c r="KPD1" s="1"/>
      <c r="KPE1" s="1"/>
      <c r="KPF1" s="1"/>
      <c r="KPG1" s="1"/>
      <c r="KPH1" s="1"/>
      <c r="KPI1" s="1"/>
      <c r="KPJ1" s="1"/>
      <c r="KPK1" s="1"/>
      <c r="KPL1" s="1"/>
      <c r="KPM1" s="1"/>
      <c r="KPN1" s="1"/>
      <c r="KPO1" s="1"/>
      <c r="KPP1" s="1"/>
      <c r="KPQ1" s="1"/>
      <c r="KPR1" s="1"/>
      <c r="KPS1" s="1"/>
      <c r="KPT1" s="1"/>
      <c r="KPU1" s="1"/>
      <c r="KPV1" s="1"/>
      <c r="KPW1" s="1"/>
      <c r="KPX1" s="1"/>
      <c r="KPY1" s="1"/>
      <c r="KPZ1" s="1"/>
      <c r="KQA1" s="1"/>
      <c r="KQB1" s="1"/>
      <c r="KQC1" s="1"/>
      <c r="KQD1" s="1"/>
      <c r="KQE1" s="1"/>
      <c r="KQF1" s="1"/>
      <c r="KQG1" s="1"/>
      <c r="KQH1" s="1"/>
      <c r="KQI1" s="1"/>
      <c r="KQJ1" s="1"/>
      <c r="KQK1" s="1"/>
      <c r="KQL1" s="1"/>
      <c r="KQM1" s="1"/>
      <c r="KQN1" s="1"/>
      <c r="KQO1" s="1"/>
      <c r="KQP1" s="1"/>
      <c r="KQQ1" s="1"/>
      <c r="KQR1" s="1"/>
      <c r="KQS1" s="1"/>
      <c r="KQT1" s="1"/>
      <c r="KQU1" s="1"/>
      <c r="KQV1" s="1"/>
      <c r="KQW1" s="1"/>
      <c r="KQX1" s="1"/>
      <c r="KQY1" s="1"/>
      <c r="KQZ1" s="1"/>
      <c r="KRA1" s="1"/>
      <c r="KRB1" s="1"/>
      <c r="KRC1" s="1"/>
      <c r="KRD1" s="1"/>
      <c r="KRE1" s="1"/>
      <c r="KRF1" s="1"/>
      <c r="KRG1" s="1"/>
      <c r="KRH1" s="1"/>
      <c r="KRI1" s="1"/>
      <c r="KRJ1" s="1"/>
      <c r="KRK1" s="1"/>
      <c r="KRL1" s="1"/>
      <c r="KRM1" s="1"/>
      <c r="KRN1" s="1"/>
      <c r="KRO1" s="1"/>
      <c r="KRP1" s="1"/>
      <c r="KRQ1" s="1"/>
      <c r="KRR1" s="1"/>
      <c r="KRS1" s="1"/>
      <c r="KRT1" s="1"/>
      <c r="KRU1" s="1"/>
      <c r="KRV1" s="1"/>
      <c r="KRW1" s="1"/>
      <c r="KRX1" s="1"/>
      <c r="KRY1" s="1"/>
      <c r="KRZ1" s="1"/>
      <c r="KSA1" s="1"/>
      <c r="KSB1" s="1"/>
      <c r="KSC1" s="1"/>
      <c r="KSD1" s="1"/>
      <c r="KSE1" s="1"/>
      <c r="KSF1" s="1"/>
      <c r="KSG1" s="1"/>
      <c r="KSH1" s="1"/>
      <c r="KSI1" s="1"/>
      <c r="KSJ1" s="1"/>
      <c r="KSK1" s="1"/>
      <c r="KSL1" s="1"/>
      <c r="KSM1" s="1"/>
      <c r="KSN1" s="1"/>
      <c r="KSO1" s="1"/>
      <c r="KSP1" s="1"/>
      <c r="KSQ1" s="1"/>
      <c r="KSR1" s="1"/>
      <c r="KSS1" s="1"/>
      <c r="KST1" s="1"/>
      <c r="KSU1" s="1"/>
      <c r="KSV1" s="1"/>
      <c r="KSW1" s="1"/>
      <c r="KSX1" s="1"/>
      <c r="KSY1" s="1"/>
      <c r="KSZ1" s="1"/>
      <c r="KTA1" s="1"/>
      <c r="KTB1" s="1"/>
      <c r="KTC1" s="1"/>
      <c r="KTD1" s="1"/>
      <c r="KTE1" s="1"/>
      <c r="KTF1" s="1"/>
      <c r="KTG1" s="1"/>
      <c r="KTH1" s="1"/>
      <c r="KTI1" s="1"/>
      <c r="KTJ1" s="1"/>
      <c r="KTK1" s="1"/>
      <c r="KTL1" s="1"/>
      <c r="KTM1" s="1"/>
      <c r="KTN1" s="1"/>
      <c r="KTO1" s="1"/>
      <c r="KTP1" s="1"/>
      <c r="KTQ1" s="1"/>
      <c r="KTR1" s="1"/>
      <c r="KTS1" s="1"/>
      <c r="KTT1" s="1"/>
      <c r="KTU1" s="1"/>
      <c r="KTV1" s="1"/>
      <c r="KTW1" s="1"/>
      <c r="KTX1" s="1"/>
      <c r="KTY1" s="1"/>
      <c r="KTZ1" s="1"/>
      <c r="KUA1" s="1"/>
      <c r="KUB1" s="1"/>
      <c r="KUC1" s="1"/>
      <c r="KUD1" s="1"/>
      <c r="KUE1" s="1"/>
      <c r="KUF1" s="1"/>
      <c r="KUG1" s="1"/>
      <c r="KUH1" s="1"/>
      <c r="KUI1" s="1"/>
      <c r="KUJ1" s="1"/>
      <c r="KUK1" s="1"/>
      <c r="KUL1" s="1"/>
      <c r="KUM1" s="1"/>
      <c r="KUN1" s="1"/>
      <c r="KUO1" s="1"/>
      <c r="KUP1" s="1"/>
      <c r="KUQ1" s="1"/>
      <c r="KUR1" s="1"/>
      <c r="KUS1" s="1"/>
      <c r="KUT1" s="1"/>
      <c r="KUU1" s="1"/>
      <c r="KUV1" s="1"/>
      <c r="KUW1" s="1"/>
      <c r="KUX1" s="1"/>
      <c r="KUY1" s="1"/>
      <c r="KUZ1" s="1"/>
      <c r="KVA1" s="1"/>
      <c r="KVB1" s="1"/>
      <c r="KVC1" s="1"/>
      <c r="KVD1" s="1"/>
      <c r="KVE1" s="1"/>
      <c r="KVF1" s="1"/>
      <c r="KVG1" s="1"/>
      <c r="KVH1" s="1"/>
      <c r="KVI1" s="1"/>
      <c r="KVJ1" s="1"/>
      <c r="KVK1" s="1"/>
      <c r="KVL1" s="1"/>
      <c r="KVM1" s="1"/>
      <c r="KVN1" s="1"/>
      <c r="KVO1" s="1"/>
      <c r="KVP1" s="1"/>
      <c r="KVQ1" s="1"/>
      <c r="KVR1" s="1"/>
      <c r="KVS1" s="1"/>
      <c r="KVT1" s="1"/>
      <c r="KVU1" s="1"/>
      <c r="KVV1" s="1"/>
      <c r="KVW1" s="1"/>
      <c r="KVX1" s="1"/>
      <c r="KVY1" s="1"/>
      <c r="KVZ1" s="1"/>
      <c r="KWA1" s="1"/>
      <c r="KWB1" s="1"/>
      <c r="KWC1" s="1"/>
      <c r="KWD1" s="1"/>
      <c r="KWE1" s="1"/>
      <c r="KWF1" s="1"/>
      <c r="KWG1" s="1"/>
      <c r="KWH1" s="1"/>
      <c r="KWI1" s="1"/>
      <c r="KWJ1" s="1"/>
      <c r="KWK1" s="1"/>
      <c r="KWL1" s="1"/>
      <c r="KWM1" s="1"/>
      <c r="KWN1" s="1"/>
      <c r="KWO1" s="1"/>
      <c r="KWP1" s="1"/>
      <c r="KWQ1" s="1"/>
      <c r="KWR1" s="1"/>
      <c r="KWS1" s="1"/>
      <c r="KWT1" s="1"/>
      <c r="KWU1" s="1"/>
      <c r="KWV1" s="1"/>
      <c r="KWW1" s="1"/>
      <c r="KWX1" s="1"/>
      <c r="KWY1" s="1"/>
      <c r="KWZ1" s="1"/>
      <c r="KXA1" s="1"/>
      <c r="KXB1" s="1"/>
      <c r="KXC1" s="1"/>
      <c r="KXD1" s="1"/>
      <c r="KXE1" s="1"/>
      <c r="KXF1" s="1"/>
      <c r="KXG1" s="1"/>
      <c r="KXH1" s="1"/>
      <c r="KXI1" s="1"/>
      <c r="KXJ1" s="1"/>
      <c r="KXK1" s="1"/>
      <c r="KXL1" s="1"/>
      <c r="KXM1" s="1"/>
      <c r="KXN1" s="1"/>
      <c r="KXO1" s="1"/>
      <c r="KXP1" s="1"/>
      <c r="KXQ1" s="1"/>
      <c r="KXR1" s="1"/>
      <c r="KXS1" s="1"/>
      <c r="KXT1" s="1"/>
      <c r="KXU1" s="1"/>
      <c r="KXV1" s="1"/>
      <c r="KXW1" s="1"/>
      <c r="KXX1" s="1"/>
      <c r="KXY1" s="1"/>
      <c r="KXZ1" s="1"/>
      <c r="KYA1" s="1"/>
      <c r="KYB1" s="1"/>
      <c r="KYC1" s="1"/>
      <c r="KYD1" s="1"/>
      <c r="KYE1" s="1"/>
      <c r="KYF1" s="1"/>
      <c r="KYG1" s="1"/>
      <c r="KYH1" s="1"/>
      <c r="KYI1" s="1"/>
      <c r="KYJ1" s="1"/>
      <c r="KYK1" s="1"/>
      <c r="KYL1" s="1"/>
      <c r="KYM1" s="1"/>
      <c r="KYN1" s="1"/>
      <c r="KYO1" s="1"/>
      <c r="KYP1" s="1"/>
      <c r="KYQ1" s="1"/>
      <c r="KYR1" s="1"/>
      <c r="KYS1" s="1"/>
      <c r="KYT1" s="1"/>
      <c r="KYU1" s="1"/>
      <c r="KYV1" s="1"/>
      <c r="KYW1" s="1"/>
      <c r="KYX1" s="1"/>
      <c r="KYY1" s="1"/>
      <c r="KYZ1" s="1"/>
      <c r="KZA1" s="1"/>
      <c r="KZB1" s="1"/>
      <c r="KZC1" s="1"/>
      <c r="KZD1" s="1"/>
      <c r="KZE1" s="1"/>
      <c r="KZF1" s="1"/>
      <c r="KZG1" s="1"/>
      <c r="KZH1" s="1"/>
      <c r="KZI1" s="1"/>
      <c r="KZJ1" s="1"/>
      <c r="KZK1" s="1"/>
      <c r="KZL1" s="1"/>
      <c r="KZM1" s="1"/>
      <c r="KZN1" s="1"/>
      <c r="KZO1" s="1"/>
      <c r="KZP1" s="1"/>
      <c r="KZQ1" s="1"/>
      <c r="KZR1" s="1"/>
      <c r="KZS1" s="1"/>
      <c r="KZT1" s="1"/>
      <c r="KZU1" s="1"/>
      <c r="KZV1" s="1"/>
      <c r="KZW1" s="1"/>
      <c r="KZX1" s="1"/>
      <c r="KZY1" s="1"/>
      <c r="KZZ1" s="1"/>
      <c r="LAA1" s="1"/>
      <c r="LAB1" s="1"/>
      <c r="LAC1" s="1"/>
      <c r="LAD1" s="1"/>
      <c r="LAE1" s="1"/>
      <c r="LAF1" s="1"/>
      <c r="LAG1" s="1"/>
      <c r="LAH1" s="1"/>
      <c r="LAI1" s="1"/>
      <c r="LAJ1" s="1"/>
      <c r="LAK1" s="1"/>
      <c r="LAL1" s="1"/>
      <c r="LAM1" s="1"/>
      <c r="LAN1" s="1"/>
      <c r="LAO1" s="1"/>
      <c r="LAP1" s="1"/>
      <c r="LAQ1" s="1"/>
      <c r="LAR1" s="1"/>
      <c r="LAS1" s="1"/>
      <c r="LAT1" s="1"/>
      <c r="LAU1" s="1"/>
      <c r="LAV1" s="1"/>
      <c r="LAW1" s="1"/>
      <c r="LAX1" s="1"/>
      <c r="LAY1" s="1"/>
      <c r="LAZ1" s="1"/>
      <c r="LBA1" s="1"/>
      <c r="LBB1" s="1"/>
      <c r="LBC1" s="1"/>
      <c r="LBD1" s="1"/>
      <c r="LBE1" s="1"/>
      <c r="LBF1" s="1"/>
      <c r="LBG1" s="1"/>
      <c r="LBH1" s="1"/>
      <c r="LBI1" s="1"/>
      <c r="LBJ1" s="1"/>
      <c r="LBK1" s="1"/>
      <c r="LBL1" s="1"/>
      <c r="LBM1" s="1"/>
      <c r="LBN1" s="1"/>
      <c r="LBO1" s="1"/>
      <c r="LBP1" s="1"/>
      <c r="LBQ1" s="1"/>
      <c r="LBR1" s="1"/>
      <c r="LBS1" s="1"/>
      <c r="LBT1" s="1"/>
      <c r="LBU1" s="1"/>
      <c r="LBV1" s="1"/>
      <c r="LBW1" s="1"/>
      <c r="LBX1" s="1"/>
      <c r="LBY1" s="1"/>
      <c r="LBZ1" s="1"/>
      <c r="LCA1" s="1"/>
      <c r="LCB1" s="1"/>
      <c r="LCC1" s="1"/>
      <c r="LCD1" s="1"/>
      <c r="LCE1" s="1"/>
      <c r="LCF1" s="1"/>
      <c r="LCG1" s="1"/>
      <c r="LCH1" s="1"/>
      <c r="LCI1" s="1"/>
      <c r="LCJ1" s="1"/>
      <c r="LCK1" s="1"/>
      <c r="LCL1" s="1"/>
      <c r="LCM1" s="1"/>
      <c r="LCN1" s="1"/>
      <c r="LCO1" s="1"/>
      <c r="LCP1" s="1"/>
      <c r="LCQ1" s="1"/>
      <c r="LCR1" s="1"/>
      <c r="LCS1" s="1"/>
      <c r="LCT1" s="1"/>
      <c r="LCU1" s="1"/>
      <c r="LCV1" s="1"/>
      <c r="LCW1" s="1"/>
      <c r="LCX1" s="1"/>
      <c r="LCY1" s="1"/>
      <c r="LCZ1" s="1"/>
      <c r="LDA1" s="1"/>
      <c r="LDB1" s="1"/>
      <c r="LDC1" s="1"/>
      <c r="LDD1" s="1"/>
      <c r="LDE1" s="1"/>
      <c r="LDF1" s="1"/>
      <c r="LDG1" s="1"/>
      <c r="LDH1" s="1"/>
      <c r="LDI1" s="1"/>
      <c r="LDJ1" s="1"/>
      <c r="LDK1" s="1"/>
      <c r="LDL1" s="1"/>
      <c r="LDM1" s="1"/>
      <c r="LDN1" s="1"/>
      <c r="LDO1" s="1"/>
      <c r="LDP1" s="1"/>
      <c r="LDQ1" s="1"/>
      <c r="LDR1" s="1"/>
      <c r="LDS1" s="1"/>
      <c r="LDT1" s="1"/>
      <c r="LDU1" s="1"/>
      <c r="LDV1" s="1"/>
      <c r="LDW1" s="1"/>
      <c r="LDX1" s="1"/>
      <c r="LDY1" s="1"/>
      <c r="LDZ1" s="1"/>
      <c r="LEA1" s="1"/>
      <c r="LEB1" s="1"/>
      <c r="LEC1" s="1"/>
      <c r="LED1" s="1"/>
      <c r="LEE1" s="1"/>
      <c r="LEF1" s="1"/>
      <c r="LEG1" s="1"/>
      <c r="LEH1" s="1"/>
      <c r="LEI1" s="1"/>
      <c r="LEJ1" s="1"/>
      <c r="LEK1" s="1"/>
      <c r="LEL1" s="1"/>
      <c r="LEM1" s="1"/>
      <c r="LEN1" s="1"/>
      <c r="LEO1" s="1"/>
      <c r="LEP1" s="1"/>
      <c r="LEQ1" s="1"/>
      <c r="LER1" s="1"/>
      <c r="LES1" s="1"/>
      <c r="LET1" s="1"/>
      <c r="LEU1" s="1"/>
      <c r="LEV1" s="1"/>
      <c r="LEW1" s="1"/>
      <c r="LEX1" s="1"/>
      <c r="LEY1" s="1"/>
      <c r="LEZ1" s="1"/>
      <c r="LFA1" s="1"/>
      <c r="LFB1" s="1"/>
      <c r="LFC1" s="1"/>
      <c r="LFD1" s="1"/>
      <c r="LFE1" s="1"/>
      <c r="LFF1" s="1"/>
      <c r="LFG1" s="1"/>
      <c r="LFH1" s="1"/>
      <c r="LFI1" s="1"/>
      <c r="LFJ1" s="1"/>
      <c r="LFK1" s="1"/>
      <c r="LFL1" s="1"/>
      <c r="LFM1" s="1"/>
      <c r="LFN1" s="1"/>
      <c r="LFO1" s="1"/>
      <c r="LFP1" s="1"/>
      <c r="LFQ1" s="1"/>
      <c r="LFR1" s="1"/>
      <c r="LFS1" s="1"/>
      <c r="LFT1" s="1"/>
      <c r="LFU1" s="1"/>
      <c r="LFV1" s="1"/>
      <c r="LFW1" s="1"/>
      <c r="LFX1" s="1"/>
      <c r="LFY1" s="1"/>
      <c r="LFZ1" s="1"/>
      <c r="LGA1" s="1"/>
      <c r="LGB1" s="1"/>
      <c r="LGC1" s="1"/>
      <c r="LGD1" s="1"/>
      <c r="LGE1" s="1"/>
      <c r="LGF1" s="1"/>
      <c r="LGG1" s="1"/>
      <c r="LGH1" s="1"/>
      <c r="LGI1" s="1"/>
      <c r="LGJ1" s="1"/>
      <c r="LGK1" s="1"/>
      <c r="LGL1" s="1"/>
      <c r="LGM1" s="1"/>
      <c r="LGN1" s="1"/>
      <c r="LGO1" s="1"/>
      <c r="LGP1" s="1"/>
      <c r="LGQ1" s="1"/>
      <c r="LGR1" s="1"/>
      <c r="LGS1" s="1"/>
      <c r="LGT1" s="1"/>
      <c r="LGU1" s="1"/>
      <c r="LGV1" s="1"/>
      <c r="LGW1" s="1"/>
      <c r="LGX1" s="1"/>
      <c r="LGY1" s="1"/>
      <c r="LGZ1" s="1"/>
      <c r="LHA1" s="1"/>
      <c r="LHB1" s="1"/>
      <c r="LHC1" s="1"/>
      <c r="LHD1" s="1"/>
      <c r="LHE1" s="1"/>
      <c r="LHF1" s="1"/>
      <c r="LHG1" s="1"/>
      <c r="LHH1" s="1"/>
      <c r="LHI1" s="1"/>
      <c r="LHJ1" s="1"/>
      <c r="LHK1" s="1"/>
      <c r="LHL1" s="1"/>
      <c r="LHM1" s="1"/>
      <c r="LHN1" s="1"/>
      <c r="LHO1" s="1"/>
      <c r="LHP1" s="1"/>
      <c r="LHQ1" s="1"/>
      <c r="LHR1" s="1"/>
      <c r="LHS1" s="1"/>
      <c r="LHT1" s="1"/>
      <c r="LHU1" s="1"/>
      <c r="LHV1" s="1"/>
      <c r="LHW1" s="1"/>
      <c r="LHX1" s="1"/>
      <c r="LHY1" s="1"/>
      <c r="LHZ1" s="1"/>
      <c r="LIA1" s="1"/>
      <c r="LIB1" s="1"/>
      <c r="LIC1" s="1"/>
      <c r="LID1" s="1"/>
      <c r="LIE1" s="1"/>
      <c r="LIF1" s="1"/>
      <c r="LIG1" s="1"/>
      <c r="LIH1" s="1"/>
      <c r="LII1" s="1"/>
      <c r="LIJ1" s="1"/>
      <c r="LIK1" s="1"/>
      <c r="LIL1" s="1"/>
      <c r="LIM1" s="1"/>
      <c r="LIN1" s="1"/>
      <c r="LIO1" s="1"/>
      <c r="LIP1" s="1"/>
      <c r="LIQ1" s="1"/>
      <c r="LIR1" s="1"/>
      <c r="LIS1" s="1"/>
      <c r="LIT1" s="1"/>
      <c r="LIU1" s="1"/>
      <c r="LIV1" s="1"/>
      <c r="LIW1" s="1"/>
      <c r="LIX1" s="1"/>
      <c r="LIY1" s="1"/>
      <c r="LIZ1" s="1"/>
      <c r="LJA1" s="1"/>
      <c r="LJB1" s="1"/>
      <c r="LJC1" s="1"/>
      <c r="LJD1" s="1"/>
      <c r="LJE1" s="1"/>
      <c r="LJF1" s="1"/>
      <c r="LJG1" s="1"/>
      <c r="LJH1" s="1"/>
      <c r="LJI1" s="1"/>
      <c r="LJJ1" s="1"/>
      <c r="LJK1" s="1"/>
      <c r="LJL1" s="1"/>
      <c r="LJM1" s="1"/>
      <c r="LJN1" s="1"/>
      <c r="LJO1" s="1"/>
      <c r="LJP1" s="1"/>
      <c r="LJQ1" s="1"/>
      <c r="LJR1" s="1"/>
      <c r="LJS1" s="1"/>
      <c r="LJT1" s="1"/>
      <c r="LJU1" s="1"/>
      <c r="LJV1" s="1"/>
      <c r="LJW1" s="1"/>
      <c r="LJX1" s="1"/>
      <c r="LJY1" s="1"/>
      <c r="LJZ1" s="1"/>
      <c r="LKA1" s="1"/>
      <c r="LKB1" s="1"/>
      <c r="LKC1" s="1"/>
      <c r="LKD1" s="1"/>
      <c r="LKE1" s="1"/>
      <c r="LKF1" s="1"/>
      <c r="LKG1" s="1"/>
      <c r="LKH1" s="1"/>
      <c r="LKI1" s="1"/>
      <c r="LKJ1" s="1"/>
      <c r="LKK1" s="1"/>
      <c r="LKL1" s="1"/>
      <c r="LKM1" s="1"/>
      <c r="LKN1" s="1"/>
      <c r="LKO1" s="1"/>
      <c r="LKP1" s="1"/>
      <c r="LKQ1" s="1"/>
      <c r="LKR1" s="1"/>
      <c r="LKS1" s="1"/>
      <c r="LKT1" s="1"/>
      <c r="LKU1" s="1"/>
      <c r="LKV1" s="1"/>
      <c r="LKW1" s="1"/>
      <c r="LKX1" s="1"/>
      <c r="LKY1" s="1"/>
      <c r="LKZ1" s="1"/>
      <c r="LLA1" s="1"/>
      <c r="LLB1" s="1"/>
      <c r="LLC1" s="1"/>
      <c r="LLD1" s="1"/>
      <c r="LLE1" s="1"/>
      <c r="LLF1" s="1"/>
      <c r="LLG1" s="1"/>
      <c r="LLH1" s="1"/>
      <c r="LLI1" s="1"/>
      <c r="LLJ1" s="1"/>
      <c r="LLK1" s="1"/>
      <c r="LLL1" s="1"/>
      <c r="LLM1" s="1"/>
      <c r="LLN1" s="1"/>
      <c r="LLO1" s="1"/>
      <c r="LLP1" s="1"/>
      <c r="LLQ1" s="1"/>
      <c r="LLR1" s="1"/>
      <c r="LLS1" s="1"/>
      <c r="LLT1" s="1"/>
      <c r="LLU1" s="1"/>
      <c r="LLV1" s="1"/>
      <c r="LLW1" s="1"/>
      <c r="LLX1" s="1"/>
      <c r="LLY1" s="1"/>
      <c r="LLZ1" s="1"/>
      <c r="LMA1" s="1"/>
      <c r="LMB1" s="1"/>
      <c r="LMC1" s="1"/>
      <c r="LMD1" s="1"/>
      <c r="LME1" s="1"/>
      <c r="LMF1" s="1"/>
      <c r="LMG1" s="1"/>
      <c r="LMH1" s="1"/>
      <c r="LMI1" s="1"/>
      <c r="LMJ1" s="1"/>
      <c r="LMK1" s="1"/>
      <c r="LML1" s="1"/>
      <c r="LMM1" s="1"/>
      <c r="LMN1" s="1"/>
      <c r="LMO1" s="1"/>
      <c r="LMP1" s="1"/>
      <c r="LMQ1" s="1"/>
      <c r="LMR1" s="1"/>
      <c r="LMS1" s="1"/>
      <c r="LMT1" s="1"/>
      <c r="LMU1" s="1"/>
      <c r="LMV1" s="1"/>
      <c r="LMW1" s="1"/>
      <c r="LMX1" s="1"/>
      <c r="LMY1" s="1"/>
      <c r="LMZ1" s="1"/>
      <c r="LNA1" s="1"/>
      <c r="LNB1" s="1"/>
      <c r="LNC1" s="1"/>
      <c r="LND1" s="1"/>
      <c r="LNE1" s="1"/>
      <c r="LNF1" s="1"/>
      <c r="LNG1" s="1"/>
      <c r="LNH1" s="1"/>
      <c r="LNI1" s="1"/>
      <c r="LNJ1" s="1"/>
      <c r="LNK1" s="1"/>
      <c r="LNL1" s="1"/>
      <c r="LNM1" s="1"/>
      <c r="LNN1" s="1"/>
      <c r="LNO1" s="1"/>
      <c r="LNP1" s="1"/>
      <c r="LNQ1" s="1"/>
      <c r="LNR1" s="1"/>
      <c r="LNS1" s="1"/>
      <c r="LNT1" s="1"/>
      <c r="LNU1" s="1"/>
      <c r="LNV1" s="1"/>
      <c r="LNW1" s="1"/>
      <c r="LNX1" s="1"/>
      <c r="LNY1" s="1"/>
      <c r="LNZ1" s="1"/>
      <c r="LOA1" s="1"/>
      <c r="LOB1" s="1"/>
      <c r="LOC1" s="1"/>
      <c r="LOD1" s="1"/>
      <c r="LOE1" s="1"/>
      <c r="LOF1" s="1"/>
      <c r="LOG1" s="1"/>
      <c r="LOH1" s="1"/>
      <c r="LOI1" s="1"/>
      <c r="LOJ1" s="1"/>
      <c r="LOK1" s="1"/>
      <c r="LOL1" s="1"/>
      <c r="LOM1" s="1"/>
      <c r="LON1" s="1"/>
      <c r="LOO1" s="1"/>
      <c r="LOP1" s="1"/>
      <c r="LOQ1" s="1"/>
      <c r="LOR1" s="1"/>
      <c r="LOS1" s="1"/>
      <c r="LOT1" s="1"/>
      <c r="LOU1" s="1"/>
      <c r="LOV1" s="1"/>
      <c r="LOW1" s="1"/>
      <c r="LOX1" s="1"/>
      <c r="LOY1" s="1"/>
      <c r="LOZ1" s="1"/>
      <c r="LPA1" s="1"/>
      <c r="LPB1" s="1"/>
      <c r="LPC1" s="1"/>
      <c r="LPD1" s="1"/>
      <c r="LPE1" s="1"/>
      <c r="LPF1" s="1"/>
      <c r="LPG1" s="1"/>
      <c r="LPH1" s="1"/>
      <c r="LPI1" s="1"/>
      <c r="LPJ1" s="1"/>
      <c r="LPK1" s="1"/>
      <c r="LPL1" s="1"/>
      <c r="LPM1" s="1"/>
      <c r="LPN1" s="1"/>
      <c r="LPO1" s="1"/>
      <c r="LPP1" s="1"/>
      <c r="LPQ1" s="1"/>
      <c r="LPR1" s="1"/>
      <c r="LPS1" s="1"/>
      <c r="LPT1" s="1"/>
      <c r="LPU1" s="1"/>
      <c r="LPV1" s="1"/>
      <c r="LPW1" s="1"/>
      <c r="LPX1" s="1"/>
      <c r="LPY1" s="1"/>
      <c r="LPZ1" s="1"/>
      <c r="LQA1" s="1"/>
      <c r="LQB1" s="1"/>
      <c r="LQC1" s="1"/>
      <c r="LQD1" s="1"/>
      <c r="LQE1" s="1"/>
      <c r="LQF1" s="1"/>
      <c r="LQG1" s="1"/>
      <c r="LQH1" s="1"/>
      <c r="LQI1" s="1"/>
      <c r="LQJ1" s="1"/>
      <c r="LQK1" s="1"/>
      <c r="LQL1" s="1"/>
      <c r="LQM1" s="1"/>
      <c r="LQN1" s="1"/>
      <c r="LQO1" s="1"/>
      <c r="LQP1" s="1"/>
      <c r="LQQ1" s="1"/>
      <c r="LQR1" s="1"/>
      <c r="LQS1" s="1"/>
      <c r="LQT1" s="1"/>
      <c r="LQU1" s="1"/>
      <c r="LQV1" s="1"/>
      <c r="LQW1" s="1"/>
      <c r="LQX1" s="1"/>
      <c r="LQY1" s="1"/>
      <c r="LQZ1" s="1"/>
      <c r="LRA1" s="1"/>
      <c r="LRB1" s="1"/>
      <c r="LRC1" s="1"/>
      <c r="LRD1" s="1"/>
      <c r="LRE1" s="1"/>
      <c r="LRF1" s="1"/>
      <c r="LRG1" s="1"/>
      <c r="LRH1" s="1"/>
      <c r="LRI1" s="1"/>
      <c r="LRJ1" s="1"/>
      <c r="LRK1" s="1"/>
      <c r="LRL1" s="1"/>
      <c r="LRM1" s="1"/>
      <c r="LRN1" s="1"/>
      <c r="LRO1" s="1"/>
      <c r="LRP1" s="1"/>
      <c r="LRQ1" s="1"/>
      <c r="LRR1" s="1"/>
      <c r="LRS1" s="1"/>
      <c r="LRT1" s="1"/>
      <c r="LRU1" s="1"/>
      <c r="LRV1" s="1"/>
      <c r="LRW1" s="1"/>
      <c r="LRX1" s="1"/>
      <c r="LRY1" s="1"/>
      <c r="LRZ1" s="1"/>
      <c r="LSA1" s="1"/>
      <c r="LSB1" s="1"/>
      <c r="LSC1" s="1"/>
      <c r="LSD1" s="1"/>
      <c r="LSE1" s="1"/>
      <c r="LSF1" s="1"/>
      <c r="LSG1" s="1"/>
      <c r="LSH1" s="1"/>
      <c r="LSI1" s="1"/>
      <c r="LSJ1" s="1"/>
      <c r="LSK1" s="1"/>
      <c r="LSL1" s="1"/>
      <c r="LSM1" s="1"/>
      <c r="LSN1" s="1"/>
      <c r="LSO1" s="1"/>
      <c r="LSP1" s="1"/>
      <c r="LSQ1" s="1"/>
      <c r="LSR1" s="1"/>
      <c r="LSS1" s="1"/>
      <c r="LST1" s="1"/>
      <c r="LSU1" s="1"/>
      <c r="LSV1" s="1"/>
      <c r="LSW1" s="1"/>
      <c r="LSX1" s="1"/>
      <c r="LSY1" s="1"/>
      <c r="LSZ1" s="1"/>
      <c r="LTA1" s="1"/>
      <c r="LTB1" s="1"/>
      <c r="LTC1" s="1"/>
      <c r="LTD1" s="1"/>
      <c r="LTE1" s="1"/>
      <c r="LTF1" s="1"/>
      <c r="LTG1" s="1"/>
      <c r="LTH1" s="1"/>
      <c r="LTI1" s="1"/>
      <c r="LTJ1" s="1"/>
      <c r="LTK1" s="1"/>
      <c r="LTL1" s="1"/>
      <c r="LTM1" s="1"/>
      <c r="LTN1" s="1"/>
      <c r="LTO1" s="1"/>
      <c r="LTP1" s="1"/>
      <c r="LTQ1" s="1"/>
      <c r="LTR1" s="1"/>
      <c r="LTS1" s="1"/>
      <c r="LTT1" s="1"/>
      <c r="LTU1" s="1"/>
      <c r="LTV1" s="1"/>
      <c r="LTW1" s="1"/>
      <c r="LTX1" s="1"/>
      <c r="LTY1" s="1"/>
      <c r="LTZ1" s="1"/>
      <c r="LUA1" s="1"/>
      <c r="LUB1" s="1"/>
      <c r="LUC1" s="1"/>
      <c r="LUD1" s="1"/>
      <c r="LUE1" s="1"/>
      <c r="LUF1" s="1"/>
      <c r="LUG1" s="1"/>
      <c r="LUH1" s="1"/>
      <c r="LUI1" s="1"/>
      <c r="LUJ1" s="1"/>
      <c r="LUK1" s="1"/>
      <c r="LUL1" s="1"/>
      <c r="LUM1" s="1"/>
      <c r="LUN1" s="1"/>
      <c r="LUO1" s="1"/>
      <c r="LUP1" s="1"/>
      <c r="LUQ1" s="1"/>
      <c r="LUR1" s="1"/>
      <c r="LUS1" s="1"/>
      <c r="LUT1" s="1"/>
      <c r="LUU1" s="1"/>
      <c r="LUV1" s="1"/>
      <c r="LUW1" s="1"/>
      <c r="LUX1" s="1"/>
      <c r="LUY1" s="1"/>
      <c r="LUZ1" s="1"/>
      <c r="LVA1" s="1"/>
      <c r="LVB1" s="1"/>
      <c r="LVC1" s="1"/>
      <c r="LVD1" s="1"/>
      <c r="LVE1" s="1"/>
      <c r="LVF1" s="1"/>
      <c r="LVG1" s="1"/>
      <c r="LVH1" s="1"/>
      <c r="LVI1" s="1"/>
      <c r="LVJ1" s="1"/>
      <c r="LVK1" s="1"/>
      <c r="LVL1" s="1"/>
      <c r="LVM1" s="1"/>
      <c r="LVN1" s="1"/>
      <c r="LVO1" s="1"/>
      <c r="LVP1" s="1"/>
      <c r="LVQ1" s="1"/>
      <c r="LVR1" s="1"/>
      <c r="LVS1" s="1"/>
      <c r="LVT1" s="1"/>
      <c r="LVU1" s="1"/>
      <c r="LVV1" s="1"/>
      <c r="LVW1" s="1"/>
      <c r="LVX1" s="1"/>
      <c r="LVY1" s="1"/>
      <c r="LVZ1" s="1"/>
      <c r="LWA1" s="1"/>
      <c r="LWB1" s="1"/>
      <c r="LWC1" s="1"/>
      <c r="LWD1" s="1"/>
      <c r="LWE1" s="1"/>
      <c r="LWF1" s="1"/>
      <c r="LWG1" s="1"/>
      <c r="LWH1" s="1"/>
      <c r="LWI1" s="1"/>
      <c r="LWJ1" s="1"/>
      <c r="LWK1" s="1"/>
      <c r="LWL1" s="1"/>
      <c r="LWM1" s="1"/>
      <c r="LWN1" s="1"/>
      <c r="LWO1" s="1"/>
      <c r="LWP1" s="1"/>
      <c r="LWQ1" s="1"/>
      <c r="LWR1" s="1"/>
      <c r="LWS1" s="1"/>
      <c r="LWT1" s="1"/>
      <c r="LWU1" s="1"/>
      <c r="LWV1" s="1"/>
      <c r="LWW1" s="1"/>
      <c r="LWX1" s="1"/>
      <c r="LWY1" s="1"/>
      <c r="LWZ1" s="1"/>
      <c r="LXA1" s="1"/>
      <c r="LXB1" s="1"/>
      <c r="LXC1" s="1"/>
      <c r="LXD1" s="1"/>
      <c r="LXE1" s="1"/>
      <c r="LXF1" s="1"/>
      <c r="LXG1" s="1"/>
      <c r="LXH1" s="1"/>
      <c r="LXI1" s="1"/>
      <c r="LXJ1" s="1"/>
      <c r="LXK1" s="1"/>
      <c r="LXL1" s="1"/>
      <c r="LXM1" s="1"/>
      <c r="LXN1" s="1"/>
      <c r="LXO1" s="1"/>
      <c r="LXP1" s="1"/>
      <c r="LXQ1" s="1"/>
      <c r="LXR1" s="1"/>
      <c r="LXS1" s="1"/>
      <c r="LXT1" s="1"/>
      <c r="LXU1" s="1"/>
      <c r="LXV1" s="1"/>
      <c r="LXW1" s="1"/>
      <c r="LXX1" s="1"/>
      <c r="LXY1" s="1"/>
      <c r="LXZ1" s="1"/>
      <c r="LYA1" s="1"/>
      <c r="LYB1" s="1"/>
      <c r="LYC1" s="1"/>
      <c r="LYD1" s="1"/>
      <c r="LYE1" s="1"/>
      <c r="LYF1" s="1"/>
      <c r="LYG1" s="1"/>
      <c r="LYH1" s="1"/>
      <c r="LYI1" s="1"/>
      <c r="LYJ1" s="1"/>
      <c r="LYK1" s="1"/>
      <c r="LYL1" s="1"/>
      <c r="LYM1" s="1"/>
      <c r="LYN1" s="1"/>
      <c r="LYO1" s="1"/>
      <c r="LYP1" s="1"/>
      <c r="LYQ1" s="1"/>
      <c r="LYR1" s="1"/>
      <c r="LYS1" s="1"/>
      <c r="LYT1" s="1"/>
      <c r="LYU1" s="1"/>
      <c r="LYV1" s="1"/>
      <c r="LYW1" s="1"/>
      <c r="LYX1" s="1"/>
      <c r="LYY1" s="1"/>
      <c r="LYZ1" s="1"/>
      <c r="LZA1" s="1"/>
      <c r="LZB1" s="1"/>
      <c r="LZC1" s="1"/>
      <c r="LZD1" s="1"/>
      <c r="LZE1" s="1"/>
      <c r="LZF1" s="1"/>
      <c r="LZG1" s="1"/>
      <c r="LZH1" s="1"/>
      <c r="LZI1" s="1"/>
      <c r="LZJ1" s="1"/>
      <c r="LZK1" s="1"/>
      <c r="LZL1" s="1"/>
      <c r="LZM1" s="1"/>
      <c r="LZN1" s="1"/>
      <c r="LZO1" s="1"/>
      <c r="LZP1" s="1"/>
      <c r="LZQ1" s="1"/>
      <c r="LZR1" s="1"/>
      <c r="LZS1" s="1"/>
      <c r="LZT1" s="1"/>
      <c r="LZU1" s="1"/>
      <c r="LZV1" s="1"/>
      <c r="LZW1" s="1"/>
      <c r="LZX1" s="1"/>
      <c r="LZY1" s="1"/>
      <c r="LZZ1" s="1"/>
      <c r="MAA1" s="1"/>
      <c r="MAB1" s="1"/>
      <c r="MAC1" s="1"/>
      <c r="MAD1" s="1"/>
      <c r="MAE1" s="1"/>
      <c r="MAF1" s="1"/>
      <c r="MAG1" s="1"/>
      <c r="MAH1" s="1"/>
      <c r="MAI1" s="1"/>
      <c r="MAJ1" s="1"/>
      <c r="MAK1" s="1"/>
      <c r="MAL1" s="1"/>
      <c r="MAM1" s="1"/>
      <c r="MAN1" s="1"/>
      <c r="MAO1" s="1"/>
      <c r="MAP1" s="1"/>
      <c r="MAQ1" s="1"/>
      <c r="MAR1" s="1"/>
      <c r="MAS1" s="1"/>
      <c r="MAT1" s="1"/>
      <c r="MAU1" s="1"/>
      <c r="MAV1" s="1"/>
      <c r="MAW1" s="1"/>
      <c r="MAX1" s="1"/>
      <c r="MAY1" s="1"/>
      <c r="MAZ1" s="1"/>
      <c r="MBA1" s="1"/>
      <c r="MBB1" s="1"/>
      <c r="MBC1" s="1"/>
      <c r="MBD1" s="1"/>
      <c r="MBE1" s="1"/>
      <c r="MBF1" s="1"/>
      <c r="MBG1" s="1"/>
      <c r="MBH1" s="1"/>
      <c r="MBI1" s="1"/>
      <c r="MBJ1" s="1"/>
      <c r="MBK1" s="1"/>
      <c r="MBL1" s="1"/>
      <c r="MBM1" s="1"/>
      <c r="MBN1" s="1"/>
      <c r="MBO1" s="1"/>
      <c r="MBP1" s="1"/>
      <c r="MBQ1" s="1"/>
      <c r="MBR1" s="1"/>
      <c r="MBS1" s="1"/>
      <c r="MBT1" s="1"/>
      <c r="MBU1" s="1"/>
      <c r="MBV1" s="1"/>
      <c r="MBW1" s="1"/>
      <c r="MBX1" s="1"/>
      <c r="MBY1" s="1"/>
      <c r="MBZ1" s="1"/>
      <c r="MCA1" s="1"/>
      <c r="MCB1" s="1"/>
      <c r="MCC1" s="1"/>
      <c r="MCD1" s="1"/>
      <c r="MCE1" s="1"/>
      <c r="MCF1" s="1"/>
      <c r="MCG1" s="1"/>
      <c r="MCH1" s="1"/>
      <c r="MCI1" s="1"/>
      <c r="MCJ1" s="1"/>
      <c r="MCK1" s="1"/>
      <c r="MCL1" s="1"/>
      <c r="MCM1" s="1"/>
      <c r="MCN1" s="1"/>
      <c r="MCO1" s="1"/>
      <c r="MCP1" s="1"/>
      <c r="MCQ1" s="1"/>
      <c r="MCR1" s="1"/>
      <c r="MCS1" s="1"/>
      <c r="MCT1" s="1"/>
      <c r="MCU1" s="1"/>
      <c r="MCV1" s="1"/>
      <c r="MCW1" s="1"/>
      <c r="MCX1" s="1"/>
      <c r="MCY1" s="1"/>
      <c r="MCZ1" s="1"/>
      <c r="MDA1" s="1"/>
      <c r="MDB1" s="1"/>
      <c r="MDC1" s="1"/>
      <c r="MDD1" s="1"/>
      <c r="MDE1" s="1"/>
      <c r="MDF1" s="1"/>
      <c r="MDG1" s="1"/>
      <c r="MDH1" s="1"/>
      <c r="MDI1" s="1"/>
      <c r="MDJ1" s="1"/>
      <c r="MDK1" s="1"/>
      <c r="MDL1" s="1"/>
      <c r="MDM1" s="1"/>
      <c r="MDN1" s="1"/>
      <c r="MDO1" s="1"/>
      <c r="MDP1" s="1"/>
      <c r="MDQ1" s="1"/>
      <c r="MDR1" s="1"/>
      <c r="MDS1" s="1"/>
      <c r="MDT1" s="1"/>
      <c r="MDU1" s="1"/>
      <c r="MDV1" s="1"/>
      <c r="MDW1" s="1"/>
      <c r="MDX1" s="1"/>
      <c r="MDY1" s="1"/>
      <c r="MDZ1" s="1"/>
      <c r="MEA1" s="1"/>
      <c r="MEB1" s="1"/>
      <c r="MEC1" s="1"/>
      <c r="MED1" s="1"/>
      <c r="MEE1" s="1"/>
      <c r="MEF1" s="1"/>
      <c r="MEG1" s="1"/>
      <c r="MEH1" s="1"/>
      <c r="MEI1" s="1"/>
      <c r="MEJ1" s="1"/>
      <c r="MEK1" s="1"/>
      <c r="MEL1" s="1"/>
      <c r="MEM1" s="1"/>
      <c r="MEN1" s="1"/>
      <c r="MEO1" s="1"/>
      <c r="MEP1" s="1"/>
      <c r="MEQ1" s="1"/>
      <c r="MER1" s="1"/>
      <c r="MES1" s="1"/>
      <c r="MET1" s="1"/>
      <c r="MEU1" s="1"/>
      <c r="MEV1" s="1"/>
      <c r="MEW1" s="1"/>
      <c r="MEX1" s="1"/>
      <c r="MEY1" s="1"/>
      <c r="MEZ1" s="1"/>
      <c r="MFA1" s="1"/>
      <c r="MFB1" s="1"/>
      <c r="MFC1" s="1"/>
      <c r="MFD1" s="1"/>
      <c r="MFE1" s="1"/>
      <c r="MFF1" s="1"/>
      <c r="MFG1" s="1"/>
      <c r="MFH1" s="1"/>
      <c r="MFI1" s="1"/>
      <c r="MFJ1" s="1"/>
      <c r="MFK1" s="1"/>
      <c r="MFL1" s="1"/>
      <c r="MFM1" s="1"/>
      <c r="MFN1" s="1"/>
      <c r="MFO1" s="1"/>
      <c r="MFP1" s="1"/>
      <c r="MFQ1" s="1"/>
      <c r="MFR1" s="1"/>
      <c r="MFS1" s="1"/>
      <c r="MFT1" s="1"/>
      <c r="MFU1" s="1"/>
      <c r="MFV1" s="1"/>
      <c r="MFW1" s="1"/>
      <c r="MFX1" s="1"/>
      <c r="MFY1" s="1"/>
      <c r="MFZ1" s="1"/>
      <c r="MGA1" s="1"/>
      <c r="MGB1" s="1"/>
      <c r="MGC1" s="1"/>
      <c r="MGD1" s="1"/>
      <c r="MGE1" s="1"/>
      <c r="MGF1" s="1"/>
      <c r="MGG1" s="1"/>
      <c r="MGH1" s="1"/>
      <c r="MGI1" s="1"/>
      <c r="MGJ1" s="1"/>
      <c r="MGK1" s="1"/>
      <c r="MGL1" s="1"/>
      <c r="MGM1" s="1"/>
      <c r="MGN1" s="1"/>
      <c r="MGO1" s="1"/>
      <c r="MGP1" s="1"/>
      <c r="MGQ1" s="1"/>
      <c r="MGR1" s="1"/>
      <c r="MGS1" s="1"/>
      <c r="MGT1" s="1"/>
      <c r="MGU1" s="1"/>
      <c r="MGV1" s="1"/>
      <c r="MGW1" s="1"/>
      <c r="MGX1" s="1"/>
      <c r="MGY1" s="1"/>
      <c r="MGZ1" s="1"/>
      <c r="MHA1" s="1"/>
      <c r="MHB1" s="1"/>
      <c r="MHC1" s="1"/>
      <c r="MHD1" s="1"/>
      <c r="MHE1" s="1"/>
      <c r="MHF1" s="1"/>
      <c r="MHG1" s="1"/>
      <c r="MHH1" s="1"/>
      <c r="MHI1" s="1"/>
      <c r="MHJ1" s="1"/>
      <c r="MHK1" s="1"/>
      <c r="MHL1" s="1"/>
      <c r="MHM1" s="1"/>
      <c r="MHN1" s="1"/>
      <c r="MHO1" s="1"/>
      <c r="MHP1" s="1"/>
      <c r="MHQ1" s="1"/>
      <c r="MHR1" s="1"/>
      <c r="MHS1" s="1"/>
      <c r="MHT1" s="1"/>
      <c r="MHU1" s="1"/>
      <c r="MHV1" s="1"/>
      <c r="MHW1" s="1"/>
      <c r="MHX1" s="1"/>
      <c r="MHY1" s="1"/>
      <c r="MHZ1" s="1"/>
      <c r="MIA1" s="1"/>
      <c r="MIB1" s="1"/>
      <c r="MIC1" s="1"/>
      <c r="MID1" s="1"/>
      <c r="MIE1" s="1"/>
      <c r="MIF1" s="1"/>
      <c r="MIG1" s="1"/>
      <c r="MIH1" s="1"/>
      <c r="MII1" s="1"/>
      <c r="MIJ1" s="1"/>
      <c r="MIK1" s="1"/>
      <c r="MIL1" s="1"/>
      <c r="MIM1" s="1"/>
      <c r="MIN1" s="1"/>
      <c r="MIO1" s="1"/>
      <c r="MIP1" s="1"/>
      <c r="MIQ1" s="1"/>
      <c r="MIR1" s="1"/>
      <c r="MIS1" s="1"/>
      <c r="MIT1" s="1"/>
      <c r="MIU1" s="1"/>
      <c r="MIV1" s="1"/>
      <c r="MIW1" s="1"/>
      <c r="MIX1" s="1"/>
      <c r="MIY1" s="1"/>
      <c r="MIZ1" s="1"/>
      <c r="MJA1" s="1"/>
      <c r="MJB1" s="1"/>
      <c r="MJC1" s="1"/>
      <c r="MJD1" s="1"/>
      <c r="MJE1" s="1"/>
      <c r="MJF1" s="1"/>
      <c r="MJG1" s="1"/>
      <c r="MJH1" s="1"/>
      <c r="MJI1" s="1"/>
      <c r="MJJ1" s="1"/>
      <c r="MJK1" s="1"/>
      <c r="MJL1" s="1"/>
      <c r="MJM1" s="1"/>
      <c r="MJN1" s="1"/>
      <c r="MJO1" s="1"/>
      <c r="MJP1" s="1"/>
      <c r="MJQ1" s="1"/>
      <c r="MJR1" s="1"/>
      <c r="MJS1" s="1"/>
      <c r="MJT1" s="1"/>
      <c r="MJU1" s="1"/>
      <c r="MJV1" s="1"/>
      <c r="MJW1" s="1"/>
      <c r="MJX1" s="1"/>
      <c r="MJY1" s="1"/>
      <c r="MJZ1" s="1"/>
      <c r="MKA1" s="1"/>
      <c r="MKB1" s="1"/>
      <c r="MKC1" s="1"/>
      <c r="MKD1" s="1"/>
      <c r="MKE1" s="1"/>
      <c r="MKF1" s="1"/>
      <c r="MKG1" s="1"/>
      <c r="MKH1" s="1"/>
      <c r="MKI1" s="1"/>
      <c r="MKJ1" s="1"/>
      <c r="MKK1" s="1"/>
      <c r="MKL1" s="1"/>
      <c r="MKM1" s="1"/>
      <c r="MKN1" s="1"/>
      <c r="MKO1" s="1"/>
      <c r="MKP1" s="1"/>
      <c r="MKQ1" s="1"/>
      <c r="MKR1" s="1"/>
      <c r="MKS1" s="1"/>
      <c r="MKT1" s="1"/>
      <c r="MKU1" s="1"/>
      <c r="MKV1" s="1"/>
      <c r="MKW1" s="1"/>
      <c r="MKX1" s="1"/>
      <c r="MKY1" s="1"/>
      <c r="MKZ1" s="1"/>
      <c r="MLA1" s="1"/>
      <c r="MLB1" s="1"/>
      <c r="MLC1" s="1"/>
      <c r="MLD1" s="1"/>
      <c r="MLE1" s="1"/>
      <c r="MLF1" s="1"/>
      <c r="MLG1" s="1"/>
      <c r="MLH1" s="1"/>
      <c r="MLI1" s="1"/>
      <c r="MLJ1" s="1"/>
      <c r="MLK1" s="1"/>
      <c r="MLL1" s="1"/>
      <c r="MLM1" s="1"/>
      <c r="MLN1" s="1"/>
      <c r="MLO1" s="1"/>
      <c r="MLP1" s="1"/>
      <c r="MLQ1" s="1"/>
      <c r="MLR1" s="1"/>
      <c r="MLS1" s="1"/>
      <c r="MLT1" s="1"/>
      <c r="MLU1" s="1"/>
      <c r="MLV1" s="1"/>
      <c r="MLW1" s="1"/>
      <c r="MLX1" s="1"/>
      <c r="MLY1" s="1"/>
      <c r="MLZ1" s="1"/>
      <c r="MMA1" s="1"/>
      <c r="MMB1" s="1"/>
      <c r="MMC1" s="1"/>
      <c r="MMD1" s="1"/>
      <c r="MME1" s="1"/>
      <c r="MMF1" s="1"/>
      <c r="MMG1" s="1"/>
      <c r="MMH1" s="1"/>
      <c r="MMI1" s="1"/>
      <c r="MMJ1" s="1"/>
      <c r="MMK1" s="1"/>
      <c r="MML1" s="1"/>
      <c r="MMM1" s="1"/>
      <c r="MMN1" s="1"/>
      <c r="MMO1" s="1"/>
      <c r="MMP1" s="1"/>
      <c r="MMQ1" s="1"/>
      <c r="MMR1" s="1"/>
      <c r="MMS1" s="1"/>
      <c r="MMT1" s="1"/>
      <c r="MMU1" s="1"/>
      <c r="MMV1" s="1"/>
      <c r="MMW1" s="1"/>
      <c r="MMX1" s="1"/>
      <c r="MMY1" s="1"/>
      <c r="MMZ1" s="1"/>
      <c r="MNA1" s="1"/>
      <c r="MNB1" s="1"/>
      <c r="MNC1" s="1"/>
      <c r="MND1" s="1"/>
      <c r="MNE1" s="1"/>
      <c r="MNF1" s="1"/>
      <c r="MNG1" s="1"/>
      <c r="MNH1" s="1"/>
      <c r="MNI1" s="1"/>
      <c r="MNJ1" s="1"/>
      <c r="MNK1" s="1"/>
      <c r="MNL1" s="1"/>
      <c r="MNM1" s="1"/>
      <c r="MNN1" s="1"/>
      <c r="MNO1" s="1"/>
      <c r="MNP1" s="1"/>
      <c r="MNQ1" s="1"/>
      <c r="MNR1" s="1"/>
      <c r="MNS1" s="1"/>
      <c r="MNT1" s="1"/>
      <c r="MNU1" s="1"/>
      <c r="MNV1" s="1"/>
      <c r="MNW1" s="1"/>
      <c r="MNX1" s="1"/>
      <c r="MNY1" s="1"/>
      <c r="MNZ1" s="1"/>
      <c r="MOA1" s="1"/>
      <c r="MOB1" s="1"/>
      <c r="MOC1" s="1"/>
      <c r="MOD1" s="1"/>
      <c r="MOE1" s="1"/>
      <c r="MOF1" s="1"/>
      <c r="MOG1" s="1"/>
      <c r="MOH1" s="1"/>
      <c r="MOI1" s="1"/>
      <c r="MOJ1" s="1"/>
      <c r="MOK1" s="1"/>
      <c r="MOL1" s="1"/>
      <c r="MOM1" s="1"/>
      <c r="MON1" s="1"/>
      <c r="MOO1" s="1"/>
      <c r="MOP1" s="1"/>
      <c r="MOQ1" s="1"/>
      <c r="MOR1" s="1"/>
      <c r="MOS1" s="1"/>
      <c r="MOT1" s="1"/>
      <c r="MOU1" s="1"/>
      <c r="MOV1" s="1"/>
      <c r="MOW1" s="1"/>
      <c r="MOX1" s="1"/>
      <c r="MOY1" s="1"/>
      <c r="MOZ1" s="1"/>
      <c r="MPA1" s="1"/>
      <c r="MPB1" s="1"/>
      <c r="MPC1" s="1"/>
      <c r="MPD1" s="1"/>
      <c r="MPE1" s="1"/>
      <c r="MPF1" s="1"/>
      <c r="MPG1" s="1"/>
      <c r="MPH1" s="1"/>
      <c r="MPI1" s="1"/>
      <c r="MPJ1" s="1"/>
      <c r="MPK1" s="1"/>
      <c r="MPL1" s="1"/>
      <c r="MPM1" s="1"/>
      <c r="MPN1" s="1"/>
      <c r="MPO1" s="1"/>
      <c r="MPP1" s="1"/>
      <c r="MPQ1" s="1"/>
      <c r="MPR1" s="1"/>
      <c r="MPS1" s="1"/>
      <c r="MPT1" s="1"/>
      <c r="MPU1" s="1"/>
      <c r="MPV1" s="1"/>
      <c r="MPW1" s="1"/>
      <c r="MPX1" s="1"/>
      <c r="MPY1" s="1"/>
      <c r="MPZ1" s="1"/>
      <c r="MQA1" s="1"/>
      <c r="MQB1" s="1"/>
      <c r="MQC1" s="1"/>
      <c r="MQD1" s="1"/>
      <c r="MQE1" s="1"/>
      <c r="MQF1" s="1"/>
      <c r="MQG1" s="1"/>
      <c r="MQH1" s="1"/>
      <c r="MQI1" s="1"/>
      <c r="MQJ1" s="1"/>
      <c r="MQK1" s="1"/>
      <c r="MQL1" s="1"/>
      <c r="MQM1" s="1"/>
      <c r="MQN1" s="1"/>
      <c r="MQO1" s="1"/>
      <c r="MQP1" s="1"/>
      <c r="MQQ1" s="1"/>
      <c r="MQR1" s="1"/>
      <c r="MQS1" s="1"/>
      <c r="MQT1" s="1"/>
      <c r="MQU1" s="1"/>
      <c r="MQV1" s="1"/>
      <c r="MQW1" s="1"/>
      <c r="MQX1" s="1"/>
      <c r="MQY1" s="1"/>
      <c r="MQZ1" s="1"/>
      <c r="MRA1" s="1"/>
      <c r="MRB1" s="1"/>
      <c r="MRC1" s="1"/>
      <c r="MRD1" s="1"/>
      <c r="MRE1" s="1"/>
      <c r="MRF1" s="1"/>
      <c r="MRG1" s="1"/>
      <c r="MRH1" s="1"/>
      <c r="MRI1" s="1"/>
      <c r="MRJ1" s="1"/>
      <c r="MRK1" s="1"/>
      <c r="MRL1" s="1"/>
      <c r="MRM1" s="1"/>
      <c r="MRN1" s="1"/>
      <c r="MRO1" s="1"/>
      <c r="MRP1" s="1"/>
      <c r="MRQ1" s="1"/>
      <c r="MRR1" s="1"/>
      <c r="MRS1" s="1"/>
      <c r="MRT1" s="1"/>
      <c r="MRU1" s="1"/>
      <c r="MRV1" s="1"/>
      <c r="MRW1" s="1"/>
      <c r="MRX1" s="1"/>
      <c r="MRY1" s="1"/>
      <c r="MRZ1" s="1"/>
      <c r="MSA1" s="1"/>
      <c r="MSB1" s="1"/>
      <c r="MSC1" s="1"/>
      <c r="MSD1" s="1"/>
      <c r="MSE1" s="1"/>
      <c r="MSF1" s="1"/>
      <c r="MSG1" s="1"/>
      <c r="MSH1" s="1"/>
      <c r="MSI1" s="1"/>
      <c r="MSJ1" s="1"/>
      <c r="MSK1" s="1"/>
      <c r="MSL1" s="1"/>
      <c r="MSM1" s="1"/>
      <c r="MSN1" s="1"/>
      <c r="MSO1" s="1"/>
      <c r="MSP1" s="1"/>
      <c r="MSQ1" s="1"/>
      <c r="MSR1" s="1"/>
      <c r="MSS1" s="1"/>
      <c r="MST1" s="1"/>
      <c r="MSU1" s="1"/>
      <c r="MSV1" s="1"/>
      <c r="MSW1" s="1"/>
      <c r="MSX1" s="1"/>
      <c r="MSY1" s="1"/>
      <c r="MSZ1" s="1"/>
      <c r="MTA1" s="1"/>
      <c r="MTB1" s="1"/>
      <c r="MTC1" s="1"/>
      <c r="MTD1" s="1"/>
      <c r="MTE1" s="1"/>
      <c r="MTF1" s="1"/>
      <c r="MTG1" s="1"/>
      <c r="MTH1" s="1"/>
      <c r="MTI1" s="1"/>
      <c r="MTJ1" s="1"/>
      <c r="MTK1" s="1"/>
      <c r="MTL1" s="1"/>
      <c r="MTM1" s="1"/>
      <c r="MTN1" s="1"/>
      <c r="MTO1" s="1"/>
      <c r="MTP1" s="1"/>
      <c r="MTQ1" s="1"/>
      <c r="MTR1" s="1"/>
      <c r="MTS1" s="1"/>
      <c r="MTT1" s="1"/>
      <c r="MTU1" s="1"/>
      <c r="MTV1" s="1"/>
      <c r="MTW1" s="1"/>
      <c r="MTX1" s="1"/>
      <c r="MTY1" s="1"/>
      <c r="MTZ1" s="1"/>
      <c r="MUA1" s="1"/>
      <c r="MUB1" s="1"/>
      <c r="MUC1" s="1"/>
      <c r="MUD1" s="1"/>
      <c r="MUE1" s="1"/>
      <c r="MUF1" s="1"/>
      <c r="MUG1" s="1"/>
      <c r="MUH1" s="1"/>
      <c r="MUI1" s="1"/>
      <c r="MUJ1" s="1"/>
      <c r="MUK1" s="1"/>
      <c r="MUL1" s="1"/>
      <c r="MUM1" s="1"/>
      <c r="MUN1" s="1"/>
      <c r="MUO1" s="1"/>
      <c r="MUP1" s="1"/>
      <c r="MUQ1" s="1"/>
      <c r="MUR1" s="1"/>
      <c r="MUS1" s="1"/>
      <c r="MUT1" s="1"/>
      <c r="MUU1" s="1"/>
      <c r="MUV1" s="1"/>
      <c r="MUW1" s="1"/>
      <c r="MUX1" s="1"/>
      <c r="MUY1" s="1"/>
      <c r="MUZ1" s="1"/>
      <c r="MVA1" s="1"/>
      <c r="MVB1" s="1"/>
      <c r="MVC1" s="1"/>
      <c r="MVD1" s="1"/>
      <c r="MVE1" s="1"/>
      <c r="MVF1" s="1"/>
      <c r="MVG1" s="1"/>
      <c r="MVH1" s="1"/>
      <c r="MVI1" s="1"/>
      <c r="MVJ1" s="1"/>
      <c r="MVK1" s="1"/>
      <c r="MVL1" s="1"/>
      <c r="MVM1" s="1"/>
      <c r="MVN1" s="1"/>
      <c r="MVO1" s="1"/>
      <c r="MVP1" s="1"/>
      <c r="MVQ1" s="1"/>
      <c r="MVR1" s="1"/>
      <c r="MVS1" s="1"/>
      <c r="MVT1" s="1"/>
      <c r="MVU1" s="1"/>
      <c r="MVV1" s="1"/>
      <c r="MVW1" s="1"/>
      <c r="MVX1" s="1"/>
      <c r="MVY1" s="1"/>
      <c r="MVZ1" s="1"/>
      <c r="MWA1" s="1"/>
      <c r="MWB1" s="1"/>
      <c r="MWC1" s="1"/>
      <c r="MWD1" s="1"/>
      <c r="MWE1" s="1"/>
      <c r="MWF1" s="1"/>
      <c r="MWG1" s="1"/>
      <c r="MWH1" s="1"/>
      <c r="MWI1" s="1"/>
      <c r="MWJ1" s="1"/>
      <c r="MWK1" s="1"/>
      <c r="MWL1" s="1"/>
      <c r="MWM1" s="1"/>
      <c r="MWN1" s="1"/>
      <c r="MWO1" s="1"/>
      <c r="MWP1" s="1"/>
      <c r="MWQ1" s="1"/>
      <c r="MWR1" s="1"/>
      <c r="MWS1" s="1"/>
      <c r="MWT1" s="1"/>
      <c r="MWU1" s="1"/>
      <c r="MWV1" s="1"/>
      <c r="MWW1" s="1"/>
      <c r="MWX1" s="1"/>
      <c r="MWY1" s="1"/>
      <c r="MWZ1" s="1"/>
      <c r="MXA1" s="1"/>
      <c r="MXB1" s="1"/>
      <c r="MXC1" s="1"/>
      <c r="MXD1" s="1"/>
      <c r="MXE1" s="1"/>
      <c r="MXF1" s="1"/>
      <c r="MXG1" s="1"/>
      <c r="MXH1" s="1"/>
      <c r="MXI1" s="1"/>
      <c r="MXJ1" s="1"/>
      <c r="MXK1" s="1"/>
      <c r="MXL1" s="1"/>
      <c r="MXM1" s="1"/>
      <c r="MXN1" s="1"/>
      <c r="MXO1" s="1"/>
      <c r="MXP1" s="1"/>
      <c r="MXQ1" s="1"/>
      <c r="MXR1" s="1"/>
      <c r="MXS1" s="1"/>
      <c r="MXT1" s="1"/>
      <c r="MXU1" s="1"/>
      <c r="MXV1" s="1"/>
      <c r="MXW1" s="1"/>
      <c r="MXX1" s="1"/>
      <c r="MXY1" s="1"/>
      <c r="MXZ1" s="1"/>
      <c r="MYA1" s="1"/>
      <c r="MYB1" s="1"/>
      <c r="MYC1" s="1"/>
      <c r="MYD1" s="1"/>
      <c r="MYE1" s="1"/>
      <c r="MYF1" s="1"/>
      <c r="MYG1" s="1"/>
      <c r="MYH1" s="1"/>
      <c r="MYI1" s="1"/>
      <c r="MYJ1" s="1"/>
      <c r="MYK1" s="1"/>
      <c r="MYL1" s="1"/>
      <c r="MYM1" s="1"/>
      <c r="MYN1" s="1"/>
      <c r="MYO1" s="1"/>
      <c r="MYP1" s="1"/>
      <c r="MYQ1" s="1"/>
      <c r="MYR1" s="1"/>
      <c r="MYS1" s="1"/>
      <c r="MYT1" s="1"/>
      <c r="MYU1" s="1"/>
      <c r="MYV1" s="1"/>
      <c r="MYW1" s="1"/>
      <c r="MYX1" s="1"/>
      <c r="MYY1" s="1"/>
      <c r="MYZ1" s="1"/>
      <c r="MZA1" s="1"/>
      <c r="MZB1" s="1"/>
      <c r="MZC1" s="1"/>
      <c r="MZD1" s="1"/>
      <c r="MZE1" s="1"/>
      <c r="MZF1" s="1"/>
      <c r="MZG1" s="1"/>
      <c r="MZH1" s="1"/>
      <c r="MZI1" s="1"/>
      <c r="MZJ1" s="1"/>
      <c r="MZK1" s="1"/>
      <c r="MZL1" s="1"/>
      <c r="MZM1" s="1"/>
      <c r="MZN1" s="1"/>
      <c r="MZO1" s="1"/>
      <c r="MZP1" s="1"/>
      <c r="MZQ1" s="1"/>
      <c r="MZR1" s="1"/>
      <c r="MZS1" s="1"/>
      <c r="MZT1" s="1"/>
      <c r="MZU1" s="1"/>
      <c r="MZV1" s="1"/>
      <c r="MZW1" s="1"/>
      <c r="MZX1" s="1"/>
      <c r="MZY1" s="1"/>
      <c r="MZZ1" s="1"/>
      <c r="NAA1" s="1"/>
      <c r="NAB1" s="1"/>
      <c r="NAC1" s="1"/>
      <c r="NAD1" s="1"/>
      <c r="NAE1" s="1"/>
      <c r="NAF1" s="1"/>
      <c r="NAG1" s="1"/>
      <c r="NAH1" s="1"/>
      <c r="NAI1" s="1"/>
      <c r="NAJ1" s="1"/>
      <c r="NAK1" s="1"/>
      <c r="NAL1" s="1"/>
      <c r="NAM1" s="1"/>
      <c r="NAN1" s="1"/>
      <c r="NAO1" s="1"/>
      <c r="NAP1" s="1"/>
      <c r="NAQ1" s="1"/>
      <c r="NAR1" s="1"/>
      <c r="NAS1" s="1"/>
      <c r="NAT1" s="1"/>
      <c r="NAU1" s="1"/>
      <c r="NAV1" s="1"/>
      <c r="NAW1" s="1"/>
      <c r="NAX1" s="1"/>
      <c r="NAY1" s="1"/>
      <c r="NAZ1" s="1"/>
      <c r="NBA1" s="1"/>
      <c r="NBB1" s="1"/>
      <c r="NBC1" s="1"/>
      <c r="NBD1" s="1"/>
      <c r="NBE1" s="1"/>
      <c r="NBF1" s="1"/>
      <c r="NBG1" s="1"/>
      <c r="NBH1" s="1"/>
      <c r="NBI1" s="1"/>
      <c r="NBJ1" s="1"/>
      <c r="NBK1" s="1"/>
      <c r="NBL1" s="1"/>
      <c r="NBM1" s="1"/>
      <c r="NBN1" s="1"/>
      <c r="NBO1" s="1"/>
      <c r="NBP1" s="1"/>
      <c r="NBQ1" s="1"/>
      <c r="NBR1" s="1"/>
      <c r="NBS1" s="1"/>
      <c r="NBT1" s="1"/>
      <c r="NBU1" s="1"/>
      <c r="NBV1" s="1"/>
      <c r="NBW1" s="1"/>
      <c r="NBX1" s="1"/>
      <c r="NBY1" s="1"/>
      <c r="NBZ1" s="1"/>
      <c r="NCA1" s="1"/>
      <c r="NCB1" s="1"/>
      <c r="NCC1" s="1"/>
      <c r="NCD1" s="1"/>
      <c r="NCE1" s="1"/>
      <c r="NCF1" s="1"/>
      <c r="NCG1" s="1"/>
      <c r="NCH1" s="1"/>
      <c r="NCI1" s="1"/>
      <c r="NCJ1" s="1"/>
      <c r="NCK1" s="1"/>
      <c r="NCL1" s="1"/>
      <c r="NCM1" s="1"/>
      <c r="NCN1" s="1"/>
      <c r="NCO1" s="1"/>
      <c r="NCP1" s="1"/>
      <c r="NCQ1" s="1"/>
      <c r="NCR1" s="1"/>
      <c r="NCS1" s="1"/>
      <c r="NCT1" s="1"/>
      <c r="NCU1" s="1"/>
      <c r="NCV1" s="1"/>
      <c r="NCW1" s="1"/>
      <c r="NCX1" s="1"/>
      <c r="NCY1" s="1"/>
      <c r="NCZ1" s="1"/>
      <c r="NDA1" s="1"/>
      <c r="NDB1" s="1"/>
      <c r="NDC1" s="1"/>
      <c r="NDD1" s="1"/>
      <c r="NDE1" s="1"/>
      <c r="NDF1" s="1"/>
      <c r="NDG1" s="1"/>
      <c r="NDH1" s="1"/>
      <c r="NDI1" s="1"/>
      <c r="NDJ1" s="1"/>
      <c r="NDK1" s="1"/>
      <c r="NDL1" s="1"/>
      <c r="NDM1" s="1"/>
      <c r="NDN1" s="1"/>
      <c r="NDO1" s="1"/>
      <c r="NDP1" s="1"/>
      <c r="NDQ1" s="1"/>
      <c r="NDR1" s="1"/>
      <c r="NDS1" s="1"/>
      <c r="NDT1" s="1"/>
      <c r="NDU1" s="1"/>
      <c r="NDV1" s="1"/>
      <c r="NDW1" s="1"/>
      <c r="NDX1" s="1"/>
      <c r="NDY1" s="1"/>
      <c r="NDZ1" s="1"/>
      <c r="NEA1" s="1"/>
      <c r="NEB1" s="1"/>
      <c r="NEC1" s="1"/>
      <c r="NED1" s="1"/>
      <c r="NEE1" s="1"/>
      <c r="NEF1" s="1"/>
      <c r="NEG1" s="1"/>
      <c r="NEH1" s="1"/>
      <c r="NEI1" s="1"/>
      <c r="NEJ1" s="1"/>
      <c r="NEK1" s="1"/>
      <c r="NEL1" s="1"/>
      <c r="NEM1" s="1"/>
      <c r="NEN1" s="1"/>
      <c r="NEO1" s="1"/>
      <c r="NEP1" s="1"/>
      <c r="NEQ1" s="1"/>
      <c r="NER1" s="1"/>
      <c r="NES1" s="1"/>
      <c r="NET1" s="1"/>
      <c r="NEU1" s="1"/>
      <c r="NEV1" s="1"/>
      <c r="NEW1" s="1"/>
      <c r="NEX1" s="1"/>
      <c r="NEY1" s="1"/>
      <c r="NEZ1" s="1"/>
      <c r="NFA1" s="1"/>
      <c r="NFB1" s="1"/>
      <c r="NFC1" s="1"/>
      <c r="NFD1" s="1"/>
      <c r="NFE1" s="1"/>
      <c r="NFF1" s="1"/>
      <c r="NFG1" s="1"/>
      <c r="NFH1" s="1"/>
      <c r="NFI1" s="1"/>
      <c r="NFJ1" s="1"/>
      <c r="NFK1" s="1"/>
      <c r="NFL1" s="1"/>
      <c r="NFM1" s="1"/>
      <c r="NFN1" s="1"/>
      <c r="NFO1" s="1"/>
      <c r="NFP1" s="1"/>
      <c r="NFQ1" s="1"/>
      <c r="NFR1" s="1"/>
      <c r="NFS1" s="1"/>
      <c r="NFT1" s="1"/>
      <c r="NFU1" s="1"/>
      <c r="NFV1" s="1"/>
      <c r="NFW1" s="1"/>
      <c r="NFX1" s="1"/>
      <c r="NFY1" s="1"/>
      <c r="NFZ1" s="1"/>
      <c r="NGA1" s="1"/>
      <c r="NGB1" s="1"/>
      <c r="NGC1" s="1"/>
      <c r="NGD1" s="1"/>
      <c r="NGE1" s="1"/>
      <c r="NGF1" s="1"/>
      <c r="NGG1" s="1"/>
      <c r="NGH1" s="1"/>
      <c r="NGI1" s="1"/>
      <c r="NGJ1" s="1"/>
      <c r="NGK1" s="1"/>
      <c r="NGL1" s="1"/>
      <c r="NGM1" s="1"/>
      <c r="NGN1" s="1"/>
      <c r="NGO1" s="1"/>
      <c r="NGP1" s="1"/>
      <c r="NGQ1" s="1"/>
      <c r="NGR1" s="1"/>
      <c r="NGS1" s="1"/>
      <c r="NGT1" s="1"/>
      <c r="NGU1" s="1"/>
      <c r="NGV1" s="1"/>
      <c r="NGW1" s="1"/>
      <c r="NGX1" s="1"/>
      <c r="NGY1" s="1"/>
      <c r="NGZ1" s="1"/>
      <c r="NHA1" s="1"/>
      <c r="NHB1" s="1"/>
      <c r="NHC1" s="1"/>
      <c r="NHD1" s="1"/>
      <c r="NHE1" s="1"/>
      <c r="NHF1" s="1"/>
      <c r="NHG1" s="1"/>
      <c r="NHH1" s="1"/>
      <c r="NHI1" s="1"/>
      <c r="NHJ1" s="1"/>
      <c r="NHK1" s="1"/>
      <c r="NHL1" s="1"/>
      <c r="NHM1" s="1"/>
      <c r="NHN1" s="1"/>
      <c r="NHO1" s="1"/>
      <c r="NHP1" s="1"/>
      <c r="NHQ1" s="1"/>
      <c r="NHR1" s="1"/>
      <c r="NHS1" s="1"/>
      <c r="NHT1" s="1"/>
      <c r="NHU1" s="1"/>
      <c r="NHV1" s="1"/>
      <c r="NHW1" s="1"/>
      <c r="NHX1" s="1"/>
      <c r="NHY1" s="1"/>
      <c r="NHZ1" s="1"/>
      <c r="NIA1" s="1"/>
      <c r="NIB1" s="1"/>
      <c r="NIC1" s="1"/>
      <c r="NID1" s="1"/>
      <c r="NIE1" s="1"/>
      <c r="NIF1" s="1"/>
      <c r="NIG1" s="1"/>
      <c r="NIH1" s="1"/>
      <c r="NII1" s="1"/>
      <c r="NIJ1" s="1"/>
      <c r="NIK1" s="1"/>
      <c r="NIL1" s="1"/>
      <c r="NIM1" s="1"/>
      <c r="NIN1" s="1"/>
      <c r="NIO1" s="1"/>
      <c r="NIP1" s="1"/>
      <c r="NIQ1" s="1"/>
      <c r="NIR1" s="1"/>
      <c r="NIS1" s="1"/>
      <c r="NIT1" s="1"/>
      <c r="NIU1" s="1"/>
      <c r="NIV1" s="1"/>
      <c r="NIW1" s="1"/>
      <c r="NIX1" s="1"/>
      <c r="NIY1" s="1"/>
      <c r="NIZ1" s="1"/>
      <c r="NJA1" s="1"/>
      <c r="NJB1" s="1"/>
      <c r="NJC1" s="1"/>
      <c r="NJD1" s="1"/>
      <c r="NJE1" s="1"/>
      <c r="NJF1" s="1"/>
      <c r="NJG1" s="1"/>
      <c r="NJH1" s="1"/>
      <c r="NJI1" s="1"/>
      <c r="NJJ1" s="1"/>
      <c r="NJK1" s="1"/>
      <c r="NJL1" s="1"/>
      <c r="NJM1" s="1"/>
      <c r="NJN1" s="1"/>
      <c r="NJO1" s="1"/>
      <c r="NJP1" s="1"/>
      <c r="NJQ1" s="1"/>
      <c r="NJR1" s="1"/>
      <c r="NJS1" s="1"/>
      <c r="NJT1" s="1"/>
      <c r="NJU1" s="1"/>
      <c r="NJV1" s="1"/>
      <c r="NJW1" s="1"/>
      <c r="NJX1" s="1"/>
      <c r="NJY1" s="1"/>
      <c r="NJZ1" s="1"/>
      <c r="NKA1" s="1"/>
      <c r="NKB1" s="1"/>
      <c r="NKC1" s="1"/>
      <c r="NKD1" s="1"/>
      <c r="NKE1" s="1"/>
      <c r="NKF1" s="1"/>
      <c r="NKG1" s="1"/>
      <c r="NKH1" s="1"/>
      <c r="NKI1" s="1"/>
      <c r="NKJ1" s="1"/>
      <c r="NKK1" s="1"/>
      <c r="NKL1" s="1"/>
      <c r="NKM1" s="1"/>
      <c r="NKN1" s="1"/>
      <c r="NKO1" s="1"/>
      <c r="NKP1" s="1"/>
      <c r="NKQ1" s="1"/>
      <c r="NKR1" s="1"/>
      <c r="NKS1" s="1"/>
      <c r="NKT1" s="1"/>
      <c r="NKU1" s="1"/>
      <c r="NKV1" s="1"/>
      <c r="NKW1" s="1"/>
      <c r="NKX1" s="1"/>
      <c r="NKY1" s="1"/>
      <c r="NKZ1" s="1"/>
      <c r="NLA1" s="1"/>
      <c r="NLB1" s="1"/>
      <c r="NLC1" s="1"/>
      <c r="NLD1" s="1"/>
      <c r="NLE1" s="1"/>
      <c r="NLF1" s="1"/>
      <c r="NLG1" s="1"/>
      <c r="NLH1" s="1"/>
      <c r="NLI1" s="1"/>
      <c r="NLJ1" s="1"/>
      <c r="NLK1" s="1"/>
      <c r="NLL1" s="1"/>
      <c r="NLM1" s="1"/>
      <c r="NLN1" s="1"/>
      <c r="NLO1" s="1"/>
      <c r="NLP1" s="1"/>
      <c r="NLQ1" s="1"/>
      <c r="NLR1" s="1"/>
      <c r="NLS1" s="1"/>
      <c r="NLT1" s="1"/>
      <c r="NLU1" s="1"/>
      <c r="NLV1" s="1"/>
      <c r="NLW1" s="1"/>
      <c r="NLX1" s="1"/>
      <c r="NLY1" s="1"/>
      <c r="NLZ1" s="1"/>
      <c r="NMA1" s="1"/>
      <c r="NMB1" s="1"/>
      <c r="NMC1" s="1"/>
      <c r="NMD1" s="1"/>
      <c r="NME1" s="1"/>
      <c r="NMF1" s="1"/>
      <c r="NMG1" s="1"/>
      <c r="NMH1" s="1"/>
      <c r="NMI1" s="1"/>
      <c r="NMJ1" s="1"/>
      <c r="NMK1" s="1"/>
      <c r="NML1" s="1"/>
      <c r="NMM1" s="1"/>
      <c r="NMN1" s="1"/>
      <c r="NMO1" s="1"/>
      <c r="NMP1" s="1"/>
      <c r="NMQ1" s="1"/>
      <c r="NMR1" s="1"/>
      <c r="NMS1" s="1"/>
      <c r="NMT1" s="1"/>
      <c r="NMU1" s="1"/>
      <c r="NMV1" s="1"/>
      <c r="NMW1" s="1"/>
      <c r="NMX1" s="1"/>
      <c r="NMY1" s="1"/>
      <c r="NMZ1" s="1"/>
      <c r="NNA1" s="1"/>
      <c r="NNB1" s="1"/>
      <c r="NNC1" s="1"/>
      <c r="NND1" s="1"/>
      <c r="NNE1" s="1"/>
      <c r="NNF1" s="1"/>
      <c r="NNG1" s="1"/>
      <c r="NNH1" s="1"/>
      <c r="NNI1" s="1"/>
      <c r="NNJ1" s="1"/>
      <c r="NNK1" s="1"/>
      <c r="NNL1" s="1"/>
      <c r="NNM1" s="1"/>
      <c r="NNN1" s="1"/>
      <c r="NNO1" s="1"/>
      <c r="NNP1" s="1"/>
      <c r="NNQ1" s="1"/>
      <c r="NNR1" s="1"/>
      <c r="NNS1" s="1"/>
      <c r="NNT1" s="1"/>
      <c r="NNU1" s="1"/>
      <c r="NNV1" s="1"/>
      <c r="NNW1" s="1"/>
      <c r="NNX1" s="1"/>
      <c r="NNY1" s="1"/>
      <c r="NNZ1" s="1"/>
      <c r="NOA1" s="1"/>
      <c r="NOB1" s="1"/>
      <c r="NOC1" s="1"/>
      <c r="NOD1" s="1"/>
      <c r="NOE1" s="1"/>
      <c r="NOF1" s="1"/>
      <c r="NOG1" s="1"/>
      <c r="NOH1" s="1"/>
      <c r="NOI1" s="1"/>
      <c r="NOJ1" s="1"/>
      <c r="NOK1" s="1"/>
      <c r="NOL1" s="1"/>
      <c r="NOM1" s="1"/>
      <c r="NON1" s="1"/>
      <c r="NOO1" s="1"/>
      <c r="NOP1" s="1"/>
      <c r="NOQ1" s="1"/>
      <c r="NOR1" s="1"/>
      <c r="NOS1" s="1"/>
      <c r="NOT1" s="1"/>
      <c r="NOU1" s="1"/>
      <c r="NOV1" s="1"/>
      <c r="NOW1" s="1"/>
      <c r="NOX1" s="1"/>
      <c r="NOY1" s="1"/>
      <c r="NOZ1" s="1"/>
      <c r="NPA1" s="1"/>
      <c r="NPB1" s="1"/>
      <c r="NPC1" s="1"/>
      <c r="NPD1" s="1"/>
      <c r="NPE1" s="1"/>
      <c r="NPF1" s="1"/>
      <c r="NPG1" s="1"/>
      <c r="NPH1" s="1"/>
      <c r="NPI1" s="1"/>
      <c r="NPJ1" s="1"/>
      <c r="NPK1" s="1"/>
      <c r="NPL1" s="1"/>
      <c r="NPM1" s="1"/>
      <c r="NPN1" s="1"/>
      <c r="NPO1" s="1"/>
      <c r="NPP1" s="1"/>
      <c r="NPQ1" s="1"/>
      <c r="NPR1" s="1"/>
      <c r="NPS1" s="1"/>
      <c r="NPT1" s="1"/>
      <c r="NPU1" s="1"/>
      <c r="NPV1" s="1"/>
      <c r="NPW1" s="1"/>
      <c r="NPX1" s="1"/>
      <c r="NPY1" s="1"/>
      <c r="NPZ1" s="1"/>
      <c r="NQA1" s="1"/>
      <c r="NQB1" s="1"/>
      <c r="NQC1" s="1"/>
      <c r="NQD1" s="1"/>
      <c r="NQE1" s="1"/>
      <c r="NQF1" s="1"/>
      <c r="NQG1" s="1"/>
      <c r="NQH1" s="1"/>
      <c r="NQI1" s="1"/>
      <c r="NQJ1" s="1"/>
      <c r="NQK1" s="1"/>
      <c r="NQL1" s="1"/>
      <c r="NQM1" s="1"/>
      <c r="NQN1" s="1"/>
      <c r="NQO1" s="1"/>
      <c r="NQP1" s="1"/>
      <c r="NQQ1" s="1"/>
      <c r="NQR1" s="1"/>
      <c r="NQS1" s="1"/>
      <c r="NQT1" s="1"/>
      <c r="NQU1" s="1"/>
      <c r="NQV1" s="1"/>
      <c r="NQW1" s="1"/>
      <c r="NQX1" s="1"/>
      <c r="NQY1" s="1"/>
      <c r="NQZ1" s="1"/>
      <c r="NRA1" s="1"/>
      <c r="NRB1" s="1"/>
      <c r="NRC1" s="1"/>
      <c r="NRD1" s="1"/>
      <c r="NRE1" s="1"/>
      <c r="NRF1" s="1"/>
      <c r="NRG1" s="1"/>
      <c r="NRH1" s="1"/>
      <c r="NRI1" s="1"/>
      <c r="NRJ1" s="1"/>
      <c r="NRK1" s="1"/>
      <c r="NRL1" s="1"/>
      <c r="NRM1" s="1"/>
      <c r="NRN1" s="1"/>
      <c r="NRO1" s="1"/>
      <c r="NRP1" s="1"/>
      <c r="NRQ1" s="1"/>
      <c r="NRR1" s="1"/>
      <c r="NRS1" s="1"/>
      <c r="NRT1" s="1"/>
      <c r="NRU1" s="1"/>
      <c r="NRV1" s="1"/>
      <c r="NRW1" s="1"/>
      <c r="NRX1" s="1"/>
      <c r="NRY1" s="1"/>
      <c r="NRZ1" s="1"/>
      <c r="NSA1" s="1"/>
      <c r="NSB1" s="1"/>
      <c r="NSC1" s="1"/>
      <c r="NSD1" s="1"/>
      <c r="NSE1" s="1"/>
      <c r="NSF1" s="1"/>
      <c r="NSG1" s="1"/>
      <c r="NSH1" s="1"/>
      <c r="NSI1" s="1"/>
      <c r="NSJ1" s="1"/>
      <c r="NSK1" s="1"/>
      <c r="NSL1" s="1"/>
      <c r="NSM1" s="1"/>
      <c r="NSN1" s="1"/>
      <c r="NSO1" s="1"/>
      <c r="NSP1" s="1"/>
      <c r="NSQ1" s="1"/>
      <c r="NSR1" s="1"/>
      <c r="NSS1" s="1"/>
      <c r="NST1" s="1"/>
      <c r="NSU1" s="1"/>
      <c r="NSV1" s="1"/>
      <c r="NSW1" s="1"/>
      <c r="NSX1" s="1"/>
      <c r="NSY1" s="1"/>
      <c r="NSZ1" s="1"/>
      <c r="NTA1" s="1"/>
      <c r="NTB1" s="1"/>
      <c r="NTC1" s="1"/>
      <c r="NTD1" s="1"/>
      <c r="NTE1" s="1"/>
      <c r="NTF1" s="1"/>
      <c r="NTG1" s="1"/>
      <c r="NTH1" s="1"/>
      <c r="NTI1" s="1"/>
      <c r="NTJ1" s="1"/>
      <c r="NTK1" s="1"/>
      <c r="NTL1" s="1"/>
      <c r="NTM1" s="1"/>
      <c r="NTN1" s="1"/>
      <c r="NTO1" s="1"/>
      <c r="NTP1" s="1"/>
      <c r="NTQ1" s="1"/>
      <c r="NTR1" s="1"/>
      <c r="NTS1" s="1"/>
      <c r="NTT1" s="1"/>
      <c r="NTU1" s="1"/>
      <c r="NTV1" s="1"/>
      <c r="NTW1" s="1"/>
      <c r="NTX1" s="1"/>
      <c r="NTY1" s="1"/>
      <c r="NTZ1" s="1"/>
      <c r="NUA1" s="1"/>
      <c r="NUB1" s="1"/>
      <c r="NUC1" s="1"/>
      <c r="NUD1" s="1"/>
      <c r="NUE1" s="1"/>
      <c r="NUF1" s="1"/>
      <c r="NUG1" s="1"/>
      <c r="NUH1" s="1"/>
      <c r="NUI1" s="1"/>
      <c r="NUJ1" s="1"/>
      <c r="NUK1" s="1"/>
      <c r="NUL1" s="1"/>
      <c r="NUM1" s="1"/>
      <c r="NUN1" s="1"/>
      <c r="NUO1" s="1"/>
      <c r="NUP1" s="1"/>
      <c r="NUQ1" s="1"/>
      <c r="NUR1" s="1"/>
      <c r="NUS1" s="1"/>
      <c r="NUT1" s="1"/>
      <c r="NUU1" s="1"/>
      <c r="NUV1" s="1"/>
      <c r="NUW1" s="1"/>
      <c r="NUX1" s="1"/>
      <c r="NUY1" s="1"/>
      <c r="NUZ1" s="1"/>
      <c r="NVA1" s="1"/>
      <c r="NVB1" s="1"/>
      <c r="NVC1" s="1"/>
      <c r="NVD1" s="1"/>
      <c r="NVE1" s="1"/>
      <c r="NVF1" s="1"/>
      <c r="NVG1" s="1"/>
      <c r="NVH1" s="1"/>
      <c r="NVI1" s="1"/>
      <c r="NVJ1" s="1"/>
      <c r="NVK1" s="1"/>
      <c r="NVL1" s="1"/>
      <c r="NVM1" s="1"/>
      <c r="NVN1" s="1"/>
      <c r="NVO1" s="1"/>
      <c r="NVP1" s="1"/>
      <c r="NVQ1" s="1"/>
      <c r="NVR1" s="1"/>
      <c r="NVS1" s="1"/>
      <c r="NVT1" s="1"/>
      <c r="NVU1" s="1"/>
      <c r="NVV1" s="1"/>
      <c r="NVW1" s="1"/>
      <c r="NVX1" s="1"/>
      <c r="NVY1" s="1"/>
      <c r="NVZ1" s="1"/>
      <c r="NWA1" s="1"/>
      <c r="NWB1" s="1"/>
      <c r="NWC1" s="1"/>
      <c r="NWD1" s="1"/>
      <c r="NWE1" s="1"/>
      <c r="NWF1" s="1"/>
      <c r="NWG1" s="1"/>
      <c r="NWH1" s="1"/>
      <c r="NWI1" s="1"/>
      <c r="NWJ1" s="1"/>
      <c r="NWK1" s="1"/>
      <c r="NWL1" s="1"/>
      <c r="NWM1" s="1"/>
      <c r="NWN1" s="1"/>
      <c r="NWO1" s="1"/>
      <c r="NWP1" s="1"/>
      <c r="NWQ1" s="1"/>
      <c r="NWR1" s="1"/>
      <c r="NWS1" s="1"/>
      <c r="NWT1" s="1"/>
      <c r="NWU1" s="1"/>
      <c r="NWV1" s="1"/>
      <c r="NWW1" s="1"/>
      <c r="NWX1" s="1"/>
      <c r="NWY1" s="1"/>
      <c r="NWZ1" s="1"/>
      <c r="NXA1" s="1"/>
      <c r="NXB1" s="1"/>
      <c r="NXC1" s="1"/>
      <c r="NXD1" s="1"/>
      <c r="NXE1" s="1"/>
      <c r="NXF1" s="1"/>
      <c r="NXG1" s="1"/>
      <c r="NXH1" s="1"/>
      <c r="NXI1" s="1"/>
      <c r="NXJ1" s="1"/>
      <c r="NXK1" s="1"/>
      <c r="NXL1" s="1"/>
      <c r="NXM1" s="1"/>
      <c r="NXN1" s="1"/>
      <c r="NXO1" s="1"/>
      <c r="NXP1" s="1"/>
      <c r="NXQ1" s="1"/>
      <c r="NXR1" s="1"/>
      <c r="NXS1" s="1"/>
      <c r="NXT1" s="1"/>
      <c r="NXU1" s="1"/>
      <c r="NXV1" s="1"/>
      <c r="NXW1" s="1"/>
      <c r="NXX1" s="1"/>
      <c r="NXY1" s="1"/>
      <c r="NXZ1" s="1"/>
      <c r="NYA1" s="1"/>
      <c r="NYB1" s="1"/>
      <c r="NYC1" s="1"/>
      <c r="NYD1" s="1"/>
      <c r="NYE1" s="1"/>
      <c r="NYF1" s="1"/>
      <c r="NYG1" s="1"/>
      <c r="NYH1" s="1"/>
      <c r="NYI1" s="1"/>
      <c r="NYJ1" s="1"/>
      <c r="NYK1" s="1"/>
      <c r="NYL1" s="1"/>
      <c r="NYM1" s="1"/>
      <c r="NYN1" s="1"/>
      <c r="NYO1" s="1"/>
      <c r="NYP1" s="1"/>
      <c r="NYQ1" s="1"/>
      <c r="NYR1" s="1"/>
      <c r="NYS1" s="1"/>
      <c r="NYT1" s="1"/>
      <c r="NYU1" s="1"/>
      <c r="NYV1" s="1"/>
      <c r="NYW1" s="1"/>
      <c r="NYX1" s="1"/>
      <c r="NYY1" s="1"/>
      <c r="NYZ1" s="1"/>
      <c r="NZA1" s="1"/>
      <c r="NZB1" s="1"/>
      <c r="NZC1" s="1"/>
      <c r="NZD1" s="1"/>
      <c r="NZE1" s="1"/>
      <c r="NZF1" s="1"/>
      <c r="NZG1" s="1"/>
      <c r="NZH1" s="1"/>
      <c r="NZI1" s="1"/>
      <c r="NZJ1" s="1"/>
      <c r="NZK1" s="1"/>
      <c r="NZL1" s="1"/>
      <c r="NZM1" s="1"/>
      <c r="NZN1" s="1"/>
      <c r="NZO1" s="1"/>
      <c r="NZP1" s="1"/>
      <c r="NZQ1" s="1"/>
      <c r="NZR1" s="1"/>
      <c r="NZS1" s="1"/>
      <c r="NZT1" s="1"/>
      <c r="NZU1" s="1"/>
      <c r="NZV1" s="1"/>
      <c r="NZW1" s="1"/>
      <c r="NZX1" s="1"/>
      <c r="NZY1" s="1"/>
      <c r="NZZ1" s="1"/>
      <c r="OAA1" s="1"/>
      <c r="OAB1" s="1"/>
      <c r="OAC1" s="1"/>
      <c r="OAD1" s="1"/>
      <c r="OAE1" s="1"/>
      <c r="OAF1" s="1"/>
      <c r="OAG1" s="1"/>
      <c r="OAH1" s="1"/>
      <c r="OAI1" s="1"/>
      <c r="OAJ1" s="1"/>
      <c r="OAK1" s="1"/>
      <c r="OAL1" s="1"/>
      <c r="OAM1" s="1"/>
      <c r="OAN1" s="1"/>
      <c r="OAO1" s="1"/>
      <c r="OAP1" s="1"/>
      <c r="OAQ1" s="1"/>
      <c r="OAR1" s="1"/>
      <c r="OAS1" s="1"/>
      <c r="OAT1" s="1"/>
      <c r="OAU1" s="1"/>
      <c r="OAV1" s="1"/>
      <c r="OAW1" s="1"/>
      <c r="OAX1" s="1"/>
      <c r="OAY1" s="1"/>
      <c r="OAZ1" s="1"/>
      <c r="OBA1" s="1"/>
      <c r="OBB1" s="1"/>
      <c r="OBC1" s="1"/>
      <c r="OBD1" s="1"/>
      <c r="OBE1" s="1"/>
      <c r="OBF1" s="1"/>
      <c r="OBG1" s="1"/>
      <c r="OBH1" s="1"/>
      <c r="OBI1" s="1"/>
      <c r="OBJ1" s="1"/>
      <c r="OBK1" s="1"/>
      <c r="OBL1" s="1"/>
      <c r="OBM1" s="1"/>
      <c r="OBN1" s="1"/>
      <c r="OBO1" s="1"/>
      <c r="OBP1" s="1"/>
      <c r="OBQ1" s="1"/>
      <c r="OBR1" s="1"/>
      <c r="OBS1" s="1"/>
      <c r="OBT1" s="1"/>
      <c r="OBU1" s="1"/>
      <c r="OBV1" s="1"/>
      <c r="OBW1" s="1"/>
      <c r="OBX1" s="1"/>
      <c r="OBY1" s="1"/>
      <c r="OBZ1" s="1"/>
      <c r="OCA1" s="1"/>
      <c r="OCB1" s="1"/>
      <c r="OCC1" s="1"/>
      <c r="OCD1" s="1"/>
      <c r="OCE1" s="1"/>
      <c r="OCF1" s="1"/>
      <c r="OCG1" s="1"/>
      <c r="OCH1" s="1"/>
      <c r="OCI1" s="1"/>
      <c r="OCJ1" s="1"/>
      <c r="OCK1" s="1"/>
      <c r="OCL1" s="1"/>
      <c r="OCM1" s="1"/>
      <c r="OCN1" s="1"/>
      <c r="OCO1" s="1"/>
      <c r="OCP1" s="1"/>
      <c r="OCQ1" s="1"/>
      <c r="OCR1" s="1"/>
      <c r="OCS1" s="1"/>
      <c r="OCT1" s="1"/>
      <c r="OCU1" s="1"/>
      <c r="OCV1" s="1"/>
      <c r="OCW1" s="1"/>
      <c r="OCX1" s="1"/>
      <c r="OCY1" s="1"/>
      <c r="OCZ1" s="1"/>
      <c r="ODA1" s="1"/>
      <c r="ODB1" s="1"/>
      <c r="ODC1" s="1"/>
      <c r="ODD1" s="1"/>
      <c r="ODE1" s="1"/>
      <c r="ODF1" s="1"/>
      <c r="ODG1" s="1"/>
      <c r="ODH1" s="1"/>
      <c r="ODI1" s="1"/>
      <c r="ODJ1" s="1"/>
      <c r="ODK1" s="1"/>
      <c r="ODL1" s="1"/>
      <c r="ODM1" s="1"/>
      <c r="ODN1" s="1"/>
      <c r="ODO1" s="1"/>
      <c r="ODP1" s="1"/>
      <c r="ODQ1" s="1"/>
      <c r="ODR1" s="1"/>
      <c r="ODS1" s="1"/>
      <c r="ODT1" s="1"/>
      <c r="ODU1" s="1"/>
      <c r="ODV1" s="1"/>
      <c r="ODW1" s="1"/>
      <c r="ODX1" s="1"/>
      <c r="ODY1" s="1"/>
      <c r="ODZ1" s="1"/>
      <c r="OEA1" s="1"/>
      <c r="OEB1" s="1"/>
      <c r="OEC1" s="1"/>
      <c r="OED1" s="1"/>
      <c r="OEE1" s="1"/>
      <c r="OEF1" s="1"/>
      <c r="OEG1" s="1"/>
      <c r="OEH1" s="1"/>
      <c r="OEI1" s="1"/>
      <c r="OEJ1" s="1"/>
      <c r="OEK1" s="1"/>
      <c r="OEL1" s="1"/>
      <c r="OEM1" s="1"/>
      <c r="OEN1" s="1"/>
      <c r="OEO1" s="1"/>
      <c r="OEP1" s="1"/>
      <c r="OEQ1" s="1"/>
      <c r="OER1" s="1"/>
      <c r="OES1" s="1"/>
      <c r="OET1" s="1"/>
      <c r="OEU1" s="1"/>
      <c r="OEV1" s="1"/>
      <c r="OEW1" s="1"/>
      <c r="OEX1" s="1"/>
      <c r="OEY1" s="1"/>
      <c r="OEZ1" s="1"/>
      <c r="OFA1" s="1"/>
      <c r="OFB1" s="1"/>
      <c r="OFC1" s="1"/>
      <c r="OFD1" s="1"/>
      <c r="OFE1" s="1"/>
      <c r="OFF1" s="1"/>
      <c r="OFG1" s="1"/>
      <c r="OFH1" s="1"/>
      <c r="OFI1" s="1"/>
      <c r="OFJ1" s="1"/>
      <c r="OFK1" s="1"/>
      <c r="OFL1" s="1"/>
      <c r="OFM1" s="1"/>
      <c r="OFN1" s="1"/>
      <c r="OFO1" s="1"/>
      <c r="OFP1" s="1"/>
      <c r="OFQ1" s="1"/>
      <c r="OFR1" s="1"/>
      <c r="OFS1" s="1"/>
      <c r="OFT1" s="1"/>
      <c r="OFU1" s="1"/>
      <c r="OFV1" s="1"/>
      <c r="OFW1" s="1"/>
      <c r="OFX1" s="1"/>
      <c r="OFY1" s="1"/>
      <c r="OFZ1" s="1"/>
      <c r="OGA1" s="1"/>
      <c r="OGB1" s="1"/>
      <c r="OGC1" s="1"/>
      <c r="OGD1" s="1"/>
      <c r="OGE1" s="1"/>
      <c r="OGF1" s="1"/>
      <c r="OGG1" s="1"/>
      <c r="OGH1" s="1"/>
      <c r="OGI1" s="1"/>
      <c r="OGJ1" s="1"/>
      <c r="OGK1" s="1"/>
      <c r="OGL1" s="1"/>
      <c r="OGM1" s="1"/>
      <c r="OGN1" s="1"/>
      <c r="OGO1" s="1"/>
      <c r="OGP1" s="1"/>
      <c r="OGQ1" s="1"/>
      <c r="OGR1" s="1"/>
      <c r="OGS1" s="1"/>
      <c r="OGT1" s="1"/>
      <c r="OGU1" s="1"/>
      <c r="OGV1" s="1"/>
      <c r="OGW1" s="1"/>
      <c r="OGX1" s="1"/>
      <c r="OGY1" s="1"/>
      <c r="OGZ1" s="1"/>
      <c r="OHA1" s="1"/>
      <c r="OHB1" s="1"/>
      <c r="OHC1" s="1"/>
      <c r="OHD1" s="1"/>
      <c r="OHE1" s="1"/>
      <c r="OHF1" s="1"/>
      <c r="OHG1" s="1"/>
      <c r="OHH1" s="1"/>
      <c r="OHI1" s="1"/>
      <c r="OHJ1" s="1"/>
      <c r="OHK1" s="1"/>
      <c r="OHL1" s="1"/>
      <c r="OHM1" s="1"/>
      <c r="OHN1" s="1"/>
      <c r="OHO1" s="1"/>
      <c r="OHP1" s="1"/>
      <c r="OHQ1" s="1"/>
      <c r="OHR1" s="1"/>
      <c r="OHS1" s="1"/>
      <c r="OHT1" s="1"/>
      <c r="OHU1" s="1"/>
      <c r="OHV1" s="1"/>
      <c r="OHW1" s="1"/>
      <c r="OHX1" s="1"/>
      <c r="OHY1" s="1"/>
      <c r="OHZ1" s="1"/>
      <c r="OIA1" s="1"/>
      <c r="OIB1" s="1"/>
      <c r="OIC1" s="1"/>
      <c r="OID1" s="1"/>
      <c r="OIE1" s="1"/>
      <c r="OIF1" s="1"/>
      <c r="OIG1" s="1"/>
      <c r="OIH1" s="1"/>
      <c r="OII1" s="1"/>
      <c r="OIJ1" s="1"/>
      <c r="OIK1" s="1"/>
      <c r="OIL1" s="1"/>
      <c r="OIM1" s="1"/>
      <c r="OIN1" s="1"/>
      <c r="OIO1" s="1"/>
      <c r="OIP1" s="1"/>
      <c r="OIQ1" s="1"/>
      <c r="OIR1" s="1"/>
      <c r="OIS1" s="1"/>
      <c r="OIT1" s="1"/>
      <c r="OIU1" s="1"/>
      <c r="OIV1" s="1"/>
      <c r="OIW1" s="1"/>
      <c r="OIX1" s="1"/>
      <c r="OIY1" s="1"/>
      <c r="OIZ1" s="1"/>
      <c r="OJA1" s="1"/>
      <c r="OJB1" s="1"/>
      <c r="OJC1" s="1"/>
      <c r="OJD1" s="1"/>
      <c r="OJE1" s="1"/>
      <c r="OJF1" s="1"/>
      <c r="OJG1" s="1"/>
      <c r="OJH1" s="1"/>
      <c r="OJI1" s="1"/>
      <c r="OJJ1" s="1"/>
      <c r="OJK1" s="1"/>
      <c r="OJL1" s="1"/>
      <c r="OJM1" s="1"/>
      <c r="OJN1" s="1"/>
      <c r="OJO1" s="1"/>
      <c r="OJP1" s="1"/>
      <c r="OJQ1" s="1"/>
      <c r="OJR1" s="1"/>
      <c r="OJS1" s="1"/>
      <c r="OJT1" s="1"/>
      <c r="OJU1" s="1"/>
      <c r="OJV1" s="1"/>
      <c r="OJW1" s="1"/>
      <c r="OJX1" s="1"/>
      <c r="OJY1" s="1"/>
      <c r="OJZ1" s="1"/>
      <c r="OKA1" s="1"/>
      <c r="OKB1" s="1"/>
      <c r="OKC1" s="1"/>
      <c r="OKD1" s="1"/>
      <c r="OKE1" s="1"/>
      <c r="OKF1" s="1"/>
      <c r="OKG1" s="1"/>
      <c r="OKH1" s="1"/>
      <c r="OKI1" s="1"/>
      <c r="OKJ1" s="1"/>
      <c r="OKK1" s="1"/>
      <c r="OKL1" s="1"/>
      <c r="OKM1" s="1"/>
      <c r="OKN1" s="1"/>
      <c r="OKO1" s="1"/>
      <c r="OKP1" s="1"/>
      <c r="OKQ1" s="1"/>
      <c r="OKR1" s="1"/>
      <c r="OKS1" s="1"/>
      <c r="OKT1" s="1"/>
      <c r="OKU1" s="1"/>
      <c r="OKV1" s="1"/>
      <c r="OKW1" s="1"/>
      <c r="OKX1" s="1"/>
      <c r="OKY1" s="1"/>
      <c r="OKZ1" s="1"/>
      <c r="OLA1" s="1"/>
      <c r="OLB1" s="1"/>
      <c r="OLC1" s="1"/>
      <c r="OLD1" s="1"/>
      <c r="OLE1" s="1"/>
      <c r="OLF1" s="1"/>
      <c r="OLG1" s="1"/>
      <c r="OLH1" s="1"/>
      <c r="OLI1" s="1"/>
      <c r="OLJ1" s="1"/>
      <c r="OLK1" s="1"/>
      <c r="OLL1" s="1"/>
      <c r="OLM1" s="1"/>
      <c r="OLN1" s="1"/>
      <c r="OLO1" s="1"/>
      <c r="OLP1" s="1"/>
      <c r="OLQ1" s="1"/>
      <c r="OLR1" s="1"/>
      <c r="OLS1" s="1"/>
      <c r="OLT1" s="1"/>
      <c r="OLU1" s="1"/>
      <c r="OLV1" s="1"/>
      <c r="OLW1" s="1"/>
      <c r="OLX1" s="1"/>
      <c r="OLY1" s="1"/>
      <c r="OLZ1" s="1"/>
      <c r="OMA1" s="1"/>
      <c r="OMB1" s="1"/>
      <c r="OMC1" s="1"/>
      <c r="OMD1" s="1"/>
      <c r="OME1" s="1"/>
      <c r="OMF1" s="1"/>
      <c r="OMG1" s="1"/>
      <c r="OMH1" s="1"/>
      <c r="OMI1" s="1"/>
      <c r="OMJ1" s="1"/>
      <c r="OMK1" s="1"/>
      <c r="OML1" s="1"/>
      <c r="OMM1" s="1"/>
      <c r="OMN1" s="1"/>
      <c r="OMO1" s="1"/>
      <c r="OMP1" s="1"/>
      <c r="OMQ1" s="1"/>
      <c r="OMR1" s="1"/>
      <c r="OMS1" s="1"/>
      <c r="OMT1" s="1"/>
      <c r="OMU1" s="1"/>
      <c r="OMV1" s="1"/>
      <c r="OMW1" s="1"/>
      <c r="OMX1" s="1"/>
      <c r="OMY1" s="1"/>
      <c r="OMZ1" s="1"/>
      <c r="ONA1" s="1"/>
      <c r="ONB1" s="1"/>
      <c r="ONC1" s="1"/>
      <c r="OND1" s="1"/>
      <c r="ONE1" s="1"/>
      <c r="ONF1" s="1"/>
      <c r="ONG1" s="1"/>
      <c r="ONH1" s="1"/>
      <c r="ONI1" s="1"/>
      <c r="ONJ1" s="1"/>
      <c r="ONK1" s="1"/>
      <c r="ONL1" s="1"/>
      <c r="ONM1" s="1"/>
      <c r="ONN1" s="1"/>
      <c r="ONO1" s="1"/>
      <c r="ONP1" s="1"/>
      <c r="ONQ1" s="1"/>
      <c r="ONR1" s="1"/>
      <c r="ONS1" s="1"/>
      <c r="ONT1" s="1"/>
      <c r="ONU1" s="1"/>
      <c r="ONV1" s="1"/>
      <c r="ONW1" s="1"/>
      <c r="ONX1" s="1"/>
      <c r="ONY1" s="1"/>
      <c r="ONZ1" s="1"/>
      <c r="OOA1" s="1"/>
      <c r="OOB1" s="1"/>
      <c r="OOC1" s="1"/>
      <c r="OOD1" s="1"/>
      <c r="OOE1" s="1"/>
      <c r="OOF1" s="1"/>
      <c r="OOG1" s="1"/>
      <c r="OOH1" s="1"/>
      <c r="OOI1" s="1"/>
      <c r="OOJ1" s="1"/>
      <c r="OOK1" s="1"/>
      <c r="OOL1" s="1"/>
      <c r="OOM1" s="1"/>
      <c r="OON1" s="1"/>
      <c r="OOO1" s="1"/>
      <c r="OOP1" s="1"/>
      <c r="OOQ1" s="1"/>
      <c r="OOR1" s="1"/>
      <c r="OOS1" s="1"/>
      <c r="OOT1" s="1"/>
      <c r="OOU1" s="1"/>
      <c r="OOV1" s="1"/>
      <c r="OOW1" s="1"/>
      <c r="OOX1" s="1"/>
      <c r="OOY1" s="1"/>
      <c r="OOZ1" s="1"/>
      <c r="OPA1" s="1"/>
      <c r="OPB1" s="1"/>
      <c r="OPC1" s="1"/>
      <c r="OPD1" s="1"/>
      <c r="OPE1" s="1"/>
      <c r="OPF1" s="1"/>
      <c r="OPG1" s="1"/>
      <c r="OPH1" s="1"/>
      <c r="OPI1" s="1"/>
      <c r="OPJ1" s="1"/>
      <c r="OPK1" s="1"/>
      <c r="OPL1" s="1"/>
      <c r="OPM1" s="1"/>
      <c r="OPN1" s="1"/>
      <c r="OPO1" s="1"/>
      <c r="OPP1" s="1"/>
      <c r="OPQ1" s="1"/>
      <c r="OPR1" s="1"/>
      <c r="OPS1" s="1"/>
      <c r="OPT1" s="1"/>
      <c r="OPU1" s="1"/>
      <c r="OPV1" s="1"/>
      <c r="OPW1" s="1"/>
      <c r="OPX1" s="1"/>
      <c r="OPY1" s="1"/>
      <c r="OPZ1" s="1"/>
      <c r="OQA1" s="1"/>
      <c r="OQB1" s="1"/>
      <c r="OQC1" s="1"/>
      <c r="OQD1" s="1"/>
      <c r="OQE1" s="1"/>
      <c r="OQF1" s="1"/>
      <c r="OQG1" s="1"/>
      <c r="OQH1" s="1"/>
      <c r="OQI1" s="1"/>
      <c r="OQJ1" s="1"/>
      <c r="OQK1" s="1"/>
      <c r="OQL1" s="1"/>
      <c r="OQM1" s="1"/>
      <c r="OQN1" s="1"/>
      <c r="OQO1" s="1"/>
      <c r="OQP1" s="1"/>
      <c r="OQQ1" s="1"/>
      <c r="OQR1" s="1"/>
      <c r="OQS1" s="1"/>
      <c r="OQT1" s="1"/>
      <c r="OQU1" s="1"/>
      <c r="OQV1" s="1"/>
      <c r="OQW1" s="1"/>
      <c r="OQX1" s="1"/>
      <c r="OQY1" s="1"/>
      <c r="OQZ1" s="1"/>
      <c r="ORA1" s="1"/>
      <c r="ORB1" s="1"/>
      <c r="ORC1" s="1"/>
      <c r="ORD1" s="1"/>
      <c r="ORE1" s="1"/>
      <c r="ORF1" s="1"/>
      <c r="ORG1" s="1"/>
      <c r="ORH1" s="1"/>
      <c r="ORI1" s="1"/>
      <c r="ORJ1" s="1"/>
      <c r="ORK1" s="1"/>
      <c r="ORL1" s="1"/>
      <c r="ORM1" s="1"/>
      <c r="ORN1" s="1"/>
      <c r="ORO1" s="1"/>
      <c r="ORP1" s="1"/>
      <c r="ORQ1" s="1"/>
      <c r="ORR1" s="1"/>
      <c r="ORS1" s="1"/>
      <c r="ORT1" s="1"/>
      <c r="ORU1" s="1"/>
      <c r="ORV1" s="1"/>
      <c r="ORW1" s="1"/>
      <c r="ORX1" s="1"/>
      <c r="ORY1" s="1"/>
      <c r="ORZ1" s="1"/>
      <c r="OSA1" s="1"/>
      <c r="OSB1" s="1"/>
      <c r="OSC1" s="1"/>
      <c r="OSD1" s="1"/>
      <c r="OSE1" s="1"/>
      <c r="OSF1" s="1"/>
      <c r="OSG1" s="1"/>
      <c r="OSH1" s="1"/>
      <c r="OSI1" s="1"/>
      <c r="OSJ1" s="1"/>
      <c r="OSK1" s="1"/>
      <c r="OSL1" s="1"/>
      <c r="OSM1" s="1"/>
      <c r="OSN1" s="1"/>
      <c r="OSO1" s="1"/>
      <c r="OSP1" s="1"/>
      <c r="OSQ1" s="1"/>
      <c r="OSR1" s="1"/>
      <c r="OSS1" s="1"/>
      <c r="OST1" s="1"/>
      <c r="OSU1" s="1"/>
      <c r="OSV1" s="1"/>
      <c r="OSW1" s="1"/>
      <c r="OSX1" s="1"/>
      <c r="OSY1" s="1"/>
      <c r="OSZ1" s="1"/>
      <c r="OTA1" s="1"/>
      <c r="OTB1" s="1"/>
      <c r="OTC1" s="1"/>
      <c r="OTD1" s="1"/>
      <c r="OTE1" s="1"/>
      <c r="OTF1" s="1"/>
      <c r="OTG1" s="1"/>
      <c r="OTH1" s="1"/>
      <c r="OTI1" s="1"/>
      <c r="OTJ1" s="1"/>
      <c r="OTK1" s="1"/>
      <c r="OTL1" s="1"/>
      <c r="OTM1" s="1"/>
      <c r="OTN1" s="1"/>
      <c r="OTO1" s="1"/>
      <c r="OTP1" s="1"/>
      <c r="OTQ1" s="1"/>
      <c r="OTR1" s="1"/>
      <c r="OTS1" s="1"/>
      <c r="OTT1" s="1"/>
      <c r="OTU1" s="1"/>
      <c r="OTV1" s="1"/>
      <c r="OTW1" s="1"/>
      <c r="OTX1" s="1"/>
      <c r="OTY1" s="1"/>
      <c r="OTZ1" s="1"/>
      <c r="OUA1" s="1"/>
      <c r="OUB1" s="1"/>
      <c r="OUC1" s="1"/>
      <c r="OUD1" s="1"/>
      <c r="OUE1" s="1"/>
      <c r="OUF1" s="1"/>
      <c r="OUG1" s="1"/>
      <c r="OUH1" s="1"/>
      <c r="OUI1" s="1"/>
      <c r="OUJ1" s="1"/>
      <c r="OUK1" s="1"/>
      <c r="OUL1" s="1"/>
      <c r="OUM1" s="1"/>
      <c r="OUN1" s="1"/>
      <c r="OUO1" s="1"/>
      <c r="OUP1" s="1"/>
      <c r="OUQ1" s="1"/>
      <c r="OUR1" s="1"/>
      <c r="OUS1" s="1"/>
      <c r="OUT1" s="1"/>
      <c r="OUU1" s="1"/>
      <c r="OUV1" s="1"/>
      <c r="OUW1" s="1"/>
      <c r="OUX1" s="1"/>
      <c r="OUY1" s="1"/>
      <c r="OUZ1" s="1"/>
      <c r="OVA1" s="1"/>
      <c r="OVB1" s="1"/>
      <c r="OVC1" s="1"/>
      <c r="OVD1" s="1"/>
      <c r="OVE1" s="1"/>
      <c r="OVF1" s="1"/>
      <c r="OVG1" s="1"/>
      <c r="OVH1" s="1"/>
      <c r="OVI1" s="1"/>
      <c r="OVJ1" s="1"/>
      <c r="OVK1" s="1"/>
      <c r="OVL1" s="1"/>
      <c r="OVM1" s="1"/>
      <c r="OVN1" s="1"/>
      <c r="OVO1" s="1"/>
      <c r="OVP1" s="1"/>
      <c r="OVQ1" s="1"/>
      <c r="OVR1" s="1"/>
      <c r="OVS1" s="1"/>
      <c r="OVT1" s="1"/>
      <c r="OVU1" s="1"/>
      <c r="OVV1" s="1"/>
      <c r="OVW1" s="1"/>
      <c r="OVX1" s="1"/>
      <c r="OVY1" s="1"/>
      <c r="OVZ1" s="1"/>
      <c r="OWA1" s="1"/>
      <c r="OWB1" s="1"/>
      <c r="OWC1" s="1"/>
      <c r="OWD1" s="1"/>
      <c r="OWE1" s="1"/>
      <c r="OWF1" s="1"/>
      <c r="OWG1" s="1"/>
      <c r="OWH1" s="1"/>
      <c r="OWI1" s="1"/>
      <c r="OWJ1" s="1"/>
      <c r="OWK1" s="1"/>
      <c r="OWL1" s="1"/>
      <c r="OWM1" s="1"/>
      <c r="OWN1" s="1"/>
      <c r="OWO1" s="1"/>
      <c r="OWP1" s="1"/>
      <c r="OWQ1" s="1"/>
      <c r="OWR1" s="1"/>
      <c r="OWS1" s="1"/>
      <c r="OWT1" s="1"/>
      <c r="OWU1" s="1"/>
      <c r="OWV1" s="1"/>
      <c r="OWW1" s="1"/>
      <c r="OWX1" s="1"/>
      <c r="OWY1" s="1"/>
      <c r="OWZ1" s="1"/>
      <c r="OXA1" s="1"/>
      <c r="OXB1" s="1"/>
      <c r="OXC1" s="1"/>
      <c r="OXD1" s="1"/>
      <c r="OXE1" s="1"/>
      <c r="OXF1" s="1"/>
      <c r="OXG1" s="1"/>
      <c r="OXH1" s="1"/>
      <c r="OXI1" s="1"/>
      <c r="OXJ1" s="1"/>
      <c r="OXK1" s="1"/>
      <c r="OXL1" s="1"/>
      <c r="OXM1" s="1"/>
      <c r="OXN1" s="1"/>
      <c r="OXO1" s="1"/>
      <c r="OXP1" s="1"/>
      <c r="OXQ1" s="1"/>
      <c r="OXR1" s="1"/>
      <c r="OXS1" s="1"/>
      <c r="OXT1" s="1"/>
      <c r="OXU1" s="1"/>
      <c r="OXV1" s="1"/>
      <c r="OXW1" s="1"/>
      <c r="OXX1" s="1"/>
      <c r="OXY1" s="1"/>
      <c r="OXZ1" s="1"/>
      <c r="OYA1" s="1"/>
      <c r="OYB1" s="1"/>
      <c r="OYC1" s="1"/>
      <c r="OYD1" s="1"/>
      <c r="OYE1" s="1"/>
      <c r="OYF1" s="1"/>
      <c r="OYG1" s="1"/>
      <c r="OYH1" s="1"/>
      <c r="OYI1" s="1"/>
      <c r="OYJ1" s="1"/>
      <c r="OYK1" s="1"/>
      <c r="OYL1" s="1"/>
      <c r="OYM1" s="1"/>
      <c r="OYN1" s="1"/>
      <c r="OYO1" s="1"/>
      <c r="OYP1" s="1"/>
      <c r="OYQ1" s="1"/>
      <c r="OYR1" s="1"/>
      <c r="OYS1" s="1"/>
      <c r="OYT1" s="1"/>
      <c r="OYU1" s="1"/>
      <c r="OYV1" s="1"/>
      <c r="OYW1" s="1"/>
      <c r="OYX1" s="1"/>
      <c r="OYY1" s="1"/>
      <c r="OYZ1" s="1"/>
      <c r="OZA1" s="1"/>
      <c r="OZB1" s="1"/>
      <c r="OZC1" s="1"/>
      <c r="OZD1" s="1"/>
      <c r="OZE1" s="1"/>
      <c r="OZF1" s="1"/>
      <c r="OZG1" s="1"/>
      <c r="OZH1" s="1"/>
      <c r="OZI1" s="1"/>
      <c r="OZJ1" s="1"/>
      <c r="OZK1" s="1"/>
      <c r="OZL1" s="1"/>
      <c r="OZM1" s="1"/>
      <c r="OZN1" s="1"/>
      <c r="OZO1" s="1"/>
      <c r="OZP1" s="1"/>
      <c r="OZQ1" s="1"/>
      <c r="OZR1" s="1"/>
      <c r="OZS1" s="1"/>
      <c r="OZT1" s="1"/>
      <c r="OZU1" s="1"/>
      <c r="OZV1" s="1"/>
      <c r="OZW1" s="1"/>
      <c r="OZX1" s="1"/>
      <c r="OZY1" s="1"/>
      <c r="OZZ1" s="1"/>
      <c r="PAA1" s="1"/>
      <c r="PAB1" s="1"/>
      <c r="PAC1" s="1"/>
      <c r="PAD1" s="1"/>
      <c r="PAE1" s="1"/>
      <c r="PAF1" s="1"/>
      <c r="PAG1" s="1"/>
      <c r="PAH1" s="1"/>
      <c r="PAI1" s="1"/>
      <c r="PAJ1" s="1"/>
      <c r="PAK1" s="1"/>
      <c r="PAL1" s="1"/>
      <c r="PAM1" s="1"/>
      <c r="PAN1" s="1"/>
      <c r="PAO1" s="1"/>
      <c r="PAP1" s="1"/>
      <c r="PAQ1" s="1"/>
      <c r="PAR1" s="1"/>
      <c r="PAS1" s="1"/>
      <c r="PAT1" s="1"/>
      <c r="PAU1" s="1"/>
      <c r="PAV1" s="1"/>
      <c r="PAW1" s="1"/>
      <c r="PAX1" s="1"/>
      <c r="PAY1" s="1"/>
      <c r="PAZ1" s="1"/>
      <c r="PBA1" s="1"/>
      <c r="PBB1" s="1"/>
      <c r="PBC1" s="1"/>
      <c r="PBD1" s="1"/>
      <c r="PBE1" s="1"/>
      <c r="PBF1" s="1"/>
      <c r="PBG1" s="1"/>
      <c r="PBH1" s="1"/>
      <c r="PBI1" s="1"/>
      <c r="PBJ1" s="1"/>
      <c r="PBK1" s="1"/>
      <c r="PBL1" s="1"/>
      <c r="PBM1" s="1"/>
      <c r="PBN1" s="1"/>
      <c r="PBO1" s="1"/>
      <c r="PBP1" s="1"/>
      <c r="PBQ1" s="1"/>
      <c r="PBR1" s="1"/>
      <c r="PBS1" s="1"/>
      <c r="PBT1" s="1"/>
      <c r="PBU1" s="1"/>
      <c r="PBV1" s="1"/>
      <c r="PBW1" s="1"/>
      <c r="PBX1" s="1"/>
      <c r="PBY1" s="1"/>
      <c r="PBZ1" s="1"/>
      <c r="PCA1" s="1"/>
      <c r="PCB1" s="1"/>
      <c r="PCC1" s="1"/>
      <c r="PCD1" s="1"/>
      <c r="PCE1" s="1"/>
      <c r="PCF1" s="1"/>
      <c r="PCG1" s="1"/>
      <c r="PCH1" s="1"/>
      <c r="PCI1" s="1"/>
      <c r="PCJ1" s="1"/>
      <c r="PCK1" s="1"/>
      <c r="PCL1" s="1"/>
      <c r="PCM1" s="1"/>
      <c r="PCN1" s="1"/>
      <c r="PCO1" s="1"/>
      <c r="PCP1" s="1"/>
      <c r="PCQ1" s="1"/>
      <c r="PCR1" s="1"/>
      <c r="PCS1" s="1"/>
      <c r="PCT1" s="1"/>
      <c r="PCU1" s="1"/>
      <c r="PCV1" s="1"/>
      <c r="PCW1" s="1"/>
      <c r="PCX1" s="1"/>
      <c r="PCY1" s="1"/>
      <c r="PCZ1" s="1"/>
      <c r="PDA1" s="1"/>
      <c r="PDB1" s="1"/>
      <c r="PDC1" s="1"/>
      <c r="PDD1" s="1"/>
      <c r="PDE1" s="1"/>
      <c r="PDF1" s="1"/>
      <c r="PDG1" s="1"/>
      <c r="PDH1" s="1"/>
      <c r="PDI1" s="1"/>
      <c r="PDJ1" s="1"/>
      <c r="PDK1" s="1"/>
      <c r="PDL1" s="1"/>
      <c r="PDM1" s="1"/>
      <c r="PDN1" s="1"/>
      <c r="PDO1" s="1"/>
      <c r="PDP1" s="1"/>
      <c r="PDQ1" s="1"/>
      <c r="PDR1" s="1"/>
      <c r="PDS1" s="1"/>
      <c r="PDT1" s="1"/>
      <c r="PDU1" s="1"/>
      <c r="PDV1" s="1"/>
      <c r="PDW1" s="1"/>
      <c r="PDX1" s="1"/>
      <c r="PDY1" s="1"/>
      <c r="PDZ1" s="1"/>
      <c r="PEA1" s="1"/>
      <c r="PEB1" s="1"/>
      <c r="PEC1" s="1"/>
      <c r="PED1" s="1"/>
      <c r="PEE1" s="1"/>
      <c r="PEF1" s="1"/>
      <c r="PEG1" s="1"/>
      <c r="PEH1" s="1"/>
      <c r="PEI1" s="1"/>
      <c r="PEJ1" s="1"/>
      <c r="PEK1" s="1"/>
      <c r="PEL1" s="1"/>
      <c r="PEM1" s="1"/>
      <c r="PEN1" s="1"/>
      <c r="PEO1" s="1"/>
      <c r="PEP1" s="1"/>
      <c r="PEQ1" s="1"/>
      <c r="PER1" s="1"/>
      <c r="PES1" s="1"/>
      <c r="PET1" s="1"/>
      <c r="PEU1" s="1"/>
      <c r="PEV1" s="1"/>
      <c r="PEW1" s="1"/>
      <c r="PEX1" s="1"/>
      <c r="PEY1" s="1"/>
      <c r="PEZ1" s="1"/>
      <c r="PFA1" s="1"/>
      <c r="PFB1" s="1"/>
      <c r="PFC1" s="1"/>
      <c r="PFD1" s="1"/>
      <c r="PFE1" s="1"/>
      <c r="PFF1" s="1"/>
      <c r="PFG1" s="1"/>
      <c r="PFH1" s="1"/>
      <c r="PFI1" s="1"/>
      <c r="PFJ1" s="1"/>
      <c r="PFK1" s="1"/>
      <c r="PFL1" s="1"/>
      <c r="PFM1" s="1"/>
      <c r="PFN1" s="1"/>
      <c r="PFO1" s="1"/>
      <c r="PFP1" s="1"/>
      <c r="PFQ1" s="1"/>
      <c r="PFR1" s="1"/>
      <c r="PFS1" s="1"/>
      <c r="PFT1" s="1"/>
      <c r="PFU1" s="1"/>
      <c r="PFV1" s="1"/>
      <c r="PFW1" s="1"/>
      <c r="PFX1" s="1"/>
      <c r="PFY1" s="1"/>
      <c r="PFZ1" s="1"/>
      <c r="PGA1" s="1"/>
      <c r="PGB1" s="1"/>
      <c r="PGC1" s="1"/>
      <c r="PGD1" s="1"/>
      <c r="PGE1" s="1"/>
      <c r="PGF1" s="1"/>
      <c r="PGG1" s="1"/>
      <c r="PGH1" s="1"/>
      <c r="PGI1" s="1"/>
      <c r="PGJ1" s="1"/>
      <c r="PGK1" s="1"/>
      <c r="PGL1" s="1"/>
      <c r="PGM1" s="1"/>
      <c r="PGN1" s="1"/>
      <c r="PGO1" s="1"/>
      <c r="PGP1" s="1"/>
      <c r="PGQ1" s="1"/>
      <c r="PGR1" s="1"/>
      <c r="PGS1" s="1"/>
      <c r="PGT1" s="1"/>
      <c r="PGU1" s="1"/>
      <c r="PGV1" s="1"/>
      <c r="PGW1" s="1"/>
      <c r="PGX1" s="1"/>
      <c r="PGY1" s="1"/>
      <c r="PGZ1" s="1"/>
      <c r="PHA1" s="1"/>
      <c r="PHB1" s="1"/>
      <c r="PHC1" s="1"/>
      <c r="PHD1" s="1"/>
      <c r="PHE1" s="1"/>
      <c r="PHF1" s="1"/>
      <c r="PHG1" s="1"/>
      <c r="PHH1" s="1"/>
      <c r="PHI1" s="1"/>
      <c r="PHJ1" s="1"/>
      <c r="PHK1" s="1"/>
      <c r="PHL1" s="1"/>
      <c r="PHM1" s="1"/>
      <c r="PHN1" s="1"/>
      <c r="PHO1" s="1"/>
      <c r="PHP1" s="1"/>
      <c r="PHQ1" s="1"/>
      <c r="PHR1" s="1"/>
      <c r="PHS1" s="1"/>
      <c r="PHT1" s="1"/>
      <c r="PHU1" s="1"/>
      <c r="PHV1" s="1"/>
      <c r="PHW1" s="1"/>
      <c r="PHX1" s="1"/>
      <c r="PHY1" s="1"/>
      <c r="PHZ1" s="1"/>
      <c r="PIA1" s="1"/>
      <c r="PIB1" s="1"/>
      <c r="PIC1" s="1"/>
      <c r="PID1" s="1"/>
      <c r="PIE1" s="1"/>
      <c r="PIF1" s="1"/>
      <c r="PIG1" s="1"/>
      <c r="PIH1" s="1"/>
      <c r="PII1" s="1"/>
      <c r="PIJ1" s="1"/>
      <c r="PIK1" s="1"/>
      <c r="PIL1" s="1"/>
      <c r="PIM1" s="1"/>
      <c r="PIN1" s="1"/>
      <c r="PIO1" s="1"/>
      <c r="PIP1" s="1"/>
      <c r="PIQ1" s="1"/>
      <c r="PIR1" s="1"/>
      <c r="PIS1" s="1"/>
      <c r="PIT1" s="1"/>
      <c r="PIU1" s="1"/>
      <c r="PIV1" s="1"/>
      <c r="PIW1" s="1"/>
      <c r="PIX1" s="1"/>
      <c r="PIY1" s="1"/>
      <c r="PIZ1" s="1"/>
      <c r="PJA1" s="1"/>
      <c r="PJB1" s="1"/>
      <c r="PJC1" s="1"/>
      <c r="PJD1" s="1"/>
      <c r="PJE1" s="1"/>
      <c r="PJF1" s="1"/>
      <c r="PJG1" s="1"/>
      <c r="PJH1" s="1"/>
      <c r="PJI1" s="1"/>
      <c r="PJJ1" s="1"/>
      <c r="PJK1" s="1"/>
      <c r="PJL1" s="1"/>
      <c r="PJM1" s="1"/>
      <c r="PJN1" s="1"/>
      <c r="PJO1" s="1"/>
      <c r="PJP1" s="1"/>
      <c r="PJQ1" s="1"/>
      <c r="PJR1" s="1"/>
      <c r="PJS1" s="1"/>
      <c r="PJT1" s="1"/>
      <c r="PJU1" s="1"/>
      <c r="PJV1" s="1"/>
      <c r="PJW1" s="1"/>
      <c r="PJX1" s="1"/>
      <c r="PJY1" s="1"/>
      <c r="PJZ1" s="1"/>
      <c r="PKA1" s="1"/>
      <c r="PKB1" s="1"/>
      <c r="PKC1" s="1"/>
      <c r="PKD1" s="1"/>
      <c r="PKE1" s="1"/>
      <c r="PKF1" s="1"/>
      <c r="PKG1" s="1"/>
      <c r="PKH1" s="1"/>
      <c r="PKI1" s="1"/>
      <c r="PKJ1" s="1"/>
      <c r="PKK1" s="1"/>
      <c r="PKL1" s="1"/>
      <c r="PKM1" s="1"/>
      <c r="PKN1" s="1"/>
      <c r="PKO1" s="1"/>
      <c r="PKP1" s="1"/>
      <c r="PKQ1" s="1"/>
      <c r="PKR1" s="1"/>
      <c r="PKS1" s="1"/>
      <c r="PKT1" s="1"/>
      <c r="PKU1" s="1"/>
      <c r="PKV1" s="1"/>
      <c r="PKW1" s="1"/>
      <c r="PKX1" s="1"/>
      <c r="PKY1" s="1"/>
      <c r="PKZ1" s="1"/>
      <c r="PLA1" s="1"/>
      <c r="PLB1" s="1"/>
      <c r="PLC1" s="1"/>
      <c r="PLD1" s="1"/>
      <c r="PLE1" s="1"/>
      <c r="PLF1" s="1"/>
      <c r="PLG1" s="1"/>
      <c r="PLH1" s="1"/>
      <c r="PLI1" s="1"/>
      <c r="PLJ1" s="1"/>
      <c r="PLK1" s="1"/>
      <c r="PLL1" s="1"/>
      <c r="PLM1" s="1"/>
      <c r="PLN1" s="1"/>
      <c r="PLO1" s="1"/>
      <c r="PLP1" s="1"/>
      <c r="PLQ1" s="1"/>
      <c r="PLR1" s="1"/>
      <c r="PLS1" s="1"/>
      <c r="PLT1" s="1"/>
      <c r="PLU1" s="1"/>
      <c r="PLV1" s="1"/>
      <c r="PLW1" s="1"/>
      <c r="PLX1" s="1"/>
      <c r="PLY1" s="1"/>
      <c r="PLZ1" s="1"/>
      <c r="PMA1" s="1"/>
      <c r="PMB1" s="1"/>
      <c r="PMC1" s="1"/>
      <c r="PMD1" s="1"/>
      <c r="PME1" s="1"/>
      <c r="PMF1" s="1"/>
      <c r="PMG1" s="1"/>
      <c r="PMH1" s="1"/>
      <c r="PMI1" s="1"/>
      <c r="PMJ1" s="1"/>
      <c r="PMK1" s="1"/>
      <c r="PML1" s="1"/>
      <c r="PMM1" s="1"/>
      <c r="PMN1" s="1"/>
      <c r="PMO1" s="1"/>
      <c r="PMP1" s="1"/>
      <c r="PMQ1" s="1"/>
      <c r="PMR1" s="1"/>
      <c r="PMS1" s="1"/>
      <c r="PMT1" s="1"/>
      <c r="PMU1" s="1"/>
      <c r="PMV1" s="1"/>
      <c r="PMW1" s="1"/>
      <c r="PMX1" s="1"/>
      <c r="PMY1" s="1"/>
      <c r="PMZ1" s="1"/>
      <c r="PNA1" s="1"/>
      <c r="PNB1" s="1"/>
      <c r="PNC1" s="1"/>
      <c r="PND1" s="1"/>
      <c r="PNE1" s="1"/>
      <c r="PNF1" s="1"/>
      <c r="PNG1" s="1"/>
      <c r="PNH1" s="1"/>
      <c r="PNI1" s="1"/>
      <c r="PNJ1" s="1"/>
      <c r="PNK1" s="1"/>
      <c r="PNL1" s="1"/>
      <c r="PNM1" s="1"/>
      <c r="PNN1" s="1"/>
      <c r="PNO1" s="1"/>
      <c r="PNP1" s="1"/>
      <c r="PNQ1" s="1"/>
      <c r="PNR1" s="1"/>
      <c r="PNS1" s="1"/>
      <c r="PNT1" s="1"/>
      <c r="PNU1" s="1"/>
      <c r="PNV1" s="1"/>
      <c r="PNW1" s="1"/>
      <c r="PNX1" s="1"/>
      <c r="PNY1" s="1"/>
      <c r="PNZ1" s="1"/>
      <c r="POA1" s="1"/>
      <c r="POB1" s="1"/>
      <c r="POC1" s="1"/>
      <c r="POD1" s="1"/>
      <c r="POE1" s="1"/>
      <c r="POF1" s="1"/>
      <c r="POG1" s="1"/>
      <c r="POH1" s="1"/>
      <c r="POI1" s="1"/>
      <c r="POJ1" s="1"/>
      <c r="POK1" s="1"/>
      <c r="POL1" s="1"/>
      <c r="POM1" s="1"/>
      <c r="PON1" s="1"/>
      <c r="POO1" s="1"/>
      <c r="POP1" s="1"/>
      <c r="POQ1" s="1"/>
      <c r="POR1" s="1"/>
      <c r="POS1" s="1"/>
      <c r="POT1" s="1"/>
      <c r="POU1" s="1"/>
      <c r="POV1" s="1"/>
      <c r="POW1" s="1"/>
      <c r="POX1" s="1"/>
      <c r="POY1" s="1"/>
      <c r="POZ1" s="1"/>
      <c r="PPA1" s="1"/>
      <c r="PPB1" s="1"/>
      <c r="PPC1" s="1"/>
      <c r="PPD1" s="1"/>
      <c r="PPE1" s="1"/>
      <c r="PPF1" s="1"/>
      <c r="PPG1" s="1"/>
      <c r="PPH1" s="1"/>
      <c r="PPI1" s="1"/>
      <c r="PPJ1" s="1"/>
      <c r="PPK1" s="1"/>
      <c r="PPL1" s="1"/>
      <c r="PPM1" s="1"/>
      <c r="PPN1" s="1"/>
      <c r="PPO1" s="1"/>
      <c r="PPP1" s="1"/>
      <c r="PPQ1" s="1"/>
      <c r="PPR1" s="1"/>
      <c r="PPS1" s="1"/>
      <c r="PPT1" s="1"/>
      <c r="PPU1" s="1"/>
      <c r="PPV1" s="1"/>
      <c r="PPW1" s="1"/>
      <c r="PPX1" s="1"/>
      <c r="PPY1" s="1"/>
      <c r="PPZ1" s="1"/>
      <c r="PQA1" s="1"/>
      <c r="PQB1" s="1"/>
      <c r="PQC1" s="1"/>
      <c r="PQD1" s="1"/>
      <c r="PQE1" s="1"/>
      <c r="PQF1" s="1"/>
      <c r="PQG1" s="1"/>
      <c r="PQH1" s="1"/>
      <c r="PQI1" s="1"/>
      <c r="PQJ1" s="1"/>
      <c r="PQK1" s="1"/>
      <c r="PQL1" s="1"/>
      <c r="PQM1" s="1"/>
      <c r="PQN1" s="1"/>
      <c r="PQO1" s="1"/>
      <c r="PQP1" s="1"/>
      <c r="PQQ1" s="1"/>
      <c r="PQR1" s="1"/>
      <c r="PQS1" s="1"/>
      <c r="PQT1" s="1"/>
      <c r="PQU1" s="1"/>
      <c r="PQV1" s="1"/>
      <c r="PQW1" s="1"/>
      <c r="PQX1" s="1"/>
      <c r="PQY1" s="1"/>
      <c r="PQZ1" s="1"/>
      <c r="PRA1" s="1"/>
      <c r="PRB1" s="1"/>
      <c r="PRC1" s="1"/>
      <c r="PRD1" s="1"/>
      <c r="PRE1" s="1"/>
      <c r="PRF1" s="1"/>
      <c r="PRG1" s="1"/>
      <c r="PRH1" s="1"/>
      <c r="PRI1" s="1"/>
      <c r="PRJ1" s="1"/>
      <c r="PRK1" s="1"/>
      <c r="PRL1" s="1"/>
      <c r="PRM1" s="1"/>
      <c r="PRN1" s="1"/>
      <c r="PRO1" s="1"/>
      <c r="PRP1" s="1"/>
      <c r="PRQ1" s="1"/>
      <c r="PRR1" s="1"/>
      <c r="PRS1" s="1"/>
      <c r="PRT1" s="1"/>
      <c r="PRU1" s="1"/>
      <c r="PRV1" s="1"/>
      <c r="PRW1" s="1"/>
      <c r="PRX1" s="1"/>
      <c r="PRY1" s="1"/>
      <c r="PRZ1" s="1"/>
      <c r="PSA1" s="1"/>
      <c r="PSB1" s="1"/>
      <c r="PSC1" s="1"/>
      <c r="PSD1" s="1"/>
      <c r="PSE1" s="1"/>
      <c r="PSF1" s="1"/>
      <c r="PSG1" s="1"/>
      <c r="PSH1" s="1"/>
      <c r="PSI1" s="1"/>
      <c r="PSJ1" s="1"/>
      <c r="PSK1" s="1"/>
      <c r="PSL1" s="1"/>
      <c r="PSM1" s="1"/>
      <c r="PSN1" s="1"/>
      <c r="PSO1" s="1"/>
      <c r="PSP1" s="1"/>
      <c r="PSQ1" s="1"/>
      <c r="PSR1" s="1"/>
      <c r="PSS1" s="1"/>
      <c r="PST1" s="1"/>
      <c r="PSU1" s="1"/>
      <c r="PSV1" s="1"/>
      <c r="PSW1" s="1"/>
      <c r="PSX1" s="1"/>
      <c r="PSY1" s="1"/>
      <c r="PSZ1" s="1"/>
      <c r="PTA1" s="1"/>
      <c r="PTB1" s="1"/>
      <c r="PTC1" s="1"/>
      <c r="PTD1" s="1"/>
      <c r="PTE1" s="1"/>
      <c r="PTF1" s="1"/>
      <c r="PTG1" s="1"/>
      <c r="PTH1" s="1"/>
      <c r="PTI1" s="1"/>
      <c r="PTJ1" s="1"/>
      <c r="PTK1" s="1"/>
      <c r="PTL1" s="1"/>
      <c r="PTM1" s="1"/>
      <c r="PTN1" s="1"/>
      <c r="PTO1" s="1"/>
      <c r="PTP1" s="1"/>
      <c r="PTQ1" s="1"/>
      <c r="PTR1" s="1"/>
      <c r="PTS1" s="1"/>
      <c r="PTT1" s="1"/>
      <c r="PTU1" s="1"/>
      <c r="PTV1" s="1"/>
      <c r="PTW1" s="1"/>
      <c r="PTX1" s="1"/>
      <c r="PTY1" s="1"/>
      <c r="PTZ1" s="1"/>
      <c r="PUA1" s="1"/>
      <c r="PUB1" s="1"/>
      <c r="PUC1" s="1"/>
      <c r="PUD1" s="1"/>
      <c r="PUE1" s="1"/>
      <c r="PUF1" s="1"/>
      <c r="PUG1" s="1"/>
      <c r="PUH1" s="1"/>
      <c r="PUI1" s="1"/>
      <c r="PUJ1" s="1"/>
      <c r="PUK1" s="1"/>
      <c r="PUL1" s="1"/>
      <c r="PUM1" s="1"/>
      <c r="PUN1" s="1"/>
      <c r="PUO1" s="1"/>
      <c r="PUP1" s="1"/>
      <c r="PUQ1" s="1"/>
      <c r="PUR1" s="1"/>
      <c r="PUS1" s="1"/>
      <c r="PUT1" s="1"/>
      <c r="PUU1" s="1"/>
      <c r="PUV1" s="1"/>
      <c r="PUW1" s="1"/>
      <c r="PUX1" s="1"/>
      <c r="PUY1" s="1"/>
      <c r="PUZ1" s="1"/>
      <c r="PVA1" s="1"/>
      <c r="PVB1" s="1"/>
      <c r="PVC1" s="1"/>
      <c r="PVD1" s="1"/>
      <c r="PVE1" s="1"/>
      <c r="PVF1" s="1"/>
      <c r="PVG1" s="1"/>
      <c r="PVH1" s="1"/>
      <c r="PVI1" s="1"/>
      <c r="PVJ1" s="1"/>
      <c r="PVK1" s="1"/>
      <c r="PVL1" s="1"/>
      <c r="PVM1" s="1"/>
      <c r="PVN1" s="1"/>
      <c r="PVO1" s="1"/>
      <c r="PVP1" s="1"/>
      <c r="PVQ1" s="1"/>
      <c r="PVR1" s="1"/>
      <c r="PVS1" s="1"/>
      <c r="PVT1" s="1"/>
      <c r="PVU1" s="1"/>
      <c r="PVV1" s="1"/>
      <c r="PVW1" s="1"/>
      <c r="PVX1" s="1"/>
      <c r="PVY1" s="1"/>
      <c r="PVZ1" s="1"/>
      <c r="PWA1" s="1"/>
      <c r="PWB1" s="1"/>
      <c r="PWC1" s="1"/>
      <c r="PWD1" s="1"/>
      <c r="PWE1" s="1"/>
      <c r="PWF1" s="1"/>
      <c r="PWG1" s="1"/>
      <c r="PWH1" s="1"/>
      <c r="PWI1" s="1"/>
      <c r="PWJ1" s="1"/>
      <c r="PWK1" s="1"/>
      <c r="PWL1" s="1"/>
      <c r="PWM1" s="1"/>
      <c r="PWN1" s="1"/>
      <c r="PWO1" s="1"/>
      <c r="PWP1" s="1"/>
      <c r="PWQ1" s="1"/>
      <c r="PWR1" s="1"/>
      <c r="PWS1" s="1"/>
      <c r="PWT1" s="1"/>
      <c r="PWU1" s="1"/>
      <c r="PWV1" s="1"/>
      <c r="PWW1" s="1"/>
      <c r="PWX1" s="1"/>
      <c r="PWY1" s="1"/>
      <c r="PWZ1" s="1"/>
      <c r="PXA1" s="1"/>
      <c r="PXB1" s="1"/>
      <c r="PXC1" s="1"/>
      <c r="PXD1" s="1"/>
      <c r="PXE1" s="1"/>
      <c r="PXF1" s="1"/>
      <c r="PXG1" s="1"/>
      <c r="PXH1" s="1"/>
      <c r="PXI1" s="1"/>
      <c r="PXJ1" s="1"/>
      <c r="PXK1" s="1"/>
      <c r="PXL1" s="1"/>
      <c r="PXM1" s="1"/>
      <c r="PXN1" s="1"/>
      <c r="PXO1" s="1"/>
      <c r="PXP1" s="1"/>
      <c r="PXQ1" s="1"/>
      <c r="PXR1" s="1"/>
      <c r="PXS1" s="1"/>
      <c r="PXT1" s="1"/>
      <c r="PXU1" s="1"/>
      <c r="PXV1" s="1"/>
      <c r="PXW1" s="1"/>
      <c r="PXX1" s="1"/>
      <c r="PXY1" s="1"/>
      <c r="PXZ1" s="1"/>
      <c r="PYA1" s="1"/>
      <c r="PYB1" s="1"/>
      <c r="PYC1" s="1"/>
      <c r="PYD1" s="1"/>
      <c r="PYE1" s="1"/>
      <c r="PYF1" s="1"/>
      <c r="PYG1" s="1"/>
      <c r="PYH1" s="1"/>
      <c r="PYI1" s="1"/>
      <c r="PYJ1" s="1"/>
      <c r="PYK1" s="1"/>
      <c r="PYL1" s="1"/>
      <c r="PYM1" s="1"/>
      <c r="PYN1" s="1"/>
      <c r="PYO1" s="1"/>
      <c r="PYP1" s="1"/>
      <c r="PYQ1" s="1"/>
      <c r="PYR1" s="1"/>
      <c r="PYS1" s="1"/>
      <c r="PYT1" s="1"/>
      <c r="PYU1" s="1"/>
      <c r="PYV1" s="1"/>
      <c r="PYW1" s="1"/>
      <c r="PYX1" s="1"/>
      <c r="PYY1" s="1"/>
      <c r="PYZ1" s="1"/>
      <c r="PZA1" s="1"/>
      <c r="PZB1" s="1"/>
      <c r="PZC1" s="1"/>
      <c r="PZD1" s="1"/>
      <c r="PZE1" s="1"/>
      <c r="PZF1" s="1"/>
      <c r="PZG1" s="1"/>
      <c r="PZH1" s="1"/>
      <c r="PZI1" s="1"/>
      <c r="PZJ1" s="1"/>
      <c r="PZK1" s="1"/>
      <c r="PZL1" s="1"/>
      <c r="PZM1" s="1"/>
      <c r="PZN1" s="1"/>
      <c r="PZO1" s="1"/>
      <c r="PZP1" s="1"/>
      <c r="PZQ1" s="1"/>
      <c r="PZR1" s="1"/>
      <c r="PZS1" s="1"/>
      <c r="PZT1" s="1"/>
      <c r="PZU1" s="1"/>
      <c r="PZV1" s="1"/>
      <c r="PZW1" s="1"/>
      <c r="PZX1" s="1"/>
      <c r="PZY1" s="1"/>
      <c r="PZZ1" s="1"/>
      <c r="QAA1" s="1"/>
      <c r="QAB1" s="1"/>
      <c r="QAC1" s="1"/>
      <c r="QAD1" s="1"/>
      <c r="QAE1" s="1"/>
      <c r="QAF1" s="1"/>
      <c r="QAG1" s="1"/>
      <c r="QAH1" s="1"/>
      <c r="QAI1" s="1"/>
      <c r="QAJ1" s="1"/>
      <c r="QAK1" s="1"/>
      <c r="QAL1" s="1"/>
      <c r="QAM1" s="1"/>
      <c r="QAN1" s="1"/>
      <c r="QAO1" s="1"/>
      <c r="QAP1" s="1"/>
      <c r="QAQ1" s="1"/>
      <c r="QAR1" s="1"/>
      <c r="QAS1" s="1"/>
      <c r="QAT1" s="1"/>
      <c r="QAU1" s="1"/>
      <c r="QAV1" s="1"/>
      <c r="QAW1" s="1"/>
      <c r="QAX1" s="1"/>
      <c r="QAY1" s="1"/>
      <c r="QAZ1" s="1"/>
      <c r="QBA1" s="1"/>
      <c r="QBB1" s="1"/>
      <c r="QBC1" s="1"/>
      <c r="QBD1" s="1"/>
      <c r="QBE1" s="1"/>
      <c r="QBF1" s="1"/>
      <c r="QBG1" s="1"/>
      <c r="QBH1" s="1"/>
      <c r="QBI1" s="1"/>
      <c r="QBJ1" s="1"/>
      <c r="QBK1" s="1"/>
      <c r="QBL1" s="1"/>
      <c r="QBM1" s="1"/>
      <c r="QBN1" s="1"/>
      <c r="QBO1" s="1"/>
      <c r="QBP1" s="1"/>
      <c r="QBQ1" s="1"/>
      <c r="QBR1" s="1"/>
      <c r="QBS1" s="1"/>
      <c r="QBT1" s="1"/>
      <c r="QBU1" s="1"/>
      <c r="QBV1" s="1"/>
      <c r="QBW1" s="1"/>
      <c r="QBX1" s="1"/>
      <c r="QBY1" s="1"/>
      <c r="QBZ1" s="1"/>
      <c r="QCA1" s="1"/>
      <c r="QCB1" s="1"/>
      <c r="QCC1" s="1"/>
      <c r="QCD1" s="1"/>
      <c r="QCE1" s="1"/>
      <c r="QCF1" s="1"/>
      <c r="QCG1" s="1"/>
      <c r="QCH1" s="1"/>
      <c r="QCI1" s="1"/>
      <c r="QCJ1" s="1"/>
      <c r="QCK1" s="1"/>
      <c r="QCL1" s="1"/>
      <c r="QCM1" s="1"/>
      <c r="QCN1" s="1"/>
      <c r="QCO1" s="1"/>
      <c r="QCP1" s="1"/>
      <c r="QCQ1" s="1"/>
      <c r="QCR1" s="1"/>
      <c r="QCS1" s="1"/>
      <c r="QCT1" s="1"/>
      <c r="QCU1" s="1"/>
      <c r="QCV1" s="1"/>
      <c r="QCW1" s="1"/>
      <c r="QCX1" s="1"/>
      <c r="QCY1" s="1"/>
      <c r="QCZ1" s="1"/>
      <c r="QDA1" s="1"/>
      <c r="QDB1" s="1"/>
      <c r="QDC1" s="1"/>
      <c r="QDD1" s="1"/>
      <c r="QDE1" s="1"/>
      <c r="QDF1" s="1"/>
      <c r="QDG1" s="1"/>
      <c r="QDH1" s="1"/>
      <c r="QDI1" s="1"/>
      <c r="QDJ1" s="1"/>
      <c r="QDK1" s="1"/>
      <c r="QDL1" s="1"/>
      <c r="QDM1" s="1"/>
      <c r="QDN1" s="1"/>
      <c r="QDO1" s="1"/>
      <c r="QDP1" s="1"/>
      <c r="QDQ1" s="1"/>
      <c r="QDR1" s="1"/>
      <c r="QDS1" s="1"/>
      <c r="QDT1" s="1"/>
      <c r="QDU1" s="1"/>
      <c r="QDV1" s="1"/>
      <c r="QDW1" s="1"/>
      <c r="QDX1" s="1"/>
      <c r="QDY1" s="1"/>
      <c r="QDZ1" s="1"/>
      <c r="QEA1" s="1"/>
      <c r="QEB1" s="1"/>
      <c r="QEC1" s="1"/>
      <c r="QED1" s="1"/>
      <c r="QEE1" s="1"/>
      <c r="QEF1" s="1"/>
      <c r="QEG1" s="1"/>
      <c r="QEH1" s="1"/>
      <c r="QEI1" s="1"/>
      <c r="QEJ1" s="1"/>
      <c r="QEK1" s="1"/>
      <c r="QEL1" s="1"/>
      <c r="QEM1" s="1"/>
      <c r="QEN1" s="1"/>
      <c r="QEO1" s="1"/>
      <c r="QEP1" s="1"/>
      <c r="QEQ1" s="1"/>
      <c r="QER1" s="1"/>
      <c r="QES1" s="1"/>
      <c r="QET1" s="1"/>
      <c r="QEU1" s="1"/>
      <c r="QEV1" s="1"/>
      <c r="QEW1" s="1"/>
      <c r="QEX1" s="1"/>
      <c r="QEY1" s="1"/>
      <c r="QEZ1" s="1"/>
      <c r="QFA1" s="1"/>
      <c r="QFB1" s="1"/>
      <c r="QFC1" s="1"/>
      <c r="QFD1" s="1"/>
      <c r="QFE1" s="1"/>
      <c r="QFF1" s="1"/>
      <c r="QFG1" s="1"/>
      <c r="QFH1" s="1"/>
      <c r="QFI1" s="1"/>
      <c r="QFJ1" s="1"/>
      <c r="QFK1" s="1"/>
      <c r="QFL1" s="1"/>
      <c r="QFM1" s="1"/>
      <c r="QFN1" s="1"/>
      <c r="QFO1" s="1"/>
      <c r="QFP1" s="1"/>
      <c r="QFQ1" s="1"/>
      <c r="QFR1" s="1"/>
      <c r="QFS1" s="1"/>
      <c r="QFT1" s="1"/>
      <c r="QFU1" s="1"/>
      <c r="QFV1" s="1"/>
      <c r="QFW1" s="1"/>
      <c r="QFX1" s="1"/>
      <c r="QFY1" s="1"/>
      <c r="QFZ1" s="1"/>
      <c r="QGA1" s="1"/>
      <c r="QGB1" s="1"/>
      <c r="QGC1" s="1"/>
      <c r="QGD1" s="1"/>
      <c r="QGE1" s="1"/>
      <c r="QGF1" s="1"/>
      <c r="QGG1" s="1"/>
      <c r="QGH1" s="1"/>
      <c r="QGI1" s="1"/>
      <c r="QGJ1" s="1"/>
      <c r="QGK1" s="1"/>
      <c r="QGL1" s="1"/>
      <c r="QGM1" s="1"/>
      <c r="QGN1" s="1"/>
      <c r="QGO1" s="1"/>
      <c r="QGP1" s="1"/>
      <c r="QGQ1" s="1"/>
      <c r="QGR1" s="1"/>
      <c r="QGS1" s="1"/>
      <c r="QGT1" s="1"/>
      <c r="QGU1" s="1"/>
      <c r="QGV1" s="1"/>
      <c r="QGW1" s="1"/>
      <c r="QGX1" s="1"/>
      <c r="QGY1" s="1"/>
      <c r="QGZ1" s="1"/>
      <c r="QHA1" s="1"/>
      <c r="QHB1" s="1"/>
      <c r="QHC1" s="1"/>
      <c r="QHD1" s="1"/>
      <c r="QHE1" s="1"/>
      <c r="QHF1" s="1"/>
      <c r="QHG1" s="1"/>
      <c r="QHH1" s="1"/>
      <c r="QHI1" s="1"/>
      <c r="QHJ1" s="1"/>
      <c r="QHK1" s="1"/>
      <c r="QHL1" s="1"/>
      <c r="QHM1" s="1"/>
      <c r="QHN1" s="1"/>
      <c r="QHO1" s="1"/>
      <c r="QHP1" s="1"/>
      <c r="QHQ1" s="1"/>
      <c r="QHR1" s="1"/>
      <c r="QHS1" s="1"/>
      <c r="QHT1" s="1"/>
      <c r="QHU1" s="1"/>
      <c r="QHV1" s="1"/>
      <c r="QHW1" s="1"/>
      <c r="QHX1" s="1"/>
      <c r="QHY1" s="1"/>
      <c r="QHZ1" s="1"/>
      <c r="QIA1" s="1"/>
      <c r="QIB1" s="1"/>
      <c r="QIC1" s="1"/>
      <c r="QID1" s="1"/>
      <c r="QIE1" s="1"/>
      <c r="QIF1" s="1"/>
      <c r="QIG1" s="1"/>
      <c r="QIH1" s="1"/>
      <c r="QII1" s="1"/>
      <c r="QIJ1" s="1"/>
      <c r="QIK1" s="1"/>
      <c r="QIL1" s="1"/>
      <c r="QIM1" s="1"/>
      <c r="QIN1" s="1"/>
      <c r="QIO1" s="1"/>
      <c r="QIP1" s="1"/>
      <c r="QIQ1" s="1"/>
      <c r="QIR1" s="1"/>
      <c r="QIS1" s="1"/>
      <c r="QIT1" s="1"/>
      <c r="QIU1" s="1"/>
      <c r="QIV1" s="1"/>
      <c r="QIW1" s="1"/>
      <c r="QIX1" s="1"/>
      <c r="QIY1" s="1"/>
      <c r="QIZ1" s="1"/>
      <c r="QJA1" s="1"/>
      <c r="QJB1" s="1"/>
      <c r="QJC1" s="1"/>
      <c r="QJD1" s="1"/>
      <c r="QJE1" s="1"/>
      <c r="QJF1" s="1"/>
      <c r="QJG1" s="1"/>
      <c r="QJH1" s="1"/>
      <c r="QJI1" s="1"/>
      <c r="QJJ1" s="1"/>
      <c r="QJK1" s="1"/>
      <c r="QJL1" s="1"/>
      <c r="QJM1" s="1"/>
      <c r="QJN1" s="1"/>
      <c r="QJO1" s="1"/>
      <c r="QJP1" s="1"/>
      <c r="QJQ1" s="1"/>
      <c r="QJR1" s="1"/>
      <c r="QJS1" s="1"/>
      <c r="QJT1" s="1"/>
      <c r="QJU1" s="1"/>
      <c r="QJV1" s="1"/>
      <c r="QJW1" s="1"/>
      <c r="QJX1" s="1"/>
      <c r="QJY1" s="1"/>
      <c r="QJZ1" s="1"/>
      <c r="QKA1" s="1"/>
      <c r="QKB1" s="1"/>
      <c r="QKC1" s="1"/>
      <c r="QKD1" s="1"/>
      <c r="QKE1" s="1"/>
      <c r="QKF1" s="1"/>
      <c r="QKG1" s="1"/>
      <c r="QKH1" s="1"/>
      <c r="QKI1" s="1"/>
      <c r="QKJ1" s="1"/>
      <c r="QKK1" s="1"/>
      <c r="QKL1" s="1"/>
      <c r="QKM1" s="1"/>
      <c r="QKN1" s="1"/>
      <c r="QKO1" s="1"/>
      <c r="QKP1" s="1"/>
      <c r="QKQ1" s="1"/>
      <c r="QKR1" s="1"/>
      <c r="QKS1" s="1"/>
      <c r="QKT1" s="1"/>
      <c r="QKU1" s="1"/>
      <c r="QKV1" s="1"/>
      <c r="QKW1" s="1"/>
      <c r="QKX1" s="1"/>
      <c r="QKY1" s="1"/>
      <c r="QKZ1" s="1"/>
      <c r="QLA1" s="1"/>
      <c r="QLB1" s="1"/>
      <c r="QLC1" s="1"/>
      <c r="QLD1" s="1"/>
      <c r="QLE1" s="1"/>
      <c r="QLF1" s="1"/>
      <c r="QLG1" s="1"/>
      <c r="QLH1" s="1"/>
      <c r="QLI1" s="1"/>
      <c r="QLJ1" s="1"/>
      <c r="QLK1" s="1"/>
      <c r="QLL1" s="1"/>
      <c r="QLM1" s="1"/>
      <c r="QLN1" s="1"/>
      <c r="QLO1" s="1"/>
      <c r="QLP1" s="1"/>
      <c r="QLQ1" s="1"/>
      <c r="QLR1" s="1"/>
      <c r="QLS1" s="1"/>
      <c r="QLT1" s="1"/>
      <c r="QLU1" s="1"/>
      <c r="QLV1" s="1"/>
      <c r="QLW1" s="1"/>
      <c r="QLX1" s="1"/>
      <c r="QLY1" s="1"/>
      <c r="QLZ1" s="1"/>
      <c r="QMA1" s="1"/>
      <c r="QMB1" s="1"/>
      <c r="QMC1" s="1"/>
      <c r="QMD1" s="1"/>
      <c r="QME1" s="1"/>
      <c r="QMF1" s="1"/>
      <c r="QMG1" s="1"/>
      <c r="QMH1" s="1"/>
      <c r="QMI1" s="1"/>
      <c r="QMJ1" s="1"/>
      <c r="QMK1" s="1"/>
      <c r="QML1" s="1"/>
      <c r="QMM1" s="1"/>
      <c r="QMN1" s="1"/>
      <c r="QMO1" s="1"/>
      <c r="QMP1" s="1"/>
      <c r="QMQ1" s="1"/>
      <c r="QMR1" s="1"/>
      <c r="QMS1" s="1"/>
      <c r="QMT1" s="1"/>
      <c r="QMU1" s="1"/>
      <c r="QMV1" s="1"/>
      <c r="QMW1" s="1"/>
      <c r="QMX1" s="1"/>
      <c r="QMY1" s="1"/>
      <c r="QMZ1" s="1"/>
      <c r="QNA1" s="1"/>
      <c r="QNB1" s="1"/>
      <c r="QNC1" s="1"/>
      <c r="QND1" s="1"/>
      <c r="QNE1" s="1"/>
      <c r="QNF1" s="1"/>
      <c r="QNG1" s="1"/>
      <c r="QNH1" s="1"/>
      <c r="QNI1" s="1"/>
      <c r="QNJ1" s="1"/>
      <c r="QNK1" s="1"/>
      <c r="QNL1" s="1"/>
      <c r="QNM1" s="1"/>
      <c r="QNN1" s="1"/>
      <c r="QNO1" s="1"/>
      <c r="QNP1" s="1"/>
      <c r="QNQ1" s="1"/>
      <c r="QNR1" s="1"/>
      <c r="QNS1" s="1"/>
      <c r="QNT1" s="1"/>
      <c r="QNU1" s="1"/>
      <c r="QNV1" s="1"/>
      <c r="QNW1" s="1"/>
      <c r="QNX1" s="1"/>
      <c r="QNY1" s="1"/>
      <c r="QNZ1" s="1"/>
      <c r="QOA1" s="1"/>
      <c r="QOB1" s="1"/>
      <c r="QOC1" s="1"/>
      <c r="QOD1" s="1"/>
      <c r="QOE1" s="1"/>
      <c r="QOF1" s="1"/>
      <c r="QOG1" s="1"/>
      <c r="QOH1" s="1"/>
      <c r="QOI1" s="1"/>
      <c r="QOJ1" s="1"/>
      <c r="QOK1" s="1"/>
      <c r="QOL1" s="1"/>
      <c r="QOM1" s="1"/>
      <c r="QON1" s="1"/>
      <c r="QOO1" s="1"/>
      <c r="QOP1" s="1"/>
      <c r="QOQ1" s="1"/>
      <c r="QOR1" s="1"/>
      <c r="QOS1" s="1"/>
      <c r="QOT1" s="1"/>
      <c r="QOU1" s="1"/>
      <c r="QOV1" s="1"/>
      <c r="QOW1" s="1"/>
      <c r="QOX1" s="1"/>
      <c r="QOY1" s="1"/>
      <c r="QOZ1" s="1"/>
      <c r="QPA1" s="1"/>
      <c r="QPB1" s="1"/>
      <c r="QPC1" s="1"/>
      <c r="QPD1" s="1"/>
      <c r="QPE1" s="1"/>
      <c r="QPF1" s="1"/>
      <c r="QPG1" s="1"/>
      <c r="QPH1" s="1"/>
      <c r="QPI1" s="1"/>
      <c r="QPJ1" s="1"/>
      <c r="QPK1" s="1"/>
      <c r="QPL1" s="1"/>
      <c r="QPM1" s="1"/>
      <c r="QPN1" s="1"/>
      <c r="QPO1" s="1"/>
      <c r="QPP1" s="1"/>
      <c r="QPQ1" s="1"/>
      <c r="QPR1" s="1"/>
      <c r="QPS1" s="1"/>
      <c r="QPT1" s="1"/>
      <c r="QPU1" s="1"/>
      <c r="QPV1" s="1"/>
      <c r="QPW1" s="1"/>
      <c r="QPX1" s="1"/>
      <c r="QPY1" s="1"/>
      <c r="QPZ1" s="1"/>
      <c r="QQA1" s="1"/>
      <c r="QQB1" s="1"/>
      <c r="QQC1" s="1"/>
      <c r="QQD1" s="1"/>
      <c r="QQE1" s="1"/>
      <c r="QQF1" s="1"/>
      <c r="QQG1" s="1"/>
      <c r="QQH1" s="1"/>
      <c r="QQI1" s="1"/>
      <c r="QQJ1" s="1"/>
      <c r="QQK1" s="1"/>
      <c r="QQL1" s="1"/>
      <c r="QQM1" s="1"/>
      <c r="QQN1" s="1"/>
      <c r="QQO1" s="1"/>
      <c r="QQP1" s="1"/>
      <c r="QQQ1" s="1"/>
      <c r="QQR1" s="1"/>
      <c r="QQS1" s="1"/>
      <c r="QQT1" s="1"/>
      <c r="QQU1" s="1"/>
      <c r="QQV1" s="1"/>
      <c r="QQW1" s="1"/>
      <c r="QQX1" s="1"/>
      <c r="QQY1" s="1"/>
      <c r="QQZ1" s="1"/>
      <c r="QRA1" s="1"/>
      <c r="QRB1" s="1"/>
      <c r="QRC1" s="1"/>
      <c r="QRD1" s="1"/>
      <c r="QRE1" s="1"/>
      <c r="QRF1" s="1"/>
      <c r="QRG1" s="1"/>
      <c r="QRH1" s="1"/>
      <c r="QRI1" s="1"/>
      <c r="QRJ1" s="1"/>
      <c r="QRK1" s="1"/>
      <c r="QRL1" s="1"/>
      <c r="QRM1" s="1"/>
      <c r="QRN1" s="1"/>
      <c r="QRO1" s="1"/>
      <c r="QRP1" s="1"/>
      <c r="QRQ1" s="1"/>
      <c r="QRR1" s="1"/>
      <c r="QRS1" s="1"/>
      <c r="QRT1" s="1"/>
      <c r="QRU1" s="1"/>
      <c r="QRV1" s="1"/>
      <c r="QRW1" s="1"/>
      <c r="QRX1" s="1"/>
      <c r="QRY1" s="1"/>
      <c r="QRZ1" s="1"/>
      <c r="QSA1" s="1"/>
      <c r="QSB1" s="1"/>
      <c r="QSC1" s="1"/>
      <c r="QSD1" s="1"/>
      <c r="QSE1" s="1"/>
      <c r="QSF1" s="1"/>
      <c r="QSG1" s="1"/>
      <c r="QSH1" s="1"/>
      <c r="QSI1" s="1"/>
      <c r="QSJ1" s="1"/>
      <c r="QSK1" s="1"/>
      <c r="QSL1" s="1"/>
      <c r="QSM1" s="1"/>
      <c r="QSN1" s="1"/>
      <c r="QSO1" s="1"/>
      <c r="QSP1" s="1"/>
      <c r="QSQ1" s="1"/>
      <c r="QSR1" s="1"/>
      <c r="QSS1" s="1"/>
      <c r="QST1" s="1"/>
      <c r="QSU1" s="1"/>
      <c r="QSV1" s="1"/>
      <c r="QSW1" s="1"/>
      <c r="QSX1" s="1"/>
      <c r="QSY1" s="1"/>
      <c r="QSZ1" s="1"/>
      <c r="QTA1" s="1"/>
      <c r="QTB1" s="1"/>
      <c r="QTC1" s="1"/>
      <c r="QTD1" s="1"/>
      <c r="QTE1" s="1"/>
      <c r="QTF1" s="1"/>
      <c r="QTG1" s="1"/>
      <c r="QTH1" s="1"/>
      <c r="QTI1" s="1"/>
      <c r="QTJ1" s="1"/>
      <c r="QTK1" s="1"/>
      <c r="QTL1" s="1"/>
      <c r="QTM1" s="1"/>
      <c r="QTN1" s="1"/>
      <c r="QTO1" s="1"/>
      <c r="QTP1" s="1"/>
      <c r="QTQ1" s="1"/>
      <c r="QTR1" s="1"/>
      <c r="QTS1" s="1"/>
      <c r="QTT1" s="1"/>
      <c r="QTU1" s="1"/>
      <c r="QTV1" s="1"/>
      <c r="QTW1" s="1"/>
      <c r="QTX1" s="1"/>
      <c r="QTY1" s="1"/>
      <c r="QTZ1" s="1"/>
      <c r="QUA1" s="1"/>
      <c r="QUB1" s="1"/>
      <c r="QUC1" s="1"/>
      <c r="QUD1" s="1"/>
      <c r="QUE1" s="1"/>
      <c r="QUF1" s="1"/>
      <c r="QUG1" s="1"/>
      <c r="QUH1" s="1"/>
      <c r="QUI1" s="1"/>
      <c r="QUJ1" s="1"/>
      <c r="QUK1" s="1"/>
      <c r="QUL1" s="1"/>
      <c r="QUM1" s="1"/>
      <c r="QUN1" s="1"/>
      <c r="QUO1" s="1"/>
      <c r="QUP1" s="1"/>
      <c r="QUQ1" s="1"/>
      <c r="QUR1" s="1"/>
      <c r="QUS1" s="1"/>
      <c r="QUT1" s="1"/>
      <c r="QUU1" s="1"/>
      <c r="QUV1" s="1"/>
      <c r="QUW1" s="1"/>
      <c r="QUX1" s="1"/>
      <c r="QUY1" s="1"/>
      <c r="QUZ1" s="1"/>
      <c r="QVA1" s="1"/>
      <c r="QVB1" s="1"/>
      <c r="QVC1" s="1"/>
      <c r="QVD1" s="1"/>
      <c r="QVE1" s="1"/>
      <c r="QVF1" s="1"/>
      <c r="QVG1" s="1"/>
      <c r="QVH1" s="1"/>
      <c r="QVI1" s="1"/>
      <c r="QVJ1" s="1"/>
      <c r="QVK1" s="1"/>
      <c r="QVL1" s="1"/>
      <c r="QVM1" s="1"/>
      <c r="QVN1" s="1"/>
      <c r="QVO1" s="1"/>
      <c r="QVP1" s="1"/>
      <c r="QVQ1" s="1"/>
      <c r="QVR1" s="1"/>
      <c r="QVS1" s="1"/>
      <c r="QVT1" s="1"/>
      <c r="QVU1" s="1"/>
      <c r="QVV1" s="1"/>
      <c r="QVW1" s="1"/>
      <c r="QVX1" s="1"/>
      <c r="QVY1" s="1"/>
      <c r="QVZ1" s="1"/>
      <c r="QWA1" s="1"/>
      <c r="QWB1" s="1"/>
      <c r="QWC1" s="1"/>
      <c r="QWD1" s="1"/>
      <c r="QWE1" s="1"/>
      <c r="QWF1" s="1"/>
      <c r="QWG1" s="1"/>
      <c r="QWH1" s="1"/>
      <c r="QWI1" s="1"/>
      <c r="QWJ1" s="1"/>
      <c r="QWK1" s="1"/>
      <c r="QWL1" s="1"/>
      <c r="QWM1" s="1"/>
      <c r="QWN1" s="1"/>
      <c r="QWO1" s="1"/>
      <c r="QWP1" s="1"/>
      <c r="QWQ1" s="1"/>
      <c r="QWR1" s="1"/>
      <c r="QWS1" s="1"/>
      <c r="QWT1" s="1"/>
      <c r="QWU1" s="1"/>
      <c r="QWV1" s="1"/>
      <c r="QWW1" s="1"/>
      <c r="QWX1" s="1"/>
      <c r="QWY1" s="1"/>
      <c r="QWZ1" s="1"/>
      <c r="QXA1" s="1"/>
      <c r="QXB1" s="1"/>
      <c r="QXC1" s="1"/>
      <c r="QXD1" s="1"/>
      <c r="QXE1" s="1"/>
      <c r="QXF1" s="1"/>
      <c r="QXG1" s="1"/>
      <c r="QXH1" s="1"/>
      <c r="QXI1" s="1"/>
      <c r="QXJ1" s="1"/>
      <c r="QXK1" s="1"/>
      <c r="QXL1" s="1"/>
      <c r="QXM1" s="1"/>
      <c r="QXN1" s="1"/>
      <c r="QXO1" s="1"/>
      <c r="QXP1" s="1"/>
      <c r="QXQ1" s="1"/>
      <c r="QXR1" s="1"/>
      <c r="QXS1" s="1"/>
      <c r="QXT1" s="1"/>
      <c r="QXU1" s="1"/>
      <c r="QXV1" s="1"/>
      <c r="QXW1" s="1"/>
      <c r="QXX1" s="1"/>
      <c r="QXY1" s="1"/>
      <c r="QXZ1" s="1"/>
      <c r="QYA1" s="1"/>
      <c r="QYB1" s="1"/>
      <c r="QYC1" s="1"/>
      <c r="QYD1" s="1"/>
      <c r="QYE1" s="1"/>
      <c r="QYF1" s="1"/>
      <c r="QYG1" s="1"/>
      <c r="QYH1" s="1"/>
      <c r="QYI1" s="1"/>
      <c r="QYJ1" s="1"/>
      <c r="QYK1" s="1"/>
      <c r="QYL1" s="1"/>
      <c r="QYM1" s="1"/>
      <c r="QYN1" s="1"/>
      <c r="QYO1" s="1"/>
      <c r="QYP1" s="1"/>
      <c r="QYQ1" s="1"/>
      <c r="QYR1" s="1"/>
      <c r="QYS1" s="1"/>
      <c r="QYT1" s="1"/>
      <c r="QYU1" s="1"/>
      <c r="QYV1" s="1"/>
      <c r="QYW1" s="1"/>
      <c r="QYX1" s="1"/>
      <c r="QYY1" s="1"/>
      <c r="QYZ1" s="1"/>
      <c r="QZA1" s="1"/>
      <c r="QZB1" s="1"/>
      <c r="QZC1" s="1"/>
      <c r="QZD1" s="1"/>
      <c r="QZE1" s="1"/>
      <c r="QZF1" s="1"/>
      <c r="QZG1" s="1"/>
      <c r="QZH1" s="1"/>
      <c r="QZI1" s="1"/>
      <c r="QZJ1" s="1"/>
      <c r="QZK1" s="1"/>
      <c r="QZL1" s="1"/>
      <c r="QZM1" s="1"/>
      <c r="QZN1" s="1"/>
      <c r="QZO1" s="1"/>
      <c r="QZP1" s="1"/>
      <c r="QZQ1" s="1"/>
      <c r="QZR1" s="1"/>
      <c r="QZS1" s="1"/>
      <c r="QZT1" s="1"/>
      <c r="QZU1" s="1"/>
      <c r="QZV1" s="1"/>
      <c r="QZW1" s="1"/>
      <c r="QZX1" s="1"/>
      <c r="QZY1" s="1"/>
      <c r="QZZ1" s="1"/>
      <c r="RAA1" s="1"/>
      <c r="RAB1" s="1"/>
      <c r="RAC1" s="1"/>
      <c r="RAD1" s="1"/>
      <c r="RAE1" s="1"/>
      <c r="RAF1" s="1"/>
      <c r="RAG1" s="1"/>
      <c r="RAH1" s="1"/>
      <c r="RAI1" s="1"/>
      <c r="RAJ1" s="1"/>
      <c r="RAK1" s="1"/>
      <c r="RAL1" s="1"/>
      <c r="RAM1" s="1"/>
      <c r="RAN1" s="1"/>
      <c r="RAO1" s="1"/>
      <c r="RAP1" s="1"/>
      <c r="RAQ1" s="1"/>
      <c r="RAR1" s="1"/>
      <c r="RAS1" s="1"/>
      <c r="RAT1" s="1"/>
      <c r="RAU1" s="1"/>
      <c r="RAV1" s="1"/>
      <c r="RAW1" s="1"/>
      <c r="RAX1" s="1"/>
      <c r="RAY1" s="1"/>
      <c r="RAZ1" s="1"/>
      <c r="RBA1" s="1"/>
      <c r="RBB1" s="1"/>
      <c r="RBC1" s="1"/>
      <c r="RBD1" s="1"/>
      <c r="RBE1" s="1"/>
      <c r="RBF1" s="1"/>
      <c r="RBG1" s="1"/>
      <c r="RBH1" s="1"/>
      <c r="RBI1" s="1"/>
      <c r="RBJ1" s="1"/>
      <c r="RBK1" s="1"/>
      <c r="RBL1" s="1"/>
      <c r="RBM1" s="1"/>
      <c r="RBN1" s="1"/>
      <c r="RBO1" s="1"/>
      <c r="RBP1" s="1"/>
      <c r="RBQ1" s="1"/>
      <c r="RBR1" s="1"/>
      <c r="RBS1" s="1"/>
      <c r="RBT1" s="1"/>
      <c r="RBU1" s="1"/>
      <c r="RBV1" s="1"/>
      <c r="RBW1" s="1"/>
      <c r="RBX1" s="1"/>
      <c r="RBY1" s="1"/>
      <c r="RBZ1" s="1"/>
      <c r="RCA1" s="1"/>
      <c r="RCB1" s="1"/>
      <c r="RCC1" s="1"/>
      <c r="RCD1" s="1"/>
      <c r="RCE1" s="1"/>
      <c r="RCF1" s="1"/>
      <c r="RCG1" s="1"/>
      <c r="RCH1" s="1"/>
      <c r="RCI1" s="1"/>
      <c r="RCJ1" s="1"/>
      <c r="RCK1" s="1"/>
      <c r="RCL1" s="1"/>
      <c r="RCM1" s="1"/>
      <c r="RCN1" s="1"/>
      <c r="RCO1" s="1"/>
      <c r="RCP1" s="1"/>
      <c r="RCQ1" s="1"/>
      <c r="RCR1" s="1"/>
      <c r="RCS1" s="1"/>
      <c r="RCT1" s="1"/>
      <c r="RCU1" s="1"/>
      <c r="RCV1" s="1"/>
      <c r="RCW1" s="1"/>
      <c r="RCX1" s="1"/>
      <c r="RCY1" s="1"/>
      <c r="RCZ1" s="1"/>
      <c r="RDA1" s="1"/>
      <c r="RDB1" s="1"/>
      <c r="RDC1" s="1"/>
      <c r="RDD1" s="1"/>
      <c r="RDE1" s="1"/>
      <c r="RDF1" s="1"/>
      <c r="RDG1" s="1"/>
      <c r="RDH1" s="1"/>
      <c r="RDI1" s="1"/>
      <c r="RDJ1" s="1"/>
      <c r="RDK1" s="1"/>
      <c r="RDL1" s="1"/>
      <c r="RDM1" s="1"/>
      <c r="RDN1" s="1"/>
      <c r="RDO1" s="1"/>
      <c r="RDP1" s="1"/>
      <c r="RDQ1" s="1"/>
      <c r="RDR1" s="1"/>
      <c r="RDS1" s="1"/>
      <c r="RDT1" s="1"/>
      <c r="RDU1" s="1"/>
      <c r="RDV1" s="1"/>
      <c r="RDW1" s="1"/>
      <c r="RDX1" s="1"/>
      <c r="RDY1" s="1"/>
      <c r="RDZ1" s="1"/>
      <c r="REA1" s="1"/>
      <c r="REB1" s="1"/>
      <c r="REC1" s="1"/>
      <c r="RED1" s="1"/>
      <c r="REE1" s="1"/>
      <c r="REF1" s="1"/>
      <c r="REG1" s="1"/>
      <c r="REH1" s="1"/>
      <c r="REI1" s="1"/>
      <c r="REJ1" s="1"/>
      <c r="REK1" s="1"/>
      <c r="REL1" s="1"/>
      <c r="REM1" s="1"/>
      <c r="REN1" s="1"/>
      <c r="REO1" s="1"/>
      <c r="REP1" s="1"/>
      <c r="REQ1" s="1"/>
      <c r="RER1" s="1"/>
      <c r="RES1" s="1"/>
      <c r="RET1" s="1"/>
      <c r="REU1" s="1"/>
      <c r="REV1" s="1"/>
      <c r="REW1" s="1"/>
      <c r="REX1" s="1"/>
      <c r="REY1" s="1"/>
      <c r="REZ1" s="1"/>
      <c r="RFA1" s="1"/>
      <c r="RFB1" s="1"/>
      <c r="RFC1" s="1"/>
      <c r="RFD1" s="1"/>
      <c r="RFE1" s="1"/>
      <c r="RFF1" s="1"/>
      <c r="RFG1" s="1"/>
      <c r="RFH1" s="1"/>
      <c r="RFI1" s="1"/>
      <c r="RFJ1" s="1"/>
      <c r="RFK1" s="1"/>
      <c r="RFL1" s="1"/>
      <c r="RFM1" s="1"/>
      <c r="RFN1" s="1"/>
      <c r="RFO1" s="1"/>
      <c r="RFP1" s="1"/>
      <c r="RFQ1" s="1"/>
      <c r="RFR1" s="1"/>
      <c r="RFS1" s="1"/>
      <c r="RFT1" s="1"/>
      <c r="RFU1" s="1"/>
      <c r="RFV1" s="1"/>
      <c r="RFW1" s="1"/>
      <c r="RFX1" s="1"/>
      <c r="RFY1" s="1"/>
      <c r="RFZ1" s="1"/>
      <c r="RGA1" s="1"/>
      <c r="RGB1" s="1"/>
      <c r="RGC1" s="1"/>
      <c r="RGD1" s="1"/>
      <c r="RGE1" s="1"/>
      <c r="RGF1" s="1"/>
      <c r="RGG1" s="1"/>
      <c r="RGH1" s="1"/>
      <c r="RGI1" s="1"/>
      <c r="RGJ1" s="1"/>
      <c r="RGK1" s="1"/>
      <c r="RGL1" s="1"/>
      <c r="RGM1" s="1"/>
      <c r="RGN1" s="1"/>
      <c r="RGO1" s="1"/>
      <c r="RGP1" s="1"/>
      <c r="RGQ1" s="1"/>
      <c r="RGR1" s="1"/>
      <c r="RGS1" s="1"/>
      <c r="RGT1" s="1"/>
      <c r="RGU1" s="1"/>
      <c r="RGV1" s="1"/>
      <c r="RGW1" s="1"/>
      <c r="RGX1" s="1"/>
      <c r="RGY1" s="1"/>
      <c r="RGZ1" s="1"/>
      <c r="RHA1" s="1"/>
      <c r="RHB1" s="1"/>
      <c r="RHC1" s="1"/>
      <c r="RHD1" s="1"/>
      <c r="RHE1" s="1"/>
      <c r="RHF1" s="1"/>
      <c r="RHG1" s="1"/>
      <c r="RHH1" s="1"/>
      <c r="RHI1" s="1"/>
      <c r="RHJ1" s="1"/>
      <c r="RHK1" s="1"/>
      <c r="RHL1" s="1"/>
      <c r="RHM1" s="1"/>
      <c r="RHN1" s="1"/>
      <c r="RHO1" s="1"/>
      <c r="RHP1" s="1"/>
      <c r="RHQ1" s="1"/>
      <c r="RHR1" s="1"/>
      <c r="RHS1" s="1"/>
      <c r="RHT1" s="1"/>
      <c r="RHU1" s="1"/>
      <c r="RHV1" s="1"/>
      <c r="RHW1" s="1"/>
      <c r="RHX1" s="1"/>
      <c r="RHY1" s="1"/>
      <c r="RHZ1" s="1"/>
      <c r="RIA1" s="1"/>
      <c r="RIB1" s="1"/>
      <c r="RIC1" s="1"/>
      <c r="RID1" s="1"/>
      <c r="RIE1" s="1"/>
      <c r="RIF1" s="1"/>
      <c r="RIG1" s="1"/>
      <c r="RIH1" s="1"/>
      <c r="RII1" s="1"/>
      <c r="RIJ1" s="1"/>
      <c r="RIK1" s="1"/>
      <c r="RIL1" s="1"/>
      <c r="RIM1" s="1"/>
      <c r="RIN1" s="1"/>
      <c r="RIO1" s="1"/>
      <c r="RIP1" s="1"/>
      <c r="RIQ1" s="1"/>
      <c r="RIR1" s="1"/>
      <c r="RIS1" s="1"/>
      <c r="RIT1" s="1"/>
      <c r="RIU1" s="1"/>
      <c r="RIV1" s="1"/>
      <c r="RIW1" s="1"/>
      <c r="RIX1" s="1"/>
      <c r="RIY1" s="1"/>
      <c r="RIZ1" s="1"/>
      <c r="RJA1" s="1"/>
      <c r="RJB1" s="1"/>
      <c r="RJC1" s="1"/>
      <c r="RJD1" s="1"/>
      <c r="RJE1" s="1"/>
      <c r="RJF1" s="1"/>
      <c r="RJG1" s="1"/>
      <c r="RJH1" s="1"/>
      <c r="RJI1" s="1"/>
      <c r="RJJ1" s="1"/>
      <c r="RJK1" s="1"/>
      <c r="RJL1" s="1"/>
      <c r="RJM1" s="1"/>
      <c r="RJN1" s="1"/>
      <c r="RJO1" s="1"/>
      <c r="RJP1" s="1"/>
      <c r="RJQ1" s="1"/>
      <c r="RJR1" s="1"/>
      <c r="RJS1" s="1"/>
      <c r="RJT1" s="1"/>
      <c r="RJU1" s="1"/>
      <c r="RJV1" s="1"/>
      <c r="RJW1" s="1"/>
      <c r="RJX1" s="1"/>
      <c r="RJY1" s="1"/>
      <c r="RJZ1" s="1"/>
      <c r="RKA1" s="1"/>
      <c r="RKB1" s="1"/>
      <c r="RKC1" s="1"/>
      <c r="RKD1" s="1"/>
      <c r="RKE1" s="1"/>
      <c r="RKF1" s="1"/>
      <c r="RKG1" s="1"/>
      <c r="RKH1" s="1"/>
      <c r="RKI1" s="1"/>
      <c r="RKJ1" s="1"/>
      <c r="RKK1" s="1"/>
      <c r="RKL1" s="1"/>
      <c r="RKM1" s="1"/>
      <c r="RKN1" s="1"/>
      <c r="RKO1" s="1"/>
      <c r="RKP1" s="1"/>
      <c r="RKQ1" s="1"/>
      <c r="RKR1" s="1"/>
      <c r="RKS1" s="1"/>
      <c r="RKT1" s="1"/>
      <c r="RKU1" s="1"/>
      <c r="RKV1" s="1"/>
      <c r="RKW1" s="1"/>
      <c r="RKX1" s="1"/>
      <c r="RKY1" s="1"/>
      <c r="RKZ1" s="1"/>
      <c r="RLA1" s="1"/>
      <c r="RLB1" s="1"/>
      <c r="RLC1" s="1"/>
      <c r="RLD1" s="1"/>
      <c r="RLE1" s="1"/>
      <c r="RLF1" s="1"/>
      <c r="RLG1" s="1"/>
      <c r="RLH1" s="1"/>
      <c r="RLI1" s="1"/>
      <c r="RLJ1" s="1"/>
      <c r="RLK1" s="1"/>
      <c r="RLL1" s="1"/>
      <c r="RLM1" s="1"/>
      <c r="RLN1" s="1"/>
      <c r="RLO1" s="1"/>
      <c r="RLP1" s="1"/>
      <c r="RLQ1" s="1"/>
      <c r="RLR1" s="1"/>
      <c r="RLS1" s="1"/>
      <c r="RLT1" s="1"/>
      <c r="RLU1" s="1"/>
      <c r="RLV1" s="1"/>
      <c r="RLW1" s="1"/>
      <c r="RLX1" s="1"/>
      <c r="RLY1" s="1"/>
      <c r="RLZ1" s="1"/>
      <c r="RMA1" s="1"/>
      <c r="RMB1" s="1"/>
      <c r="RMC1" s="1"/>
      <c r="RMD1" s="1"/>
      <c r="RME1" s="1"/>
      <c r="RMF1" s="1"/>
      <c r="RMG1" s="1"/>
      <c r="RMH1" s="1"/>
      <c r="RMI1" s="1"/>
      <c r="RMJ1" s="1"/>
      <c r="RMK1" s="1"/>
      <c r="RML1" s="1"/>
      <c r="RMM1" s="1"/>
      <c r="RMN1" s="1"/>
      <c r="RMO1" s="1"/>
      <c r="RMP1" s="1"/>
      <c r="RMQ1" s="1"/>
      <c r="RMR1" s="1"/>
      <c r="RMS1" s="1"/>
      <c r="RMT1" s="1"/>
      <c r="RMU1" s="1"/>
      <c r="RMV1" s="1"/>
      <c r="RMW1" s="1"/>
      <c r="RMX1" s="1"/>
      <c r="RMY1" s="1"/>
      <c r="RMZ1" s="1"/>
      <c r="RNA1" s="1"/>
      <c r="RNB1" s="1"/>
      <c r="RNC1" s="1"/>
      <c r="RND1" s="1"/>
      <c r="RNE1" s="1"/>
      <c r="RNF1" s="1"/>
      <c r="RNG1" s="1"/>
      <c r="RNH1" s="1"/>
      <c r="RNI1" s="1"/>
      <c r="RNJ1" s="1"/>
      <c r="RNK1" s="1"/>
      <c r="RNL1" s="1"/>
      <c r="RNM1" s="1"/>
      <c r="RNN1" s="1"/>
      <c r="RNO1" s="1"/>
      <c r="RNP1" s="1"/>
      <c r="RNQ1" s="1"/>
      <c r="RNR1" s="1"/>
      <c r="RNS1" s="1"/>
      <c r="RNT1" s="1"/>
      <c r="RNU1" s="1"/>
      <c r="RNV1" s="1"/>
      <c r="RNW1" s="1"/>
      <c r="RNX1" s="1"/>
      <c r="RNY1" s="1"/>
      <c r="RNZ1" s="1"/>
      <c r="ROA1" s="1"/>
      <c r="ROB1" s="1"/>
      <c r="ROC1" s="1"/>
      <c r="ROD1" s="1"/>
      <c r="ROE1" s="1"/>
      <c r="ROF1" s="1"/>
      <c r="ROG1" s="1"/>
      <c r="ROH1" s="1"/>
      <c r="ROI1" s="1"/>
      <c r="ROJ1" s="1"/>
      <c r="ROK1" s="1"/>
      <c r="ROL1" s="1"/>
      <c r="ROM1" s="1"/>
      <c r="RON1" s="1"/>
      <c r="ROO1" s="1"/>
      <c r="ROP1" s="1"/>
      <c r="ROQ1" s="1"/>
      <c r="ROR1" s="1"/>
      <c r="ROS1" s="1"/>
      <c r="ROT1" s="1"/>
      <c r="ROU1" s="1"/>
      <c r="ROV1" s="1"/>
      <c r="ROW1" s="1"/>
      <c r="ROX1" s="1"/>
      <c r="ROY1" s="1"/>
      <c r="ROZ1" s="1"/>
      <c r="RPA1" s="1"/>
      <c r="RPB1" s="1"/>
      <c r="RPC1" s="1"/>
      <c r="RPD1" s="1"/>
      <c r="RPE1" s="1"/>
      <c r="RPF1" s="1"/>
      <c r="RPG1" s="1"/>
      <c r="RPH1" s="1"/>
      <c r="RPI1" s="1"/>
      <c r="RPJ1" s="1"/>
      <c r="RPK1" s="1"/>
      <c r="RPL1" s="1"/>
      <c r="RPM1" s="1"/>
      <c r="RPN1" s="1"/>
      <c r="RPO1" s="1"/>
      <c r="RPP1" s="1"/>
      <c r="RPQ1" s="1"/>
      <c r="RPR1" s="1"/>
      <c r="RPS1" s="1"/>
      <c r="RPT1" s="1"/>
      <c r="RPU1" s="1"/>
      <c r="RPV1" s="1"/>
      <c r="RPW1" s="1"/>
      <c r="RPX1" s="1"/>
      <c r="RPY1" s="1"/>
      <c r="RPZ1" s="1"/>
      <c r="RQA1" s="1"/>
      <c r="RQB1" s="1"/>
      <c r="RQC1" s="1"/>
      <c r="RQD1" s="1"/>
      <c r="RQE1" s="1"/>
      <c r="RQF1" s="1"/>
      <c r="RQG1" s="1"/>
      <c r="RQH1" s="1"/>
      <c r="RQI1" s="1"/>
      <c r="RQJ1" s="1"/>
      <c r="RQK1" s="1"/>
      <c r="RQL1" s="1"/>
      <c r="RQM1" s="1"/>
      <c r="RQN1" s="1"/>
      <c r="RQO1" s="1"/>
      <c r="RQP1" s="1"/>
      <c r="RQQ1" s="1"/>
      <c r="RQR1" s="1"/>
      <c r="RQS1" s="1"/>
      <c r="RQT1" s="1"/>
      <c r="RQU1" s="1"/>
      <c r="RQV1" s="1"/>
      <c r="RQW1" s="1"/>
      <c r="RQX1" s="1"/>
      <c r="RQY1" s="1"/>
      <c r="RQZ1" s="1"/>
      <c r="RRA1" s="1"/>
      <c r="RRB1" s="1"/>
      <c r="RRC1" s="1"/>
      <c r="RRD1" s="1"/>
      <c r="RRE1" s="1"/>
      <c r="RRF1" s="1"/>
      <c r="RRG1" s="1"/>
      <c r="RRH1" s="1"/>
      <c r="RRI1" s="1"/>
      <c r="RRJ1" s="1"/>
      <c r="RRK1" s="1"/>
      <c r="RRL1" s="1"/>
      <c r="RRM1" s="1"/>
      <c r="RRN1" s="1"/>
      <c r="RRO1" s="1"/>
      <c r="RRP1" s="1"/>
      <c r="RRQ1" s="1"/>
      <c r="RRR1" s="1"/>
      <c r="RRS1" s="1"/>
      <c r="RRT1" s="1"/>
      <c r="RRU1" s="1"/>
      <c r="RRV1" s="1"/>
      <c r="RRW1" s="1"/>
      <c r="RRX1" s="1"/>
      <c r="RRY1" s="1"/>
      <c r="RRZ1" s="1"/>
      <c r="RSA1" s="1"/>
      <c r="RSB1" s="1"/>
      <c r="RSC1" s="1"/>
      <c r="RSD1" s="1"/>
      <c r="RSE1" s="1"/>
      <c r="RSF1" s="1"/>
      <c r="RSG1" s="1"/>
      <c r="RSH1" s="1"/>
      <c r="RSI1" s="1"/>
      <c r="RSJ1" s="1"/>
      <c r="RSK1" s="1"/>
      <c r="RSL1" s="1"/>
      <c r="RSM1" s="1"/>
      <c r="RSN1" s="1"/>
      <c r="RSO1" s="1"/>
      <c r="RSP1" s="1"/>
      <c r="RSQ1" s="1"/>
      <c r="RSR1" s="1"/>
      <c r="RSS1" s="1"/>
      <c r="RST1" s="1"/>
      <c r="RSU1" s="1"/>
      <c r="RSV1" s="1"/>
      <c r="RSW1" s="1"/>
      <c r="RSX1" s="1"/>
      <c r="RSY1" s="1"/>
      <c r="RSZ1" s="1"/>
      <c r="RTA1" s="1"/>
      <c r="RTB1" s="1"/>
      <c r="RTC1" s="1"/>
      <c r="RTD1" s="1"/>
      <c r="RTE1" s="1"/>
      <c r="RTF1" s="1"/>
      <c r="RTG1" s="1"/>
      <c r="RTH1" s="1"/>
      <c r="RTI1" s="1"/>
      <c r="RTJ1" s="1"/>
      <c r="RTK1" s="1"/>
      <c r="RTL1" s="1"/>
      <c r="RTM1" s="1"/>
      <c r="RTN1" s="1"/>
      <c r="RTO1" s="1"/>
      <c r="RTP1" s="1"/>
      <c r="RTQ1" s="1"/>
      <c r="RTR1" s="1"/>
      <c r="RTS1" s="1"/>
      <c r="RTT1" s="1"/>
      <c r="RTU1" s="1"/>
      <c r="RTV1" s="1"/>
      <c r="RTW1" s="1"/>
      <c r="RTX1" s="1"/>
      <c r="RTY1" s="1"/>
      <c r="RTZ1" s="1"/>
      <c r="RUA1" s="1"/>
      <c r="RUB1" s="1"/>
      <c r="RUC1" s="1"/>
      <c r="RUD1" s="1"/>
      <c r="RUE1" s="1"/>
      <c r="RUF1" s="1"/>
      <c r="RUG1" s="1"/>
      <c r="RUH1" s="1"/>
      <c r="RUI1" s="1"/>
      <c r="RUJ1" s="1"/>
      <c r="RUK1" s="1"/>
      <c r="RUL1" s="1"/>
      <c r="RUM1" s="1"/>
      <c r="RUN1" s="1"/>
      <c r="RUO1" s="1"/>
      <c r="RUP1" s="1"/>
      <c r="RUQ1" s="1"/>
      <c r="RUR1" s="1"/>
      <c r="RUS1" s="1"/>
      <c r="RUT1" s="1"/>
      <c r="RUU1" s="1"/>
      <c r="RUV1" s="1"/>
      <c r="RUW1" s="1"/>
      <c r="RUX1" s="1"/>
      <c r="RUY1" s="1"/>
      <c r="RUZ1" s="1"/>
      <c r="RVA1" s="1"/>
      <c r="RVB1" s="1"/>
      <c r="RVC1" s="1"/>
      <c r="RVD1" s="1"/>
      <c r="RVE1" s="1"/>
      <c r="RVF1" s="1"/>
      <c r="RVG1" s="1"/>
      <c r="RVH1" s="1"/>
      <c r="RVI1" s="1"/>
      <c r="RVJ1" s="1"/>
      <c r="RVK1" s="1"/>
      <c r="RVL1" s="1"/>
      <c r="RVM1" s="1"/>
      <c r="RVN1" s="1"/>
      <c r="RVO1" s="1"/>
      <c r="RVP1" s="1"/>
      <c r="RVQ1" s="1"/>
      <c r="RVR1" s="1"/>
      <c r="RVS1" s="1"/>
      <c r="RVT1" s="1"/>
      <c r="RVU1" s="1"/>
      <c r="RVV1" s="1"/>
      <c r="RVW1" s="1"/>
      <c r="RVX1" s="1"/>
      <c r="RVY1" s="1"/>
      <c r="RVZ1" s="1"/>
      <c r="RWA1" s="1"/>
      <c r="RWB1" s="1"/>
      <c r="RWC1" s="1"/>
      <c r="RWD1" s="1"/>
      <c r="RWE1" s="1"/>
      <c r="RWF1" s="1"/>
      <c r="RWG1" s="1"/>
      <c r="RWH1" s="1"/>
      <c r="RWI1" s="1"/>
      <c r="RWJ1" s="1"/>
      <c r="RWK1" s="1"/>
      <c r="RWL1" s="1"/>
      <c r="RWM1" s="1"/>
      <c r="RWN1" s="1"/>
      <c r="RWO1" s="1"/>
      <c r="RWP1" s="1"/>
      <c r="RWQ1" s="1"/>
      <c r="RWR1" s="1"/>
      <c r="RWS1" s="1"/>
      <c r="RWT1" s="1"/>
      <c r="RWU1" s="1"/>
      <c r="RWV1" s="1"/>
      <c r="RWW1" s="1"/>
      <c r="RWX1" s="1"/>
      <c r="RWY1" s="1"/>
      <c r="RWZ1" s="1"/>
      <c r="RXA1" s="1"/>
      <c r="RXB1" s="1"/>
      <c r="RXC1" s="1"/>
      <c r="RXD1" s="1"/>
      <c r="RXE1" s="1"/>
      <c r="RXF1" s="1"/>
      <c r="RXG1" s="1"/>
      <c r="RXH1" s="1"/>
      <c r="RXI1" s="1"/>
      <c r="RXJ1" s="1"/>
      <c r="RXK1" s="1"/>
      <c r="RXL1" s="1"/>
      <c r="RXM1" s="1"/>
      <c r="RXN1" s="1"/>
      <c r="RXO1" s="1"/>
      <c r="RXP1" s="1"/>
      <c r="RXQ1" s="1"/>
      <c r="RXR1" s="1"/>
      <c r="RXS1" s="1"/>
      <c r="RXT1" s="1"/>
      <c r="RXU1" s="1"/>
      <c r="RXV1" s="1"/>
      <c r="RXW1" s="1"/>
      <c r="RXX1" s="1"/>
      <c r="RXY1" s="1"/>
      <c r="RXZ1" s="1"/>
      <c r="RYA1" s="1"/>
      <c r="RYB1" s="1"/>
      <c r="RYC1" s="1"/>
      <c r="RYD1" s="1"/>
      <c r="RYE1" s="1"/>
      <c r="RYF1" s="1"/>
      <c r="RYG1" s="1"/>
      <c r="RYH1" s="1"/>
      <c r="RYI1" s="1"/>
      <c r="RYJ1" s="1"/>
      <c r="RYK1" s="1"/>
      <c r="RYL1" s="1"/>
      <c r="RYM1" s="1"/>
      <c r="RYN1" s="1"/>
      <c r="RYO1" s="1"/>
      <c r="RYP1" s="1"/>
      <c r="RYQ1" s="1"/>
      <c r="RYR1" s="1"/>
      <c r="RYS1" s="1"/>
      <c r="RYT1" s="1"/>
      <c r="RYU1" s="1"/>
      <c r="RYV1" s="1"/>
      <c r="RYW1" s="1"/>
      <c r="RYX1" s="1"/>
      <c r="RYY1" s="1"/>
      <c r="RYZ1" s="1"/>
      <c r="RZA1" s="1"/>
      <c r="RZB1" s="1"/>
      <c r="RZC1" s="1"/>
      <c r="RZD1" s="1"/>
      <c r="RZE1" s="1"/>
      <c r="RZF1" s="1"/>
      <c r="RZG1" s="1"/>
      <c r="RZH1" s="1"/>
      <c r="RZI1" s="1"/>
      <c r="RZJ1" s="1"/>
      <c r="RZK1" s="1"/>
      <c r="RZL1" s="1"/>
      <c r="RZM1" s="1"/>
      <c r="RZN1" s="1"/>
      <c r="RZO1" s="1"/>
      <c r="RZP1" s="1"/>
      <c r="RZQ1" s="1"/>
      <c r="RZR1" s="1"/>
      <c r="RZS1" s="1"/>
      <c r="RZT1" s="1"/>
      <c r="RZU1" s="1"/>
      <c r="RZV1" s="1"/>
      <c r="RZW1" s="1"/>
      <c r="RZX1" s="1"/>
      <c r="RZY1" s="1"/>
      <c r="RZZ1" s="1"/>
      <c r="SAA1" s="1"/>
      <c r="SAB1" s="1"/>
      <c r="SAC1" s="1"/>
      <c r="SAD1" s="1"/>
      <c r="SAE1" s="1"/>
      <c r="SAF1" s="1"/>
      <c r="SAG1" s="1"/>
      <c r="SAH1" s="1"/>
      <c r="SAI1" s="1"/>
      <c r="SAJ1" s="1"/>
      <c r="SAK1" s="1"/>
      <c r="SAL1" s="1"/>
      <c r="SAM1" s="1"/>
      <c r="SAN1" s="1"/>
      <c r="SAO1" s="1"/>
      <c r="SAP1" s="1"/>
      <c r="SAQ1" s="1"/>
      <c r="SAR1" s="1"/>
      <c r="SAS1" s="1"/>
      <c r="SAT1" s="1"/>
      <c r="SAU1" s="1"/>
      <c r="SAV1" s="1"/>
      <c r="SAW1" s="1"/>
      <c r="SAX1" s="1"/>
      <c r="SAY1" s="1"/>
      <c r="SAZ1" s="1"/>
      <c r="SBA1" s="1"/>
      <c r="SBB1" s="1"/>
      <c r="SBC1" s="1"/>
      <c r="SBD1" s="1"/>
      <c r="SBE1" s="1"/>
      <c r="SBF1" s="1"/>
      <c r="SBG1" s="1"/>
      <c r="SBH1" s="1"/>
      <c r="SBI1" s="1"/>
      <c r="SBJ1" s="1"/>
      <c r="SBK1" s="1"/>
      <c r="SBL1" s="1"/>
      <c r="SBM1" s="1"/>
      <c r="SBN1" s="1"/>
      <c r="SBO1" s="1"/>
      <c r="SBP1" s="1"/>
      <c r="SBQ1" s="1"/>
      <c r="SBR1" s="1"/>
      <c r="SBS1" s="1"/>
      <c r="SBT1" s="1"/>
      <c r="SBU1" s="1"/>
      <c r="SBV1" s="1"/>
      <c r="SBW1" s="1"/>
      <c r="SBX1" s="1"/>
      <c r="SBY1" s="1"/>
      <c r="SBZ1" s="1"/>
      <c r="SCA1" s="1"/>
      <c r="SCB1" s="1"/>
      <c r="SCC1" s="1"/>
      <c r="SCD1" s="1"/>
      <c r="SCE1" s="1"/>
      <c r="SCF1" s="1"/>
      <c r="SCG1" s="1"/>
      <c r="SCH1" s="1"/>
      <c r="SCI1" s="1"/>
      <c r="SCJ1" s="1"/>
      <c r="SCK1" s="1"/>
      <c r="SCL1" s="1"/>
      <c r="SCM1" s="1"/>
      <c r="SCN1" s="1"/>
      <c r="SCO1" s="1"/>
      <c r="SCP1" s="1"/>
      <c r="SCQ1" s="1"/>
      <c r="SCR1" s="1"/>
      <c r="SCS1" s="1"/>
      <c r="SCT1" s="1"/>
      <c r="SCU1" s="1"/>
      <c r="SCV1" s="1"/>
      <c r="SCW1" s="1"/>
      <c r="SCX1" s="1"/>
      <c r="SCY1" s="1"/>
      <c r="SCZ1" s="1"/>
      <c r="SDA1" s="1"/>
      <c r="SDB1" s="1"/>
      <c r="SDC1" s="1"/>
      <c r="SDD1" s="1"/>
      <c r="SDE1" s="1"/>
      <c r="SDF1" s="1"/>
      <c r="SDG1" s="1"/>
      <c r="SDH1" s="1"/>
      <c r="SDI1" s="1"/>
      <c r="SDJ1" s="1"/>
      <c r="SDK1" s="1"/>
      <c r="SDL1" s="1"/>
      <c r="SDM1" s="1"/>
      <c r="SDN1" s="1"/>
      <c r="SDO1" s="1"/>
      <c r="SDP1" s="1"/>
      <c r="SDQ1" s="1"/>
      <c r="SDR1" s="1"/>
      <c r="SDS1" s="1"/>
      <c r="SDT1" s="1"/>
      <c r="SDU1" s="1"/>
      <c r="SDV1" s="1"/>
      <c r="SDW1" s="1"/>
      <c r="SDX1" s="1"/>
      <c r="SDY1" s="1"/>
      <c r="SDZ1" s="1"/>
      <c r="SEA1" s="1"/>
      <c r="SEB1" s="1"/>
      <c r="SEC1" s="1"/>
      <c r="SED1" s="1"/>
      <c r="SEE1" s="1"/>
      <c r="SEF1" s="1"/>
      <c r="SEG1" s="1"/>
      <c r="SEH1" s="1"/>
      <c r="SEI1" s="1"/>
      <c r="SEJ1" s="1"/>
      <c r="SEK1" s="1"/>
      <c r="SEL1" s="1"/>
      <c r="SEM1" s="1"/>
      <c r="SEN1" s="1"/>
      <c r="SEO1" s="1"/>
      <c r="SEP1" s="1"/>
      <c r="SEQ1" s="1"/>
      <c r="SER1" s="1"/>
      <c r="SES1" s="1"/>
      <c r="SET1" s="1"/>
      <c r="SEU1" s="1"/>
      <c r="SEV1" s="1"/>
      <c r="SEW1" s="1"/>
      <c r="SEX1" s="1"/>
      <c r="SEY1" s="1"/>
      <c r="SEZ1" s="1"/>
      <c r="SFA1" s="1"/>
      <c r="SFB1" s="1"/>
      <c r="SFC1" s="1"/>
      <c r="SFD1" s="1"/>
      <c r="SFE1" s="1"/>
      <c r="SFF1" s="1"/>
      <c r="SFG1" s="1"/>
      <c r="SFH1" s="1"/>
      <c r="SFI1" s="1"/>
      <c r="SFJ1" s="1"/>
      <c r="SFK1" s="1"/>
      <c r="SFL1" s="1"/>
      <c r="SFM1" s="1"/>
      <c r="SFN1" s="1"/>
      <c r="SFO1" s="1"/>
      <c r="SFP1" s="1"/>
      <c r="SFQ1" s="1"/>
      <c r="SFR1" s="1"/>
      <c r="SFS1" s="1"/>
      <c r="SFT1" s="1"/>
      <c r="SFU1" s="1"/>
      <c r="SFV1" s="1"/>
      <c r="SFW1" s="1"/>
      <c r="SFX1" s="1"/>
      <c r="SFY1" s="1"/>
      <c r="SFZ1" s="1"/>
      <c r="SGA1" s="1"/>
      <c r="SGB1" s="1"/>
      <c r="SGC1" s="1"/>
      <c r="SGD1" s="1"/>
      <c r="SGE1" s="1"/>
      <c r="SGF1" s="1"/>
      <c r="SGG1" s="1"/>
      <c r="SGH1" s="1"/>
      <c r="SGI1" s="1"/>
      <c r="SGJ1" s="1"/>
      <c r="SGK1" s="1"/>
      <c r="SGL1" s="1"/>
      <c r="SGM1" s="1"/>
      <c r="SGN1" s="1"/>
      <c r="SGO1" s="1"/>
      <c r="SGP1" s="1"/>
      <c r="SGQ1" s="1"/>
      <c r="SGR1" s="1"/>
      <c r="SGS1" s="1"/>
      <c r="SGT1" s="1"/>
      <c r="SGU1" s="1"/>
      <c r="SGV1" s="1"/>
      <c r="SGW1" s="1"/>
      <c r="SGX1" s="1"/>
      <c r="SGY1" s="1"/>
      <c r="SGZ1" s="1"/>
      <c r="SHA1" s="1"/>
      <c r="SHB1" s="1"/>
      <c r="SHC1" s="1"/>
      <c r="SHD1" s="1"/>
      <c r="SHE1" s="1"/>
      <c r="SHF1" s="1"/>
      <c r="SHG1" s="1"/>
      <c r="SHH1" s="1"/>
      <c r="SHI1" s="1"/>
      <c r="SHJ1" s="1"/>
      <c r="SHK1" s="1"/>
      <c r="SHL1" s="1"/>
      <c r="SHM1" s="1"/>
      <c r="SHN1" s="1"/>
      <c r="SHO1" s="1"/>
      <c r="SHP1" s="1"/>
      <c r="SHQ1" s="1"/>
      <c r="SHR1" s="1"/>
      <c r="SHS1" s="1"/>
      <c r="SHT1" s="1"/>
      <c r="SHU1" s="1"/>
      <c r="SHV1" s="1"/>
      <c r="SHW1" s="1"/>
      <c r="SHX1" s="1"/>
      <c r="SHY1" s="1"/>
      <c r="SHZ1" s="1"/>
      <c r="SIA1" s="1"/>
      <c r="SIB1" s="1"/>
      <c r="SIC1" s="1"/>
      <c r="SID1" s="1"/>
      <c r="SIE1" s="1"/>
      <c r="SIF1" s="1"/>
      <c r="SIG1" s="1"/>
      <c r="SIH1" s="1"/>
      <c r="SII1" s="1"/>
      <c r="SIJ1" s="1"/>
      <c r="SIK1" s="1"/>
      <c r="SIL1" s="1"/>
      <c r="SIM1" s="1"/>
      <c r="SIN1" s="1"/>
      <c r="SIO1" s="1"/>
      <c r="SIP1" s="1"/>
      <c r="SIQ1" s="1"/>
      <c r="SIR1" s="1"/>
      <c r="SIS1" s="1"/>
      <c r="SIT1" s="1"/>
      <c r="SIU1" s="1"/>
      <c r="SIV1" s="1"/>
      <c r="SIW1" s="1"/>
      <c r="SIX1" s="1"/>
      <c r="SIY1" s="1"/>
      <c r="SIZ1" s="1"/>
      <c r="SJA1" s="1"/>
      <c r="SJB1" s="1"/>
      <c r="SJC1" s="1"/>
      <c r="SJD1" s="1"/>
      <c r="SJE1" s="1"/>
      <c r="SJF1" s="1"/>
      <c r="SJG1" s="1"/>
      <c r="SJH1" s="1"/>
      <c r="SJI1" s="1"/>
      <c r="SJJ1" s="1"/>
      <c r="SJK1" s="1"/>
      <c r="SJL1" s="1"/>
      <c r="SJM1" s="1"/>
      <c r="SJN1" s="1"/>
      <c r="SJO1" s="1"/>
      <c r="SJP1" s="1"/>
      <c r="SJQ1" s="1"/>
      <c r="SJR1" s="1"/>
      <c r="SJS1" s="1"/>
      <c r="SJT1" s="1"/>
      <c r="SJU1" s="1"/>
      <c r="SJV1" s="1"/>
      <c r="SJW1" s="1"/>
      <c r="SJX1" s="1"/>
      <c r="SJY1" s="1"/>
      <c r="SJZ1" s="1"/>
      <c r="SKA1" s="1"/>
      <c r="SKB1" s="1"/>
      <c r="SKC1" s="1"/>
      <c r="SKD1" s="1"/>
      <c r="SKE1" s="1"/>
      <c r="SKF1" s="1"/>
      <c r="SKG1" s="1"/>
      <c r="SKH1" s="1"/>
      <c r="SKI1" s="1"/>
      <c r="SKJ1" s="1"/>
      <c r="SKK1" s="1"/>
      <c r="SKL1" s="1"/>
      <c r="SKM1" s="1"/>
      <c r="SKN1" s="1"/>
      <c r="SKO1" s="1"/>
      <c r="SKP1" s="1"/>
      <c r="SKQ1" s="1"/>
      <c r="SKR1" s="1"/>
      <c r="SKS1" s="1"/>
      <c r="SKT1" s="1"/>
      <c r="SKU1" s="1"/>
      <c r="SKV1" s="1"/>
      <c r="SKW1" s="1"/>
      <c r="SKX1" s="1"/>
      <c r="SKY1" s="1"/>
      <c r="SKZ1" s="1"/>
      <c r="SLA1" s="1"/>
      <c r="SLB1" s="1"/>
      <c r="SLC1" s="1"/>
      <c r="SLD1" s="1"/>
      <c r="SLE1" s="1"/>
      <c r="SLF1" s="1"/>
      <c r="SLG1" s="1"/>
      <c r="SLH1" s="1"/>
      <c r="SLI1" s="1"/>
      <c r="SLJ1" s="1"/>
      <c r="SLK1" s="1"/>
      <c r="SLL1" s="1"/>
      <c r="SLM1" s="1"/>
      <c r="SLN1" s="1"/>
      <c r="SLO1" s="1"/>
      <c r="SLP1" s="1"/>
      <c r="SLQ1" s="1"/>
      <c r="SLR1" s="1"/>
      <c r="SLS1" s="1"/>
      <c r="SLT1" s="1"/>
      <c r="SLU1" s="1"/>
      <c r="SLV1" s="1"/>
      <c r="SLW1" s="1"/>
      <c r="SLX1" s="1"/>
      <c r="SLY1" s="1"/>
      <c r="SLZ1" s="1"/>
      <c r="SMA1" s="1"/>
      <c r="SMB1" s="1"/>
      <c r="SMC1" s="1"/>
      <c r="SMD1" s="1"/>
      <c r="SME1" s="1"/>
      <c r="SMF1" s="1"/>
      <c r="SMG1" s="1"/>
      <c r="SMH1" s="1"/>
      <c r="SMI1" s="1"/>
      <c r="SMJ1" s="1"/>
      <c r="SMK1" s="1"/>
      <c r="SML1" s="1"/>
      <c r="SMM1" s="1"/>
      <c r="SMN1" s="1"/>
      <c r="SMO1" s="1"/>
      <c r="SMP1" s="1"/>
      <c r="SMQ1" s="1"/>
      <c r="SMR1" s="1"/>
      <c r="SMS1" s="1"/>
      <c r="SMT1" s="1"/>
      <c r="SMU1" s="1"/>
      <c r="SMV1" s="1"/>
      <c r="SMW1" s="1"/>
      <c r="SMX1" s="1"/>
      <c r="SMY1" s="1"/>
      <c r="SMZ1" s="1"/>
      <c r="SNA1" s="1"/>
      <c r="SNB1" s="1"/>
      <c r="SNC1" s="1"/>
      <c r="SND1" s="1"/>
      <c r="SNE1" s="1"/>
      <c r="SNF1" s="1"/>
      <c r="SNG1" s="1"/>
      <c r="SNH1" s="1"/>
      <c r="SNI1" s="1"/>
      <c r="SNJ1" s="1"/>
      <c r="SNK1" s="1"/>
      <c r="SNL1" s="1"/>
      <c r="SNM1" s="1"/>
      <c r="SNN1" s="1"/>
      <c r="SNO1" s="1"/>
      <c r="SNP1" s="1"/>
      <c r="SNQ1" s="1"/>
      <c r="SNR1" s="1"/>
      <c r="SNS1" s="1"/>
      <c r="SNT1" s="1"/>
      <c r="SNU1" s="1"/>
      <c r="SNV1" s="1"/>
      <c r="SNW1" s="1"/>
      <c r="SNX1" s="1"/>
      <c r="SNY1" s="1"/>
      <c r="SNZ1" s="1"/>
      <c r="SOA1" s="1"/>
      <c r="SOB1" s="1"/>
      <c r="SOC1" s="1"/>
      <c r="SOD1" s="1"/>
      <c r="SOE1" s="1"/>
      <c r="SOF1" s="1"/>
      <c r="SOG1" s="1"/>
      <c r="SOH1" s="1"/>
      <c r="SOI1" s="1"/>
      <c r="SOJ1" s="1"/>
      <c r="SOK1" s="1"/>
      <c r="SOL1" s="1"/>
      <c r="SOM1" s="1"/>
      <c r="SON1" s="1"/>
      <c r="SOO1" s="1"/>
      <c r="SOP1" s="1"/>
      <c r="SOQ1" s="1"/>
      <c r="SOR1" s="1"/>
      <c r="SOS1" s="1"/>
      <c r="SOT1" s="1"/>
      <c r="SOU1" s="1"/>
      <c r="SOV1" s="1"/>
      <c r="SOW1" s="1"/>
      <c r="SOX1" s="1"/>
      <c r="SOY1" s="1"/>
      <c r="SOZ1" s="1"/>
      <c r="SPA1" s="1"/>
      <c r="SPB1" s="1"/>
      <c r="SPC1" s="1"/>
      <c r="SPD1" s="1"/>
      <c r="SPE1" s="1"/>
      <c r="SPF1" s="1"/>
      <c r="SPG1" s="1"/>
      <c r="SPH1" s="1"/>
      <c r="SPI1" s="1"/>
      <c r="SPJ1" s="1"/>
      <c r="SPK1" s="1"/>
      <c r="SPL1" s="1"/>
      <c r="SPM1" s="1"/>
      <c r="SPN1" s="1"/>
      <c r="SPO1" s="1"/>
      <c r="SPP1" s="1"/>
      <c r="SPQ1" s="1"/>
      <c r="SPR1" s="1"/>
      <c r="SPS1" s="1"/>
      <c r="SPT1" s="1"/>
      <c r="SPU1" s="1"/>
      <c r="SPV1" s="1"/>
      <c r="SPW1" s="1"/>
      <c r="SPX1" s="1"/>
      <c r="SPY1" s="1"/>
      <c r="SPZ1" s="1"/>
      <c r="SQA1" s="1"/>
      <c r="SQB1" s="1"/>
      <c r="SQC1" s="1"/>
      <c r="SQD1" s="1"/>
      <c r="SQE1" s="1"/>
      <c r="SQF1" s="1"/>
      <c r="SQG1" s="1"/>
      <c r="SQH1" s="1"/>
      <c r="SQI1" s="1"/>
      <c r="SQJ1" s="1"/>
      <c r="SQK1" s="1"/>
      <c r="SQL1" s="1"/>
      <c r="SQM1" s="1"/>
      <c r="SQN1" s="1"/>
      <c r="SQO1" s="1"/>
      <c r="SQP1" s="1"/>
      <c r="SQQ1" s="1"/>
      <c r="SQR1" s="1"/>
      <c r="SQS1" s="1"/>
      <c r="SQT1" s="1"/>
      <c r="SQU1" s="1"/>
      <c r="SQV1" s="1"/>
      <c r="SQW1" s="1"/>
      <c r="SQX1" s="1"/>
      <c r="SQY1" s="1"/>
      <c r="SQZ1" s="1"/>
      <c r="SRA1" s="1"/>
      <c r="SRB1" s="1"/>
      <c r="SRC1" s="1"/>
      <c r="SRD1" s="1"/>
      <c r="SRE1" s="1"/>
      <c r="SRF1" s="1"/>
      <c r="SRG1" s="1"/>
      <c r="SRH1" s="1"/>
      <c r="SRI1" s="1"/>
      <c r="SRJ1" s="1"/>
      <c r="SRK1" s="1"/>
      <c r="SRL1" s="1"/>
      <c r="SRM1" s="1"/>
      <c r="SRN1" s="1"/>
      <c r="SRO1" s="1"/>
      <c r="SRP1" s="1"/>
      <c r="SRQ1" s="1"/>
      <c r="SRR1" s="1"/>
      <c r="SRS1" s="1"/>
      <c r="SRT1" s="1"/>
      <c r="SRU1" s="1"/>
      <c r="SRV1" s="1"/>
      <c r="SRW1" s="1"/>
      <c r="SRX1" s="1"/>
      <c r="SRY1" s="1"/>
      <c r="SRZ1" s="1"/>
      <c r="SSA1" s="1"/>
      <c r="SSB1" s="1"/>
      <c r="SSC1" s="1"/>
      <c r="SSD1" s="1"/>
      <c r="SSE1" s="1"/>
      <c r="SSF1" s="1"/>
      <c r="SSG1" s="1"/>
      <c r="SSH1" s="1"/>
      <c r="SSI1" s="1"/>
      <c r="SSJ1" s="1"/>
      <c r="SSK1" s="1"/>
      <c r="SSL1" s="1"/>
      <c r="SSM1" s="1"/>
      <c r="SSN1" s="1"/>
      <c r="SSO1" s="1"/>
      <c r="SSP1" s="1"/>
      <c r="SSQ1" s="1"/>
      <c r="SSR1" s="1"/>
      <c r="SSS1" s="1"/>
      <c r="SST1" s="1"/>
      <c r="SSU1" s="1"/>
      <c r="SSV1" s="1"/>
      <c r="SSW1" s="1"/>
      <c r="SSX1" s="1"/>
      <c r="SSY1" s="1"/>
      <c r="SSZ1" s="1"/>
      <c r="STA1" s="1"/>
      <c r="STB1" s="1"/>
      <c r="STC1" s="1"/>
      <c r="STD1" s="1"/>
      <c r="STE1" s="1"/>
      <c r="STF1" s="1"/>
      <c r="STG1" s="1"/>
      <c r="STH1" s="1"/>
      <c r="STI1" s="1"/>
      <c r="STJ1" s="1"/>
      <c r="STK1" s="1"/>
      <c r="STL1" s="1"/>
      <c r="STM1" s="1"/>
      <c r="STN1" s="1"/>
      <c r="STO1" s="1"/>
      <c r="STP1" s="1"/>
      <c r="STQ1" s="1"/>
      <c r="STR1" s="1"/>
      <c r="STS1" s="1"/>
      <c r="STT1" s="1"/>
      <c r="STU1" s="1"/>
      <c r="STV1" s="1"/>
      <c r="STW1" s="1"/>
      <c r="STX1" s="1"/>
      <c r="STY1" s="1"/>
      <c r="STZ1" s="1"/>
      <c r="SUA1" s="1"/>
      <c r="SUB1" s="1"/>
      <c r="SUC1" s="1"/>
      <c r="SUD1" s="1"/>
      <c r="SUE1" s="1"/>
      <c r="SUF1" s="1"/>
      <c r="SUG1" s="1"/>
      <c r="SUH1" s="1"/>
      <c r="SUI1" s="1"/>
      <c r="SUJ1" s="1"/>
      <c r="SUK1" s="1"/>
      <c r="SUL1" s="1"/>
      <c r="SUM1" s="1"/>
      <c r="SUN1" s="1"/>
      <c r="SUO1" s="1"/>
      <c r="SUP1" s="1"/>
      <c r="SUQ1" s="1"/>
      <c r="SUR1" s="1"/>
      <c r="SUS1" s="1"/>
      <c r="SUT1" s="1"/>
      <c r="SUU1" s="1"/>
      <c r="SUV1" s="1"/>
      <c r="SUW1" s="1"/>
      <c r="SUX1" s="1"/>
      <c r="SUY1" s="1"/>
      <c r="SUZ1" s="1"/>
      <c r="SVA1" s="1"/>
      <c r="SVB1" s="1"/>
      <c r="SVC1" s="1"/>
      <c r="SVD1" s="1"/>
      <c r="SVE1" s="1"/>
      <c r="SVF1" s="1"/>
      <c r="SVG1" s="1"/>
      <c r="SVH1" s="1"/>
      <c r="SVI1" s="1"/>
      <c r="SVJ1" s="1"/>
      <c r="SVK1" s="1"/>
      <c r="SVL1" s="1"/>
      <c r="SVM1" s="1"/>
      <c r="SVN1" s="1"/>
      <c r="SVO1" s="1"/>
      <c r="SVP1" s="1"/>
      <c r="SVQ1" s="1"/>
      <c r="SVR1" s="1"/>
      <c r="SVS1" s="1"/>
      <c r="SVT1" s="1"/>
      <c r="SVU1" s="1"/>
      <c r="SVV1" s="1"/>
      <c r="SVW1" s="1"/>
      <c r="SVX1" s="1"/>
      <c r="SVY1" s="1"/>
      <c r="SVZ1" s="1"/>
      <c r="SWA1" s="1"/>
      <c r="SWB1" s="1"/>
      <c r="SWC1" s="1"/>
      <c r="SWD1" s="1"/>
      <c r="SWE1" s="1"/>
      <c r="SWF1" s="1"/>
      <c r="SWG1" s="1"/>
      <c r="SWH1" s="1"/>
      <c r="SWI1" s="1"/>
      <c r="SWJ1" s="1"/>
      <c r="SWK1" s="1"/>
      <c r="SWL1" s="1"/>
      <c r="SWM1" s="1"/>
      <c r="SWN1" s="1"/>
      <c r="SWO1" s="1"/>
      <c r="SWP1" s="1"/>
      <c r="SWQ1" s="1"/>
      <c r="SWR1" s="1"/>
      <c r="SWS1" s="1"/>
      <c r="SWT1" s="1"/>
      <c r="SWU1" s="1"/>
      <c r="SWV1" s="1"/>
      <c r="SWW1" s="1"/>
      <c r="SWX1" s="1"/>
      <c r="SWY1" s="1"/>
      <c r="SWZ1" s="1"/>
      <c r="SXA1" s="1"/>
      <c r="SXB1" s="1"/>
      <c r="SXC1" s="1"/>
      <c r="SXD1" s="1"/>
      <c r="SXE1" s="1"/>
      <c r="SXF1" s="1"/>
      <c r="SXG1" s="1"/>
      <c r="SXH1" s="1"/>
      <c r="SXI1" s="1"/>
      <c r="SXJ1" s="1"/>
      <c r="SXK1" s="1"/>
      <c r="SXL1" s="1"/>
      <c r="SXM1" s="1"/>
      <c r="SXN1" s="1"/>
      <c r="SXO1" s="1"/>
      <c r="SXP1" s="1"/>
      <c r="SXQ1" s="1"/>
      <c r="SXR1" s="1"/>
      <c r="SXS1" s="1"/>
      <c r="SXT1" s="1"/>
      <c r="SXU1" s="1"/>
      <c r="SXV1" s="1"/>
      <c r="SXW1" s="1"/>
      <c r="SXX1" s="1"/>
      <c r="SXY1" s="1"/>
      <c r="SXZ1" s="1"/>
      <c r="SYA1" s="1"/>
      <c r="SYB1" s="1"/>
      <c r="SYC1" s="1"/>
      <c r="SYD1" s="1"/>
      <c r="SYE1" s="1"/>
      <c r="SYF1" s="1"/>
      <c r="SYG1" s="1"/>
      <c r="SYH1" s="1"/>
      <c r="SYI1" s="1"/>
      <c r="SYJ1" s="1"/>
      <c r="SYK1" s="1"/>
      <c r="SYL1" s="1"/>
      <c r="SYM1" s="1"/>
      <c r="SYN1" s="1"/>
      <c r="SYO1" s="1"/>
      <c r="SYP1" s="1"/>
      <c r="SYQ1" s="1"/>
      <c r="SYR1" s="1"/>
      <c r="SYS1" s="1"/>
      <c r="SYT1" s="1"/>
      <c r="SYU1" s="1"/>
      <c r="SYV1" s="1"/>
      <c r="SYW1" s="1"/>
      <c r="SYX1" s="1"/>
      <c r="SYY1" s="1"/>
      <c r="SYZ1" s="1"/>
      <c r="SZA1" s="1"/>
      <c r="SZB1" s="1"/>
      <c r="SZC1" s="1"/>
      <c r="SZD1" s="1"/>
      <c r="SZE1" s="1"/>
      <c r="SZF1" s="1"/>
      <c r="SZG1" s="1"/>
      <c r="SZH1" s="1"/>
      <c r="SZI1" s="1"/>
      <c r="SZJ1" s="1"/>
      <c r="SZK1" s="1"/>
      <c r="SZL1" s="1"/>
      <c r="SZM1" s="1"/>
      <c r="SZN1" s="1"/>
      <c r="SZO1" s="1"/>
      <c r="SZP1" s="1"/>
      <c r="SZQ1" s="1"/>
      <c r="SZR1" s="1"/>
      <c r="SZS1" s="1"/>
      <c r="SZT1" s="1"/>
      <c r="SZU1" s="1"/>
      <c r="SZV1" s="1"/>
      <c r="SZW1" s="1"/>
      <c r="SZX1" s="1"/>
      <c r="SZY1" s="1"/>
      <c r="SZZ1" s="1"/>
      <c r="TAA1" s="1"/>
      <c r="TAB1" s="1"/>
      <c r="TAC1" s="1"/>
      <c r="TAD1" s="1"/>
      <c r="TAE1" s="1"/>
      <c r="TAF1" s="1"/>
      <c r="TAG1" s="1"/>
      <c r="TAH1" s="1"/>
      <c r="TAI1" s="1"/>
      <c r="TAJ1" s="1"/>
      <c r="TAK1" s="1"/>
      <c r="TAL1" s="1"/>
      <c r="TAM1" s="1"/>
      <c r="TAN1" s="1"/>
      <c r="TAO1" s="1"/>
      <c r="TAP1" s="1"/>
      <c r="TAQ1" s="1"/>
      <c r="TAR1" s="1"/>
      <c r="TAS1" s="1"/>
      <c r="TAT1" s="1"/>
      <c r="TAU1" s="1"/>
      <c r="TAV1" s="1"/>
      <c r="TAW1" s="1"/>
      <c r="TAX1" s="1"/>
      <c r="TAY1" s="1"/>
      <c r="TAZ1" s="1"/>
      <c r="TBA1" s="1"/>
      <c r="TBB1" s="1"/>
      <c r="TBC1" s="1"/>
      <c r="TBD1" s="1"/>
      <c r="TBE1" s="1"/>
      <c r="TBF1" s="1"/>
      <c r="TBG1" s="1"/>
      <c r="TBH1" s="1"/>
      <c r="TBI1" s="1"/>
      <c r="TBJ1" s="1"/>
      <c r="TBK1" s="1"/>
      <c r="TBL1" s="1"/>
      <c r="TBM1" s="1"/>
      <c r="TBN1" s="1"/>
      <c r="TBO1" s="1"/>
      <c r="TBP1" s="1"/>
      <c r="TBQ1" s="1"/>
      <c r="TBR1" s="1"/>
      <c r="TBS1" s="1"/>
      <c r="TBT1" s="1"/>
      <c r="TBU1" s="1"/>
      <c r="TBV1" s="1"/>
      <c r="TBW1" s="1"/>
      <c r="TBX1" s="1"/>
      <c r="TBY1" s="1"/>
      <c r="TBZ1" s="1"/>
      <c r="TCA1" s="1"/>
      <c r="TCB1" s="1"/>
      <c r="TCC1" s="1"/>
      <c r="TCD1" s="1"/>
      <c r="TCE1" s="1"/>
      <c r="TCF1" s="1"/>
      <c r="TCG1" s="1"/>
      <c r="TCH1" s="1"/>
      <c r="TCI1" s="1"/>
      <c r="TCJ1" s="1"/>
      <c r="TCK1" s="1"/>
      <c r="TCL1" s="1"/>
      <c r="TCM1" s="1"/>
      <c r="TCN1" s="1"/>
      <c r="TCO1" s="1"/>
      <c r="TCP1" s="1"/>
      <c r="TCQ1" s="1"/>
      <c r="TCR1" s="1"/>
      <c r="TCS1" s="1"/>
      <c r="TCT1" s="1"/>
      <c r="TCU1" s="1"/>
      <c r="TCV1" s="1"/>
      <c r="TCW1" s="1"/>
      <c r="TCX1" s="1"/>
      <c r="TCY1" s="1"/>
      <c r="TCZ1" s="1"/>
      <c r="TDA1" s="1"/>
      <c r="TDB1" s="1"/>
      <c r="TDC1" s="1"/>
      <c r="TDD1" s="1"/>
      <c r="TDE1" s="1"/>
      <c r="TDF1" s="1"/>
      <c r="TDG1" s="1"/>
      <c r="TDH1" s="1"/>
      <c r="TDI1" s="1"/>
      <c r="TDJ1" s="1"/>
      <c r="TDK1" s="1"/>
      <c r="TDL1" s="1"/>
      <c r="TDM1" s="1"/>
      <c r="TDN1" s="1"/>
      <c r="TDO1" s="1"/>
      <c r="TDP1" s="1"/>
      <c r="TDQ1" s="1"/>
      <c r="TDR1" s="1"/>
      <c r="TDS1" s="1"/>
      <c r="TDT1" s="1"/>
      <c r="TDU1" s="1"/>
      <c r="TDV1" s="1"/>
      <c r="TDW1" s="1"/>
      <c r="TDX1" s="1"/>
      <c r="TDY1" s="1"/>
      <c r="TDZ1" s="1"/>
      <c r="TEA1" s="1"/>
      <c r="TEB1" s="1"/>
      <c r="TEC1" s="1"/>
      <c r="TED1" s="1"/>
      <c r="TEE1" s="1"/>
      <c r="TEF1" s="1"/>
      <c r="TEG1" s="1"/>
      <c r="TEH1" s="1"/>
      <c r="TEI1" s="1"/>
      <c r="TEJ1" s="1"/>
      <c r="TEK1" s="1"/>
      <c r="TEL1" s="1"/>
      <c r="TEM1" s="1"/>
      <c r="TEN1" s="1"/>
      <c r="TEO1" s="1"/>
      <c r="TEP1" s="1"/>
      <c r="TEQ1" s="1"/>
      <c r="TER1" s="1"/>
      <c r="TES1" s="1"/>
      <c r="TET1" s="1"/>
      <c r="TEU1" s="1"/>
      <c r="TEV1" s="1"/>
      <c r="TEW1" s="1"/>
      <c r="TEX1" s="1"/>
      <c r="TEY1" s="1"/>
      <c r="TEZ1" s="1"/>
      <c r="TFA1" s="1"/>
      <c r="TFB1" s="1"/>
      <c r="TFC1" s="1"/>
      <c r="TFD1" s="1"/>
      <c r="TFE1" s="1"/>
      <c r="TFF1" s="1"/>
      <c r="TFG1" s="1"/>
      <c r="TFH1" s="1"/>
      <c r="TFI1" s="1"/>
      <c r="TFJ1" s="1"/>
      <c r="TFK1" s="1"/>
      <c r="TFL1" s="1"/>
      <c r="TFM1" s="1"/>
      <c r="TFN1" s="1"/>
      <c r="TFO1" s="1"/>
      <c r="TFP1" s="1"/>
      <c r="TFQ1" s="1"/>
      <c r="TFR1" s="1"/>
      <c r="TFS1" s="1"/>
      <c r="TFT1" s="1"/>
      <c r="TFU1" s="1"/>
      <c r="TFV1" s="1"/>
      <c r="TFW1" s="1"/>
      <c r="TFX1" s="1"/>
      <c r="TFY1" s="1"/>
      <c r="TFZ1" s="1"/>
      <c r="TGA1" s="1"/>
      <c r="TGB1" s="1"/>
      <c r="TGC1" s="1"/>
      <c r="TGD1" s="1"/>
      <c r="TGE1" s="1"/>
      <c r="TGF1" s="1"/>
      <c r="TGG1" s="1"/>
      <c r="TGH1" s="1"/>
      <c r="TGI1" s="1"/>
      <c r="TGJ1" s="1"/>
      <c r="TGK1" s="1"/>
      <c r="TGL1" s="1"/>
      <c r="TGM1" s="1"/>
      <c r="TGN1" s="1"/>
      <c r="TGO1" s="1"/>
      <c r="TGP1" s="1"/>
      <c r="TGQ1" s="1"/>
      <c r="TGR1" s="1"/>
      <c r="TGS1" s="1"/>
      <c r="TGT1" s="1"/>
      <c r="TGU1" s="1"/>
      <c r="TGV1" s="1"/>
      <c r="TGW1" s="1"/>
      <c r="TGX1" s="1"/>
      <c r="TGY1" s="1"/>
      <c r="TGZ1" s="1"/>
      <c r="THA1" s="1"/>
      <c r="THB1" s="1"/>
      <c r="THC1" s="1"/>
      <c r="THD1" s="1"/>
      <c r="THE1" s="1"/>
      <c r="THF1" s="1"/>
      <c r="THG1" s="1"/>
      <c r="THH1" s="1"/>
      <c r="THI1" s="1"/>
      <c r="THJ1" s="1"/>
      <c r="THK1" s="1"/>
      <c r="THL1" s="1"/>
      <c r="THM1" s="1"/>
      <c r="THN1" s="1"/>
      <c r="THO1" s="1"/>
      <c r="THP1" s="1"/>
      <c r="THQ1" s="1"/>
      <c r="THR1" s="1"/>
      <c r="THS1" s="1"/>
      <c r="THT1" s="1"/>
      <c r="THU1" s="1"/>
      <c r="THV1" s="1"/>
      <c r="THW1" s="1"/>
      <c r="THX1" s="1"/>
      <c r="THY1" s="1"/>
      <c r="THZ1" s="1"/>
      <c r="TIA1" s="1"/>
      <c r="TIB1" s="1"/>
      <c r="TIC1" s="1"/>
      <c r="TID1" s="1"/>
      <c r="TIE1" s="1"/>
      <c r="TIF1" s="1"/>
      <c r="TIG1" s="1"/>
      <c r="TIH1" s="1"/>
      <c r="TII1" s="1"/>
      <c r="TIJ1" s="1"/>
      <c r="TIK1" s="1"/>
      <c r="TIL1" s="1"/>
      <c r="TIM1" s="1"/>
      <c r="TIN1" s="1"/>
      <c r="TIO1" s="1"/>
      <c r="TIP1" s="1"/>
      <c r="TIQ1" s="1"/>
      <c r="TIR1" s="1"/>
      <c r="TIS1" s="1"/>
      <c r="TIT1" s="1"/>
      <c r="TIU1" s="1"/>
      <c r="TIV1" s="1"/>
      <c r="TIW1" s="1"/>
      <c r="TIX1" s="1"/>
      <c r="TIY1" s="1"/>
      <c r="TIZ1" s="1"/>
      <c r="TJA1" s="1"/>
      <c r="TJB1" s="1"/>
      <c r="TJC1" s="1"/>
      <c r="TJD1" s="1"/>
      <c r="TJE1" s="1"/>
      <c r="TJF1" s="1"/>
      <c r="TJG1" s="1"/>
      <c r="TJH1" s="1"/>
      <c r="TJI1" s="1"/>
      <c r="TJJ1" s="1"/>
      <c r="TJK1" s="1"/>
      <c r="TJL1" s="1"/>
      <c r="TJM1" s="1"/>
      <c r="TJN1" s="1"/>
      <c r="TJO1" s="1"/>
      <c r="TJP1" s="1"/>
      <c r="TJQ1" s="1"/>
      <c r="TJR1" s="1"/>
      <c r="TJS1" s="1"/>
      <c r="TJT1" s="1"/>
      <c r="TJU1" s="1"/>
      <c r="TJV1" s="1"/>
      <c r="TJW1" s="1"/>
      <c r="TJX1" s="1"/>
      <c r="TJY1" s="1"/>
      <c r="TJZ1" s="1"/>
      <c r="TKA1" s="1"/>
      <c r="TKB1" s="1"/>
      <c r="TKC1" s="1"/>
      <c r="TKD1" s="1"/>
      <c r="TKE1" s="1"/>
      <c r="TKF1" s="1"/>
      <c r="TKG1" s="1"/>
      <c r="TKH1" s="1"/>
      <c r="TKI1" s="1"/>
      <c r="TKJ1" s="1"/>
      <c r="TKK1" s="1"/>
      <c r="TKL1" s="1"/>
      <c r="TKM1" s="1"/>
      <c r="TKN1" s="1"/>
      <c r="TKO1" s="1"/>
      <c r="TKP1" s="1"/>
      <c r="TKQ1" s="1"/>
      <c r="TKR1" s="1"/>
      <c r="TKS1" s="1"/>
      <c r="TKT1" s="1"/>
      <c r="TKU1" s="1"/>
      <c r="TKV1" s="1"/>
      <c r="TKW1" s="1"/>
      <c r="TKX1" s="1"/>
      <c r="TKY1" s="1"/>
      <c r="TKZ1" s="1"/>
      <c r="TLA1" s="1"/>
      <c r="TLB1" s="1"/>
      <c r="TLC1" s="1"/>
      <c r="TLD1" s="1"/>
      <c r="TLE1" s="1"/>
      <c r="TLF1" s="1"/>
      <c r="TLG1" s="1"/>
      <c r="TLH1" s="1"/>
      <c r="TLI1" s="1"/>
      <c r="TLJ1" s="1"/>
      <c r="TLK1" s="1"/>
      <c r="TLL1" s="1"/>
      <c r="TLM1" s="1"/>
      <c r="TLN1" s="1"/>
      <c r="TLO1" s="1"/>
      <c r="TLP1" s="1"/>
      <c r="TLQ1" s="1"/>
      <c r="TLR1" s="1"/>
      <c r="TLS1" s="1"/>
      <c r="TLT1" s="1"/>
      <c r="TLU1" s="1"/>
      <c r="TLV1" s="1"/>
      <c r="TLW1" s="1"/>
      <c r="TLX1" s="1"/>
      <c r="TLY1" s="1"/>
      <c r="TLZ1" s="1"/>
      <c r="TMA1" s="1"/>
      <c r="TMB1" s="1"/>
      <c r="TMC1" s="1"/>
      <c r="TMD1" s="1"/>
      <c r="TME1" s="1"/>
      <c r="TMF1" s="1"/>
      <c r="TMG1" s="1"/>
      <c r="TMH1" s="1"/>
      <c r="TMI1" s="1"/>
      <c r="TMJ1" s="1"/>
      <c r="TMK1" s="1"/>
      <c r="TML1" s="1"/>
      <c r="TMM1" s="1"/>
      <c r="TMN1" s="1"/>
      <c r="TMO1" s="1"/>
      <c r="TMP1" s="1"/>
      <c r="TMQ1" s="1"/>
      <c r="TMR1" s="1"/>
      <c r="TMS1" s="1"/>
      <c r="TMT1" s="1"/>
      <c r="TMU1" s="1"/>
      <c r="TMV1" s="1"/>
      <c r="TMW1" s="1"/>
      <c r="TMX1" s="1"/>
      <c r="TMY1" s="1"/>
      <c r="TMZ1" s="1"/>
      <c r="TNA1" s="1"/>
      <c r="TNB1" s="1"/>
      <c r="TNC1" s="1"/>
      <c r="TND1" s="1"/>
      <c r="TNE1" s="1"/>
      <c r="TNF1" s="1"/>
      <c r="TNG1" s="1"/>
      <c r="TNH1" s="1"/>
      <c r="TNI1" s="1"/>
      <c r="TNJ1" s="1"/>
      <c r="TNK1" s="1"/>
      <c r="TNL1" s="1"/>
      <c r="TNM1" s="1"/>
      <c r="TNN1" s="1"/>
      <c r="TNO1" s="1"/>
      <c r="TNP1" s="1"/>
      <c r="TNQ1" s="1"/>
      <c r="TNR1" s="1"/>
      <c r="TNS1" s="1"/>
      <c r="TNT1" s="1"/>
      <c r="TNU1" s="1"/>
      <c r="TNV1" s="1"/>
      <c r="TNW1" s="1"/>
      <c r="TNX1" s="1"/>
      <c r="TNY1" s="1"/>
      <c r="TNZ1" s="1"/>
      <c r="TOA1" s="1"/>
      <c r="TOB1" s="1"/>
      <c r="TOC1" s="1"/>
      <c r="TOD1" s="1"/>
      <c r="TOE1" s="1"/>
      <c r="TOF1" s="1"/>
      <c r="TOG1" s="1"/>
      <c r="TOH1" s="1"/>
      <c r="TOI1" s="1"/>
      <c r="TOJ1" s="1"/>
      <c r="TOK1" s="1"/>
      <c r="TOL1" s="1"/>
      <c r="TOM1" s="1"/>
      <c r="TON1" s="1"/>
      <c r="TOO1" s="1"/>
      <c r="TOP1" s="1"/>
      <c r="TOQ1" s="1"/>
      <c r="TOR1" s="1"/>
      <c r="TOS1" s="1"/>
      <c r="TOT1" s="1"/>
      <c r="TOU1" s="1"/>
      <c r="TOV1" s="1"/>
      <c r="TOW1" s="1"/>
      <c r="TOX1" s="1"/>
      <c r="TOY1" s="1"/>
      <c r="TOZ1" s="1"/>
      <c r="TPA1" s="1"/>
      <c r="TPB1" s="1"/>
      <c r="TPC1" s="1"/>
      <c r="TPD1" s="1"/>
      <c r="TPE1" s="1"/>
      <c r="TPF1" s="1"/>
      <c r="TPG1" s="1"/>
      <c r="TPH1" s="1"/>
      <c r="TPI1" s="1"/>
      <c r="TPJ1" s="1"/>
      <c r="TPK1" s="1"/>
      <c r="TPL1" s="1"/>
      <c r="TPM1" s="1"/>
      <c r="TPN1" s="1"/>
      <c r="TPO1" s="1"/>
      <c r="TPP1" s="1"/>
      <c r="TPQ1" s="1"/>
      <c r="TPR1" s="1"/>
      <c r="TPS1" s="1"/>
      <c r="TPT1" s="1"/>
      <c r="TPU1" s="1"/>
      <c r="TPV1" s="1"/>
      <c r="TPW1" s="1"/>
      <c r="TPX1" s="1"/>
      <c r="TPY1" s="1"/>
      <c r="TPZ1" s="1"/>
      <c r="TQA1" s="1"/>
      <c r="TQB1" s="1"/>
      <c r="TQC1" s="1"/>
      <c r="TQD1" s="1"/>
      <c r="TQE1" s="1"/>
      <c r="TQF1" s="1"/>
      <c r="TQG1" s="1"/>
      <c r="TQH1" s="1"/>
      <c r="TQI1" s="1"/>
      <c r="TQJ1" s="1"/>
      <c r="TQK1" s="1"/>
      <c r="TQL1" s="1"/>
      <c r="TQM1" s="1"/>
      <c r="TQN1" s="1"/>
      <c r="TQO1" s="1"/>
      <c r="TQP1" s="1"/>
      <c r="TQQ1" s="1"/>
      <c r="TQR1" s="1"/>
      <c r="TQS1" s="1"/>
      <c r="TQT1" s="1"/>
      <c r="TQU1" s="1"/>
      <c r="TQV1" s="1"/>
      <c r="TQW1" s="1"/>
      <c r="TQX1" s="1"/>
      <c r="TQY1" s="1"/>
      <c r="TQZ1" s="1"/>
      <c r="TRA1" s="1"/>
      <c r="TRB1" s="1"/>
      <c r="TRC1" s="1"/>
      <c r="TRD1" s="1"/>
      <c r="TRE1" s="1"/>
      <c r="TRF1" s="1"/>
      <c r="TRG1" s="1"/>
      <c r="TRH1" s="1"/>
      <c r="TRI1" s="1"/>
      <c r="TRJ1" s="1"/>
      <c r="TRK1" s="1"/>
      <c r="TRL1" s="1"/>
      <c r="TRM1" s="1"/>
      <c r="TRN1" s="1"/>
      <c r="TRO1" s="1"/>
      <c r="TRP1" s="1"/>
      <c r="TRQ1" s="1"/>
      <c r="TRR1" s="1"/>
      <c r="TRS1" s="1"/>
      <c r="TRT1" s="1"/>
      <c r="TRU1" s="1"/>
      <c r="TRV1" s="1"/>
      <c r="TRW1" s="1"/>
      <c r="TRX1" s="1"/>
      <c r="TRY1" s="1"/>
      <c r="TRZ1" s="1"/>
      <c r="TSA1" s="1"/>
      <c r="TSB1" s="1"/>
      <c r="TSC1" s="1"/>
      <c r="TSD1" s="1"/>
      <c r="TSE1" s="1"/>
      <c r="TSF1" s="1"/>
      <c r="TSG1" s="1"/>
      <c r="TSH1" s="1"/>
      <c r="TSI1" s="1"/>
      <c r="TSJ1" s="1"/>
      <c r="TSK1" s="1"/>
      <c r="TSL1" s="1"/>
      <c r="TSM1" s="1"/>
      <c r="TSN1" s="1"/>
      <c r="TSO1" s="1"/>
      <c r="TSP1" s="1"/>
      <c r="TSQ1" s="1"/>
      <c r="TSR1" s="1"/>
      <c r="TSS1" s="1"/>
      <c r="TST1" s="1"/>
      <c r="TSU1" s="1"/>
      <c r="TSV1" s="1"/>
      <c r="TSW1" s="1"/>
      <c r="TSX1" s="1"/>
      <c r="TSY1" s="1"/>
      <c r="TSZ1" s="1"/>
      <c r="TTA1" s="1"/>
      <c r="TTB1" s="1"/>
      <c r="TTC1" s="1"/>
      <c r="TTD1" s="1"/>
      <c r="TTE1" s="1"/>
      <c r="TTF1" s="1"/>
      <c r="TTG1" s="1"/>
      <c r="TTH1" s="1"/>
      <c r="TTI1" s="1"/>
      <c r="TTJ1" s="1"/>
      <c r="TTK1" s="1"/>
      <c r="TTL1" s="1"/>
      <c r="TTM1" s="1"/>
      <c r="TTN1" s="1"/>
      <c r="TTO1" s="1"/>
      <c r="TTP1" s="1"/>
      <c r="TTQ1" s="1"/>
      <c r="TTR1" s="1"/>
      <c r="TTS1" s="1"/>
      <c r="TTT1" s="1"/>
      <c r="TTU1" s="1"/>
      <c r="TTV1" s="1"/>
      <c r="TTW1" s="1"/>
      <c r="TTX1" s="1"/>
      <c r="TTY1" s="1"/>
      <c r="TTZ1" s="1"/>
      <c r="TUA1" s="1"/>
      <c r="TUB1" s="1"/>
      <c r="TUC1" s="1"/>
      <c r="TUD1" s="1"/>
      <c r="TUE1" s="1"/>
      <c r="TUF1" s="1"/>
      <c r="TUG1" s="1"/>
      <c r="TUH1" s="1"/>
      <c r="TUI1" s="1"/>
      <c r="TUJ1" s="1"/>
      <c r="TUK1" s="1"/>
      <c r="TUL1" s="1"/>
      <c r="TUM1" s="1"/>
      <c r="TUN1" s="1"/>
      <c r="TUO1" s="1"/>
      <c r="TUP1" s="1"/>
      <c r="TUQ1" s="1"/>
      <c r="TUR1" s="1"/>
      <c r="TUS1" s="1"/>
      <c r="TUT1" s="1"/>
      <c r="TUU1" s="1"/>
      <c r="TUV1" s="1"/>
      <c r="TUW1" s="1"/>
      <c r="TUX1" s="1"/>
      <c r="TUY1" s="1"/>
      <c r="TUZ1" s="1"/>
      <c r="TVA1" s="1"/>
      <c r="TVB1" s="1"/>
      <c r="TVC1" s="1"/>
      <c r="TVD1" s="1"/>
      <c r="TVE1" s="1"/>
      <c r="TVF1" s="1"/>
      <c r="TVG1" s="1"/>
      <c r="TVH1" s="1"/>
      <c r="TVI1" s="1"/>
      <c r="TVJ1" s="1"/>
      <c r="TVK1" s="1"/>
      <c r="TVL1" s="1"/>
      <c r="TVM1" s="1"/>
      <c r="TVN1" s="1"/>
      <c r="TVO1" s="1"/>
      <c r="TVP1" s="1"/>
      <c r="TVQ1" s="1"/>
      <c r="TVR1" s="1"/>
      <c r="TVS1" s="1"/>
      <c r="TVT1" s="1"/>
      <c r="TVU1" s="1"/>
      <c r="TVV1" s="1"/>
      <c r="TVW1" s="1"/>
      <c r="TVX1" s="1"/>
      <c r="TVY1" s="1"/>
      <c r="TVZ1" s="1"/>
      <c r="TWA1" s="1"/>
      <c r="TWB1" s="1"/>
      <c r="TWC1" s="1"/>
      <c r="TWD1" s="1"/>
      <c r="TWE1" s="1"/>
      <c r="TWF1" s="1"/>
      <c r="TWG1" s="1"/>
      <c r="TWH1" s="1"/>
      <c r="TWI1" s="1"/>
      <c r="TWJ1" s="1"/>
      <c r="TWK1" s="1"/>
      <c r="TWL1" s="1"/>
      <c r="TWM1" s="1"/>
      <c r="TWN1" s="1"/>
      <c r="TWO1" s="1"/>
      <c r="TWP1" s="1"/>
      <c r="TWQ1" s="1"/>
      <c r="TWR1" s="1"/>
      <c r="TWS1" s="1"/>
      <c r="TWT1" s="1"/>
      <c r="TWU1" s="1"/>
      <c r="TWV1" s="1"/>
      <c r="TWW1" s="1"/>
      <c r="TWX1" s="1"/>
      <c r="TWY1" s="1"/>
      <c r="TWZ1" s="1"/>
      <c r="TXA1" s="1"/>
      <c r="TXB1" s="1"/>
      <c r="TXC1" s="1"/>
      <c r="TXD1" s="1"/>
      <c r="TXE1" s="1"/>
      <c r="TXF1" s="1"/>
      <c r="TXG1" s="1"/>
      <c r="TXH1" s="1"/>
      <c r="TXI1" s="1"/>
      <c r="TXJ1" s="1"/>
      <c r="TXK1" s="1"/>
      <c r="TXL1" s="1"/>
      <c r="TXM1" s="1"/>
      <c r="TXN1" s="1"/>
      <c r="TXO1" s="1"/>
      <c r="TXP1" s="1"/>
      <c r="TXQ1" s="1"/>
      <c r="TXR1" s="1"/>
      <c r="TXS1" s="1"/>
      <c r="TXT1" s="1"/>
      <c r="TXU1" s="1"/>
      <c r="TXV1" s="1"/>
      <c r="TXW1" s="1"/>
      <c r="TXX1" s="1"/>
      <c r="TXY1" s="1"/>
      <c r="TXZ1" s="1"/>
      <c r="TYA1" s="1"/>
      <c r="TYB1" s="1"/>
      <c r="TYC1" s="1"/>
      <c r="TYD1" s="1"/>
      <c r="TYE1" s="1"/>
      <c r="TYF1" s="1"/>
      <c r="TYG1" s="1"/>
      <c r="TYH1" s="1"/>
      <c r="TYI1" s="1"/>
      <c r="TYJ1" s="1"/>
      <c r="TYK1" s="1"/>
      <c r="TYL1" s="1"/>
      <c r="TYM1" s="1"/>
      <c r="TYN1" s="1"/>
      <c r="TYO1" s="1"/>
      <c r="TYP1" s="1"/>
      <c r="TYQ1" s="1"/>
      <c r="TYR1" s="1"/>
      <c r="TYS1" s="1"/>
      <c r="TYT1" s="1"/>
      <c r="TYU1" s="1"/>
      <c r="TYV1" s="1"/>
      <c r="TYW1" s="1"/>
      <c r="TYX1" s="1"/>
      <c r="TYY1" s="1"/>
      <c r="TYZ1" s="1"/>
      <c r="TZA1" s="1"/>
      <c r="TZB1" s="1"/>
      <c r="TZC1" s="1"/>
      <c r="TZD1" s="1"/>
      <c r="TZE1" s="1"/>
      <c r="TZF1" s="1"/>
      <c r="TZG1" s="1"/>
      <c r="TZH1" s="1"/>
      <c r="TZI1" s="1"/>
      <c r="TZJ1" s="1"/>
      <c r="TZK1" s="1"/>
      <c r="TZL1" s="1"/>
      <c r="TZM1" s="1"/>
      <c r="TZN1" s="1"/>
      <c r="TZO1" s="1"/>
      <c r="TZP1" s="1"/>
      <c r="TZQ1" s="1"/>
      <c r="TZR1" s="1"/>
      <c r="TZS1" s="1"/>
      <c r="TZT1" s="1"/>
      <c r="TZU1" s="1"/>
      <c r="TZV1" s="1"/>
      <c r="TZW1" s="1"/>
      <c r="TZX1" s="1"/>
      <c r="TZY1" s="1"/>
      <c r="TZZ1" s="1"/>
      <c r="UAA1" s="1"/>
      <c r="UAB1" s="1"/>
      <c r="UAC1" s="1"/>
      <c r="UAD1" s="1"/>
      <c r="UAE1" s="1"/>
      <c r="UAF1" s="1"/>
      <c r="UAG1" s="1"/>
      <c r="UAH1" s="1"/>
      <c r="UAI1" s="1"/>
      <c r="UAJ1" s="1"/>
      <c r="UAK1" s="1"/>
      <c r="UAL1" s="1"/>
      <c r="UAM1" s="1"/>
      <c r="UAN1" s="1"/>
      <c r="UAO1" s="1"/>
      <c r="UAP1" s="1"/>
      <c r="UAQ1" s="1"/>
      <c r="UAR1" s="1"/>
      <c r="UAS1" s="1"/>
      <c r="UAT1" s="1"/>
      <c r="UAU1" s="1"/>
      <c r="UAV1" s="1"/>
      <c r="UAW1" s="1"/>
      <c r="UAX1" s="1"/>
      <c r="UAY1" s="1"/>
      <c r="UAZ1" s="1"/>
      <c r="UBA1" s="1"/>
      <c r="UBB1" s="1"/>
      <c r="UBC1" s="1"/>
      <c r="UBD1" s="1"/>
      <c r="UBE1" s="1"/>
      <c r="UBF1" s="1"/>
      <c r="UBG1" s="1"/>
      <c r="UBH1" s="1"/>
      <c r="UBI1" s="1"/>
      <c r="UBJ1" s="1"/>
      <c r="UBK1" s="1"/>
      <c r="UBL1" s="1"/>
      <c r="UBM1" s="1"/>
      <c r="UBN1" s="1"/>
      <c r="UBO1" s="1"/>
      <c r="UBP1" s="1"/>
      <c r="UBQ1" s="1"/>
      <c r="UBR1" s="1"/>
      <c r="UBS1" s="1"/>
      <c r="UBT1" s="1"/>
      <c r="UBU1" s="1"/>
      <c r="UBV1" s="1"/>
      <c r="UBW1" s="1"/>
      <c r="UBX1" s="1"/>
      <c r="UBY1" s="1"/>
      <c r="UBZ1" s="1"/>
      <c r="UCA1" s="1"/>
      <c r="UCB1" s="1"/>
      <c r="UCC1" s="1"/>
      <c r="UCD1" s="1"/>
      <c r="UCE1" s="1"/>
      <c r="UCF1" s="1"/>
      <c r="UCG1" s="1"/>
      <c r="UCH1" s="1"/>
      <c r="UCI1" s="1"/>
      <c r="UCJ1" s="1"/>
      <c r="UCK1" s="1"/>
      <c r="UCL1" s="1"/>
      <c r="UCM1" s="1"/>
      <c r="UCN1" s="1"/>
      <c r="UCO1" s="1"/>
      <c r="UCP1" s="1"/>
      <c r="UCQ1" s="1"/>
      <c r="UCR1" s="1"/>
      <c r="UCS1" s="1"/>
      <c r="UCT1" s="1"/>
      <c r="UCU1" s="1"/>
      <c r="UCV1" s="1"/>
      <c r="UCW1" s="1"/>
      <c r="UCX1" s="1"/>
      <c r="UCY1" s="1"/>
      <c r="UCZ1" s="1"/>
      <c r="UDA1" s="1"/>
      <c r="UDB1" s="1"/>
      <c r="UDC1" s="1"/>
      <c r="UDD1" s="1"/>
      <c r="UDE1" s="1"/>
      <c r="UDF1" s="1"/>
      <c r="UDG1" s="1"/>
      <c r="UDH1" s="1"/>
      <c r="UDI1" s="1"/>
      <c r="UDJ1" s="1"/>
      <c r="UDK1" s="1"/>
      <c r="UDL1" s="1"/>
      <c r="UDM1" s="1"/>
      <c r="UDN1" s="1"/>
      <c r="UDO1" s="1"/>
      <c r="UDP1" s="1"/>
      <c r="UDQ1" s="1"/>
      <c r="UDR1" s="1"/>
      <c r="UDS1" s="1"/>
      <c r="UDT1" s="1"/>
      <c r="UDU1" s="1"/>
      <c r="UDV1" s="1"/>
      <c r="UDW1" s="1"/>
      <c r="UDX1" s="1"/>
      <c r="UDY1" s="1"/>
      <c r="UDZ1" s="1"/>
      <c r="UEA1" s="1"/>
      <c r="UEB1" s="1"/>
      <c r="UEC1" s="1"/>
      <c r="UED1" s="1"/>
      <c r="UEE1" s="1"/>
      <c r="UEF1" s="1"/>
      <c r="UEG1" s="1"/>
      <c r="UEH1" s="1"/>
      <c r="UEI1" s="1"/>
      <c r="UEJ1" s="1"/>
      <c r="UEK1" s="1"/>
      <c r="UEL1" s="1"/>
      <c r="UEM1" s="1"/>
      <c r="UEN1" s="1"/>
      <c r="UEO1" s="1"/>
      <c r="UEP1" s="1"/>
      <c r="UEQ1" s="1"/>
      <c r="UER1" s="1"/>
      <c r="UES1" s="1"/>
      <c r="UET1" s="1"/>
      <c r="UEU1" s="1"/>
      <c r="UEV1" s="1"/>
      <c r="UEW1" s="1"/>
      <c r="UEX1" s="1"/>
      <c r="UEY1" s="1"/>
      <c r="UEZ1" s="1"/>
      <c r="UFA1" s="1"/>
      <c r="UFB1" s="1"/>
      <c r="UFC1" s="1"/>
      <c r="UFD1" s="1"/>
      <c r="UFE1" s="1"/>
      <c r="UFF1" s="1"/>
      <c r="UFG1" s="1"/>
      <c r="UFH1" s="1"/>
      <c r="UFI1" s="1"/>
      <c r="UFJ1" s="1"/>
      <c r="UFK1" s="1"/>
      <c r="UFL1" s="1"/>
      <c r="UFM1" s="1"/>
      <c r="UFN1" s="1"/>
      <c r="UFO1" s="1"/>
      <c r="UFP1" s="1"/>
      <c r="UFQ1" s="1"/>
      <c r="UFR1" s="1"/>
      <c r="UFS1" s="1"/>
      <c r="UFT1" s="1"/>
      <c r="UFU1" s="1"/>
      <c r="UFV1" s="1"/>
      <c r="UFW1" s="1"/>
      <c r="UFX1" s="1"/>
      <c r="UFY1" s="1"/>
      <c r="UFZ1" s="1"/>
      <c r="UGA1" s="1"/>
      <c r="UGB1" s="1"/>
      <c r="UGC1" s="1"/>
      <c r="UGD1" s="1"/>
      <c r="UGE1" s="1"/>
      <c r="UGF1" s="1"/>
      <c r="UGG1" s="1"/>
      <c r="UGH1" s="1"/>
      <c r="UGI1" s="1"/>
      <c r="UGJ1" s="1"/>
      <c r="UGK1" s="1"/>
      <c r="UGL1" s="1"/>
      <c r="UGM1" s="1"/>
      <c r="UGN1" s="1"/>
      <c r="UGO1" s="1"/>
      <c r="UGP1" s="1"/>
      <c r="UGQ1" s="1"/>
      <c r="UGR1" s="1"/>
      <c r="UGS1" s="1"/>
      <c r="UGT1" s="1"/>
      <c r="UGU1" s="1"/>
      <c r="UGV1" s="1"/>
      <c r="UGW1" s="1"/>
      <c r="UGX1" s="1"/>
      <c r="UGY1" s="1"/>
      <c r="UGZ1" s="1"/>
      <c r="UHA1" s="1"/>
      <c r="UHB1" s="1"/>
      <c r="UHC1" s="1"/>
      <c r="UHD1" s="1"/>
      <c r="UHE1" s="1"/>
      <c r="UHF1" s="1"/>
      <c r="UHG1" s="1"/>
      <c r="UHH1" s="1"/>
      <c r="UHI1" s="1"/>
      <c r="UHJ1" s="1"/>
      <c r="UHK1" s="1"/>
      <c r="UHL1" s="1"/>
      <c r="UHM1" s="1"/>
      <c r="UHN1" s="1"/>
      <c r="UHO1" s="1"/>
      <c r="UHP1" s="1"/>
      <c r="UHQ1" s="1"/>
      <c r="UHR1" s="1"/>
      <c r="UHS1" s="1"/>
      <c r="UHT1" s="1"/>
      <c r="UHU1" s="1"/>
      <c r="UHV1" s="1"/>
      <c r="UHW1" s="1"/>
      <c r="UHX1" s="1"/>
      <c r="UHY1" s="1"/>
      <c r="UHZ1" s="1"/>
      <c r="UIA1" s="1"/>
      <c r="UIB1" s="1"/>
      <c r="UIC1" s="1"/>
      <c r="UID1" s="1"/>
      <c r="UIE1" s="1"/>
      <c r="UIF1" s="1"/>
      <c r="UIG1" s="1"/>
      <c r="UIH1" s="1"/>
      <c r="UII1" s="1"/>
      <c r="UIJ1" s="1"/>
      <c r="UIK1" s="1"/>
      <c r="UIL1" s="1"/>
      <c r="UIM1" s="1"/>
      <c r="UIN1" s="1"/>
      <c r="UIO1" s="1"/>
      <c r="UIP1" s="1"/>
      <c r="UIQ1" s="1"/>
      <c r="UIR1" s="1"/>
      <c r="UIS1" s="1"/>
      <c r="UIT1" s="1"/>
      <c r="UIU1" s="1"/>
      <c r="UIV1" s="1"/>
      <c r="UIW1" s="1"/>
      <c r="UIX1" s="1"/>
      <c r="UIY1" s="1"/>
      <c r="UIZ1" s="1"/>
      <c r="UJA1" s="1"/>
      <c r="UJB1" s="1"/>
      <c r="UJC1" s="1"/>
      <c r="UJD1" s="1"/>
      <c r="UJE1" s="1"/>
      <c r="UJF1" s="1"/>
      <c r="UJG1" s="1"/>
      <c r="UJH1" s="1"/>
      <c r="UJI1" s="1"/>
      <c r="UJJ1" s="1"/>
      <c r="UJK1" s="1"/>
      <c r="UJL1" s="1"/>
      <c r="UJM1" s="1"/>
      <c r="UJN1" s="1"/>
      <c r="UJO1" s="1"/>
      <c r="UJP1" s="1"/>
      <c r="UJQ1" s="1"/>
      <c r="UJR1" s="1"/>
      <c r="UJS1" s="1"/>
      <c r="UJT1" s="1"/>
      <c r="UJU1" s="1"/>
      <c r="UJV1" s="1"/>
      <c r="UJW1" s="1"/>
      <c r="UJX1" s="1"/>
      <c r="UJY1" s="1"/>
      <c r="UJZ1" s="1"/>
      <c r="UKA1" s="1"/>
      <c r="UKB1" s="1"/>
      <c r="UKC1" s="1"/>
      <c r="UKD1" s="1"/>
      <c r="UKE1" s="1"/>
      <c r="UKF1" s="1"/>
      <c r="UKG1" s="1"/>
      <c r="UKH1" s="1"/>
      <c r="UKI1" s="1"/>
      <c r="UKJ1" s="1"/>
      <c r="UKK1" s="1"/>
      <c r="UKL1" s="1"/>
      <c r="UKM1" s="1"/>
      <c r="UKN1" s="1"/>
      <c r="UKO1" s="1"/>
      <c r="UKP1" s="1"/>
      <c r="UKQ1" s="1"/>
      <c r="UKR1" s="1"/>
      <c r="UKS1" s="1"/>
      <c r="UKT1" s="1"/>
      <c r="UKU1" s="1"/>
      <c r="UKV1" s="1"/>
      <c r="UKW1" s="1"/>
      <c r="UKX1" s="1"/>
      <c r="UKY1" s="1"/>
      <c r="UKZ1" s="1"/>
      <c r="ULA1" s="1"/>
      <c r="ULB1" s="1"/>
      <c r="ULC1" s="1"/>
      <c r="ULD1" s="1"/>
      <c r="ULE1" s="1"/>
      <c r="ULF1" s="1"/>
      <c r="ULG1" s="1"/>
      <c r="ULH1" s="1"/>
      <c r="ULI1" s="1"/>
      <c r="ULJ1" s="1"/>
      <c r="ULK1" s="1"/>
      <c r="ULL1" s="1"/>
      <c r="ULM1" s="1"/>
      <c r="ULN1" s="1"/>
      <c r="ULO1" s="1"/>
      <c r="ULP1" s="1"/>
      <c r="ULQ1" s="1"/>
      <c r="ULR1" s="1"/>
      <c r="ULS1" s="1"/>
      <c r="ULT1" s="1"/>
      <c r="ULU1" s="1"/>
      <c r="ULV1" s="1"/>
      <c r="ULW1" s="1"/>
      <c r="ULX1" s="1"/>
      <c r="ULY1" s="1"/>
      <c r="ULZ1" s="1"/>
      <c r="UMA1" s="1"/>
      <c r="UMB1" s="1"/>
      <c r="UMC1" s="1"/>
      <c r="UMD1" s="1"/>
      <c r="UME1" s="1"/>
      <c r="UMF1" s="1"/>
      <c r="UMG1" s="1"/>
      <c r="UMH1" s="1"/>
      <c r="UMI1" s="1"/>
      <c r="UMJ1" s="1"/>
      <c r="UMK1" s="1"/>
      <c r="UML1" s="1"/>
      <c r="UMM1" s="1"/>
      <c r="UMN1" s="1"/>
      <c r="UMO1" s="1"/>
      <c r="UMP1" s="1"/>
      <c r="UMQ1" s="1"/>
      <c r="UMR1" s="1"/>
      <c r="UMS1" s="1"/>
      <c r="UMT1" s="1"/>
      <c r="UMU1" s="1"/>
      <c r="UMV1" s="1"/>
      <c r="UMW1" s="1"/>
      <c r="UMX1" s="1"/>
      <c r="UMY1" s="1"/>
      <c r="UMZ1" s="1"/>
      <c r="UNA1" s="1"/>
      <c r="UNB1" s="1"/>
      <c r="UNC1" s="1"/>
      <c r="UND1" s="1"/>
      <c r="UNE1" s="1"/>
      <c r="UNF1" s="1"/>
      <c r="UNG1" s="1"/>
      <c r="UNH1" s="1"/>
      <c r="UNI1" s="1"/>
      <c r="UNJ1" s="1"/>
      <c r="UNK1" s="1"/>
      <c r="UNL1" s="1"/>
      <c r="UNM1" s="1"/>
      <c r="UNN1" s="1"/>
      <c r="UNO1" s="1"/>
      <c r="UNP1" s="1"/>
      <c r="UNQ1" s="1"/>
      <c r="UNR1" s="1"/>
      <c r="UNS1" s="1"/>
      <c r="UNT1" s="1"/>
      <c r="UNU1" s="1"/>
      <c r="UNV1" s="1"/>
      <c r="UNW1" s="1"/>
      <c r="UNX1" s="1"/>
      <c r="UNY1" s="1"/>
      <c r="UNZ1" s="1"/>
      <c r="UOA1" s="1"/>
      <c r="UOB1" s="1"/>
      <c r="UOC1" s="1"/>
      <c r="UOD1" s="1"/>
      <c r="UOE1" s="1"/>
      <c r="UOF1" s="1"/>
      <c r="UOG1" s="1"/>
      <c r="UOH1" s="1"/>
      <c r="UOI1" s="1"/>
      <c r="UOJ1" s="1"/>
      <c r="UOK1" s="1"/>
      <c r="UOL1" s="1"/>
      <c r="UOM1" s="1"/>
      <c r="UON1" s="1"/>
      <c r="UOO1" s="1"/>
      <c r="UOP1" s="1"/>
      <c r="UOQ1" s="1"/>
      <c r="UOR1" s="1"/>
      <c r="UOS1" s="1"/>
      <c r="UOT1" s="1"/>
      <c r="UOU1" s="1"/>
      <c r="UOV1" s="1"/>
      <c r="UOW1" s="1"/>
      <c r="UOX1" s="1"/>
      <c r="UOY1" s="1"/>
      <c r="UOZ1" s="1"/>
      <c r="UPA1" s="1"/>
      <c r="UPB1" s="1"/>
      <c r="UPC1" s="1"/>
      <c r="UPD1" s="1"/>
      <c r="UPE1" s="1"/>
      <c r="UPF1" s="1"/>
      <c r="UPG1" s="1"/>
      <c r="UPH1" s="1"/>
      <c r="UPI1" s="1"/>
      <c r="UPJ1" s="1"/>
      <c r="UPK1" s="1"/>
      <c r="UPL1" s="1"/>
      <c r="UPM1" s="1"/>
      <c r="UPN1" s="1"/>
      <c r="UPO1" s="1"/>
      <c r="UPP1" s="1"/>
      <c r="UPQ1" s="1"/>
      <c r="UPR1" s="1"/>
      <c r="UPS1" s="1"/>
      <c r="UPT1" s="1"/>
      <c r="UPU1" s="1"/>
      <c r="UPV1" s="1"/>
      <c r="UPW1" s="1"/>
      <c r="UPX1" s="1"/>
      <c r="UPY1" s="1"/>
      <c r="UPZ1" s="1"/>
      <c r="UQA1" s="1"/>
      <c r="UQB1" s="1"/>
      <c r="UQC1" s="1"/>
      <c r="UQD1" s="1"/>
      <c r="UQE1" s="1"/>
      <c r="UQF1" s="1"/>
      <c r="UQG1" s="1"/>
      <c r="UQH1" s="1"/>
      <c r="UQI1" s="1"/>
      <c r="UQJ1" s="1"/>
      <c r="UQK1" s="1"/>
      <c r="UQL1" s="1"/>
      <c r="UQM1" s="1"/>
      <c r="UQN1" s="1"/>
      <c r="UQO1" s="1"/>
      <c r="UQP1" s="1"/>
      <c r="UQQ1" s="1"/>
      <c r="UQR1" s="1"/>
      <c r="UQS1" s="1"/>
      <c r="UQT1" s="1"/>
      <c r="UQU1" s="1"/>
      <c r="UQV1" s="1"/>
      <c r="UQW1" s="1"/>
      <c r="UQX1" s="1"/>
      <c r="UQY1" s="1"/>
      <c r="UQZ1" s="1"/>
      <c r="URA1" s="1"/>
      <c r="URB1" s="1"/>
      <c r="URC1" s="1"/>
      <c r="URD1" s="1"/>
      <c r="URE1" s="1"/>
      <c r="URF1" s="1"/>
      <c r="URG1" s="1"/>
      <c r="URH1" s="1"/>
      <c r="URI1" s="1"/>
      <c r="URJ1" s="1"/>
      <c r="URK1" s="1"/>
      <c r="URL1" s="1"/>
      <c r="URM1" s="1"/>
      <c r="URN1" s="1"/>
      <c r="URO1" s="1"/>
      <c r="URP1" s="1"/>
      <c r="URQ1" s="1"/>
      <c r="URR1" s="1"/>
      <c r="URS1" s="1"/>
      <c r="URT1" s="1"/>
      <c r="URU1" s="1"/>
      <c r="URV1" s="1"/>
      <c r="URW1" s="1"/>
      <c r="URX1" s="1"/>
      <c r="URY1" s="1"/>
      <c r="URZ1" s="1"/>
      <c r="USA1" s="1"/>
      <c r="USB1" s="1"/>
      <c r="USC1" s="1"/>
      <c r="USD1" s="1"/>
      <c r="USE1" s="1"/>
      <c r="USF1" s="1"/>
      <c r="USG1" s="1"/>
      <c r="USH1" s="1"/>
      <c r="USI1" s="1"/>
      <c r="USJ1" s="1"/>
      <c r="USK1" s="1"/>
      <c r="USL1" s="1"/>
      <c r="USM1" s="1"/>
      <c r="USN1" s="1"/>
      <c r="USO1" s="1"/>
      <c r="USP1" s="1"/>
      <c r="USQ1" s="1"/>
      <c r="USR1" s="1"/>
      <c r="USS1" s="1"/>
      <c r="UST1" s="1"/>
      <c r="USU1" s="1"/>
      <c r="USV1" s="1"/>
      <c r="USW1" s="1"/>
      <c r="USX1" s="1"/>
      <c r="USY1" s="1"/>
      <c r="USZ1" s="1"/>
      <c r="UTA1" s="1"/>
      <c r="UTB1" s="1"/>
      <c r="UTC1" s="1"/>
      <c r="UTD1" s="1"/>
      <c r="UTE1" s="1"/>
      <c r="UTF1" s="1"/>
      <c r="UTG1" s="1"/>
      <c r="UTH1" s="1"/>
      <c r="UTI1" s="1"/>
      <c r="UTJ1" s="1"/>
      <c r="UTK1" s="1"/>
      <c r="UTL1" s="1"/>
      <c r="UTM1" s="1"/>
      <c r="UTN1" s="1"/>
      <c r="UTO1" s="1"/>
      <c r="UTP1" s="1"/>
      <c r="UTQ1" s="1"/>
      <c r="UTR1" s="1"/>
      <c r="UTS1" s="1"/>
      <c r="UTT1" s="1"/>
      <c r="UTU1" s="1"/>
      <c r="UTV1" s="1"/>
      <c r="UTW1" s="1"/>
      <c r="UTX1" s="1"/>
      <c r="UTY1" s="1"/>
      <c r="UTZ1" s="1"/>
      <c r="UUA1" s="1"/>
      <c r="UUB1" s="1"/>
      <c r="UUC1" s="1"/>
      <c r="UUD1" s="1"/>
      <c r="UUE1" s="1"/>
      <c r="UUF1" s="1"/>
      <c r="UUG1" s="1"/>
      <c r="UUH1" s="1"/>
      <c r="UUI1" s="1"/>
      <c r="UUJ1" s="1"/>
      <c r="UUK1" s="1"/>
      <c r="UUL1" s="1"/>
      <c r="UUM1" s="1"/>
      <c r="UUN1" s="1"/>
      <c r="UUO1" s="1"/>
      <c r="UUP1" s="1"/>
      <c r="UUQ1" s="1"/>
      <c r="UUR1" s="1"/>
      <c r="UUS1" s="1"/>
      <c r="UUT1" s="1"/>
      <c r="UUU1" s="1"/>
      <c r="UUV1" s="1"/>
      <c r="UUW1" s="1"/>
      <c r="UUX1" s="1"/>
      <c r="UUY1" s="1"/>
      <c r="UUZ1" s="1"/>
      <c r="UVA1" s="1"/>
      <c r="UVB1" s="1"/>
      <c r="UVC1" s="1"/>
      <c r="UVD1" s="1"/>
      <c r="UVE1" s="1"/>
      <c r="UVF1" s="1"/>
      <c r="UVG1" s="1"/>
      <c r="UVH1" s="1"/>
      <c r="UVI1" s="1"/>
      <c r="UVJ1" s="1"/>
      <c r="UVK1" s="1"/>
      <c r="UVL1" s="1"/>
      <c r="UVM1" s="1"/>
      <c r="UVN1" s="1"/>
      <c r="UVO1" s="1"/>
      <c r="UVP1" s="1"/>
      <c r="UVQ1" s="1"/>
      <c r="UVR1" s="1"/>
      <c r="UVS1" s="1"/>
      <c r="UVT1" s="1"/>
      <c r="UVU1" s="1"/>
      <c r="UVV1" s="1"/>
      <c r="UVW1" s="1"/>
      <c r="UVX1" s="1"/>
      <c r="UVY1" s="1"/>
      <c r="UVZ1" s="1"/>
      <c r="UWA1" s="1"/>
      <c r="UWB1" s="1"/>
      <c r="UWC1" s="1"/>
      <c r="UWD1" s="1"/>
      <c r="UWE1" s="1"/>
      <c r="UWF1" s="1"/>
      <c r="UWG1" s="1"/>
      <c r="UWH1" s="1"/>
      <c r="UWI1" s="1"/>
      <c r="UWJ1" s="1"/>
      <c r="UWK1" s="1"/>
      <c r="UWL1" s="1"/>
      <c r="UWM1" s="1"/>
      <c r="UWN1" s="1"/>
      <c r="UWO1" s="1"/>
      <c r="UWP1" s="1"/>
      <c r="UWQ1" s="1"/>
      <c r="UWR1" s="1"/>
      <c r="UWS1" s="1"/>
      <c r="UWT1" s="1"/>
      <c r="UWU1" s="1"/>
      <c r="UWV1" s="1"/>
      <c r="UWW1" s="1"/>
      <c r="UWX1" s="1"/>
      <c r="UWY1" s="1"/>
      <c r="UWZ1" s="1"/>
      <c r="UXA1" s="1"/>
      <c r="UXB1" s="1"/>
      <c r="UXC1" s="1"/>
      <c r="UXD1" s="1"/>
      <c r="UXE1" s="1"/>
      <c r="UXF1" s="1"/>
      <c r="UXG1" s="1"/>
      <c r="UXH1" s="1"/>
      <c r="UXI1" s="1"/>
      <c r="UXJ1" s="1"/>
      <c r="UXK1" s="1"/>
      <c r="UXL1" s="1"/>
      <c r="UXM1" s="1"/>
      <c r="UXN1" s="1"/>
      <c r="UXO1" s="1"/>
      <c r="UXP1" s="1"/>
      <c r="UXQ1" s="1"/>
      <c r="UXR1" s="1"/>
      <c r="UXS1" s="1"/>
      <c r="UXT1" s="1"/>
      <c r="UXU1" s="1"/>
      <c r="UXV1" s="1"/>
      <c r="UXW1" s="1"/>
      <c r="UXX1" s="1"/>
      <c r="UXY1" s="1"/>
      <c r="UXZ1" s="1"/>
      <c r="UYA1" s="1"/>
      <c r="UYB1" s="1"/>
      <c r="UYC1" s="1"/>
      <c r="UYD1" s="1"/>
      <c r="UYE1" s="1"/>
      <c r="UYF1" s="1"/>
      <c r="UYG1" s="1"/>
      <c r="UYH1" s="1"/>
      <c r="UYI1" s="1"/>
      <c r="UYJ1" s="1"/>
      <c r="UYK1" s="1"/>
      <c r="UYL1" s="1"/>
      <c r="UYM1" s="1"/>
      <c r="UYN1" s="1"/>
      <c r="UYO1" s="1"/>
      <c r="UYP1" s="1"/>
      <c r="UYQ1" s="1"/>
      <c r="UYR1" s="1"/>
      <c r="UYS1" s="1"/>
      <c r="UYT1" s="1"/>
      <c r="UYU1" s="1"/>
      <c r="UYV1" s="1"/>
      <c r="UYW1" s="1"/>
      <c r="UYX1" s="1"/>
      <c r="UYY1" s="1"/>
      <c r="UYZ1" s="1"/>
      <c r="UZA1" s="1"/>
      <c r="UZB1" s="1"/>
      <c r="UZC1" s="1"/>
      <c r="UZD1" s="1"/>
      <c r="UZE1" s="1"/>
      <c r="UZF1" s="1"/>
      <c r="UZG1" s="1"/>
      <c r="UZH1" s="1"/>
      <c r="UZI1" s="1"/>
      <c r="UZJ1" s="1"/>
      <c r="UZK1" s="1"/>
      <c r="UZL1" s="1"/>
      <c r="UZM1" s="1"/>
      <c r="UZN1" s="1"/>
      <c r="UZO1" s="1"/>
      <c r="UZP1" s="1"/>
      <c r="UZQ1" s="1"/>
      <c r="UZR1" s="1"/>
      <c r="UZS1" s="1"/>
      <c r="UZT1" s="1"/>
      <c r="UZU1" s="1"/>
      <c r="UZV1" s="1"/>
      <c r="UZW1" s="1"/>
      <c r="UZX1" s="1"/>
      <c r="UZY1" s="1"/>
      <c r="UZZ1" s="1"/>
      <c r="VAA1" s="1"/>
      <c r="VAB1" s="1"/>
      <c r="VAC1" s="1"/>
      <c r="VAD1" s="1"/>
      <c r="VAE1" s="1"/>
      <c r="VAF1" s="1"/>
      <c r="VAG1" s="1"/>
      <c r="VAH1" s="1"/>
      <c r="VAI1" s="1"/>
      <c r="VAJ1" s="1"/>
      <c r="VAK1" s="1"/>
      <c r="VAL1" s="1"/>
      <c r="VAM1" s="1"/>
      <c r="VAN1" s="1"/>
      <c r="VAO1" s="1"/>
      <c r="VAP1" s="1"/>
      <c r="VAQ1" s="1"/>
      <c r="VAR1" s="1"/>
      <c r="VAS1" s="1"/>
      <c r="VAT1" s="1"/>
      <c r="VAU1" s="1"/>
      <c r="VAV1" s="1"/>
      <c r="VAW1" s="1"/>
      <c r="VAX1" s="1"/>
      <c r="VAY1" s="1"/>
      <c r="VAZ1" s="1"/>
      <c r="VBA1" s="1"/>
      <c r="VBB1" s="1"/>
      <c r="VBC1" s="1"/>
      <c r="VBD1" s="1"/>
      <c r="VBE1" s="1"/>
      <c r="VBF1" s="1"/>
      <c r="VBG1" s="1"/>
      <c r="VBH1" s="1"/>
      <c r="VBI1" s="1"/>
      <c r="VBJ1" s="1"/>
      <c r="VBK1" s="1"/>
      <c r="VBL1" s="1"/>
      <c r="VBM1" s="1"/>
      <c r="VBN1" s="1"/>
      <c r="VBO1" s="1"/>
      <c r="VBP1" s="1"/>
      <c r="VBQ1" s="1"/>
      <c r="VBR1" s="1"/>
      <c r="VBS1" s="1"/>
      <c r="VBT1" s="1"/>
      <c r="VBU1" s="1"/>
      <c r="VBV1" s="1"/>
      <c r="VBW1" s="1"/>
      <c r="VBX1" s="1"/>
      <c r="VBY1" s="1"/>
      <c r="VBZ1" s="1"/>
      <c r="VCA1" s="1"/>
      <c r="VCB1" s="1"/>
      <c r="VCC1" s="1"/>
      <c r="VCD1" s="1"/>
      <c r="VCE1" s="1"/>
      <c r="VCF1" s="1"/>
      <c r="VCG1" s="1"/>
      <c r="VCH1" s="1"/>
      <c r="VCI1" s="1"/>
      <c r="VCJ1" s="1"/>
      <c r="VCK1" s="1"/>
      <c r="VCL1" s="1"/>
      <c r="VCM1" s="1"/>
      <c r="VCN1" s="1"/>
      <c r="VCO1" s="1"/>
      <c r="VCP1" s="1"/>
      <c r="VCQ1" s="1"/>
      <c r="VCR1" s="1"/>
      <c r="VCS1" s="1"/>
      <c r="VCT1" s="1"/>
      <c r="VCU1" s="1"/>
      <c r="VCV1" s="1"/>
      <c r="VCW1" s="1"/>
      <c r="VCX1" s="1"/>
      <c r="VCY1" s="1"/>
      <c r="VCZ1" s="1"/>
      <c r="VDA1" s="1"/>
      <c r="VDB1" s="1"/>
      <c r="VDC1" s="1"/>
      <c r="VDD1" s="1"/>
      <c r="VDE1" s="1"/>
      <c r="VDF1" s="1"/>
      <c r="VDG1" s="1"/>
      <c r="VDH1" s="1"/>
      <c r="VDI1" s="1"/>
      <c r="VDJ1" s="1"/>
      <c r="VDK1" s="1"/>
      <c r="VDL1" s="1"/>
      <c r="VDM1" s="1"/>
      <c r="VDN1" s="1"/>
      <c r="VDO1" s="1"/>
      <c r="VDP1" s="1"/>
      <c r="VDQ1" s="1"/>
      <c r="VDR1" s="1"/>
      <c r="VDS1" s="1"/>
      <c r="VDT1" s="1"/>
      <c r="VDU1" s="1"/>
      <c r="VDV1" s="1"/>
      <c r="VDW1" s="1"/>
      <c r="VDX1" s="1"/>
      <c r="VDY1" s="1"/>
      <c r="VDZ1" s="1"/>
      <c r="VEA1" s="1"/>
      <c r="VEB1" s="1"/>
      <c r="VEC1" s="1"/>
      <c r="VED1" s="1"/>
      <c r="VEE1" s="1"/>
      <c r="VEF1" s="1"/>
      <c r="VEG1" s="1"/>
      <c r="VEH1" s="1"/>
      <c r="VEI1" s="1"/>
      <c r="VEJ1" s="1"/>
      <c r="VEK1" s="1"/>
      <c r="VEL1" s="1"/>
      <c r="VEM1" s="1"/>
      <c r="VEN1" s="1"/>
      <c r="VEO1" s="1"/>
      <c r="VEP1" s="1"/>
      <c r="VEQ1" s="1"/>
      <c r="VER1" s="1"/>
      <c r="VES1" s="1"/>
      <c r="VET1" s="1"/>
      <c r="VEU1" s="1"/>
      <c r="VEV1" s="1"/>
      <c r="VEW1" s="1"/>
      <c r="VEX1" s="1"/>
      <c r="VEY1" s="1"/>
      <c r="VEZ1" s="1"/>
      <c r="VFA1" s="1"/>
      <c r="VFB1" s="1"/>
      <c r="VFC1" s="1"/>
      <c r="VFD1" s="1"/>
      <c r="VFE1" s="1"/>
      <c r="VFF1" s="1"/>
      <c r="VFG1" s="1"/>
      <c r="VFH1" s="1"/>
      <c r="VFI1" s="1"/>
      <c r="VFJ1" s="1"/>
      <c r="VFK1" s="1"/>
      <c r="VFL1" s="1"/>
      <c r="VFM1" s="1"/>
      <c r="VFN1" s="1"/>
      <c r="VFO1" s="1"/>
      <c r="VFP1" s="1"/>
      <c r="VFQ1" s="1"/>
      <c r="VFR1" s="1"/>
      <c r="VFS1" s="1"/>
      <c r="VFT1" s="1"/>
      <c r="VFU1" s="1"/>
      <c r="VFV1" s="1"/>
      <c r="VFW1" s="1"/>
      <c r="VFX1" s="1"/>
      <c r="VFY1" s="1"/>
      <c r="VFZ1" s="1"/>
      <c r="VGA1" s="1"/>
      <c r="VGB1" s="1"/>
      <c r="VGC1" s="1"/>
      <c r="VGD1" s="1"/>
      <c r="VGE1" s="1"/>
      <c r="VGF1" s="1"/>
      <c r="VGG1" s="1"/>
      <c r="VGH1" s="1"/>
      <c r="VGI1" s="1"/>
      <c r="VGJ1" s="1"/>
      <c r="VGK1" s="1"/>
      <c r="VGL1" s="1"/>
      <c r="VGM1" s="1"/>
      <c r="VGN1" s="1"/>
      <c r="VGO1" s="1"/>
      <c r="VGP1" s="1"/>
      <c r="VGQ1" s="1"/>
      <c r="VGR1" s="1"/>
      <c r="VGS1" s="1"/>
      <c r="VGT1" s="1"/>
      <c r="VGU1" s="1"/>
      <c r="VGV1" s="1"/>
      <c r="VGW1" s="1"/>
      <c r="VGX1" s="1"/>
      <c r="VGY1" s="1"/>
      <c r="VGZ1" s="1"/>
      <c r="VHA1" s="1"/>
      <c r="VHB1" s="1"/>
      <c r="VHC1" s="1"/>
      <c r="VHD1" s="1"/>
      <c r="VHE1" s="1"/>
      <c r="VHF1" s="1"/>
      <c r="VHG1" s="1"/>
      <c r="VHH1" s="1"/>
      <c r="VHI1" s="1"/>
      <c r="VHJ1" s="1"/>
      <c r="VHK1" s="1"/>
      <c r="VHL1" s="1"/>
      <c r="VHM1" s="1"/>
      <c r="VHN1" s="1"/>
      <c r="VHO1" s="1"/>
      <c r="VHP1" s="1"/>
      <c r="VHQ1" s="1"/>
      <c r="VHR1" s="1"/>
      <c r="VHS1" s="1"/>
      <c r="VHT1" s="1"/>
      <c r="VHU1" s="1"/>
      <c r="VHV1" s="1"/>
      <c r="VHW1" s="1"/>
      <c r="VHX1" s="1"/>
      <c r="VHY1" s="1"/>
      <c r="VHZ1" s="1"/>
      <c r="VIA1" s="1"/>
      <c r="VIB1" s="1"/>
      <c r="VIC1" s="1"/>
      <c r="VID1" s="1"/>
      <c r="VIE1" s="1"/>
      <c r="VIF1" s="1"/>
      <c r="VIG1" s="1"/>
      <c r="VIH1" s="1"/>
      <c r="VII1" s="1"/>
      <c r="VIJ1" s="1"/>
      <c r="VIK1" s="1"/>
      <c r="VIL1" s="1"/>
      <c r="VIM1" s="1"/>
      <c r="VIN1" s="1"/>
      <c r="VIO1" s="1"/>
      <c r="VIP1" s="1"/>
      <c r="VIQ1" s="1"/>
      <c r="VIR1" s="1"/>
      <c r="VIS1" s="1"/>
      <c r="VIT1" s="1"/>
      <c r="VIU1" s="1"/>
      <c r="VIV1" s="1"/>
      <c r="VIW1" s="1"/>
      <c r="VIX1" s="1"/>
      <c r="VIY1" s="1"/>
      <c r="VIZ1" s="1"/>
      <c r="VJA1" s="1"/>
      <c r="VJB1" s="1"/>
      <c r="VJC1" s="1"/>
      <c r="VJD1" s="1"/>
      <c r="VJE1" s="1"/>
      <c r="VJF1" s="1"/>
      <c r="VJG1" s="1"/>
      <c r="VJH1" s="1"/>
      <c r="VJI1" s="1"/>
      <c r="VJJ1" s="1"/>
      <c r="VJK1" s="1"/>
      <c r="VJL1" s="1"/>
      <c r="VJM1" s="1"/>
      <c r="VJN1" s="1"/>
      <c r="VJO1" s="1"/>
      <c r="VJP1" s="1"/>
      <c r="VJQ1" s="1"/>
      <c r="VJR1" s="1"/>
      <c r="VJS1" s="1"/>
      <c r="VJT1" s="1"/>
      <c r="VJU1" s="1"/>
      <c r="VJV1" s="1"/>
      <c r="VJW1" s="1"/>
      <c r="VJX1" s="1"/>
      <c r="VJY1" s="1"/>
      <c r="VJZ1" s="1"/>
      <c r="VKA1" s="1"/>
      <c r="VKB1" s="1"/>
      <c r="VKC1" s="1"/>
      <c r="VKD1" s="1"/>
      <c r="VKE1" s="1"/>
      <c r="VKF1" s="1"/>
      <c r="VKG1" s="1"/>
      <c r="VKH1" s="1"/>
      <c r="VKI1" s="1"/>
      <c r="VKJ1" s="1"/>
      <c r="VKK1" s="1"/>
      <c r="VKL1" s="1"/>
      <c r="VKM1" s="1"/>
      <c r="VKN1" s="1"/>
      <c r="VKO1" s="1"/>
      <c r="VKP1" s="1"/>
      <c r="VKQ1" s="1"/>
      <c r="VKR1" s="1"/>
      <c r="VKS1" s="1"/>
      <c r="VKT1" s="1"/>
      <c r="VKU1" s="1"/>
      <c r="VKV1" s="1"/>
      <c r="VKW1" s="1"/>
      <c r="VKX1" s="1"/>
      <c r="VKY1" s="1"/>
      <c r="VKZ1" s="1"/>
      <c r="VLA1" s="1"/>
      <c r="VLB1" s="1"/>
      <c r="VLC1" s="1"/>
      <c r="VLD1" s="1"/>
      <c r="VLE1" s="1"/>
      <c r="VLF1" s="1"/>
      <c r="VLG1" s="1"/>
      <c r="VLH1" s="1"/>
      <c r="VLI1" s="1"/>
      <c r="VLJ1" s="1"/>
      <c r="VLK1" s="1"/>
      <c r="VLL1" s="1"/>
      <c r="VLM1" s="1"/>
      <c r="VLN1" s="1"/>
      <c r="VLO1" s="1"/>
      <c r="VLP1" s="1"/>
      <c r="VLQ1" s="1"/>
      <c r="VLR1" s="1"/>
      <c r="VLS1" s="1"/>
      <c r="VLT1" s="1"/>
      <c r="VLU1" s="1"/>
      <c r="VLV1" s="1"/>
      <c r="VLW1" s="1"/>
      <c r="VLX1" s="1"/>
      <c r="VLY1" s="1"/>
      <c r="VLZ1" s="1"/>
      <c r="VMA1" s="1"/>
      <c r="VMB1" s="1"/>
      <c r="VMC1" s="1"/>
      <c r="VMD1" s="1"/>
      <c r="VME1" s="1"/>
      <c r="VMF1" s="1"/>
      <c r="VMG1" s="1"/>
      <c r="VMH1" s="1"/>
      <c r="VMI1" s="1"/>
      <c r="VMJ1" s="1"/>
      <c r="VMK1" s="1"/>
      <c r="VML1" s="1"/>
      <c r="VMM1" s="1"/>
      <c r="VMN1" s="1"/>
      <c r="VMO1" s="1"/>
      <c r="VMP1" s="1"/>
      <c r="VMQ1" s="1"/>
      <c r="VMR1" s="1"/>
      <c r="VMS1" s="1"/>
      <c r="VMT1" s="1"/>
      <c r="VMU1" s="1"/>
      <c r="VMV1" s="1"/>
      <c r="VMW1" s="1"/>
      <c r="VMX1" s="1"/>
      <c r="VMY1" s="1"/>
      <c r="VMZ1" s="1"/>
      <c r="VNA1" s="1"/>
      <c r="VNB1" s="1"/>
      <c r="VNC1" s="1"/>
      <c r="VND1" s="1"/>
      <c r="VNE1" s="1"/>
      <c r="VNF1" s="1"/>
      <c r="VNG1" s="1"/>
      <c r="VNH1" s="1"/>
      <c r="VNI1" s="1"/>
      <c r="VNJ1" s="1"/>
      <c r="VNK1" s="1"/>
      <c r="VNL1" s="1"/>
      <c r="VNM1" s="1"/>
      <c r="VNN1" s="1"/>
      <c r="VNO1" s="1"/>
      <c r="VNP1" s="1"/>
      <c r="VNQ1" s="1"/>
      <c r="VNR1" s="1"/>
      <c r="VNS1" s="1"/>
      <c r="VNT1" s="1"/>
      <c r="VNU1" s="1"/>
      <c r="VNV1" s="1"/>
      <c r="VNW1" s="1"/>
      <c r="VNX1" s="1"/>
      <c r="VNY1" s="1"/>
      <c r="VNZ1" s="1"/>
      <c r="VOA1" s="1"/>
      <c r="VOB1" s="1"/>
      <c r="VOC1" s="1"/>
      <c r="VOD1" s="1"/>
      <c r="VOE1" s="1"/>
      <c r="VOF1" s="1"/>
      <c r="VOG1" s="1"/>
      <c r="VOH1" s="1"/>
      <c r="VOI1" s="1"/>
      <c r="VOJ1" s="1"/>
      <c r="VOK1" s="1"/>
      <c r="VOL1" s="1"/>
      <c r="VOM1" s="1"/>
      <c r="VON1" s="1"/>
      <c r="VOO1" s="1"/>
      <c r="VOP1" s="1"/>
      <c r="VOQ1" s="1"/>
      <c r="VOR1" s="1"/>
      <c r="VOS1" s="1"/>
      <c r="VOT1" s="1"/>
      <c r="VOU1" s="1"/>
      <c r="VOV1" s="1"/>
      <c r="VOW1" s="1"/>
      <c r="VOX1" s="1"/>
      <c r="VOY1" s="1"/>
      <c r="VOZ1" s="1"/>
      <c r="VPA1" s="1"/>
      <c r="VPB1" s="1"/>
      <c r="VPC1" s="1"/>
      <c r="VPD1" s="1"/>
      <c r="VPE1" s="1"/>
      <c r="VPF1" s="1"/>
      <c r="VPG1" s="1"/>
      <c r="VPH1" s="1"/>
      <c r="VPI1" s="1"/>
      <c r="VPJ1" s="1"/>
      <c r="VPK1" s="1"/>
      <c r="VPL1" s="1"/>
      <c r="VPM1" s="1"/>
      <c r="VPN1" s="1"/>
      <c r="VPO1" s="1"/>
      <c r="VPP1" s="1"/>
      <c r="VPQ1" s="1"/>
      <c r="VPR1" s="1"/>
      <c r="VPS1" s="1"/>
      <c r="VPT1" s="1"/>
      <c r="VPU1" s="1"/>
      <c r="VPV1" s="1"/>
      <c r="VPW1" s="1"/>
      <c r="VPX1" s="1"/>
      <c r="VPY1" s="1"/>
      <c r="VPZ1" s="1"/>
      <c r="VQA1" s="1"/>
      <c r="VQB1" s="1"/>
      <c r="VQC1" s="1"/>
      <c r="VQD1" s="1"/>
      <c r="VQE1" s="1"/>
      <c r="VQF1" s="1"/>
      <c r="VQG1" s="1"/>
      <c r="VQH1" s="1"/>
      <c r="VQI1" s="1"/>
      <c r="VQJ1" s="1"/>
      <c r="VQK1" s="1"/>
      <c r="VQL1" s="1"/>
      <c r="VQM1" s="1"/>
      <c r="VQN1" s="1"/>
      <c r="VQO1" s="1"/>
      <c r="VQP1" s="1"/>
      <c r="VQQ1" s="1"/>
      <c r="VQR1" s="1"/>
      <c r="VQS1" s="1"/>
      <c r="VQT1" s="1"/>
      <c r="VQU1" s="1"/>
      <c r="VQV1" s="1"/>
      <c r="VQW1" s="1"/>
      <c r="VQX1" s="1"/>
      <c r="VQY1" s="1"/>
      <c r="VQZ1" s="1"/>
      <c r="VRA1" s="1"/>
      <c r="VRB1" s="1"/>
      <c r="VRC1" s="1"/>
      <c r="VRD1" s="1"/>
      <c r="VRE1" s="1"/>
      <c r="VRF1" s="1"/>
      <c r="VRG1" s="1"/>
      <c r="VRH1" s="1"/>
      <c r="VRI1" s="1"/>
      <c r="VRJ1" s="1"/>
      <c r="VRK1" s="1"/>
      <c r="VRL1" s="1"/>
      <c r="VRM1" s="1"/>
      <c r="VRN1" s="1"/>
      <c r="VRO1" s="1"/>
      <c r="VRP1" s="1"/>
      <c r="VRQ1" s="1"/>
      <c r="VRR1" s="1"/>
      <c r="VRS1" s="1"/>
      <c r="VRT1" s="1"/>
      <c r="VRU1" s="1"/>
      <c r="VRV1" s="1"/>
      <c r="VRW1" s="1"/>
      <c r="VRX1" s="1"/>
      <c r="VRY1" s="1"/>
      <c r="VRZ1" s="1"/>
      <c r="VSA1" s="1"/>
      <c r="VSB1" s="1"/>
      <c r="VSC1" s="1"/>
      <c r="VSD1" s="1"/>
      <c r="VSE1" s="1"/>
      <c r="VSF1" s="1"/>
      <c r="VSG1" s="1"/>
      <c r="VSH1" s="1"/>
      <c r="VSI1" s="1"/>
      <c r="VSJ1" s="1"/>
      <c r="VSK1" s="1"/>
      <c r="VSL1" s="1"/>
      <c r="VSM1" s="1"/>
      <c r="VSN1" s="1"/>
      <c r="VSO1" s="1"/>
      <c r="VSP1" s="1"/>
      <c r="VSQ1" s="1"/>
      <c r="VSR1" s="1"/>
      <c r="VSS1" s="1"/>
      <c r="VST1" s="1"/>
      <c r="VSU1" s="1"/>
      <c r="VSV1" s="1"/>
      <c r="VSW1" s="1"/>
      <c r="VSX1" s="1"/>
      <c r="VSY1" s="1"/>
      <c r="VSZ1" s="1"/>
      <c r="VTA1" s="1"/>
      <c r="VTB1" s="1"/>
      <c r="VTC1" s="1"/>
      <c r="VTD1" s="1"/>
      <c r="VTE1" s="1"/>
      <c r="VTF1" s="1"/>
      <c r="VTG1" s="1"/>
      <c r="VTH1" s="1"/>
      <c r="VTI1" s="1"/>
      <c r="VTJ1" s="1"/>
      <c r="VTK1" s="1"/>
      <c r="VTL1" s="1"/>
      <c r="VTM1" s="1"/>
      <c r="VTN1" s="1"/>
      <c r="VTO1" s="1"/>
      <c r="VTP1" s="1"/>
      <c r="VTQ1" s="1"/>
      <c r="VTR1" s="1"/>
      <c r="VTS1" s="1"/>
      <c r="VTT1" s="1"/>
      <c r="VTU1" s="1"/>
      <c r="VTV1" s="1"/>
      <c r="VTW1" s="1"/>
      <c r="VTX1" s="1"/>
      <c r="VTY1" s="1"/>
      <c r="VTZ1" s="1"/>
      <c r="VUA1" s="1"/>
      <c r="VUB1" s="1"/>
      <c r="VUC1" s="1"/>
      <c r="VUD1" s="1"/>
      <c r="VUE1" s="1"/>
      <c r="VUF1" s="1"/>
      <c r="VUG1" s="1"/>
      <c r="VUH1" s="1"/>
      <c r="VUI1" s="1"/>
      <c r="VUJ1" s="1"/>
      <c r="VUK1" s="1"/>
      <c r="VUL1" s="1"/>
      <c r="VUM1" s="1"/>
      <c r="VUN1" s="1"/>
      <c r="VUO1" s="1"/>
      <c r="VUP1" s="1"/>
      <c r="VUQ1" s="1"/>
      <c r="VUR1" s="1"/>
      <c r="VUS1" s="1"/>
      <c r="VUT1" s="1"/>
      <c r="VUU1" s="1"/>
      <c r="VUV1" s="1"/>
      <c r="VUW1" s="1"/>
      <c r="VUX1" s="1"/>
      <c r="VUY1" s="1"/>
      <c r="VUZ1" s="1"/>
      <c r="VVA1" s="1"/>
      <c r="VVB1" s="1"/>
      <c r="VVC1" s="1"/>
      <c r="VVD1" s="1"/>
      <c r="VVE1" s="1"/>
      <c r="VVF1" s="1"/>
      <c r="VVG1" s="1"/>
      <c r="VVH1" s="1"/>
      <c r="VVI1" s="1"/>
      <c r="VVJ1" s="1"/>
      <c r="VVK1" s="1"/>
      <c r="VVL1" s="1"/>
      <c r="VVM1" s="1"/>
      <c r="VVN1" s="1"/>
      <c r="VVO1" s="1"/>
      <c r="VVP1" s="1"/>
      <c r="VVQ1" s="1"/>
      <c r="VVR1" s="1"/>
      <c r="VVS1" s="1"/>
      <c r="VVT1" s="1"/>
      <c r="VVU1" s="1"/>
      <c r="VVV1" s="1"/>
      <c r="VVW1" s="1"/>
      <c r="VVX1" s="1"/>
      <c r="VVY1" s="1"/>
      <c r="VVZ1" s="1"/>
      <c r="VWA1" s="1"/>
      <c r="VWB1" s="1"/>
      <c r="VWC1" s="1"/>
      <c r="VWD1" s="1"/>
      <c r="VWE1" s="1"/>
      <c r="VWF1" s="1"/>
      <c r="VWG1" s="1"/>
      <c r="VWH1" s="1"/>
      <c r="VWI1" s="1"/>
      <c r="VWJ1" s="1"/>
      <c r="VWK1" s="1"/>
      <c r="VWL1" s="1"/>
      <c r="VWM1" s="1"/>
      <c r="VWN1" s="1"/>
      <c r="VWO1" s="1"/>
      <c r="VWP1" s="1"/>
      <c r="VWQ1" s="1"/>
      <c r="VWR1" s="1"/>
      <c r="VWS1" s="1"/>
      <c r="VWT1" s="1"/>
      <c r="VWU1" s="1"/>
      <c r="VWV1" s="1"/>
      <c r="VWW1" s="1"/>
      <c r="VWX1" s="1"/>
      <c r="VWY1" s="1"/>
      <c r="VWZ1" s="1"/>
      <c r="VXA1" s="1"/>
      <c r="VXB1" s="1"/>
      <c r="VXC1" s="1"/>
      <c r="VXD1" s="1"/>
      <c r="VXE1" s="1"/>
      <c r="VXF1" s="1"/>
      <c r="VXG1" s="1"/>
      <c r="VXH1" s="1"/>
      <c r="VXI1" s="1"/>
      <c r="VXJ1" s="1"/>
      <c r="VXK1" s="1"/>
      <c r="VXL1" s="1"/>
      <c r="VXM1" s="1"/>
      <c r="VXN1" s="1"/>
      <c r="VXO1" s="1"/>
      <c r="VXP1" s="1"/>
      <c r="VXQ1" s="1"/>
      <c r="VXR1" s="1"/>
      <c r="VXS1" s="1"/>
      <c r="VXT1" s="1"/>
      <c r="VXU1" s="1"/>
      <c r="VXV1" s="1"/>
      <c r="VXW1" s="1"/>
      <c r="VXX1" s="1"/>
      <c r="VXY1" s="1"/>
      <c r="VXZ1" s="1"/>
      <c r="VYA1" s="1"/>
      <c r="VYB1" s="1"/>
      <c r="VYC1" s="1"/>
      <c r="VYD1" s="1"/>
      <c r="VYE1" s="1"/>
      <c r="VYF1" s="1"/>
      <c r="VYG1" s="1"/>
      <c r="VYH1" s="1"/>
      <c r="VYI1" s="1"/>
      <c r="VYJ1" s="1"/>
      <c r="VYK1" s="1"/>
      <c r="VYL1" s="1"/>
      <c r="VYM1" s="1"/>
      <c r="VYN1" s="1"/>
      <c r="VYO1" s="1"/>
      <c r="VYP1" s="1"/>
      <c r="VYQ1" s="1"/>
      <c r="VYR1" s="1"/>
      <c r="VYS1" s="1"/>
      <c r="VYT1" s="1"/>
      <c r="VYU1" s="1"/>
      <c r="VYV1" s="1"/>
      <c r="VYW1" s="1"/>
      <c r="VYX1" s="1"/>
      <c r="VYY1" s="1"/>
      <c r="VYZ1" s="1"/>
      <c r="VZA1" s="1"/>
      <c r="VZB1" s="1"/>
      <c r="VZC1" s="1"/>
      <c r="VZD1" s="1"/>
      <c r="VZE1" s="1"/>
      <c r="VZF1" s="1"/>
      <c r="VZG1" s="1"/>
      <c r="VZH1" s="1"/>
      <c r="VZI1" s="1"/>
      <c r="VZJ1" s="1"/>
      <c r="VZK1" s="1"/>
      <c r="VZL1" s="1"/>
      <c r="VZM1" s="1"/>
      <c r="VZN1" s="1"/>
      <c r="VZO1" s="1"/>
      <c r="VZP1" s="1"/>
      <c r="VZQ1" s="1"/>
      <c r="VZR1" s="1"/>
      <c r="VZS1" s="1"/>
      <c r="VZT1" s="1"/>
      <c r="VZU1" s="1"/>
      <c r="VZV1" s="1"/>
      <c r="VZW1" s="1"/>
      <c r="VZX1" s="1"/>
      <c r="VZY1" s="1"/>
      <c r="VZZ1" s="1"/>
      <c r="WAA1" s="1"/>
      <c r="WAB1" s="1"/>
      <c r="WAC1" s="1"/>
      <c r="WAD1" s="1"/>
      <c r="WAE1" s="1"/>
      <c r="WAF1" s="1"/>
      <c r="WAG1" s="1"/>
      <c r="WAH1" s="1"/>
      <c r="WAI1" s="1"/>
      <c r="WAJ1" s="1"/>
      <c r="WAK1" s="1"/>
      <c r="WAL1" s="1"/>
      <c r="WAM1" s="1"/>
      <c r="WAN1" s="1"/>
      <c r="WAO1" s="1"/>
      <c r="WAP1" s="1"/>
      <c r="WAQ1" s="1"/>
      <c r="WAR1" s="1"/>
      <c r="WAS1" s="1"/>
      <c r="WAT1" s="1"/>
      <c r="WAU1" s="1"/>
      <c r="WAV1" s="1"/>
      <c r="WAW1" s="1"/>
      <c r="WAX1" s="1"/>
      <c r="WAY1" s="1"/>
      <c r="WAZ1" s="1"/>
      <c r="WBA1" s="1"/>
      <c r="WBB1" s="1"/>
      <c r="WBC1" s="1"/>
      <c r="WBD1" s="1"/>
      <c r="WBE1" s="1"/>
      <c r="WBF1" s="1"/>
      <c r="WBG1" s="1"/>
      <c r="WBH1" s="1"/>
      <c r="WBI1" s="1"/>
      <c r="WBJ1" s="1"/>
      <c r="WBK1" s="1"/>
      <c r="WBL1" s="1"/>
      <c r="WBM1" s="1"/>
      <c r="WBN1" s="1"/>
      <c r="WBO1" s="1"/>
      <c r="WBP1" s="1"/>
      <c r="WBQ1" s="1"/>
      <c r="WBR1" s="1"/>
      <c r="WBS1" s="1"/>
      <c r="WBT1" s="1"/>
      <c r="WBU1" s="1"/>
      <c r="WBV1" s="1"/>
      <c r="WBW1" s="1"/>
      <c r="WBX1" s="1"/>
      <c r="WBY1" s="1"/>
      <c r="WBZ1" s="1"/>
      <c r="WCA1" s="1"/>
      <c r="WCB1" s="1"/>
      <c r="WCC1" s="1"/>
      <c r="WCD1" s="1"/>
      <c r="WCE1" s="1"/>
      <c r="WCF1" s="1"/>
      <c r="WCG1" s="1"/>
      <c r="WCH1" s="1"/>
      <c r="WCI1" s="1"/>
      <c r="WCJ1" s="1"/>
      <c r="WCK1" s="1"/>
      <c r="WCL1" s="1"/>
      <c r="WCM1" s="1"/>
      <c r="WCN1" s="1"/>
      <c r="WCO1" s="1"/>
      <c r="WCP1" s="1"/>
      <c r="WCQ1" s="1"/>
      <c r="WCR1" s="1"/>
      <c r="WCS1" s="1"/>
      <c r="WCT1" s="1"/>
      <c r="WCU1" s="1"/>
      <c r="WCV1" s="1"/>
      <c r="WCW1" s="1"/>
      <c r="WCX1" s="1"/>
      <c r="WCY1" s="1"/>
      <c r="WCZ1" s="1"/>
      <c r="WDA1" s="1"/>
      <c r="WDB1" s="1"/>
      <c r="WDC1" s="1"/>
      <c r="WDD1" s="1"/>
      <c r="WDE1" s="1"/>
      <c r="WDF1" s="1"/>
      <c r="WDG1" s="1"/>
      <c r="WDH1" s="1"/>
      <c r="WDI1" s="1"/>
      <c r="WDJ1" s="1"/>
      <c r="WDK1" s="1"/>
      <c r="WDL1" s="1"/>
      <c r="WDM1" s="1"/>
      <c r="WDN1" s="1"/>
      <c r="WDO1" s="1"/>
      <c r="WDP1" s="1"/>
      <c r="WDQ1" s="1"/>
      <c r="WDR1" s="1"/>
      <c r="WDS1" s="1"/>
      <c r="WDT1" s="1"/>
      <c r="WDU1" s="1"/>
      <c r="WDV1" s="1"/>
      <c r="WDW1" s="1"/>
      <c r="WDX1" s="1"/>
      <c r="WDY1" s="1"/>
      <c r="WDZ1" s="1"/>
      <c r="WEA1" s="1"/>
      <c r="WEB1" s="1"/>
      <c r="WEC1" s="1"/>
      <c r="WED1" s="1"/>
      <c r="WEE1" s="1"/>
      <c r="WEF1" s="1"/>
      <c r="WEG1" s="1"/>
      <c r="WEH1" s="1"/>
      <c r="WEI1" s="1"/>
      <c r="WEJ1" s="1"/>
      <c r="WEK1" s="1"/>
      <c r="WEL1" s="1"/>
      <c r="WEM1" s="1"/>
      <c r="WEN1" s="1"/>
      <c r="WEO1" s="1"/>
      <c r="WEP1" s="1"/>
      <c r="WEQ1" s="1"/>
      <c r="WER1" s="1"/>
      <c r="WES1" s="1"/>
      <c r="WET1" s="1"/>
      <c r="WEU1" s="1"/>
      <c r="WEV1" s="1"/>
      <c r="WEW1" s="1"/>
      <c r="WEX1" s="1"/>
      <c r="WEY1" s="1"/>
      <c r="WEZ1" s="1"/>
      <c r="WFA1" s="1"/>
      <c r="WFB1" s="1"/>
      <c r="WFC1" s="1"/>
      <c r="WFD1" s="1"/>
      <c r="WFE1" s="1"/>
      <c r="WFF1" s="1"/>
      <c r="WFG1" s="1"/>
      <c r="WFH1" s="1"/>
      <c r="WFI1" s="1"/>
      <c r="WFJ1" s="1"/>
      <c r="WFK1" s="1"/>
      <c r="WFL1" s="1"/>
      <c r="WFM1" s="1"/>
      <c r="WFN1" s="1"/>
      <c r="WFO1" s="1"/>
      <c r="WFP1" s="1"/>
      <c r="WFQ1" s="1"/>
      <c r="WFR1" s="1"/>
      <c r="WFS1" s="1"/>
      <c r="WFT1" s="1"/>
      <c r="WFU1" s="1"/>
      <c r="WFV1" s="1"/>
      <c r="WFW1" s="1"/>
      <c r="WFX1" s="1"/>
      <c r="WFY1" s="1"/>
      <c r="WFZ1" s="1"/>
      <c r="WGA1" s="1"/>
      <c r="WGB1" s="1"/>
      <c r="WGC1" s="1"/>
      <c r="WGD1" s="1"/>
      <c r="WGE1" s="1"/>
      <c r="WGF1" s="1"/>
      <c r="WGG1" s="1"/>
      <c r="WGH1" s="1"/>
      <c r="WGI1" s="1"/>
      <c r="WGJ1" s="1"/>
      <c r="WGK1" s="1"/>
      <c r="WGL1" s="1"/>
      <c r="WGM1" s="1"/>
      <c r="WGN1" s="1"/>
      <c r="WGO1" s="1"/>
      <c r="WGP1" s="1"/>
      <c r="WGQ1" s="1"/>
      <c r="WGR1" s="1"/>
      <c r="WGS1" s="1"/>
      <c r="WGT1" s="1"/>
      <c r="WGU1" s="1"/>
      <c r="WGV1" s="1"/>
      <c r="WGW1" s="1"/>
      <c r="WGX1" s="1"/>
      <c r="WGY1" s="1"/>
      <c r="WGZ1" s="1"/>
      <c r="WHA1" s="1"/>
      <c r="WHB1" s="1"/>
      <c r="WHC1" s="1"/>
      <c r="WHD1" s="1"/>
      <c r="WHE1" s="1"/>
      <c r="WHF1" s="1"/>
      <c r="WHG1" s="1"/>
      <c r="WHH1" s="1"/>
      <c r="WHI1" s="1"/>
      <c r="WHJ1" s="1"/>
      <c r="WHK1" s="1"/>
      <c r="WHL1" s="1"/>
      <c r="WHM1" s="1"/>
      <c r="WHN1" s="1"/>
      <c r="WHO1" s="1"/>
      <c r="WHP1" s="1"/>
      <c r="WHQ1" s="1"/>
      <c r="WHR1" s="1"/>
      <c r="WHS1" s="1"/>
      <c r="WHT1" s="1"/>
      <c r="WHU1" s="1"/>
      <c r="WHV1" s="1"/>
      <c r="WHW1" s="1"/>
      <c r="WHX1" s="1"/>
      <c r="WHY1" s="1"/>
      <c r="WHZ1" s="1"/>
      <c r="WIA1" s="1"/>
      <c r="WIB1" s="1"/>
      <c r="WIC1" s="1"/>
      <c r="WID1" s="1"/>
      <c r="WIE1" s="1"/>
      <c r="WIF1" s="1"/>
      <c r="WIG1" s="1"/>
      <c r="WIH1" s="1"/>
      <c r="WII1" s="1"/>
      <c r="WIJ1" s="1"/>
      <c r="WIK1" s="1"/>
      <c r="WIL1" s="1"/>
      <c r="WIM1" s="1"/>
      <c r="WIN1" s="1"/>
      <c r="WIO1" s="1"/>
      <c r="WIP1" s="1"/>
      <c r="WIQ1" s="1"/>
      <c r="WIR1" s="1"/>
      <c r="WIS1" s="1"/>
      <c r="WIT1" s="1"/>
      <c r="WIU1" s="1"/>
      <c r="WIV1" s="1"/>
      <c r="WIW1" s="1"/>
      <c r="WIX1" s="1"/>
      <c r="WIY1" s="1"/>
      <c r="WIZ1" s="1"/>
      <c r="WJA1" s="1"/>
      <c r="WJB1" s="1"/>
      <c r="WJC1" s="1"/>
      <c r="WJD1" s="1"/>
      <c r="WJE1" s="1"/>
      <c r="WJF1" s="1"/>
      <c r="WJG1" s="1"/>
      <c r="WJH1" s="1"/>
      <c r="WJI1" s="1"/>
      <c r="WJJ1" s="1"/>
      <c r="WJK1" s="1"/>
      <c r="WJL1" s="1"/>
      <c r="WJM1" s="1"/>
      <c r="WJN1" s="1"/>
      <c r="WJO1" s="1"/>
      <c r="WJP1" s="1"/>
      <c r="WJQ1" s="1"/>
      <c r="WJR1" s="1"/>
      <c r="WJS1" s="1"/>
      <c r="WJT1" s="1"/>
      <c r="WJU1" s="1"/>
      <c r="WJV1" s="1"/>
      <c r="WJW1" s="1"/>
      <c r="WJX1" s="1"/>
      <c r="WJY1" s="1"/>
      <c r="WJZ1" s="1"/>
      <c r="WKA1" s="1"/>
      <c r="WKB1" s="1"/>
      <c r="WKC1" s="1"/>
      <c r="WKD1" s="1"/>
      <c r="WKE1" s="1"/>
      <c r="WKF1" s="1"/>
      <c r="WKG1" s="1"/>
      <c r="WKH1" s="1"/>
      <c r="WKI1" s="1"/>
      <c r="WKJ1" s="1"/>
      <c r="WKK1" s="1"/>
      <c r="WKL1" s="1"/>
      <c r="WKM1" s="1"/>
      <c r="WKN1" s="1"/>
      <c r="WKO1" s="1"/>
      <c r="WKP1" s="1"/>
      <c r="WKQ1" s="1"/>
      <c r="WKR1" s="1"/>
      <c r="WKS1" s="1"/>
      <c r="WKT1" s="1"/>
      <c r="WKU1" s="1"/>
      <c r="WKV1" s="1"/>
      <c r="WKW1" s="1"/>
      <c r="WKX1" s="1"/>
      <c r="WKY1" s="1"/>
      <c r="WKZ1" s="1"/>
      <c r="WLA1" s="1"/>
      <c r="WLB1" s="1"/>
      <c r="WLC1" s="1"/>
      <c r="WLD1" s="1"/>
      <c r="WLE1" s="1"/>
      <c r="WLF1" s="1"/>
      <c r="WLG1" s="1"/>
      <c r="WLH1" s="1"/>
      <c r="WLI1" s="1"/>
      <c r="WLJ1" s="1"/>
      <c r="WLK1" s="1"/>
      <c r="WLL1" s="1"/>
      <c r="WLM1" s="1"/>
      <c r="WLN1" s="1"/>
      <c r="WLO1" s="1"/>
      <c r="WLP1" s="1"/>
      <c r="WLQ1" s="1"/>
      <c r="WLR1" s="1"/>
      <c r="WLS1" s="1"/>
      <c r="WLT1" s="1"/>
      <c r="WLU1" s="1"/>
      <c r="WLV1" s="1"/>
      <c r="WLW1" s="1"/>
      <c r="WLX1" s="1"/>
      <c r="WLY1" s="1"/>
      <c r="WLZ1" s="1"/>
      <c r="WMA1" s="1"/>
      <c r="WMB1" s="1"/>
      <c r="WMC1" s="1"/>
      <c r="WMD1" s="1"/>
      <c r="WME1" s="1"/>
      <c r="WMF1" s="1"/>
      <c r="WMG1" s="1"/>
      <c r="WMH1" s="1"/>
      <c r="WMI1" s="1"/>
      <c r="WMJ1" s="1"/>
      <c r="WMK1" s="1"/>
      <c r="WML1" s="1"/>
      <c r="WMM1" s="1"/>
      <c r="WMN1" s="1"/>
      <c r="WMO1" s="1"/>
      <c r="WMP1" s="1"/>
      <c r="WMQ1" s="1"/>
      <c r="WMR1" s="1"/>
      <c r="WMS1" s="1"/>
      <c r="WMT1" s="1"/>
      <c r="WMU1" s="1"/>
      <c r="WMV1" s="1"/>
      <c r="WMW1" s="1"/>
      <c r="WMX1" s="1"/>
      <c r="WMY1" s="1"/>
      <c r="WMZ1" s="1"/>
      <c r="WNA1" s="1"/>
      <c r="WNB1" s="1"/>
      <c r="WNC1" s="1"/>
      <c r="WND1" s="1"/>
      <c r="WNE1" s="1"/>
      <c r="WNF1" s="1"/>
      <c r="WNG1" s="1"/>
      <c r="WNH1" s="1"/>
      <c r="WNI1" s="1"/>
      <c r="WNJ1" s="1"/>
      <c r="WNK1" s="1"/>
      <c r="WNL1" s="1"/>
      <c r="WNM1" s="1"/>
      <c r="WNN1" s="1"/>
      <c r="WNO1" s="1"/>
      <c r="WNP1" s="1"/>
      <c r="WNQ1" s="1"/>
      <c r="WNR1" s="1"/>
      <c r="WNS1" s="1"/>
      <c r="WNT1" s="1"/>
      <c r="WNU1" s="1"/>
      <c r="WNV1" s="1"/>
      <c r="WNW1" s="1"/>
      <c r="WNX1" s="1"/>
      <c r="WNY1" s="1"/>
      <c r="WNZ1" s="1"/>
      <c r="WOA1" s="1"/>
      <c r="WOB1" s="1"/>
      <c r="WOC1" s="1"/>
      <c r="WOD1" s="1"/>
      <c r="WOE1" s="1"/>
      <c r="WOF1" s="1"/>
      <c r="WOG1" s="1"/>
      <c r="WOH1" s="1"/>
      <c r="WOI1" s="1"/>
      <c r="WOJ1" s="1"/>
      <c r="WOK1" s="1"/>
      <c r="WOL1" s="1"/>
      <c r="WOM1" s="1"/>
      <c r="WON1" s="1"/>
      <c r="WOO1" s="1"/>
      <c r="WOP1" s="1"/>
      <c r="WOQ1" s="1"/>
      <c r="WOR1" s="1"/>
      <c r="WOS1" s="1"/>
      <c r="WOT1" s="1"/>
      <c r="WOU1" s="1"/>
      <c r="WOV1" s="1"/>
      <c r="WOW1" s="1"/>
      <c r="WOX1" s="1"/>
      <c r="WOY1" s="1"/>
      <c r="WOZ1" s="1"/>
      <c r="WPA1" s="1"/>
      <c r="WPB1" s="1"/>
      <c r="WPC1" s="1"/>
      <c r="WPD1" s="1"/>
      <c r="WPE1" s="1"/>
      <c r="WPF1" s="1"/>
      <c r="WPG1" s="1"/>
      <c r="WPH1" s="1"/>
      <c r="WPI1" s="1"/>
      <c r="WPJ1" s="1"/>
      <c r="WPK1" s="1"/>
      <c r="WPL1" s="1"/>
      <c r="WPM1" s="1"/>
      <c r="WPN1" s="1"/>
      <c r="WPO1" s="1"/>
      <c r="WPP1" s="1"/>
      <c r="WPQ1" s="1"/>
      <c r="WPR1" s="1"/>
      <c r="WPS1" s="1"/>
      <c r="WPT1" s="1"/>
      <c r="WPU1" s="1"/>
      <c r="WPV1" s="1"/>
      <c r="WPW1" s="1"/>
      <c r="WPX1" s="1"/>
      <c r="WPY1" s="1"/>
      <c r="WPZ1" s="1"/>
      <c r="WQA1" s="1"/>
      <c r="WQB1" s="1"/>
      <c r="WQC1" s="1"/>
      <c r="WQD1" s="1"/>
      <c r="WQE1" s="1"/>
      <c r="WQF1" s="1"/>
      <c r="WQG1" s="1"/>
      <c r="WQH1" s="1"/>
      <c r="WQI1" s="1"/>
      <c r="WQJ1" s="1"/>
      <c r="WQK1" s="1"/>
      <c r="WQL1" s="1"/>
      <c r="WQM1" s="1"/>
      <c r="WQN1" s="1"/>
      <c r="WQO1" s="1"/>
      <c r="WQP1" s="1"/>
      <c r="WQQ1" s="1"/>
      <c r="WQR1" s="1"/>
      <c r="WQS1" s="1"/>
      <c r="WQT1" s="1"/>
      <c r="WQU1" s="1"/>
      <c r="WQV1" s="1"/>
      <c r="WQW1" s="1"/>
      <c r="WQX1" s="1"/>
      <c r="WQY1" s="1"/>
      <c r="WQZ1" s="1"/>
      <c r="WRA1" s="1"/>
      <c r="WRB1" s="1"/>
      <c r="WRC1" s="1"/>
      <c r="WRD1" s="1"/>
      <c r="WRE1" s="1"/>
      <c r="WRF1" s="1"/>
      <c r="WRG1" s="1"/>
      <c r="WRH1" s="1"/>
      <c r="WRI1" s="1"/>
      <c r="WRJ1" s="1"/>
      <c r="WRK1" s="1"/>
      <c r="WRL1" s="1"/>
      <c r="WRM1" s="1"/>
      <c r="WRN1" s="1"/>
      <c r="WRO1" s="1"/>
      <c r="WRP1" s="1"/>
      <c r="WRQ1" s="1"/>
      <c r="WRR1" s="1"/>
      <c r="WRS1" s="1"/>
      <c r="WRT1" s="1"/>
      <c r="WRU1" s="1"/>
      <c r="WRV1" s="1"/>
      <c r="WRW1" s="1"/>
      <c r="WRX1" s="1"/>
      <c r="WRY1" s="1"/>
      <c r="WRZ1" s="1"/>
      <c r="WSA1" s="1"/>
      <c r="WSB1" s="1"/>
      <c r="WSC1" s="1"/>
      <c r="WSD1" s="1"/>
      <c r="WSE1" s="1"/>
      <c r="WSF1" s="1"/>
      <c r="WSG1" s="1"/>
      <c r="WSH1" s="1"/>
      <c r="WSI1" s="1"/>
      <c r="WSJ1" s="1"/>
      <c r="WSK1" s="1"/>
      <c r="WSL1" s="1"/>
      <c r="WSM1" s="1"/>
      <c r="WSN1" s="1"/>
      <c r="WSO1" s="1"/>
      <c r="WSP1" s="1"/>
      <c r="WSQ1" s="1"/>
      <c r="WSR1" s="1"/>
      <c r="WSS1" s="1"/>
      <c r="WST1" s="1"/>
      <c r="WSU1" s="1"/>
      <c r="WSV1" s="1"/>
      <c r="WSW1" s="1"/>
      <c r="WSX1" s="1"/>
      <c r="WSY1" s="1"/>
      <c r="WSZ1" s="1"/>
      <c r="WTA1" s="1"/>
      <c r="WTB1" s="1"/>
      <c r="WTC1" s="1"/>
      <c r="WTD1" s="1"/>
      <c r="WTE1" s="1"/>
      <c r="WTF1" s="1"/>
      <c r="WTG1" s="1"/>
      <c r="WTH1" s="1"/>
      <c r="WTI1" s="1"/>
      <c r="WTJ1" s="1"/>
      <c r="WTK1" s="1"/>
      <c r="WTL1" s="1"/>
      <c r="WTM1" s="1"/>
      <c r="WTN1" s="1"/>
      <c r="WTO1" s="1"/>
      <c r="WTP1" s="1"/>
      <c r="WTQ1" s="1"/>
      <c r="WTR1" s="1"/>
      <c r="WTS1" s="1"/>
      <c r="WTT1" s="1"/>
      <c r="WTU1" s="1"/>
      <c r="WTV1" s="1"/>
      <c r="WTW1" s="1"/>
      <c r="WTX1" s="1"/>
      <c r="WTY1" s="1"/>
      <c r="WTZ1" s="1"/>
      <c r="WUA1" s="1"/>
      <c r="WUB1" s="1"/>
      <c r="WUC1" s="1"/>
      <c r="WUD1" s="1"/>
      <c r="WUE1" s="1"/>
      <c r="WUF1" s="1"/>
      <c r="WUG1" s="1"/>
      <c r="WUH1" s="1"/>
      <c r="WUI1" s="1"/>
      <c r="WUJ1" s="1"/>
      <c r="WUK1" s="1"/>
      <c r="WUL1" s="1"/>
      <c r="WUM1" s="1"/>
      <c r="WUN1" s="1"/>
      <c r="WUO1" s="1"/>
      <c r="WUP1" s="1"/>
      <c r="WUQ1" s="1"/>
      <c r="WUR1" s="1"/>
      <c r="WUS1" s="1"/>
      <c r="WUT1" s="1"/>
      <c r="WUU1" s="1"/>
      <c r="WUV1" s="1"/>
      <c r="WUW1" s="1"/>
      <c r="WUX1" s="1"/>
      <c r="WUY1" s="1"/>
      <c r="WUZ1" s="1"/>
      <c r="WVA1" s="1"/>
      <c r="WVB1" s="1"/>
      <c r="WVC1" s="1"/>
      <c r="WVD1" s="1"/>
      <c r="WVE1" s="1"/>
      <c r="WVF1" s="1"/>
      <c r="WVG1" s="1"/>
      <c r="WVH1" s="1"/>
      <c r="WVI1" s="1"/>
      <c r="WVJ1" s="1"/>
      <c r="WVK1" s="1"/>
      <c r="WVL1" s="1"/>
      <c r="WVM1" s="1"/>
      <c r="WVN1" s="1"/>
      <c r="WVO1" s="1"/>
      <c r="WVP1" s="1"/>
      <c r="WVQ1" s="1"/>
      <c r="WVR1" s="1"/>
      <c r="WVS1" s="1"/>
      <c r="WVT1" s="1"/>
      <c r="WVU1" s="1"/>
      <c r="WVV1" s="1"/>
      <c r="WVW1" s="1"/>
      <c r="WVX1" s="1"/>
      <c r="WVY1" s="1"/>
      <c r="WVZ1" s="1"/>
      <c r="WWA1" s="1"/>
      <c r="WWB1" s="1"/>
      <c r="WWC1" s="1"/>
      <c r="WWD1" s="1"/>
      <c r="WWE1" s="1"/>
      <c r="WWF1" s="1"/>
      <c r="WWG1" s="1"/>
      <c r="WWH1" s="1"/>
      <c r="WWI1" s="1"/>
      <c r="WWJ1" s="1"/>
      <c r="WWK1" s="1"/>
      <c r="WWL1" s="1"/>
      <c r="WWM1" s="1"/>
      <c r="WWN1" s="1"/>
      <c r="WWO1" s="1"/>
      <c r="WWP1" s="1"/>
      <c r="WWQ1" s="1"/>
      <c r="WWR1" s="1"/>
      <c r="WWS1" s="1"/>
      <c r="WWT1" s="1"/>
      <c r="WWU1" s="1"/>
      <c r="WWV1" s="1"/>
      <c r="WWW1" s="1"/>
      <c r="WWX1" s="1"/>
      <c r="WWY1" s="1"/>
      <c r="WWZ1" s="1"/>
      <c r="WXA1" s="1"/>
      <c r="WXB1" s="1"/>
      <c r="WXC1" s="1"/>
      <c r="WXD1" s="1"/>
      <c r="WXE1" s="1"/>
      <c r="WXF1" s="1"/>
      <c r="WXG1" s="1"/>
      <c r="WXH1" s="1"/>
      <c r="WXI1" s="1"/>
      <c r="WXJ1" s="1"/>
      <c r="WXK1" s="1"/>
      <c r="WXL1" s="1"/>
      <c r="WXM1" s="1"/>
      <c r="WXN1" s="1"/>
      <c r="WXO1" s="1"/>
      <c r="WXP1" s="1"/>
      <c r="WXQ1" s="1"/>
      <c r="WXR1" s="1"/>
      <c r="WXS1" s="1"/>
      <c r="WXT1" s="1"/>
      <c r="WXU1" s="1"/>
      <c r="WXV1" s="1"/>
      <c r="WXW1" s="1"/>
      <c r="WXX1" s="1"/>
      <c r="WXY1" s="1"/>
      <c r="WXZ1" s="1"/>
      <c r="WYA1" s="1"/>
      <c r="WYB1" s="1"/>
      <c r="WYC1" s="1"/>
      <c r="WYD1" s="1"/>
      <c r="WYE1" s="1"/>
      <c r="WYF1" s="1"/>
      <c r="WYG1" s="1"/>
      <c r="WYH1" s="1"/>
      <c r="WYI1" s="1"/>
      <c r="WYJ1" s="1"/>
      <c r="WYK1" s="1"/>
      <c r="WYL1" s="1"/>
      <c r="WYM1" s="1"/>
      <c r="WYN1" s="1"/>
      <c r="WYO1" s="1"/>
      <c r="WYP1" s="1"/>
      <c r="WYQ1" s="1"/>
      <c r="WYR1" s="1"/>
      <c r="WYS1" s="1"/>
      <c r="WYT1" s="1"/>
      <c r="WYU1" s="1"/>
      <c r="WYV1" s="1"/>
      <c r="WYW1" s="1"/>
      <c r="WYX1" s="1"/>
      <c r="WYY1" s="1"/>
      <c r="WYZ1" s="1"/>
      <c r="WZA1" s="1"/>
      <c r="WZB1" s="1"/>
      <c r="WZC1" s="1"/>
      <c r="WZD1" s="1"/>
      <c r="WZE1" s="1"/>
      <c r="WZF1" s="1"/>
      <c r="WZG1" s="1"/>
      <c r="WZH1" s="1"/>
      <c r="WZI1" s="1"/>
      <c r="WZJ1" s="1"/>
      <c r="WZK1" s="1"/>
      <c r="WZL1" s="1"/>
      <c r="WZM1" s="1"/>
      <c r="WZN1" s="1"/>
      <c r="WZO1" s="1"/>
      <c r="WZP1" s="1"/>
      <c r="WZQ1" s="1"/>
      <c r="WZR1" s="1"/>
      <c r="WZS1" s="1"/>
      <c r="WZT1" s="1"/>
      <c r="WZU1" s="1"/>
      <c r="WZV1" s="1"/>
      <c r="WZW1" s="1"/>
      <c r="WZX1" s="1"/>
      <c r="WZY1" s="1"/>
      <c r="WZZ1" s="1"/>
      <c r="XAA1" s="1"/>
      <c r="XAB1" s="1"/>
      <c r="XAC1" s="1"/>
      <c r="XAD1" s="1"/>
      <c r="XAE1" s="1"/>
      <c r="XAF1" s="1"/>
      <c r="XAG1" s="1"/>
      <c r="XAH1" s="1"/>
      <c r="XAI1" s="1"/>
      <c r="XAJ1" s="1"/>
      <c r="XAK1" s="1"/>
      <c r="XAL1" s="1"/>
      <c r="XAM1" s="1"/>
      <c r="XAN1" s="1"/>
      <c r="XAO1" s="1"/>
      <c r="XAP1" s="1"/>
      <c r="XAQ1" s="1"/>
      <c r="XAR1" s="1"/>
      <c r="XAS1" s="1"/>
      <c r="XAT1" s="1"/>
      <c r="XAU1" s="1"/>
      <c r="XAV1" s="1"/>
      <c r="XAW1" s="1"/>
      <c r="XAX1" s="1"/>
      <c r="XAY1" s="1"/>
      <c r="XAZ1" s="1"/>
      <c r="XBA1" s="1"/>
      <c r="XBB1" s="1"/>
      <c r="XBC1" s="1"/>
      <c r="XBD1" s="1"/>
      <c r="XBE1" s="1"/>
      <c r="XBF1" s="1"/>
      <c r="XBG1" s="1"/>
      <c r="XBH1" s="1"/>
      <c r="XBI1" s="1"/>
      <c r="XBJ1" s="1"/>
      <c r="XBK1" s="1"/>
      <c r="XBL1" s="1"/>
      <c r="XBM1" s="1"/>
      <c r="XBN1" s="1"/>
      <c r="XBO1" s="1"/>
      <c r="XBP1" s="1"/>
      <c r="XBQ1" s="1"/>
      <c r="XBR1" s="1"/>
      <c r="XBS1" s="1"/>
      <c r="XBT1" s="1"/>
      <c r="XBU1" s="1"/>
      <c r="XBV1" s="1"/>
      <c r="XBW1" s="1"/>
      <c r="XBX1" s="1"/>
      <c r="XBY1" s="1"/>
      <c r="XBZ1" s="1"/>
      <c r="XCA1" s="1"/>
      <c r="XCB1" s="1"/>
      <c r="XCC1" s="1"/>
      <c r="XCD1" s="1"/>
      <c r="XCE1" s="1"/>
      <c r="XCF1" s="1"/>
      <c r="XCG1" s="1"/>
      <c r="XCH1" s="1"/>
      <c r="XCI1" s="1"/>
      <c r="XCJ1" s="1"/>
      <c r="XCK1" s="1"/>
      <c r="XCL1" s="1"/>
      <c r="XCM1" s="1"/>
      <c r="XCN1" s="1"/>
      <c r="XCO1" s="1"/>
      <c r="XCP1" s="1"/>
      <c r="XCQ1" s="1"/>
      <c r="XCR1" s="1"/>
      <c r="XCS1" s="1"/>
      <c r="XCT1" s="1"/>
      <c r="XCU1" s="1"/>
      <c r="XCV1" s="1"/>
      <c r="XCW1" s="1"/>
      <c r="XCX1" s="1"/>
      <c r="XCY1" s="1"/>
      <c r="XCZ1" s="1"/>
      <c r="XDA1" s="1"/>
      <c r="XDB1" s="1"/>
      <c r="XDC1" s="1"/>
      <c r="XDD1" s="1"/>
      <c r="XDE1" s="1"/>
      <c r="XDF1" s="1"/>
      <c r="XDG1" s="1"/>
      <c r="XDH1" s="1"/>
      <c r="XDI1" s="1"/>
      <c r="XDJ1" s="1"/>
      <c r="XDK1" s="1"/>
      <c r="XDL1" s="1"/>
      <c r="XDM1" s="1"/>
      <c r="XDN1" s="1"/>
      <c r="XDO1" s="1"/>
      <c r="XDP1" s="1"/>
      <c r="XDQ1" s="1"/>
      <c r="XDR1" s="1"/>
      <c r="XDS1" s="1"/>
      <c r="XDT1" s="1"/>
      <c r="XDU1" s="1"/>
      <c r="XDV1" s="1"/>
      <c r="XDW1" s="1"/>
      <c r="XDX1" s="1"/>
      <c r="XDY1" s="1"/>
      <c r="XDZ1" s="1"/>
      <c r="XEA1" s="1"/>
      <c r="XEB1" s="1"/>
      <c r="XEC1" s="1"/>
      <c r="XED1" s="1"/>
      <c r="XEE1" s="1"/>
      <c r="XEF1" s="1"/>
      <c r="XEG1" s="1"/>
      <c r="XEH1" s="1"/>
      <c r="XEI1" s="1"/>
      <c r="XEJ1" s="1"/>
      <c r="XEK1" s="1"/>
      <c r="XEL1" s="1"/>
      <c r="XEM1" s="1"/>
      <c r="XEN1" s="1"/>
      <c r="XEO1" s="1"/>
      <c r="XEP1" s="1"/>
      <c r="XEQ1" s="1"/>
    </row>
    <row r="2" spans="1:16371" hidden="1" x14ac:dyDescent="0.4">
      <c r="A2" t="e">
        <f>_xlfn.TEXTBEFORE(#REF!," ",)</f>
        <v>#REF!</v>
      </c>
      <c r="B2" t="e">
        <f>_xlfn.TEXTAFTER(#REF!, " ", -1)</f>
        <v>#REF!</v>
      </c>
      <c r="C2" t="s">
        <v>10</v>
      </c>
      <c r="D2" t="s">
        <v>5</v>
      </c>
      <c r="E2" s="3">
        <v>900</v>
      </c>
      <c r="F2" s="3">
        <v>0</v>
      </c>
      <c r="G2" s="3">
        <v>19</v>
      </c>
      <c r="H2" s="3">
        <v>32</v>
      </c>
      <c r="I2" s="3">
        <v>19</v>
      </c>
      <c r="J2" s="3" t="str">
        <f>IF(AND(tbl_attendance[[#This Row],[R1 Pts]]&gt;0, tbl_attendance[[#This Row],[R2 Pts]]&gt;0,tbl_attendance[[#This Row],[R3 Pts]]&gt;0,tbl_attendance[[#This Row],[R4 Pts]]&gt;0),"YES", "NO")</f>
        <v>NO</v>
      </c>
      <c r="K2" s="3" t="str">
        <f>IF(AND(tbl_attendance[[#This Row],[R2 Pts]]&gt;0, tbl_attendance[[#This Row],[R4 Pts]]&gt;0), "YES", "NO")</f>
        <v>YES</v>
      </c>
      <c r="L2" s="3" t="str">
        <f>IF(
(tbl_attendance[[#This Row],[R1 Pts]]&gt;0)+(tbl_attendance[[#This Row],[R2 Pts]]&gt;0)+(tbl_attendance[[#This Row],[R3 Pts]]&gt;0)+(tbl_attendance[[#This Row],[R4 Pts]]&gt;0)&gt;=3,"YES", "NO")</f>
        <v>YES</v>
      </c>
      <c r="M2" s="3" t="str">
        <f>IF(AND(tbl_attendance[[#This Row],[R1 Pts]]=0, tbl_attendance[[#This Row],[R2 Pts]]=0,tbl_attendance[[#This Row],[R3 Pts]]=0,tbl_attendance[[#This Row],[R4 Pts]]=0),"YES", "NO")</f>
        <v>NO</v>
      </c>
    </row>
    <row r="3" spans="1:16371" hidden="1" x14ac:dyDescent="0.4">
      <c r="A3" t="e">
        <f>_xlfn.TEXTBEFORE(#REF!," ",)</f>
        <v>#REF!</v>
      </c>
      <c r="B3" t="e">
        <f>_xlfn.TEXTAFTER(#REF!, " ", -1)</f>
        <v>#REF!</v>
      </c>
      <c r="C3" t="s">
        <v>10</v>
      </c>
      <c r="D3" t="s">
        <v>5</v>
      </c>
      <c r="E3" s="3">
        <v>901</v>
      </c>
      <c r="F3" s="3">
        <v>47</v>
      </c>
      <c r="G3" s="3">
        <v>0</v>
      </c>
      <c r="H3" s="3">
        <v>1</v>
      </c>
      <c r="I3" s="3">
        <v>26</v>
      </c>
      <c r="J3" s="3" t="str">
        <f>IF(AND(tbl_attendance[[#This Row],[R1 Pts]]&gt;0, tbl_attendance[[#This Row],[R2 Pts]]&gt;0,tbl_attendance[[#This Row],[R3 Pts]]&gt;0,tbl_attendance[[#This Row],[R4 Pts]]&gt;0),"YES", "NO")</f>
        <v>NO</v>
      </c>
      <c r="K3" s="3" t="str">
        <f>IF(AND(tbl_attendance[[#This Row],[R2 Pts]]&gt;0, tbl_attendance[[#This Row],[R4 Pts]]&gt;0), "YES", "NO")</f>
        <v>NO</v>
      </c>
      <c r="L3" s="3" t="str">
        <f>IF(
(tbl_attendance[[#This Row],[R1 Pts]]&gt;0)+(tbl_attendance[[#This Row],[R2 Pts]]&gt;0)+(tbl_attendance[[#This Row],[R3 Pts]]&gt;0)+(tbl_attendance[[#This Row],[R4 Pts]]&gt;0)&gt;=3,"YES", "NO")</f>
        <v>YES</v>
      </c>
      <c r="M3" s="3" t="str">
        <f>IF(AND(tbl_attendance[[#This Row],[R1 Pts]]=0, tbl_attendance[[#This Row],[R2 Pts]]=0,tbl_attendance[[#This Row],[R3 Pts]]=0,tbl_attendance[[#This Row],[R4 Pts]]=0),"YES", "NO")</f>
        <v>NO</v>
      </c>
      <c r="O3" t="s">
        <v>1163</v>
      </c>
      <c r="P3">
        <f>COUNTIF(tbl_attendance[All Races], "YES")</f>
        <v>118</v>
      </c>
    </row>
    <row r="4" spans="1:16371" hidden="1" x14ac:dyDescent="0.4">
      <c r="A4" t="e">
        <f>_xlfn.TEXTBEFORE(#REF!," ",)</f>
        <v>#REF!</v>
      </c>
      <c r="B4" t="e">
        <f>_xlfn.TEXTAFTER(#REF!, " ", -1)</f>
        <v>#REF!</v>
      </c>
      <c r="C4" t="s">
        <v>10</v>
      </c>
      <c r="D4" t="s">
        <v>5</v>
      </c>
      <c r="E4" s="3">
        <v>902</v>
      </c>
      <c r="F4" s="3">
        <v>51</v>
      </c>
      <c r="G4" s="3">
        <v>43</v>
      </c>
      <c r="H4" s="3">
        <v>60</v>
      </c>
      <c r="I4" s="3">
        <v>0</v>
      </c>
      <c r="J4" s="3" t="str">
        <f>IF(AND(tbl_attendance[[#This Row],[R1 Pts]]&gt;0, tbl_attendance[[#This Row],[R2 Pts]]&gt;0,tbl_attendance[[#This Row],[R3 Pts]]&gt;0,tbl_attendance[[#This Row],[R4 Pts]]&gt;0),"YES", "NO")</f>
        <v>NO</v>
      </c>
      <c r="K4" s="3" t="str">
        <f>IF(AND(tbl_attendance[[#This Row],[R2 Pts]]&gt;0, tbl_attendance[[#This Row],[R4 Pts]]&gt;0), "YES", "NO")</f>
        <v>NO</v>
      </c>
      <c r="L4" s="3" t="str">
        <f>IF(
(tbl_attendance[[#This Row],[R1 Pts]]&gt;0)+(tbl_attendance[[#This Row],[R2 Pts]]&gt;0)+(tbl_attendance[[#This Row],[R3 Pts]]&gt;0)+(tbl_attendance[[#This Row],[R4 Pts]]&gt;0)&gt;=3,"YES", "NO")</f>
        <v>YES</v>
      </c>
      <c r="M4" s="3" t="str">
        <f>IF(AND(tbl_attendance[[#This Row],[R1 Pts]]=0, tbl_attendance[[#This Row],[R2 Pts]]=0,tbl_attendance[[#This Row],[R3 Pts]]=0,tbl_attendance[[#This Row],[R4 Pts]]=0),"YES", "NO")</f>
        <v>NO</v>
      </c>
      <c r="O4" t="s">
        <v>1161</v>
      </c>
      <c r="P4">
        <f>COUNTIF(tbl_attendance[Race 2&amp;4], "YES")</f>
        <v>207</v>
      </c>
    </row>
    <row r="5" spans="1:16371" hidden="1" x14ac:dyDescent="0.4">
      <c r="A5" t="e">
        <f>_xlfn.TEXTBEFORE(#REF!," ",)</f>
        <v>#REF!</v>
      </c>
      <c r="B5" t="e">
        <f>_xlfn.TEXTAFTER(#REF!, " ", -1)</f>
        <v>#REF!</v>
      </c>
      <c r="C5" t="s">
        <v>10</v>
      </c>
      <c r="D5" t="s">
        <v>5</v>
      </c>
      <c r="E5" s="3">
        <v>903</v>
      </c>
      <c r="F5" s="3">
        <v>53</v>
      </c>
      <c r="G5" s="3">
        <v>75</v>
      </c>
      <c r="H5" s="3">
        <v>65</v>
      </c>
      <c r="I5" s="3">
        <v>90</v>
      </c>
      <c r="J5" s="3" t="str">
        <f>IF(AND(tbl_attendance[[#This Row],[R1 Pts]]&gt;0, tbl_attendance[[#This Row],[R2 Pts]]&gt;0,tbl_attendance[[#This Row],[R3 Pts]]&gt;0,tbl_attendance[[#This Row],[R4 Pts]]&gt;0),"YES", "NO")</f>
        <v>YES</v>
      </c>
      <c r="K5" s="3" t="str">
        <f>IF(AND(tbl_attendance[[#This Row],[R2 Pts]]&gt;0, tbl_attendance[[#This Row],[R4 Pts]]&gt;0), "YES", "NO")</f>
        <v>YES</v>
      </c>
      <c r="L5" s="3" t="str">
        <f>IF(
(tbl_attendance[[#This Row],[R1 Pts]]&gt;0)+(tbl_attendance[[#This Row],[R2 Pts]]&gt;0)+(tbl_attendance[[#This Row],[R3 Pts]]&gt;0)+(tbl_attendance[[#This Row],[R4 Pts]]&gt;0)&gt;=3,"YES", "NO")</f>
        <v>YES</v>
      </c>
      <c r="M5" s="3" t="str">
        <f>IF(AND(tbl_attendance[[#This Row],[R1 Pts]]=0, tbl_attendance[[#This Row],[R2 Pts]]=0,tbl_attendance[[#This Row],[R3 Pts]]=0,tbl_attendance[[#This Row],[R4 Pts]]=0),"YES", "NO")</f>
        <v>NO</v>
      </c>
      <c r="O5" t="s">
        <v>1164</v>
      </c>
      <c r="P5">
        <f>COUNTIF(tbl_attendance[3Plus], "YES")</f>
        <v>213</v>
      </c>
    </row>
    <row r="6" spans="1:16371" hidden="1" x14ac:dyDescent="0.4">
      <c r="A6" t="e">
        <f>_xlfn.TEXTBEFORE(#REF!," ",)</f>
        <v>#REF!</v>
      </c>
      <c r="B6" t="e">
        <f>_xlfn.TEXTAFTER(#REF!, " ", -1)</f>
        <v>#REF!</v>
      </c>
      <c r="C6" t="s">
        <v>10</v>
      </c>
      <c r="D6" t="s">
        <v>5</v>
      </c>
      <c r="E6" s="3">
        <v>904</v>
      </c>
      <c r="F6" s="3">
        <v>44</v>
      </c>
      <c r="G6" s="3">
        <v>20</v>
      </c>
      <c r="H6" s="3">
        <v>49</v>
      </c>
      <c r="I6" s="3">
        <v>22</v>
      </c>
      <c r="J6" s="3" t="str">
        <f>IF(AND(tbl_attendance[[#This Row],[R1 Pts]]&gt;0, tbl_attendance[[#This Row],[R2 Pts]]&gt;0,tbl_attendance[[#This Row],[R3 Pts]]&gt;0,tbl_attendance[[#This Row],[R4 Pts]]&gt;0),"YES", "NO")</f>
        <v>YES</v>
      </c>
      <c r="K6" s="3" t="str">
        <f>IF(AND(tbl_attendance[[#This Row],[R2 Pts]]&gt;0, tbl_attendance[[#This Row],[R4 Pts]]&gt;0), "YES", "NO")</f>
        <v>YES</v>
      </c>
      <c r="L6" s="3" t="str">
        <f>IF(
(tbl_attendance[[#This Row],[R1 Pts]]&gt;0)+(tbl_attendance[[#This Row],[R2 Pts]]&gt;0)+(tbl_attendance[[#This Row],[R3 Pts]]&gt;0)+(tbl_attendance[[#This Row],[R4 Pts]]&gt;0)&gt;=3,"YES", "NO")</f>
        <v>YES</v>
      </c>
      <c r="M6" s="3" t="str">
        <f>IF(AND(tbl_attendance[[#This Row],[R1 Pts]]=0, tbl_attendance[[#This Row],[R2 Pts]]=0,tbl_attendance[[#This Row],[R3 Pts]]=0,tbl_attendance[[#This Row],[R4 Pts]]=0),"YES", "NO")</f>
        <v>NO</v>
      </c>
      <c r="O6" t="s">
        <v>1165</v>
      </c>
      <c r="P6">
        <f>COUNTIF(tbl_attendance[No Race],"YES")</f>
        <v>22</v>
      </c>
    </row>
    <row r="7" spans="1:16371" hidden="1" x14ac:dyDescent="0.4">
      <c r="A7" t="e">
        <f>_xlfn.TEXTBEFORE(#REF!," ",)</f>
        <v>#REF!</v>
      </c>
      <c r="B7" t="e">
        <f>_xlfn.TEXTAFTER(#REF!, " ", -1)</f>
        <v>#REF!</v>
      </c>
      <c r="C7" t="s">
        <v>10</v>
      </c>
      <c r="D7" t="s">
        <v>5</v>
      </c>
      <c r="E7" s="3">
        <v>905</v>
      </c>
      <c r="F7" s="3">
        <v>90</v>
      </c>
      <c r="G7" s="3">
        <v>90</v>
      </c>
      <c r="H7" s="3">
        <v>90</v>
      </c>
      <c r="I7" s="3">
        <v>85</v>
      </c>
      <c r="J7" s="3" t="str">
        <f>IF(AND(tbl_attendance[[#This Row],[R1 Pts]]&gt;0, tbl_attendance[[#This Row],[R2 Pts]]&gt;0,tbl_attendance[[#This Row],[R3 Pts]]&gt;0,tbl_attendance[[#This Row],[R4 Pts]]&gt;0),"YES", "NO")</f>
        <v>YES</v>
      </c>
      <c r="K7" s="3" t="str">
        <f>IF(AND(tbl_attendance[[#This Row],[R2 Pts]]&gt;0, tbl_attendance[[#This Row],[R4 Pts]]&gt;0), "YES", "NO")</f>
        <v>YES</v>
      </c>
      <c r="L7" s="3" t="str">
        <f>IF(
(tbl_attendance[[#This Row],[R1 Pts]]&gt;0)+(tbl_attendance[[#This Row],[R2 Pts]]&gt;0)+(tbl_attendance[[#This Row],[R3 Pts]]&gt;0)+(tbl_attendance[[#This Row],[R4 Pts]]&gt;0)&gt;=3,"YES", "NO")</f>
        <v>YES</v>
      </c>
      <c r="M7" s="3" t="str">
        <f>IF(AND(tbl_attendance[[#This Row],[R1 Pts]]=0, tbl_attendance[[#This Row],[R2 Pts]]=0,tbl_attendance[[#This Row],[R3 Pts]]=0,tbl_attendance[[#This Row],[R4 Pts]]=0),"YES", "NO")</f>
        <v>NO</v>
      </c>
    </row>
    <row r="8" spans="1:16371" hidden="1" x14ac:dyDescent="0.4">
      <c r="A8" t="e">
        <f>_xlfn.TEXTBEFORE(#REF!," ",)</f>
        <v>#REF!</v>
      </c>
      <c r="B8" t="e">
        <f>_xlfn.TEXTAFTER(#REF!, " ", -1)</f>
        <v>#REF!</v>
      </c>
      <c r="C8" t="s">
        <v>10</v>
      </c>
      <c r="D8" t="s">
        <v>5</v>
      </c>
      <c r="E8" s="3">
        <v>906</v>
      </c>
      <c r="F8" s="3">
        <v>31</v>
      </c>
      <c r="G8" s="3">
        <v>25</v>
      </c>
      <c r="H8" s="3">
        <v>42</v>
      </c>
      <c r="I8" s="3">
        <v>38</v>
      </c>
      <c r="J8" s="3" t="str">
        <f>IF(AND(tbl_attendance[[#This Row],[R1 Pts]]&gt;0, tbl_attendance[[#This Row],[R2 Pts]]&gt;0,tbl_attendance[[#This Row],[R3 Pts]]&gt;0,tbl_attendance[[#This Row],[R4 Pts]]&gt;0),"YES", "NO")</f>
        <v>YES</v>
      </c>
      <c r="K8" s="3" t="str">
        <f>IF(AND(tbl_attendance[[#This Row],[R2 Pts]]&gt;0, tbl_attendance[[#This Row],[R4 Pts]]&gt;0), "YES", "NO")</f>
        <v>YES</v>
      </c>
      <c r="L8" s="3" t="str">
        <f>IF(
(tbl_attendance[[#This Row],[R1 Pts]]&gt;0)+(tbl_attendance[[#This Row],[R2 Pts]]&gt;0)+(tbl_attendance[[#This Row],[R3 Pts]]&gt;0)+(tbl_attendance[[#This Row],[R4 Pts]]&gt;0)&gt;=3,"YES", "NO")</f>
        <v>YES</v>
      </c>
      <c r="M8" s="3" t="str">
        <f>IF(AND(tbl_attendance[[#This Row],[R1 Pts]]=0, tbl_attendance[[#This Row],[R2 Pts]]=0,tbl_attendance[[#This Row],[R3 Pts]]=0,tbl_attendance[[#This Row],[R4 Pts]]=0),"YES", "NO")</f>
        <v>NO</v>
      </c>
    </row>
    <row r="9" spans="1:16371" hidden="1" x14ac:dyDescent="0.4">
      <c r="A9" t="e">
        <f>_xlfn.TEXTBEFORE(#REF!," ",)</f>
        <v>#REF!</v>
      </c>
      <c r="B9" t="e">
        <f>_xlfn.TEXTAFTER(#REF!, " ", -1)</f>
        <v>#REF!</v>
      </c>
      <c r="C9" t="s">
        <v>10</v>
      </c>
      <c r="D9" t="s">
        <v>5</v>
      </c>
      <c r="E9" s="3">
        <v>907</v>
      </c>
      <c r="F9" s="3">
        <v>33</v>
      </c>
      <c r="G9" s="3">
        <v>44</v>
      </c>
      <c r="H9" s="3">
        <v>33</v>
      </c>
      <c r="I9" s="3">
        <v>14</v>
      </c>
      <c r="J9" s="3" t="str">
        <f>IF(AND(tbl_attendance[[#This Row],[R1 Pts]]&gt;0, tbl_attendance[[#This Row],[R2 Pts]]&gt;0,tbl_attendance[[#This Row],[R3 Pts]]&gt;0,tbl_attendance[[#This Row],[R4 Pts]]&gt;0),"YES", "NO")</f>
        <v>YES</v>
      </c>
      <c r="K9" s="3" t="str">
        <f>IF(AND(tbl_attendance[[#This Row],[R2 Pts]]&gt;0, tbl_attendance[[#This Row],[R4 Pts]]&gt;0), "YES", "NO")</f>
        <v>YES</v>
      </c>
      <c r="L9" s="3" t="str">
        <f>IF(
(tbl_attendance[[#This Row],[R1 Pts]]&gt;0)+(tbl_attendance[[#This Row],[R2 Pts]]&gt;0)+(tbl_attendance[[#This Row],[R3 Pts]]&gt;0)+(tbl_attendance[[#This Row],[R4 Pts]]&gt;0)&gt;=3,"YES", "NO")</f>
        <v>YES</v>
      </c>
      <c r="M9" s="3" t="str">
        <f>IF(AND(tbl_attendance[[#This Row],[R1 Pts]]=0, tbl_attendance[[#This Row],[R2 Pts]]=0,tbl_attendance[[#This Row],[R3 Pts]]=0,tbl_attendance[[#This Row],[R4 Pts]]=0),"YES", "NO")</f>
        <v>NO</v>
      </c>
    </row>
    <row r="10" spans="1:16371" hidden="1" x14ac:dyDescent="0.4">
      <c r="A10" t="e">
        <f>_xlfn.TEXTBEFORE(#REF!," ",)</f>
        <v>#REF!</v>
      </c>
      <c r="B10" t="e">
        <f>_xlfn.TEXTAFTER(#REF!, " ", -1)</f>
        <v>#REF!</v>
      </c>
      <c r="C10" t="s">
        <v>10</v>
      </c>
      <c r="D10" t="s">
        <v>5</v>
      </c>
      <c r="E10" s="3">
        <v>909</v>
      </c>
      <c r="F10" s="3">
        <v>100</v>
      </c>
      <c r="G10" s="3">
        <v>100</v>
      </c>
      <c r="H10" s="3">
        <v>0</v>
      </c>
      <c r="I10" s="3">
        <v>0</v>
      </c>
      <c r="J10" s="3" t="str">
        <f>IF(AND(tbl_attendance[[#This Row],[R1 Pts]]&gt;0, tbl_attendance[[#This Row],[R2 Pts]]&gt;0,tbl_attendance[[#This Row],[R3 Pts]]&gt;0,tbl_attendance[[#This Row],[R4 Pts]]&gt;0),"YES", "NO")</f>
        <v>NO</v>
      </c>
      <c r="K10" s="3" t="str">
        <f>IF(AND(tbl_attendance[[#This Row],[R2 Pts]]&gt;0, tbl_attendance[[#This Row],[R4 Pts]]&gt;0), "YES", "NO")</f>
        <v>NO</v>
      </c>
      <c r="L10" s="3" t="str">
        <f>IF(
(tbl_attendance[[#This Row],[R1 Pts]]&gt;0)+(tbl_attendance[[#This Row],[R2 Pts]]&gt;0)+(tbl_attendance[[#This Row],[R3 Pts]]&gt;0)+(tbl_attendance[[#This Row],[R4 Pts]]&gt;0)&gt;=3,"YES", "NO")</f>
        <v>NO</v>
      </c>
      <c r="M10" s="3" t="str">
        <f>IF(AND(tbl_attendance[[#This Row],[R1 Pts]]=0, tbl_attendance[[#This Row],[R2 Pts]]=0,tbl_attendance[[#This Row],[R3 Pts]]=0,tbl_attendance[[#This Row],[R4 Pts]]=0),"YES", "NO")</f>
        <v>NO</v>
      </c>
    </row>
    <row r="11" spans="1:16371" hidden="1" x14ac:dyDescent="0.4">
      <c r="A11" t="e">
        <f>_xlfn.TEXTBEFORE(#REF!," ",)</f>
        <v>#REF!</v>
      </c>
      <c r="B11" t="e">
        <f>_xlfn.TEXTAFTER(#REF!, " ", -1)</f>
        <v>#REF!</v>
      </c>
      <c r="C11" t="s">
        <v>10</v>
      </c>
      <c r="D11" t="s">
        <v>5</v>
      </c>
      <c r="E11" s="3">
        <v>910</v>
      </c>
      <c r="F11" s="3">
        <v>25</v>
      </c>
      <c r="G11" s="3">
        <v>35</v>
      </c>
      <c r="H11" s="3">
        <v>39</v>
      </c>
      <c r="I11" s="3">
        <v>37</v>
      </c>
      <c r="J11" s="3" t="str">
        <f>IF(AND(tbl_attendance[[#This Row],[R1 Pts]]&gt;0, tbl_attendance[[#This Row],[R2 Pts]]&gt;0,tbl_attendance[[#This Row],[R3 Pts]]&gt;0,tbl_attendance[[#This Row],[R4 Pts]]&gt;0),"YES", "NO")</f>
        <v>YES</v>
      </c>
      <c r="K11" s="3" t="str">
        <f>IF(AND(tbl_attendance[[#This Row],[R2 Pts]]&gt;0, tbl_attendance[[#This Row],[R4 Pts]]&gt;0), "YES", "NO")</f>
        <v>YES</v>
      </c>
      <c r="L11" s="3" t="str">
        <f>IF(
(tbl_attendance[[#This Row],[R1 Pts]]&gt;0)+(tbl_attendance[[#This Row],[R2 Pts]]&gt;0)+(tbl_attendance[[#This Row],[R3 Pts]]&gt;0)+(tbl_attendance[[#This Row],[R4 Pts]]&gt;0)&gt;=3,"YES", "NO")</f>
        <v>YES</v>
      </c>
      <c r="M11" s="3" t="str">
        <f>IF(AND(tbl_attendance[[#This Row],[R1 Pts]]=0, tbl_attendance[[#This Row],[R2 Pts]]=0,tbl_attendance[[#This Row],[R3 Pts]]=0,tbl_attendance[[#This Row],[R4 Pts]]=0),"YES", "NO")</f>
        <v>NO</v>
      </c>
    </row>
    <row r="12" spans="1:16371" hidden="1" x14ac:dyDescent="0.4">
      <c r="A12" t="e">
        <f>_xlfn.TEXTBEFORE(#REF!," ",)</f>
        <v>#REF!</v>
      </c>
      <c r="B12" t="e">
        <f>_xlfn.TEXTAFTER(#REF!, " ", -1)</f>
        <v>#REF!</v>
      </c>
      <c r="C12" t="s">
        <v>10</v>
      </c>
      <c r="D12" t="s">
        <v>5</v>
      </c>
      <c r="E12" s="3">
        <v>960</v>
      </c>
      <c r="F12" s="3">
        <v>49</v>
      </c>
      <c r="G12" s="3">
        <v>80</v>
      </c>
      <c r="H12" s="3">
        <v>0</v>
      </c>
      <c r="I12" s="3">
        <v>95</v>
      </c>
      <c r="J12" s="3" t="str">
        <f>IF(AND(tbl_attendance[[#This Row],[R1 Pts]]&gt;0, tbl_attendance[[#This Row],[R2 Pts]]&gt;0,tbl_attendance[[#This Row],[R3 Pts]]&gt;0,tbl_attendance[[#This Row],[R4 Pts]]&gt;0),"YES", "NO")</f>
        <v>NO</v>
      </c>
      <c r="K12" s="3" t="str">
        <f>IF(AND(tbl_attendance[[#This Row],[R2 Pts]]&gt;0, tbl_attendance[[#This Row],[R4 Pts]]&gt;0), "YES", "NO")</f>
        <v>YES</v>
      </c>
      <c r="L12" s="3" t="str">
        <f>IF(
(tbl_attendance[[#This Row],[R1 Pts]]&gt;0)+(tbl_attendance[[#This Row],[R2 Pts]]&gt;0)+(tbl_attendance[[#This Row],[R3 Pts]]&gt;0)+(tbl_attendance[[#This Row],[R4 Pts]]&gt;0)&gt;=3,"YES", "NO")</f>
        <v>YES</v>
      </c>
      <c r="M12" s="3" t="str">
        <f>IF(AND(tbl_attendance[[#This Row],[R1 Pts]]=0, tbl_attendance[[#This Row],[R2 Pts]]=0,tbl_attendance[[#This Row],[R3 Pts]]=0,tbl_attendance[[#This Row],[R4 Pts]]=0),"YES", "NO")</f>
        <v>NO</v>
      </c>
    </row>
    <row r="13" spans="1:16371" hidden="1" x14ac:dyDescent="0.4">
      <c r="A13" t="e">
        <f>_xlfn.TEXTBEFORE(#REF!," ",)</f>
        <v>#REF!</v>
      </c>
      <c r="B13" t="e">
        <f>_xlfn.TEXTAFTER(#REF!, " ", -1)</f>
        <v>#REF!</v>
      </c>
      <c r="C13" t="s">
        <v>10</v>
      </c>
      <c r="D13" t="s">
        <v>4</v>
      </c>
      <c r="E13" s="3">
        <v>1019</v>
      </c>
      <c r="F13" s="3">
        <v>0</v>
      </c>
      <c r="G13" s="3">
        <v>0</v>
      </c>
      <c r="H13" s="3">
        <v>0</v>
      </c>
      <c r="I13" s="3">
        <v>0</v>
      </c>
      <c r="J13" s="3" t="str">
        <f>IF(AND(tbl_attendance[[#This Row],[R1 Pts]]&gt;0, tbl_attendance[[#This Row],[R2 Pts]]&gt;0,tbl_attendance[[#This Row],[R3 Pts]]&gt;0,tbl_attendance[[#This Row],[R4 Pts]]&gt;0),"YES", "NO")</f>
        <v>NO</v>
      </c>
      <c r="K13" s="3" t="str">
        <f>IF(AND(tbl_attendance[[#This Row],[R2 Pts]]&gt;0, tbl_attendance[[#This Row],[R4 Pts]]&gt;0), "YES", "NO")</f>
        <v>NO</v>
      </c>
      <c r="L13" s="3" t="str">
        <f>IF(
(tbl_attendance[[#This Row],[R1 Pts]]&gt;0)+(tbl_attendance[[#This Row],[R2 Pts]]&gt;0)+(tbl_attendance[[#This Row],[R3 Pts]]&gt;0)+(tbl_attendance[[#This Row],[R4 Pts]]&gt;0)&gt;=3,"YES", "NO")</f>
        <v>NO</v>
      </c>
      <c r="M13" s="3" t="str">
        <f>IF(AND(tbl_attendance[[#This Row],[R1 Pts]]=0, tbl_attendance[[#This Row],[R2 Pts]]=0,tbl_attendance[[#This Row],[R3 Pts]]=0,tbl_attendance[[#This Row],[R4 Pts]]=0),"YES", "NO")</f>
        <v>YES</v>
      </c>
    </row>
    <row r="14" spans="1:16371" hidden="1" x14ac:dyDescent="0.4">
      <c r="A14" t="e">
        <f>_xlfn.TEXTBEFORE(#REF!," ",)</f>
        <v>#REF!</v>
      </c>
      <c r="B14" t="e">
        <f>_xlfn.TEXTAFTER(#REF!, " ", -1)</f>
        <v>#REF!</v>
      </c>
      <c r="C14" t="s">
        <v>10</v>
      </c>
      <c r="D14" t="s">
        <v>4</v>
      </c>
      <c r="E14" s="3">
        <v>1020</v>
      </c>
      <c r="F14" s="3">
        <v>55</v>
      </c>
      <c r="G14" s="3">
        <v>70</v>
      </c>
      <c r="H14" s="3">
        <v>55</v>
      </c>
      <c r="I14" s="3">
        <v>65</v>
      </c>
      <c r="J14" s="3" t="str">
        <f>IF(AND(tbl_attendance[[#This Row],[R1 Pts]]&gt;0, tbl_attendance[[#This Row],[R2 Pts]]&gt;0,tbl_attendance[[#This Row],[R3 Pts]]&gt;0,tbl_attendance[[#This Row],[R4 Pts]]&gt;0),"YES", "NO")</f>
        <v>YES</v>
      </c>
      <c r="K14" s="3" t="str">
        <f>IF(AND(tbl_attendance[[#This Row],[R2 Pts]]&gt;0, tbl_attendance[[#This Row],[R4 Pts]]&gt;0), "YES", "NO")</f>
        <v>YES</v>
      </c>
      <c r="L14" s="3" t="str">
        <f>IF(
(tbl_attendance[[#This Row],[R1 Pts]]&gt;0)+(tbl_attendance[[#This Row],[R2 Pts]]&gt;0)+(tbl_attendance[[#This Row],[R3 Pts]]&gt;0)+(tbl_attendance[[#This Row],[R4 Pts]]&gt;0)&gt;=3,"YES", "NO")</f>
        <v>YES</v>
      </c>
      <c r="M14" s="3" t="str">
        <f>IF(AND(tbl_attendance[[#This Row],[R1 Pts]]=0, tbl_attendance[[#This Row],[R2 Pts]]=0,tbl_attendance[[#This Row],[R3 Pts]]=0,tbl_attendance[[#This Row],[R4 Pts]]=0),"YES", "NO")</f>
        <v>NO</v>
      </c>
    </row>
    <row r="15" spans="1:16371" hidden="1" x14ac:dyDescent="0.4">
      <c r="A15" t="e">
        <f>_xlfn.TEXTBEFORE(#REF!," ",)</f>
        <v>#REF!</v>
      </c>
      <c r="B15" t="e">
        <f>_xlfn.TEXTAFTER(#REF!, " ", -1)</f>
        <v>#REF!</v>
      </c>
      <c r="C15" t="s">
        <v>10</v>
      </c>
      <c r="D15" t="s">
        <v>4</v>
      </c>
      <c r="E15" s="3">
        <v>1027</v>
      </c>
      <c r="F15" s="3">
        <v>60</v>
      </c>
      <c r="G15" s="3">
        <v>65</v>
      </c>
      <c r="H15" s="3">
        <v>60</v>
      </c>
      <c r="I15" s="3">
        <v>55</v>
      </c>
      <c r="J15" s="3" t="str">
        <f>IF(AND(tbl_attendance[[#This Row],[R1 Pts]]&gt;0, tbl_attendance[[#This Row],[R2 Pts]]&gt;0,tbl_attendance[[#This Row],[R3 Pts]]&gt;0,tbl_attendance[[#This Row],[R4 Pts]]&gt;0),"YES", "NO")</f>
        <v>YES</v>
      </c>
      <c r="K15" s="3" t="str">
        <f>IF(AND(tbl_attendance[[#This Row],[R2 Pts]]&gt;0, tbl_attendance[[#This Row],[R4 Pts]]&gt;0), "YES", "NO")</f>
        <v>YES</v>
      </c>
      <c r="L15" s="3" t="str">
        <f>IF(
(tbl_attendance[[#This Row],[R1 Pts]]&gt;0)+(tbl_attendance[[#This Row],[R2 Pts]]&gt;0)+(tbl_attendance[[#This Row],[R3 Pts]]&gt;0)+(tbl_attendance[[#This Row],[R4 Pts]]&gt;0)&gt;=3,"YES", "NO")</f>
        <v>YES</v>
      </c>
      <c r="M15" s="3" t="str">
        <f>IF(AND(tbl_attendance[[#This Row],[R1 Pts]]=0, tbl_attendance[[#This Row],[R2 Pts]]=0,tbl_attendance[[#This Row],[R3 Pts]]=0,tbl_attendance[[#This Row],[R4 Pts]]=0),"YES", "NO")</f>
        <v>NO</v>
      </c>
    </row>
    <row r="16" spans="1:16371" hidden="1" x14ac:dyDescent="0.4">
      <c r="A16" t="e">
        <f>_xlfn.TEXTBEFORE(#REF!," ",)</f>
        <v>#REF!</v>
      </c>
      <c r="B16" t="e">
        <f>_xlfn.TEXTAFTER(#REF!, " ", -1)</f>
        <v>#REF!</v>
      </c>
      <c r="C16" t="s">
        <v>10</v>
      </c>
      <c r="D16" t="s">
        <v>4</v>
      </c>
      <c r="E16" s="3">
        <v>1028</v>
      </c>
      <c r="F16" s="3">
        <v>0</v>
      </c>
      <c r="G16" s="3">
        <v>75</v>
      </c>
      <c r="H16" s="3">
        <v>0</v>
      </c>
      <c r="I16" s="3">
        <v>1</v>
      </c>
      <c r="J16" s="3" t="str">
        <f>IF(AND(tbl_attendance[[#This Row],[R1 Pts]]&gt;0, tbl_attendance[[#This Row],[R2 Pts]]&gt;0,tbl_attendance[[#This Row],[R3 Pts]]&gt;0,tbl_attendance[[#This Row],[R4 Pts]]&gt;0),"YES", "NO")</f>
        <v>NO</v>
      </c>
      <c r="K16" s="3" t="str">
        <f>IF(AND(tbl_attendance[[#This Row],[R2 Pts]]&gt;0, tbl_attendance[[#This Row],[R4 Pts]]&gt;0), "YES", "NO")</f>
        <v>YES</v>
      </c>
      <c r="L16" s="3" t="str">
        <f>IF(
(tbl_attendance[[#This Row],[R1 Pts]]&gt;0)+(tbl_attendance[[#This Row],[R2 Pts]]&gt;0)+(tbl_attendance[[#This Row],[R3 Pts]]&gt;0)+(tbl_attendance[[#This Row],[R4 Pts]]&gt;0)&gt;=3,"YES", "NO")</f>
        <v>NO</v>
      </c>
      <c r="M16" s="3" t="str">
        <f>IF(AND(tbl_attendance[[#This Row],[R1 Pts]]=0, tbl_attendance[[#This Row],[R2 Pts]]=0,tbl_attendance[[#This Row],[R3 Pts]]=0,tbl_attendance[[#This Row],[R4 Pts]]=0),"YES", "NO")</f>
        <v>NO</v>
      </c>
    </row>
    <row r="17" spans="1:13" hidden="1" x14ac:dyDescent="0.4">
      <c r="A17" t="e">
        <f>_xlfn.TEXTBEFORE(#REF!," ",)</f>
        <v>#REF!</v>
      </c>
      <c r="B17" t="e">
        <f>_xlfn.TEXTAFTER(#REF!, " ", -1)</f>
        <v>#REF!</v>
      </c>
      <c r="C17" t="s">
        <v>10</v>
      </c>
      <c r="D17" t="s">
        <v>4</v>
      </c>
      <c r="E17" s="3">
        <v>1029</v>
      </c>
      <c r="F17" s="3">
        <v>65</v>
      </c>
      <c r="G17" s="3">
        <v>60</v>
      </c>
      <c r="H17" s="3">
        <v>65</v>
      </c>
      <c r="I17" s="3">
        <v>70</v>
      </c>
      <c r="J17" s="3" t="str">
        <f>IF(AND(tbl_attendance[[#This Row],[R1 Pts]]&gt;0, tbl_attendance[[#This Row],[R2 Pts]]&gt;0,tbl_attendance[[#This Row],[R3 Pts]]&gt;0,tbl_attendance[[#This Row],[R4 Pts]]&gt;0),"YES", "NO")</f>
        <v>YES</v>
      </c>
      <c r="K17" s="3" t="str">
        <f>IF(AND(tbl_attendance[[#This Row],[R2 Pts]]&gt;0, tbl_attendance[[#This Row],[R4 Pts]]&gt;0), "YES", "NO")</f>
        <v>YES</v>
      </c>
      <c r="L17" s="3" t="str">
        <f>IF(
(tbl_attendance[[#This Row],[R1 Pts]]&gt;0)+(tbl_attendance[[#This Row],[R2 Pts]]&gt;0)+(tbl_attendance[[#This Row],[R3 Pts]]&gt;0)+(tbl_attendance[[#This Row],[R4 Pts]]&gt;0)&gt;=3,"YES", "NO")</f>
        <v>YES</v>
      </c>
      <c r="M17" s="3" t="str">
        <f>IF(AND(tbl_attendance[[#This Row],[R1 Pts]]=0, tbl_attendance[[#This Row],[R2 Pts]]=0,tbl_attendance[[#This Row],[R3 Pts]]=0,tbl_attendance[[#This Row],[R4 Pts]]=0),"YES", "NO")</f>
        <v>NO</v>
      </c>
    </row>
    <row r="18" spans="1:13" hidden="1" x14ac:dyDescent="0.4">
      <c r="A18" t="e">
        <f>_xlfn.TEXTBEFORE(#REF!," ",)</f>
        <v>#REF!</v>
      </c>
      <c r="B18" t="e">
        <f>_xlfn.TEXTAFTER(#REF!, " ", -1)</f>
        <v>#REF!</v>
      </c>
      <c r="C18" t="s">
        <v>10</v>
      </c>
      <c r="D18" t="s">
        <v>4</v>
      </c>
      <c r="E18" s="3">
        <v>1030</v>
      </c>
      <c r="F18" s="3">
        <v>80</v>
      </c>
      <c r="G18" s="3">
        <v>55</v>
      </c>
      <c r="H18" s="3">
        <v>70</v>
      </c>
      <c r="I18" s="3">
        <v>53</v>
      </c>
      <c r="J18" s="3" t="str">
        <f>IF(AND(tbl_attendance[[#This Row],[R1 Pts]]&gt;0, tbl_attendance[[#This Row],[R2 Pts]]&gt;0,tbl_attendance[[#This Row],[R3 Pts]]&gt;0,tbl_attendance[[#This Row],[R4 Pts]]&gt;0),"YES", "NO")</f>
        <v>YES</v>
      </c>
      <c r="K18" s="3" t="str">
        <f>IF(AND(tbl_attendance[[#This Row],[R2 Pts]]&gt;0, tbl_attendance[[#This Row],[R4 Pts]]&gt;0), "YES", "NO")</f>
        <v>YES</v>
      </c>
      <c r="L18" s="3" t="str">
        <f>IF(
(tbl_attendance[[#This Row],[R1 Pts]]&gt;0)+(tbl_attendance[[#This Row],[R2 Pts]]&gt;0)+(tbl_attendance[[#This Row],[R3 Pts]]&gt;0)+(tbl_attendance[[#This Row],[R4 Pts]]&gt;0)&gt;=3,"YES", "NO")</f>
        <v>YES</v>
      </c>
      <c r="M18" s="3" t="str">
        <f>IF(AND(tbl_attendance[[#This Row],[R1 Pts]]=0, tbl_attendance[[#This Row],[R2 Pts]]=0,tbl_attendance[[#This Row],[R3 Pts]]=0,tbl_attendance[[#This Row],[R4 Pts]]=0),"YES", "NO")</f>
        <v>NO</v>
      </c>
    </row>
    <row r="19" spans="1:13" hidden="1" x14ac:dyDescent="0.4">
      <c r="A19" t="e">
        <f>_xlfn.TEXTBEFORE(#REF!," ",)</f>
        <v>#REF!</v>
      </c>
      <c r="B19" t="e">
        <f>_xlfn.TEXTAFTER(#REF!, " ", -1)</f>
        <v>#REF!</v>
      </c>
      <c r="C19" t="s">
        <v>10</v>
      </c>
      <c r="D19" t="s">
        <v>7</v>
      </c>
      <c r="E19" s="3">
        <v>8049</v>
      </c>
      <c r="F19" s="3">
        <v>35</v>
      </c>
      <c r="G19" s="3">
        <v>28</v>
      </c>
      <c r="H19" s="3">
        <v>39</v>
      </c>
      <c r="I19" s="3">
        <v>31</v>
      </c>
      <c r="J19" s="3" t="str">
        <f>IF(AND(tbl_attendance[[#This Row],[R1 Pts]]&gt;0, tbl_attendance[[#This Row],[R2 Pts]]&gt;0,tbl_attendance[[#This Row],[R3 Pts]]&gt;0,tbl_attendance[[#This Row],[R4 Pts]]&gt;0),"YES", "NO")</f>
        <v>YES</v>
      </c>
      <c r="K19" s="3" t="str">
        <f>IF(AND(tbl_attendance[[#This Row],[R2 Pts]]&gt;0, tbl_attendance[[#This Row],[R4 Pts]]&gt;0), "YES", "NO")</f>
        <v>YES</v>
      </c>
      <c r="L19" s="3" t="str">
        <f>IF(
(tbl_attendance[[#This Row],[R1 Pts]]&gt;0)+(tbl_attendance[[#This Row],[R2 Pts]]&gt;0)+(tbl_attendance[[#This Row],[R3 Pts]]&gt;0)+(tbl_attendance[[#This Row],[R4 Pts]]&gt;0)&gt;=3,"YES", "NO")</f>
        <v>YES</v>
      </c>
      <c r="M19" s="3" t="str">
        <f>IF(AND(tbl_attendance[[#This Row],[R1 Pts]]=0, tbl_attendance[[#This Row],[R2 Pts]]=0,tbl_attendance[[#This Row],[R3 Pts]]=0,tbl_attendance[[#This Row],[R4 Pts]]=0),"YES", "NO")</f>
        <v>NO</v>
      </c>
    </row>
    <row r="20" spans="1:13" hidden="1" x14ac:dyDescent="0.4">
      <c r="A20" t="e">
        <f>_xlfn.TEXTBEFORE(#REF!," ",)</f>
        <v>#REF!</v>
      </c>
      <c r="B20" t="e">
        <f>_xlfn.TEXTAFTER(#REF!, " ", -1)</f>
        <v>#REF!</v>
      </c>
      <c r="C20" t="s">
        <v>10</v>
      </c>
      <c r="D20" t="s">
        <v>7</v>
      </c>
      <c r="E20" s="3">
        <v>8086</v>
      </c>
      <c r="F20" s="3">
        <v>0</v>
      </c>
      <c r="G20" s="3">
        <v>24</v>
      </c>
      <c r="H20" s="3">
        <v>33</v>
      </c>
      <c r="I20" s="3">
        <v>37</v>
      </c>
      <c r="J20" s="3" t="str">
        <f>IF(AND(tbl_attendance[[#This Row],[R1 Pts]]&gt;0, tbl_attendance[[#This Row],[R2 Pts]]&gt;0,tbl_attendance[[#This Row],[R3 Pts]]&gt;0,tbl_attendance[[#This Row],[R4 Pts]]&gt;0),"YES", "NO")</f>
        <v>NO</v>
      </c>
      <c r="K20" s="3" t="str">
        <f>IF(AND(tbl_attendance[[#This Row],[R2 Pts]]&gt;0, tbl_attendance[[#This Row],[R4 Pts]]&gt;0), "YES", "NO")</f>
        <v>YES</v>
      </c>
      <c r="L20" s="3" t="str">
        <f>IF(
(tbl_attendance[[#This Row],[R1 Pts]]&gt;0)+(tbl_attendance[[#This Row],[R2 Pts]]&gt;0)+(tbl_attendance[[#This Row],[R3 Pts]]&gt;0)+(tbl_attendance[[#This Row],[R4 Pts]]&gt;0)&gt;=3,"YES", "NO")</f>
        <v>YES</v>
      </c>
      <c r="M20" s="3" t="str">
        <f>IF(AND(tbl_attendance[[#This Row],[R1 Pts]]=0, tbl_attendance[[#This Row],[R2 Pts]]=0,tbl_attendance[[#This Row],[R3 Pts]]=0,tbl_attendance[[#This Row],[R4 Pts]]=0),"YES", "NO")</f>
        <v>NO</v>
      </c>
    </row>
    <row r="21" spans="1:13" hidden="1" x14ac:dyDescent="0.4">
      <c r="A21" t="e">
        <f>_xlfn.TEXTBEFORE(#REF!," ",)</f>
        <v>#REF!</v>
      </c>
      <c r="B21" t="e">
        <f>_xlfn.TEXTAFTER(#REF!, " ", -1)</f>
        <v>#REF!</v>
      </c>
      <c r="C21" t="s">
        <v>10</v>
      </c>
      <c r="D21" t="s">
        <v>7</v>
      </c>
      <c r="E21" s="3">
        <v>8147</v>
      </c>
      <c r="F21" s="3">
        <v>37</v>
      </c>
      <c r="G21" s="3">
        <v>38</v>
      </c>
      <c r="H21" s="3">
        <v>41</v>
      </c>
      <c r="I21" s="3">
        <v>44</v>
      </c>
      <c r="J21" s="3" t="str">
        <f>IF(AND(tbl_attendance[[#This Row],[R1 Pts]]&gt;0, tbl_attendance[[#This Row],[R2 Pts]]&gt;0,tbl_attendance[[#This Row],[R3 Pts]]&gt;0,tbl_attendance[[#This Row],[R4 Pts]]&gt;0),"YES", "NO")</f>
        <v>YES</v>
      </c>
      <c r="K21" s="3" t="str">
        <f>IF(AND(tbl_attendance[[#This Row],[R2 Pts]]&gt;0, tbl_attendance[[#This Row],[R4 Pts]]&gt;0), "YES", "NO")</f>
        <v>YES</v>
      </c>
      <c r="L21" s="3" t="str">
        <f>IF(
(tbl_attendance[[#This Row],[R1 Pts]]&gt;0)+(tbl_attendance[[#This Row],[R2 Pts]]&gt;0)+(tbl_attendance[[#This Row],[R3 Pts]]&gt;0)+(tbl_attendance[[#This Row],[R4 Pts]]&gt;0)&gt;=3,"YES", "NO")</f>
        <v>YES</v>
      </c>
      <c r="M21" s="3" t="str">
        <f>IF(AND(tbl_attendance[[#This Row],[R1 Pts]]=0, tbl_attendance[[#This Row],[R2 Pts]]=0,tbl_attendance[[#This Row],[R3 Pts]]=0,tbl_attendance[[#This Row],[R4 Pts]]=0),"YES", "NO")</f>
        <v>NO</v>
      </c>
    </row>
    <row r="22" spans="1:13" hidden="1" x14ac:dyDescent="0.4">
      <c r="A22" t="e">
        <f>_xlfn.TEXTBEFORE(#REF!," ",)</f>
        <v>#REF!</v>
      </c>
      <c r="B22" t="e">
        <f>_xlfn.TEXTAFTER(#REF!, " ", -1)</f>
        <v>#REF!</v>
      </c>
      <c r="C22" t="s">
        <v>10</v>
      </c>
      <c r="D22" t="s">
        <v>7</v>
      </c>
      <c r="E22" s="3">
        <v>8181</v>
      </c>
      <c r="F22" s="3">
        <v>0</v>
      </c>
      <c r="G22" s="3">
        <v>19</v>
      </c>
      <c r="H22" s="3">
        <v>25</v>
      </c>
      <c r="I22" s="3">
        <v>32</v>
      </c>
      <c r="J22" s="3" t="str">
        <f>IF(AND(tbl_attendance[[#This Row],[R1 Pts]]&gt;0, tbl_attendance[[#This Row],[R2 Pts]]&gt;0,tbl_attendance[[#This Row],[R3 Pts]]&gt;0,tbl_attendance[[#This Row],[R4 Pts]]&gt;0),"YES", "NO")</f>
        <v>NO</v>
      </c>
      <c r="K22" s="3" t="str">
        <f>IF(AND(tbl_attendance[[#This Row],[R2 Pts]]&gt;0, tbl_attendance[[#This Row],[R4 Pts]]&gt;0), "YES", "NO")</f>
        <v>YES</v>
      </c>
      <c r="L22" s="3" t="str">
        <f>IF(
(tbl_attendance[[#This Row],[R1 Pts]]&gt;0)+(tbl_attendance[[#This Row],[R2 Pts]]&gt;0)+(tbl_attendance[[#This Row],[R3 Pts]]&gt;0)+(tbl_attendance[[#This Row],[R4 Pts]]&gt;0)&gt;=3,"YES", "NO")</f>
        <v>YES</v>
      </c>
      <c r="M22" s="3" t="str">
        <f>IF(AND(tbl_attendance[[#This Row],[R1 Pts]]=0, tbl_attendance[[#This Row],[R2 Pts]]=0,tbl_attendance[[#This Row],[R3 Pts]]=0,tbl_attendance[[#This Row],[R4 Pts]]=0),"YES", "NO")</f>
        <v>NO</v>
      </c>
    </row>
    <row r="23" spans="1:13" hidden="1" x14ac:dyDescent="0.4">
      <c r="A23" t="e">
        <f>_xlfn.TEXTBEFORE(#REF!," ",)</f>
        <v>#REF!</v>
      </c>
      <c r="B23" t="e">
        <f>_xlfn.TEXTAFTER(#REF!, " ", -1)</f>
        <v>#REF!</v>
      </c>
      <c r="C23" t="s">
        <v>10</v>
      </c>
      <c r="D23" t="s">
        <v>7</v>
      </c>
      <c r="E23" s="3">
        <v>8185</v>
      </c>
      <c r="F23" s="3">
        <v>1</v>
      </c>
      <c r="G23" s="3">
        <v>26</v>
      </c>
      <c r="H23" s="3">
        <v>65</v>
      </c>
      <c r="I23" s="3">
        <v>38</v>
      </c>
      <c r="J23" s="3" t="str">
        <f>IF(AND(tbl_attendance[[#This Row],[R1 Pts]]&gt;0, tbl_attendance[[#This Row],[R2 Pts]]&gt;0,tbl_attendance[[#This Row],[R3 Pts]]&gt;0,tbl_attendance[[#This Row],[R4 Pts]]&gt;0),"YES", "NO")</f>
        <v>YES</v>
      </c>
      <c r="K23" s="3" t="str">
        <f>IF(AND(tbl_attendance[[#This Row],[R2 Pts]]&gt;0, tbl_attendance[[#This Row],[R4 Pts]]&gt;0), "YES", "NO")</f>
        <v>YES</v>
      </c>
      <c r="L23" s="3" t="str">
        <f>IF(
(tbl_attendance[[#This Row],[R1 Pts]]&gt;0)+(tbl_attendance[[#This Row],[R2 Pts]]&gt;0)+(tbl_attendance[[#This Row],[R3 Pts]]&gt;0)+(tbl_attendance[[#This Row],[R4 Pts]]&gt;0)&gt;=3,"YES", "NO")</f>
        <v>YES</v>
      </c>
      <c r="M23" s="3" t="str">
        <f>IF(AND(tbl_attendance[[#This Row],[R1 Pts]]=0, tbl_attendance[[#This Row],[R2 Pts]]=0,tbl_attendance[[#This Row],[R3 Pts]]=0,tbl_attendance[[#This Row],[R4 Pts]]=0),"YES", "NO")</f>
        <v>NO</v>
      </c>
    </row>
    <row r="24" spans="1:13" hidden="1" x14ac:dyDescent="0.4">
      <c r="A24" t="e">
        <f>_xlfn.TEXTBEFORE(#REF!," ",)</f>
        <v>#REF!</v>
      </c>
      <c r="B24" t="e">
        <f>_xlfn.TEXTAFTER(#REF!, " ", -1)</f>
        <v>#REF!</v>
      </c>
      <c r="C24" t="s">
        <v>10</v>
      </c>
      <c r="D24" t="s">
        <v>6</v>
      </c>
      <c r="E24" s="3">
        <v>9180</v>
      </c>
      <c r="F24" s="3">
        <v>49</v>
      </c>
      <c r="G24" s="3">
        <v>51</v>
      </c>
      <c r="H24" s="3">
        <v>0</v>
      </c>
      <c r="I24" s="3">
        <v>65</v>
      </c>
      <c r="J24" s="3" t="str">
        <f>IF(AND(tbl_attendance[[#This Row],[R1 Pts]]&gt;0, tbl_attendance[[#This Row],[R2 Pts]]&gt;0,tbl_attendance[[#This Row],[R3 Pts]]&gt;0,tbl_attendance[[#This Row],[R4 Pts]]&gt;0),"YES", "NO")</f>
        <v>NO</v>
      </c>
      <c r="K24" s="3" t="str">
        <f>IF(AND(tbl_attendance[[#This Row],[R2 Pts]]&gt;0, tbl_attendance[[#This Row],[R4 Pts]]&gt;0), "YES", "NO")</f>
        <v>YES</v>
      </c>
      <c r="L24" s="3" t="str">
        <f>IF(
(tbl_attendance[[#This Row],[R1 Pts]]&gt;0)+(tbl_attendance[[#This Row],[R2 Pts]]&gt;0)+(tbl_attendance[[#This Row],[R3 Pts]]&gt;0)+(tbl_attendance[[#This Row],[R4 Pts]]&gt;0)&gt;=3,"YES", "NO")</f>
        <v>YES</v>
      </c>
      <c r="M24" s="3" t="str">
        <f>IF(AND(tbl_attendance[[#This Row],[R1 Pts]]=0, tbl_attendance[[#This Row],[R2 Pts]]=0,tbl_attendance[[#This Row],[R3 Pts]]=0,tbl_attendance[[#This Row],[R4 Pts]]=0),"YES", "NO")</f>
        <v>NO</v>
      </c>
    </row>
    <row r="25" spans="1:13" hidden="1" x14ac:dyDescent="0.4">
      <c r="A25" t="e">
        <f>_xlfn.TEXTBEFORE(#REF!," ",)</f>
        <v>#REF!</v>
      </c>
      <c r="B25" t="e">
        <f>_xlfn.TEXTAFTER(#REF!, " ", -1)</f>
        <v>#REF!</v>
      </c>
      <c r="C25" t="s">
        <v>10</v>
      </c>
      <c r="D25" t="s">
        <v>6</v>
      </c>
      <c r="E25" s="3">
        <v>9421</v>
      </c>
      <c r="F25" s="3">
        <v>47</v>
      </c>
      <c r="G25" s="3">
        <v>49</v>
      </c>
      <c r="H25" s="3">
        <v>55</v>
      </c>
      <c r="I25" s="3">
        <v>0</v>
      </c>
      <c r="J25" s="3" t="str">
        <f>IF(AND(tbl_attendance[[#This Row],[R1 Pts]]&gt;0, tbl_attendance[[#This Row],[R2 Pts]]&gt;0,tbl_attendance[[#This Row],[R3 Pts]]&gt;0,tbl_attendance[[#This Row],[R4 Pts]]&gt;0),"YES", "NO")</f>
        <v>NO</v>
      </c>
      <c r="K25" s="3" t="str">
        <f>IF(AND(tbl_attendance[[#This Row],[R2 Pts]]&gt;0, tbl_attendance[[#This Row],[R4 Pts]]&gt;0), "YES", "NO")</f>
        <v>NO</v>
      </c>
      <c r="L25" s="3" t="str">
        <f>IF(
(tbl_attendance[[#This Row],[R1 Pts]]&gt;0)+(tbl_attendance[[#This Row],[R2 Pts]]&gt;0)+(tbl_attendance[[#This Row],[R3 Pts]]&gt;0)+(tbl_attendance[[#This Row],[R4 Pts]]&gt;0)&gt;=3,"YES", "NO")</f>
        <v>YES</v>
      </c>
      <c r="M25" s="3" t="str">
        <f>IF(AND(tbl_attendance[[#This Row],[R1 Pts]]=0, tbl_attendance[[#This Row],[R2 Pts]]=0,tbl_attendance[[#This Row],[R3 Pts]]=0,tbl_attendance[[#This Row],[R4 Pts]]=0),"YES", "NO")</f>
        <v>NO</v>
      </c>
    </row>
    <row r="26" spans="1:13" hidden="1" x14ac:dyDescent="0.4">
      <c r="A26" t="e">
        <f>_xlfn.TEXTBEFORE(#REF!," ",)</f>
        <v>#REF!</v>
      </c>
      <c r="B26" t="e">
        <f>_xlfn.TEXTAFTER(#REF!, " ", -1)</f>
        <v>#REF!</v>
      </c>
      <c r="C26" t="s">
        <v>10</v>
      </c>
      <c r="D26" t="s">
        <v>6</v>
      </c>
      <c r="E26" s="3">
        <v>9451</v>
      </c>
      <c r="F26" s="3">
        <v>75</v>
      </c>
      <c r="G26" s="3">
        <v>55</v>
      </c>
      <c r="H26" s="3">
        <v>85</v>
      </c>
      <c r="I26" s="3">
        <v>80</v>
      </c>
      <c r="J26" s="3" t="str">
        <f>IF(AND(tbl_attendance[[#This Row],[R1 Pts]]&gt;0, tbl_attendance[[#This Row],[R2 Pts]]&gt;0,tbl_attendance[[#This Row],[R3 Pts]]&gt;0,tbl_attendance[[#This Row],[R4 Pts]]&gt;0),"YES", "NO")</f>
        <v>YES</v>
      </c>
      <c r="K26" s="3" t="str">
        <f>IF(AND(tbl_attendance[[#This Row],[R2 Pts]]&gt;0, tbl_attendance[[#This Row],[R4 Pts]]&gt;0), "YES", "NO")</f>
        <v>YES</v>
      </c>
      <c r="L26" s="3" t="str">
        <f>IF(
(tbl_attendance[[#This Row],[R1 Pts]]&gt;0)+(tbl_attendance[[#This Row],[R2 Pts]]&gt;0)+(tbl_attendance[[#This Row],[R3 Pts]]&gt;0)+(tbl_attendance[[#This Row],[R4 Pts]]&gt;0)&gt;=3,"YES", "NO")</f>
        <v>YES</v>
      </c>
      <c r="M26" s="3" t="str">
        <f>IF(AND(tbl_attendance[[#This Row],[R1 Pts]]=0, tbl_attendance[[#This Row],[R2 Pts]]=0,tbl_attendance[[#This Row],[R3 Pts]]=0,tbl_attendance[[#This Row],[R4 Pts]]=0),"YES", "NO")</f>
        <v>NO</v>
      </c>
    </row>
    <row r="27" spans="1:13" hidden="1" x14ac:dyDescent="0.4">
      <c r="A27" t="e">
        <f>_xlfn.TEXTBEFORE(#REF!," ",)</f>
        <v>#REF!</v>
      </c>
      <c r="B27" t="e">
        <f>_xlfn.TEXTAFTER(#REF!, " ", -1)</f>
        <v>#REF!</v>
      </c>
      <c r="C27" t="s">
        <v>10</v>
      </c>
      <c r="D27" t="s">
        <v>6</v>
      </c>
      <c r="E27" s="3">
        <v>9471</v>
      </c>
      <c r="F27" s="3">
        <v>53</v>
      </c>
      <c r="G27" s="3">
        <v>70</v>
      </c>
      <c r="H27" s="3">
        <v>60</v>
      </c>
      <c r="I27" s="3">
        <v>0</v>
      </c>
      <c r="J27" s="3" t="str">
        <f>IF(AND(tbl_attendance[[#This Row],[R1 Pts]]&gt;0, tbl_attendance[[#This Row],[R2 Pts]]&gt;0,tbl_attendance[[#This Row],[R3 Pts]]&gt;0,tbl_attendance[[#This Row],[R4 Pts]]&gt;0),"YES", "NO")</f>
        <v>NO</v>
      </c>
      <c r="K27" s="3" t="str">
        <f>IF(AND(tbl_attendance[[#This Row],[R2 Pts]]&gt;0, tbl_attendance[[#This Row],[R4 Pts]]&gt;0), "YES", "NO")</f>
        <v>NO</v>
      </c>
      <c r="L27" s="3" t="str">
        <f>IF(
(tbl_attendance[[#This Row],[R1 Pts]]&gt;0)+(tbl_attendance[[#This Row],[R2 Pts]]&gt;0)+(tbl_attendance[[#This Row],[R3 Pts]]&gt;0)+(tbl_attendance[[#This Row],[R4 Pts]]&gt;0)&gt;=3,"YES", "NO")</f>
        <v>YES</v>
      </c>
      <c r="M27" s="3" t="str">
        <f>IF(AND(tbl_attendance[[#This Row],[R1 Pts]]=0, tbl_attendance[[#This Row],[R2 Pts]]=0,tbl_attendance[[#This Row],[R3 Pts]]=0,tbl_attendance[[#This Row],[R4 Pts]]=0),"YES", "NO")</f>
        <v>NO</v>
      </c>
    </row>
    <row r="28" spans="1:13" hidden="1" x14ac:dyDescent="0.4">
      <c r="A28" t="e">
        <f>_xlfn.TEXTBEFORE(#REF!," ",)</f>
        <v>#REF!</v>
      </c>
      <c r="B28" t="e">
        <f>_xlfn.TEXTAFTER(#REF!, " ", -1)</f>
        <v>#REF!</v>
      </c>
      <c r="C28" t="s">
        <v>10</v>
      </c>
      <c r="D28" t="s">
        <v>6</v>
      </c>
      <c r="E28" s="3">
        <v>9481</v>
      </c>
      <c r="F28" s="3">
        <v>60</v>
      </c>
      <c r="G28" s="3">
        <v>65</v>
      </c>
      <c r="H28" s="3">
        <v>0</v>
      </c>
      <c r="I28" s="3">
        <v>0</v>
      </c>
      <c r="J28" s="3" t="str">
        <f>IF(AND(tbl_attendance[[#This Row],[R1 Pts]]&gt;0, tbl_attendance[[#This Row],[R2 Pts]]&gt;0,tbl_attendance[[#This Row],[R3 Pts]]&gt;0,tbl_attendance[[#This Row],[R4 Pts]]&gt;0),"YES", "NO")</f>
        <v>NO</v>
      </c>
      <c r="K28" s="3" t="str">
        <f>IF(AND(tbl_attendance[[#This Row],[R2 Pts]]&gt;0, tbl_attendance[[#This Row],[R4 Pts]]&gt;0), "YES", "NO")</f>
        <v>NO</v>
      </c>
      <c r="L28" s="3" t="str">
        <f>IF(
(tbl_attendance[[#This Row],[R1 Pts]]&gt;0)+(tbl_attendance[[#This Row],[R2 Pts]]&gt;0)+(tbl_attendance[[#This Row],[R3 Pts]]&gt;0)+(tbl_attendance[[#This Row],[R4 Pts]]&gt;0)&gt;=3,"YES", "NO")</f>
        <v>NO</v>
      </c>
      <c r="M28" s="3" t="str">
        <f>IF(AND(tbl_attendance[[#This Row],[R1 Pts]]=0, tbl_attendance[[#This Row],[R2 Pts]]=0,tbl_attendance[[#This Row],[R3 Pts]]=0,tbl_attendance[[#This Row],[R4 Pts]]=0),"YES", "NO")</f>
        <v>NO</v>
      </c>
    </row>
    <row r="29" spans="1:13" hidden="1" x14ac:dyDescent="0.4">
      <c r="A29" t="e">
        <f>_xlfn.TEXTBEFORE(#REF!," ",)</f>
        <v>#REF!</v>
      </c>
      <c r="B29" t="e">
        <f>_xlfn.TEXTAFTER(#REF!, " ", -1)</f>
        <v>#REF!</v>
      </c>
      <c r="C29" t="s">
        <v>10</v>
      </c>
      <c r="D29" t="s">
        <v>3</v>
      </c>
      <c r="E29" s="3">
        <v>10110</v>
      </c>
      <c r="F29" s="3">
        <v>22</v>
      </c>
      <c r="G29" s="3">
        <v>17</v>
      </c>
      <c r="H29" s="3">
        <v>23</v>
      </c>
      <c r="I29" s="3">
        <v>7</v>
      </c>
      <c r="J29" s="3" t="str">
        <f>IF(AND(tbl_attendance[[#This Row],[R1 Pts]]&gt;0, tbl_attendance[[#This Row],[R2 Pts]]&gt;0,tbl_attendance[[#This Row],[R3 Pts]]&gt;0,tbl_attendance[[#This Row],[R4 Pts]]&gt;0),"YES", "NO")</f>
        <v>YES</v>
      </c>
      <c r="K29" s="3" t="str">
        <f>IF(AND(tbl_attendance[[#This Row],[R2 Pts]]&gt;0, tbl_attendance[[#This Row],[R4 Pts]]&gt;0), "YES", "NO")</f>
        <v>YES</v>
      </c>
      <c r="L29" s="3" t="str">
        <f>IF(
(tbl_attendance[[#This Row],[R1 Pts]]&gt;0)+(tbl_attendance[[#This Row],[R2 Pts]]&gt;0)+(tbl_attendance[[#This Row],[R3 Pts]]&gt;0)+(tbl_attendance[[#This Row],[R4 Pts]]&gt;0)&gt;=3,"YES", "NO")</f>
        <v>YES</v>
      </c>
      <c r="M29" s="3" t="str">
        <f>IF(AND(tbl_attendance[[#This Row],[R1 Pts]]=0, tbl_attendance[[#This Row],[R2 Pts]]=0,tbl_attendance[[#This Row],[R3 Pts]]=0,tbl_attendance[[#This Row],[R4 Pts]]=0),"YES", "NO")</f>
        <v>NO</v>
      </c>
    </row>
    <row r="30" spans="1:13" hidden="1" x14ac:dyDescent="0.4">
      <c r="A30" t="e">
        <f>_xlfn.TEXTBEFORE(#REF!," ",)</f>
        <v>#REF!</v>
      </c>
      <c r="B30" t="e">
        <f>_xlfn.TEXTAFTER(#REF!, " ", -1)</f>
        <v>#REF!</v>
      </c>
      <c r="C30" t="s">
        <v>10</v>
      </c>
      <c r="D30" t="s">
        <v>3</v>
      </c>
      <c r="E30" s="3">
        <v>10111</v>
      </c>
      <c r="F30" s="3">
        <v>51</v>
      </c>
      <c r="G30" s="3">
        <v>40</v>
      </c>
      <c r="H30" s="3">
        <v>49</v>
      </c>
      <c r="I30" s="3">
        <v>32</v>
      </c>
      <c r="J30" s="3" t="str">
        <f>IF(AND(tbl_attendance[[#This Row],[R1 Pts]]&gt;0, tbl_attendance[[#This Row],[R2 Pts]]&gt;0,tbl_attendance[[#This Row],[R3 Pts]]&gt;0,tbl_attendance[[#This Row],[R4 Pts]]&gt;0),"YES", "NO")</f>
        <v>YES</v>
      </c>
      <c r="K30" s="3" t="str">
        <f>IF(AND(tbl_attendance[[#This Row],[R2 Pts]]&gt;0, tbl_attendance[[#This Row],[R4 Pts]]&gt;0), "YES", "NO")</f>
        <v>YES</v>
      </c>
      <c r="L30" s="3" t="str">
        <f>IF(
(tbl_attendance[[#This Row],[R1 Pts]]&gt;0)+(tbl_attendance[[#This Row],[R2 Pts]]&gt;0)+(tbl_attendance[[#This Row],[R3 Pts]]&gt;0)+(tbl_attendance[[#This Row],[R4 Pts]]&gt;0)&gt;=3,"YES", "NO")</f>
        <v>YES</v>
      </c>
      <c r="M30" s="3" t="str">
        <f>IF(AND(tbl_attendance[[#This Row],[R1 Pts]]=0, tbl_attendance[[#This Row],[R2 Pts]]=0,tbl_attendance[[#This Row],[R3 Pts]]=0,tbl_attendance[[#This Row],[R4 Pts]]=0),"YES", "NO")</f>
        <v>NO</v>
      </c>
    </row>
    <row r="31" spans="1:13" hidden="1" x14ac:dyDescent="0.4">
      <c r="A31" t="e">
        <f>_xlfn.TEXTBEFORE(#REF!," ",)</f>
        <v>#REF!</v>
      </c>
      <c r="B31" t="e">
        <f>_xlfn.TEXTAFTER(#REF!, " ", -1)</f>
        <v>#REF!</v>
      </c>
      <c r="C31" t="s">
        <v>10</v>
      </c>
      <c r="D31" t="s">
        <v>3</v>
      </c>
      <c r="E31" s="3">
        <v>10114</v>
      </c>
      <c r="F31" s="3">
        <v>31</v>
      </c>
      <c r="G31" s="3">
        <v>42</v>
      </c>
      <c r="H31" s="3">
        <v>38</v>
      </c>
      <c r="I31" s="3">
        <v>36</v>
      </c>
      <c r="J31" s="3" t="str">
        <f>IF(AND(tbl_attendance[[#This Row],[R1 Pts]]&gt;0, tbl_attendance[[#This Row],[R2 Pts]]&gt;0,tbl_attendance[[#This Row],[R3 Pts]]&gt;0,tbl_attendance[[#This Row],[R4 Pts]]&gt;0),"YES", "NO")</f>
        <v>YES</v>
      </c>
      <c r="K31" s="3" t="str">
        <f>IF(AND(tbl_attendance[[#This Row],[R2 Pts]]&gt;0, tbl_attendance[[#This Row],[R4 Pts]]&gt;0), "YES", "NO")</f>
        <v>YES</v>
      </c>
      <c r="L31" s="3" t="str">
        <f>IF(
(tbl_attendance[[#This Row],[R1 Pts]]&gt;0)+(tbl_attendance[[#This Row],[R2 Pts]]&gt;0)+(tbl_attendance[[#This Row],[R3 Pts]]&gt;0)+(tbl_attendance[[#This Row],[R4 Pts]]&gt;0)&gt;=3,"YES", "NO")</f>
        <v>YES</v>
      </c>
      <c r="M31" s="3" t="str">
        <f>IF(AND(tbl_attendance[[#This Row],[R1 Pts]]=0, tbl_attendance[[#This Row],[R2 Pts]]=0,tbl_attendance[[#This Row],[R3 Pts]]=0,tbl_attendance[[#This Row],[R4 Pts]]=0),"YES", "NO")</f>
        <v>NO</v>
      </c>
    </row>
    <row r="32" spans="1:13" hidden="1" x14ac:dyDescent="0.4">
      <c r="A32" t="e">
        <f>_xlfn.TEXTBEFORE(#REF!," ",)</f>
        <v>#REF!</v>
      </c>
      <c r="B32" t="e">
        <f>_xlfn.TEXTAFTER(#REF!, " ", -1)</f>
        <v>#REF!</v>
      </c>
      <c r="C32" t="s">
        <v>10</v>
      </c>
      <c r="D32" t="s">
        <v>3</v>
      </c>
      <c r="E32" s="3">
        <v>10115</v>
      </c>
      <c r="F32" s="3">
        <v>41</v>
      </c>
      <c r="G32" s="3">
        <v>55</v>
      </c>
      <c r="H32" s="3">
        <v>37</v>
      </c>
      <c r="I32" s="3">
        <v>60</v>
      </c>
      <c r="J32" s="3" t="str">
        <f>IF(AND(tbl_attendance[[#This Row],[R1 Pts]]&gt;0, tbl_attendance[[#This Row],[R2 Pts]]&gt;0,tbl_attendance[[#This Row],[R3 Pts]]&gt;0,tbl_attendance[[#This Row],[R4 Pts]]&gt;0),"YES", "NO")</f>
        <v>YES</v>
      </c>
      <c r="K32" s="3" t="str">
        <f>IF(AND(tbl_attendance[[#This Row],[R2 Pts]]&gt;0, tbl_attendance[[#This Row],[R4 Pts]]&gt;0), "YES", "NO")</f>
        <v>YES</v>
      </c>
      <c r="L32" s="3" t="str">
        <f>IF(
(tbl_attendance[[#This Row],[R1 Pts]]&gt;0)+(tbl_attendance[[#This Row],[R2 Pts]]&gt;0)+(tbl_attendance[[#This Row],[R3 Pts]]&gt;0)+(tbl_attendance[[#This Row],[R4 Pts]]&gt;0)&gt;=3,"YES", "NO")</f>
        <v>YES</v>
      </c>
      <c r="M32" s="3" t="str">
        <f>IF(AND(tbl_attendance[[#This Row],[R1 Pts]]=0, tbl_attendance[[#This Row],[R2 Pts]]=0,tbl_attendance[[#This Row],[R3 Pts]]=0,tbl_attendance[[#This Row],[R4 Pts]]=0),"YES", "NO")</f>
        <v>NO</v>
      </c>
    </row>
    <row r="33" spans="1:13" hidden="1" x14ac:dyDescent="0.4">
      <c r="A33" t="e">
        <f>_xlfn.TEXTBEFORE(#REF!," ",)</f>
        <v>#REF!</v>
      </c>
      <c r="B33" t="e">
        <f>_xlfn.TEXTAFTER(#REF!, " ", -1)</f>
        <v>#REF!</v>
      </c>
      <c r="C33" t="s">
        <v>10</v>
      </c>
      <c r="D33" t="s">
        <v>3</v>
      </c>
      <c r="E33" s="3">
        <v>10117</v>
      </c>
      <c r="F33" s="3">
        <v>49</v>
      </c>
      <c r="G33" s="3">
        <v>39</v>
      </c>
      <c r="H33" s="3">
        <v>41</v>
      </c>
      <c r="I33" s="3">
        <v>33</v>
      </c>
      <c r="J33" s="3" t="str">
        <f>IF(AND(tbl_attendance[[#This Row],[R1 Pts]]&gt;0, tbl_attendance[[#This Row],[R2 Pts]]&gt;0,tbl_attendance[[#This Row],[R3 Pts]]&gt;0,tbl_attendance[[#This Row],[R4 Pts]]&gt;0),"YES", "NO")</f>
        <v>YES</v>
      </c>
      <c r="K33" s="3" t="str">
        <f>IF(AND(tbl_attendance[[#This Row],[R2 Pts]]&gt;0, tbl_attendance[[#This Row],[R4 Pts]]&gt;0), "YES", "NO")</f>
        <v>YES</v>
      </c>
      <c r="L33" s="3" t="str">
        <f>IF(
(tbl_attendance[[#This Row],[R1 Pts]]&gt;0)+(tbl_attendance[[#This Row],[R2 Pts]]&gt;0)+(tbl_attendance[[#This Row],[R3 Pts]]&gt;0)+(tbl_attendance[[#This Row],[R4 Pts]]&gt;0)&gt;=3,"YES", "NO")</f>
        <v>YES</v>
      </c>
      <c r="M33" s="3" t="str">
        <f>IF(AND(tbl_attendance[[#This Row],[R1 Pts]]=0, tbl_attendance[[#This Row],[R2 Pts]]=0,tbl_attendance[[#This Row],[R3 Pts]]=0,tbl_attendance[[#This Row],[R4 Pts]]=0),"YES", "NO")</f>
        <v>NO</v>
      </c>
    </row>
    <row r="34" spans="1:13" hidden="1" x14ac:dyDescent="0.4">
      <c r="A34" t="e">
        <f>_xlfn.TEXTBEFORE(#REF!," ",)</f>
        <v>#REF!</v>
      </c>
      <c r="B34" t="e">
        <f>_xlfn.TEXTAFTER(#REF!, " ", -1)</f>
        <v>#REF!</v>
      </c>
      <c r="C34" t="s">
        <v>10</v>
      </c>
      <c r="D34" t="s">
        <v>3</v>
      </c>
      <c r="E34" s="3">
        <v>10119</v>
      </c>
      <c r="F34" s="3">
        <v>43</v>
      </c>
      <c r="G34" s="3">
        <v>45</v>
      </c>
      <c r="H34" s="3">
        <v>55</v>
      </c>
      <c r="I34" s="3">
        <v>45</v>
      </c>
      <c r="J34" s="3" t="str">
        <f>IF(AND(tbl_attendance[[#This Row],[R1 Pts]]&gt;0, tbl_attendance[[#This Row],[R2 Pts]]&gt;0,tbl_attendance[[#This Row],[R3 Pts]]&gt;0,tbl_attendance[[#This Row],[R4 Pts]]&gt;0),"YES", "NO")</f>
        <v>YES</v>
      </c>
      <c r="K34" s="3" t="str">
        <f>IF(AND(tbl_attendance[[#This Row],[R2 Pts]]&gt;0, tbl_attendance[[#This Row],[R4 Pts]]&gt;0), "YES", "NO")</f>
        <v>YES</v>
      </c>
      <c r="L34" s="3" t="str">
        <f>IF(
(tbl_attendance[[#This Row],[R1 Pts]]&gt;0)+(tbl_attendance[[#This Row],[R2 Pts]]&gt;0)+(tbl_attendance[[#This Row],[R3 Pts]]&gt;0)+(tbl_attendance[[#This Row],[R4 Pts]]&gt;0)&gt;=3,"YES", "NO")</f>
        <v>YES</v>
      </c>
      <c r="M34" s="3" t="str">
        <f>IF(AND(tbl_attendance[[#This Row],[R1 Pts]]=0, tbl_attendance[[#This Row],[R2 Pts]]=0,tbl_attendance[[#This Row],[R3 Pts]]=0,tbl_attendance[[#This Row],[R4 Pts]]=0),"YES", "NO")</f>
        <v>NO</v>
      </c>
    </row>
    <row r="35" spans="1:13" hidden="1" x14ac:dyDescent="0.4">
      <c r="A35" t="e">
        <f>_xlfn.TEXTBEFORE(#REF!," ",)</f>
        <v>#REF!</v>
      </c>
      <c r="B35" t="e">
        <f>_xlfn.TEXTAFTER(#REF!, " ", -1)</f>
        <v>#REF!</v>
      </c>
      <c r="C35" t="s">
        <v>10</v>
      </c>
      <c r="D35" t="s">
        <v>3</v>
      </c>
      <c r="E35" s="3">
        <v>10126</v>
      </c>
      <c r="F35" s="3">
        <v>85</v>
      </c>
      <c r="G35" s="3">
        <v>75</v>
      </c>
      <c r="H35" s="3">
        <v>80</v>
      </c>
      <c r="I35" s="3">
        <v>37</v>
      </c>
      <c r="J35" s="3" t="str">
        <f>IF(AND(tbl_attendance[[#This Row],[R1 Pts]]&gt;0, tbl_attendance[[#This Row],[R2 Pts]]&gt;0,tbl_attendance[[#This Row],[R3 Pts]]&gt;0,tbl_attendance[[#This Row],[R4 Pts]]&gt;0),"YES", "NO")</f>
        <v>YES</v>
      </c>
      <c r="K35" s="3" t="str">
        <f>IF(AND(tbl_attendance[[#This Row],[R2 Pts]]&gt;0, tbl_attendance[[#This Row],[R4 Pts]]&gt;0), "YES", "NO")</f>
        <v>YES</v>
      </c>
      <c r="L35" s="3" t="str">
        <f>IF(
(tbl_attendance[[#This Row],[R1 Pts]]&gt;0)+(tbl_attendance[[#This Row],[R2 Pts]]&gt;0)+(tbl_attendance[[#This Row],[R3 Pts]]&gt;0)+(tbl_attendance[[#This Row],[R4 Pts]]&gt;0)&gt;=3,"YES", "NO")</f>
        <v>YES</v>
      </c>
      <c r="M35" s="3" t="str">
        <f>IF(AND(tbl_attendance[[#This Row],[R1 Pts]]=0, tbl_attendance[[#This Row],[R2 Pts]]=0,tbl_attendance[[#This Row],[R3 Pts]]=0,tbl_attendance[[#This Row],[R4 Pts]]=0),"YES", "NO")</f>
        <v>NO</v>
      </c>
    </row>
    <row r="36" spans="1:13" hidden="1" x14ac:dyDescent="0.4">
      <c r="A36" t="e">
        <f>_xlfn.TEXTBEFORE(#REF!," ",)</f>
        <v>#REF!</v>
      </c>
      <c r="B36" t="e">
        <f>_xlfn.TEXTAFTER(#REF!, " ", -1)</f>
        <v>#REF!</v>
      </c>
      <c r="C36" t="s">
        <v>10</v>
      </c>
      <c r="D36" t="s">
        <v>3</v>
      </c>
      <c r="E36" s="3">
        <v>10150</v>
      </c>
      <c r="F36" s="3">
        <v>65</v>
      </c>
      <c r="G36" s="3">
        <v>0</v>
      </c>
      <c r="H36" s="3">
        <v>75</v>
      </c>
      <c r="I36" s="3">
        <v>6</v>
      </c>
      <c r="J36" s="3" t="str">
        <f>IF(AND(tbl_attendance[[#This Row],[R1 Pts]]&gt;0, tbl_attendance[[#This Row],[R2 Pts]]&gt;0,tbl_attendance[[#This Row],[R3 Pts]]&gt;0,tbl_attendance[[#This Row],[R4 Pts]]&gt;0),"YES", "NO")</f>
        <v>NO</v>
      </c>
      <c r="K36" s="3" t="str">
        <f>IF(AND(tbl_attendance[[#This Row],[R2 Pts]]&gt;0, tbl_attendance[[#This Row],[R4 Pts]]&gt;0), "YES", "NO")</f>
        <v>NO</v>
      </c>
      <c r="L36" s="3" t="str">
        <f>IF(
(tbl_attendance[[#This Row],[R1 Pts]]&gt;0)+(tbl_attendance[[#This Row],[R2 Pts]]&gt;0)+(tbl_attendance[[#This Row],[R3 Pts]]&gt;0)+(tbl_attendance[[#This Row],[R4 Pts]]&gt;0)&gt;=3,"YES", "NO")</f>
        <v>YES</v>
      </c>
      <c r="M36" s="3" t="str">
        <f>IF(AND(tbl_attendance[[#This Row],[R1 Pts]]=0, tbl_attendance[[#This Row],[R2 Pts]]=0,tbl_attendance[[#This Row],[R3 Pts]]=0,tbl_attendance[[#This Row],[R4 Pts]]=0),"YES", "NO")</f>
        <v>NO</v>
      </c>
    </row>
    <row r="37" spans="1:13" hidden="1" x14ac:dyDescent="0.4">
      <c r="A37" t="e">
        <f>_xlfn.TEXTBEFORE(#REF!," ",)</f>
        <v>#REF!</v>
      </c>
      <c r="B37" t="e">
        <f>_xlfn.TEXTAFTER(#REF!, " ", -1)</f>
        <v>#REF!</v>
      </c>
      <c r="C37" t="s">
        <v>10</v>
      </c>
      <c r="D37" t="s">
        <v>3</v>
      </c>
      <c r="E37" s="3">
        <v>10151</v>
      </c>
      <c r="F37" s="3">
        <v>20</v>
      </c>
      <c r="G37" s="3">
        <v>14</v>
      </c>
      <c r="H37" s="3">
        <v>15</v>
      </c>
      <c r="I37" s="3">
        <v>12</v>
      </c>
      <c r="J37" s="3" t="str">
        <f>IF(AND(tbl_attendance[[#This Row],[R1 Pts]]&gt;0, tbl_attendance[[#This Row],[R2 Pts]]&gt;0,tbl_attendance[[#This Row],[R3 Pts]]&gt;0,tbl_attendance[[#This Row],[R4 Pts]]&gt;0),"YES", "NO")</f>
        <v>YES</v>
      </c>
      <c r="K37" s="3" t="str">
        <f>IF(AND(tbl_attendance[[#This Row],[R2 Pts]]&gt;0, tbl_attendance[[#This Row],[R4 Pts]]&gt;0), "YES", "NO")</f>
        <v>YES</v>
      </c>
      <c r="L37" s="3" t="str">
        <f>IF(
(tbl_attendance[[#This Row],[R1 Pts]]&gt;0)+(tbl_attendance[[#This Row],[R2 Pts]]&gt;0)+(tbl_attendance[[#This Row],[R3 Pts]]&gt;0)+(tbl_attendance[[#This Row],[R4 Pts]]&gt;0)&gt;=3,"YES", "NO")</f>
        <v>YES</v>
      </c>
      <c r="M37" s="3" t="str">
        <f>IF(AND(tbl_attendance[[#This Row],[R1 Pts]]=0, tbl_attendance[[#This Row],[R2 Pts]]=0,tbl_attendance[[#This Row],[R3 Pts]]=0,tbl_attendance[[#This Row],[R4 Pts]]=0),"YES", "NO")</f>
        <v>NO</v>
      </c>
    </row>
    <row r="38" spans="1:13" hidden="1" x14ac:dyDescent="0.4">
      <c r="A38" t="e">
        <f>_xlfn.TEXTBEFORE(#REF!," ",)</f>
        <v>#REF!</v>
      </c>
      <c r="B38" t="e">
        <f>_xlfn.TEXTAFTER(#REF!, " ", -1)</f>
        <v>#REF!</v>
      </c>
      <c r="C38" t="s">
        <v>10</v>
      </c>
      <c r="D38" t="s">
        <v>3</v>
      </c>
      <c r="E38" s="3">
        <v>10161</v>
      </c>
      <c r="F38" s="3">
        <v>44</v>
      </c>
      <c r="G38" s="3">
        <v>37</v>
      </c>
      <c r="H38" s="3">
        <v>60</v>
      </c>
      <c r="I38" s="3">
        <v>39</v>
      </c>
      <c r="J38" s="3" t="str">
        <f>IF(AND(tbl_attendance[[#This Row],[R1 Pts]]&gt;0, tbl_attendance[[#This Row],[R2 Pts]]&gt;0,tbl_attendance[[#This Row],[R3 Pts]]&gt;0,tbl_attendance[[#This Row],[R4 Pts]]&gt;0),"YES", "NO")</f>
        <v>YES</v>
      </c>
      <c r="K38" s="3" t="str">
        <f>IF(AND(tbl_attendance[[#This Row],[R2 Pts]]&gt;0, tbl_attendance[[#This Row],[R4 Pts]]&gt;0), "YES", "NO")</f>
        <v>YES</v>
      </c>
      <c r="L38" s="3" t="str">
        <f>IF(
(tbl_attendance[[#This Row],[R1 Pts]]&gt;0)+(tbl_attendance[[#This Row],[R2 Pts]]&gt;0)+(tbl_attendance[[#This Row],[R3 Pts]]&gt;0)+(tbl_attendance[[#This Row],[R4 Pts]]&gt;0)&gt;=3,"YES", "NO")</f>
        <v>YES</v>
      </c>
      <c r="M38" s="3" t="str">
        <f>IF(AND(tbl_attendance[[#This Row],[R1 Pts]]=0, tbl_attendance[[#This Row],[R2 Pts]]=0,tbl_attendance[[#This Row],[R3 Pts]]=0,tbl_attendance[[#This Row],[R4 Pts]]=0),"YES", "NO")</f>
        <v>NO</v>
      </c>
    </row>
    <row r="39" spans="1:13" hidden="1" x14ac:dyDescent="0.4">
      <c r="A39" t="e">
        <f>_xlfn.TEXTBEFORE(#REF!," ",)</f>
        <v>#REF!</v>
      </c>
      <c r="B39" t="e">
        <f>_xlfn.TEXTAFTER(#REF!, " ", -1)</f>
        <v>#REF!</v>
      </c>
      <c r="C39" t="s">
        <v>10</v>
      </c>
      <c r="D39" t="s">
        <v>3</v>
      </c>
      <c r="E39" s="3">
        <v>10198</v>
      </c>
      <c r="F39" s="3">
        <v>0</v>
      </c>
      <c r="G39" s="3">
        <v>0</v>
      </c>
      <c r="H39" s="3">
        <v>28</v>
      </c>
      <c r="I39" s="3">
        <v>9</v>
      </c>
      <c r="J39" s="3" t="str">
        <f>IF(AND(tbl_attendance[[#This Row],[R1 Pts]]&gt;0, tbl_attendance[[#This Row],[R2 Pts]]&gt;0,tbl_attendance[[#This Row],[R3 Pts]]&gt;0,tbl_attendance[[#This Row],[R4 Pts]]&gt;0),"YES", "NO")</f>
        <v>NO</v>
      </c>
      <c r="K39" s="3" t="str">
        <f>IF(AND(tbl_attendance[[#This Row],[R2 Pts]]&gt;0, tbl_attendance[[#This Row],[R4 Pts]]&gt;0), "YES", "NO")</f>
        <v>NO</v>
      </c>
      <c r="L39" s="3" t="str">
        <f>IF(
(tbl_attendance[[#This Row],[R1 Pts]]&gt;0)+(tbl_attendance[[#This Row],[R2 Pts]]&gt;0)+(tbl_attendance[[#This Row],[R3 Pts]]&gt;0)+(tbl_attendance[[#This Row],[R4 Pts]]&gt;0)&gt;=3,"YES", "NO")</f>
        <v>NO</v>
      </c>
      <c r="M39" s="3" t="str">
        <f>IF(AND(tbl_attendance[[#This Row],[R1 Pts]]=0, tbl_attendance[[#This Row],[R2 Pts]]=0,tbl_attendance[[#This Row],[R3 Pts]]=0,tbl_attendance[[#This Row],[R4 Pts]]=0),"YES", "NO")</f>
        <v>NO</v>
      </c>
    </row>
    <row r="40" spans="1:13" hidden="1" x14ac:dyDescent="0.4">
      <c r="A40" t="e">
        <f>_xlfn.TEXTBEFORE(#REF!," ",)</f>
        <v>#REF!</v>
      </c>
      <c r="B40" t="e">
        <f>_xlfn.TEXTAFTER(#REF!, " ", -1)</f>
        <v>#REF!</v>
      </c>
      <c r="C40" t="s">
        <v>10</v>
      </c>
      <c r="D40" t="s">
        <v>3</v>
      </c>
      <c r="E40" s="3">
        <v>10205</v>
      </c>
      <c r="F40" s="3">
        <v>37</v>
      </c>
      <c r="G40" s="3">
        <v>49</v>
      </c>
      <c r="H40" s="3">
        <v>33</v>
      </c>
      <c r="I40" s="3">
        <v>53</v>
      </c>
      <c r="J40" s="3" t="str">
        <f>IF(AND(tbl_attendance[[#This Row],[R1 Pts]]&gt;0, tbl_attendance[[#This Row],[R2 Pts]]&gt;0,tbl_attendance[[#This Row],[R3 Pts]]&gt;0,tbl_attendance[[#This Row],[R4 Pts]]&gt;0),"YES", "NO")</f>
        <v>YES</v>
      </c>
      <c r="K40" s="3" t="str">
        <f>IF(AND(tbl_attendance[[#This Row],[R2 Pts]]&gt;0, tbl_attendance[[#This Row],[R4 Pts]]&gt;0), "YES", "NO")</f>
        <v>YES</v>
      </c>
      <c r="L40" s="3" t="str">
        <f>IF(
(tbl_attendance[[#This Row],[R1 Pts]]&gt;0)+(tbl_attendance[[#This Row],[R2 Pts]]&gt;0)+(tbl_attendance[[#This Row],[R3 Pts]]&gt;0)+(tbl_attendance[[#This Row],[R4 Pts]]&gt;0)&gt;=3,"YES", "NO")</f>
        <v>YES</v>
      </c>
      <c r="M40" s="3" t="str">
        <f>IF(AND(tbl_attendance[[#This Row],[R1 Pts]]=0, tbl_attendance[[#This Row],[R2 Pts]]=0,tbl_attendance[[#This Row],[R3 Pts]]=0,tbl_attendance[[#This Row],[R4 Pts]]=0),"YES", "NO")</f>
        <v>NO</v>
      </c>
    </row>
    <row r="41" spans="1:13" hidden="1" x14ac:dyDescent="0.4">
      <c r="A41" t="e">
        <f>_xlfn.TEXTBEFORE(#REF!," ",)</f>
        <v>#REF!</v>
      </c>
      <c r="B41" t="e">
        <f>_xlfn.TEXTAFTER(#REF!, " ", -1)</f>
        <v>#REF!</v>
      </c>
      <c r="C41" t="s">
        <v>10</v>
      </c>
      <c r="D41" t="s">
        <v>1</v>
      </c>
      <c r="E41" s="3">
        <v>12001</v>
      </c>
      <c r="F41" s="3">
        <v>0</v>
      </c>
      <c r="G41" s="3">
        <v>3</v>
      </c>
      <c r="H41" s="3">
        <v>0</v>
      </c>
      <c r="I41" s="3">
        <v>0</v>
      </c>
      <c r="J41" s="3" t="str">
        <f>IF(AND(tbl_attendance[[#This Row],[R1 Pts]]&gt;0, tbl_attendance[[#This Row],[R2 Pts]]&gt;0,tbl_attendance[[#This Row],[R3 Pts]]&gt;0,tbl_attendance[[#This Row],[R4 Pts]]&gt;0),"YES", "NO")</f>
        <v>NO</v>
      </c>
      <c r="K41" s="3" t="str">
        <f>IF(AND(tbl_attendance[[#This Row],[R2 Pts]]&gt;0, tbl_attendance[[#This Row],[R4 Pts]]&gt;0), "YES", "NO")</f>
        <v>NO</v>
      </c>
      <c r="L41" s="3" t="str">
        <f>IF(
(tbl_attendance[[#This Row],[R1 Pts]]&gt;0)+(tbl_attendance[[#This Row],[R2 Pts]]&gt;0)+(tbl_attendance[[#This Row],[R3 Pts]]&gt;0)+(tbl_attendance[[#This Row],[R4 Pts]]&gt;0)&gt;=3,"YES", "NO")</f>
        <v>NO</v>
      </c>
      <c r="M41" s="3" t="str">
        <f>IF(AND(tbl_attendance[[#This Row],[R1 Pts]]=0, tbl_attendance[[#This Row],[R2 Pts]]=0,tbl_attendance[[#This Row],[R3 Pts]]=0,tbl_attendance[[#This Row],[R4 Pts]]=0),"YES", "NO")</f>
        <v>NO</v>
      </c>
    </row>
    <row r="42" spans="1:13" hidden="1" x14ac:dyDescent="0.4">
      <c r="A42" t="e">
        <f>_xlfn.TEXTBEFORE(#REF!," ",)</f>
        <v>#REF!</v>
      </c>
      <c r="B42" t="e">
        <f>_xlfn.TEXTAFTER(#REF!, " ", -1)</f>
        <v>#REF!</v>
      </c>
      <c r="C42" t="s">
        <v>10</v>
      </c>
      <c r="D42" t="s">
        <v>1</v>
      </c>
      <c r="E42" s="3">
        <v>12005</v>
      </c>
      <c r="F42" s="3">
        <v>21</v>
      </c>
      <c r="G42" s="3">
        <v>0</v>
      </c>
      <c r="H42" s="3">
        <v>18</v>
      </c>
      <c r="I42" s="3">
        <v>12</v>
      </c>
      <c r="J42" s="3" t="str">
        <f>IF(AND(tbl_attendance[[#This Row],[R1 Pts]]&gt;0, tbl_attendance[[#This Row],[R2 Pts]]&gt;0,tbl_attendance[[#This Row],[R3 Pts]]&gt;0,tbl_attendance[[#This Row],[R4 Pts]]&gt;0),"YES", "NO")</f>
        <v>NO</v>
      </c>
      <c r="K42" s="3" t="str">
        <f>IF(AND(tbl_attendance[[#This Row],[R2 Pts]]&gt;0, tbl_attendance[[#This Row],[R4 Pts]]&gt;0), "YES", "NO")</f>
        <v>NO</v>
      </c>
      <c r="L42" s="3" t="str">
        <f>IF(
(tbl_attendance[[#This Row],[R1 Pts]]&gt;0)+(tbl_attendance[[#This Row],[R2 Pts]]&gt;0)+(tbl_attendance[[#This Row],[R3 Pts]]&gt;0)+(tbl_attendance[[#This Row],[R4 Pts]]&gt;0)&gt;=3,"YES", "NO")</f>
        <v>YES</v>
      </c>
      <c r="M42" s="3" t="str">
        <f>IF(AND(tbl_attendance[[#This Row],[R1 Pts]]=0, tbl_attendance[[#This Row],[R2 Pts]]=0,tbl_attendance[[#This Row],[R3 Pts]]=0,tbl_attendance[[#This Row],[R4 Pts]]=0),"YES", "NO")</f>
        <v>NO</v>
      </c>
    </row>
    <row r="43" spans="1:13" hidden="1" x14ac:dyDescent="0.4">
      <c r="A43" t="e">
        <f>_xlfn.TEXTBEFORE(#REF!," ",)</f>
        <v>#REF!</v>
      </c>
      <c r="B43" t="e">
        <f>_xlfn.TEXTAFTER(#REF!, " ", -1)</f>
        <v>#REF!</v>
      </c>
      <c r="C43" t="s">
        <v>10</v>
      </c>
      <c r="D43" t="s">
        <v>1</v>
      </c>
      <c r="E43" s="3">
        <v>12009</v>
      </c>
      <c r="F43" s="3">
        <v>0</v>
      </c>
      <c r="G43" s="3">
        <v>0</v>
      </c>
      <c r="H43" s="3">
        <v>16</v>
      </c>
      <c r="I43" s="3">
        <v>3</v>
      </c>
      <c r="J43" s="3" t="str">
        <f>IF(AND(tbl_attendance[[#This Row],[R1 Pts]]&gt;0, tbl_attendance[[#This Row],[R2 Pts]]&gt;0,tbl_attendance[[#This Row],[R3 Pts]]&gt;0,tbl_attendance[[#This Row],[R4 Pts]]&gt;0),"YES", "NO")</f>
        <v>NO</v>
      </c>
      <c r="K43" s="3" t="str">
        <f>IF(AND(tbl_attendance[[#This Row],[R2 Pts]]&gt;0, tbl_attendance[[#This Row],[R4 Pts]]&gt;0), "YES", "NO")</f>
        <v>NO</v>
      </c>
      <c r="L43" s="3" t="str">
        <f>IF(
(tbl_attendance[[#This Row],[R1 Pts]]&gt;0)+(tbl_attendance[[#This Row],[R2 Pts]]&gt;0)+(tbl_attendance[[#This Row],[R3 Pts]]&gt;0)+(tbl_attendance[[#This Row],[R4 Pts]]&gt;0)&gt;=3,"YES", "NO")</f>
        <v>NO</v>
      </c>
      <c r="M43" s="3" t="str">
        <f>IF(AND(tbl_attendance[[#This Row],[R1 Pts]]=0, tbl_attendance[[#This Row],[R2 Pts]]=0,tbl_attendance[[#This Row],[R3 Pts]]=0,tbl_attendance[[#This Row],[R4 Pts]]=0),"YES", "NO")</f>
        <v>NO</v>
      </c>
    </row>
    <row r="44" spans="1:13" hidden="1" x14ac:dyDescent="0.4">
      <c r="A44" t="e">
        <f>_xlfn.TEXTBEFORE(#REF!," ",)</f>
        <v>#REF!</v>
      </c>
      <c r="B44" t="e">
        <f>_xlfn.TEXTAFTER(#REF!, " ", -1)</f>
        <v>#REF!</v>
      </c>
      <c r="C44" t="s">
        <v>10</v>
      </c>
      <c r="D44" t="s">
        <v>1</v>
      </c>
      <c r="E44" s="3">
        <v>12012</v>
      </c>
      <c r="F44" s="3">
        <v>0</v>
      </c>
      <c r="G44" s="3">
        <v>16</v>
      </c>
      <c r="H44" s="3">
        <v>23</v>
      </c>
      <c r="I44" s="3">
        <v>21</v>
      </c>
      <c r="J44" s="3" t="str">
        <f>IF(AND(tbl_attendance[[#This Row],[R1 Pts]]&gt;0, tbl_attendance[[#This Row],[R2 Pts]]&gt;0,tbl_attendance[[#This Row],[R3 Pts]]&gt;0,tbl_attendance[[#This Row],[R4 Pts]]&gt;0),"YES", "NO")</f>
        <v>NO</v>
      </c>
      <c r="K44" s="3" t="str">
        <f>IF(AND(tbl_attendance[[#This Row],[R2 Pts]]&gt;0, tbl_attendance[[#This Row],[R4 Pts]]&gt;0), "YES", "NO")</f>
        <v>YES</v>
      </c>
      <c r="L44" s="3" t="str">
        <f>IF(
(tbl_attendance[[#This Row],[R1 Pts]]&gt;0)+(tbl_attendance[[#This Row],[R2 Pts]]&gt;0)+(tbl_attendance[[#This Row],[R3 Pts]]&gt;0)+(tbl_attendance[[#This Row],[R4 Pts]]&gt;0)&gt;=3,"YES", "NO")</f>
        <v>YES</v>
      </c>
      <c r="M44" s="3" t="str">
        <f>IF(AND(tbl_attendance[[#This Row],[R1 Pts]]=0, tbl_attendance[[#This Row],[R2 Pts]]=0,tbl_attendance[[#This Row],[R3 Pts]]=0,tbl_attendance[[#This Row],[R4 Pts]]=0),"YES", "NO")</f>
        <v>NO</v>
      </c>
    </row>
    <row r="45" spans="1:13" hidden="1" x14ac:dyDescent="0.4">
      <c r="A45" t="e">
        <f>_xlfn.TEXTBEFORE(#REF!," ",)</f>
        <v>#REF!</v>
      </c>
      <c r="B45" t="e">
        <f>_xlfn.TEXTAFTER(#REF!, " ", -1)</f>
        <v>#REF!</v>
      </c>
      <c r="C45" t="s">
        <v>10</v>
      </c>
      <c r="D45" t="s">
        <v>1</v>
      </c>
      <c r="E45" s="3">
        <v>12013</v>
      </c>
      <c r="F45" s="3">
        <v>19</v>
      </c>
      <c r="G45" s="3">
        <v>28</v>
      </c>
      <c r="H45" s="3">
        <v>0</v>
      </c>
      <c r="I45" s="3">
        <v>39</v>
      </c>
      <c r="J45" s="3" t="str">
        <f>IF(AND(tbl_attendance[[#This Row],[R1 Pts]]&gt;0, tbl_attendance[[#This Row],[R2 Pts]]&gt;0,tbl_attendance[[#This Row],[R3 Pts]]&gt;0,tbl_attendance[[#This Row],[R4 Pts]]&gt;0),"YES", "NO")</f>
        <v>NO</v>
      </c>
      <c r="K45" s="3" t="str">
        <f>IF(AND(tbl_attendance[[#This Row],[R2 Pts]]&gt;0, tbl_attendance[[#This Row],[R4 Pts]]&gt;0), "YES", "NO")</f>
        <v>YES</v>
      </c>
      <c r="L45" s="3" t="str">
        <f>IF(
(tbl_attendance[[#This Row],[R1 Pts]]&gt;0)+(tbl_attendance[[#This Row],[R2 Pts]]&gt;0)+(tbl_attendance[[#This Row],[R3 Pts]]&gt;0)+(tbl_attendance[[#This Row],[R4 Pts]]&gt;0)&gt;=3,"YES", "NO")</f>
        <v>YES</v>
      </c>
      <c r="M45" s="3" t="str">
        <f>IF(AND(tbl_attendance[[#This Row],[R1 Pts]]=0, tbl_attendance[[#This Row],[R2 Pts]]=0,tbl_attendance[[#This Row],[R3 Pts]]=0,tbl_attendance[[#This Row],[R4 Pts]]=0),"YES", "NO")</f>
        <v>NO</v>
      </c>
    </row>
    <row r="46" spans="1:13" hidden="1" x14ac:dyDescent="0.4">
      <c r="A46" t="e">
        <f>_xlfn.TEXTBEFORE(#REF!," ",)</f>
        <v>#REF!</v>
      </c>
      <c r="B46" t="e">
        <f>_xlfn.TEXTAFTER(#REF!, " ", -1)</f>
        <v>#REF!</v>
      </c>
      <c r="C46" t="s">
        <v>10</v>
      </c>
      <c r="D46" t="s">
        <v>1</v>
      </c>
      <c r="E46" s="3">
        <v>12014</v>
      </c>
      <c r="F46" s="3">
        <v>0</v>
      </c>
      <c r="G46" s="3">
        <v>1</v>
      </c>
      <c r="H46" s="3">
        <v>0</v>
      </c>
      <c r="I46" s="3">
        <v>10</v>
      </c>
      <c r="J46" s="3" t="str">
        <f>IF(AND(tbl_attendance[[#This Row],[R1 Pts]]&gt;0, tbl_attendance[[#This Row],[R2 Pts]]&gt;0,tbl_attendance[[#This Row],[R3 Pts]]&gt;0,tbl_attendance[[#This Row],[R4 Pts]]&gt;0),"YES", "NO")</f>
        <v>NO</v>
      </c>
      <c r="K46" s="3" t="str">
        <f>IF(AND(tbl_attendance[[#This Row],[R2 Pts]]&gt;0, tbl_attendance[[#This Row],[R4 Pts]]&gt;0), "YES", "NO")</f>
        <v>YES</v>
      </c>
      <c r="L46" s="3" t="str">
        <f>IF(
(tbl_attendance[[#This Row],[R1 Pts]]&gt;0)+(tbl_attendance[[#This Row],[R2 Pts]]&gt;0)+(tbl_attendance[[#This Row],[R3 Pts]]&gt;0)+(tbl_attendance[[#This Row],[R4 Pts]]&gt;0)&gt;=3,"YES", "NO")</f>
        <v>NO</v>
      </c>
      <c r="M46" s="3" t="str">
        <f>IF(AND(tbl_attendance[[#This Row],[R1 Pts]]=0, tbl_attendance[[#This Row],[R2 Pts]]=0,tbl_attendance[[#This Row],[R3 Pts]]=0,tbl_attendance[[#This Row],[R4 Pts]]=0),"YES", "NO")</f>
        <v>NO</v>
      </c>
    </row>
    <row r="47" spans="1:13" hidden="1" x14ac:dyDescent="0.4">
      <c r="A47" t="e">
        <f>_xlfn.TEXTBEFORE(#REF!," ",)</f>
        <v>#REF!</v>
      </c>
      <c r="B47" t="e">
        <f>_xlfn.TEXTAFTER(#REF!, " ", -1)</f>
        <v>#REF!</v>
      </c>
      <c r="C47" t="s">
        <v>10</v>
      </c>
      <c r="D47" t="s">
        <v>1</v>
      </c>
      <c r="E47" s="3">
        <v>12015</v>
      </c>
      <c r="F47" s="3">
        <v>16</v>
      </c>
      <c r="G47" s="3">
        <v>1</v>
      </c>
      <c r="H47" s="3">
        <v>12</v>
      </c>
      <c r="I47" s="3">
        <v>1</v>
      </c>
      <c r="J47" s="3" t="str">
        <f>IF(AND(tbl_attendance[[#This Row],[R1 Pts]]&gt;0, tbl_attendance[[#This Row],[R2 Pts]]&gt;0,tbl_attendance[[#This Row],[R3 Pts]]&gt;0,tbl_attendance[[#This Row],[R4 Pts]]&gt;0),"YES", "NO")</f>
        <v>YES</v>
      </c>
      <c r="K47" s="3" t="str">
        <f>IF(AND(tbl_attendance[[#This Row],[R2 Pts]]&gt;0, tbl_attendance[[#This Row],[R4 Pts]]&gt;0), "YES", "NO")</f>
        <v>YES</v>
      </c>
      <c r="L47" s="3" t="str">
        <f>IF(
(tbl_attendance[[#This Row],[R1 Pts]]&gt;0)+(tbl_attendance[[#This Row],[R2 Pts]]&gt;0)+(tbl_attendance[[#This Row],[R3 Pts]]&gt;0)+(tbl_attendance[[#This Row],[R4 Pts]]&gt;0)&gt;=3,"YES", "NO")</f>
        <v>YES</v>
      </c>
      <c r="M47" s="3" t="str">
        <f>IF(AND(tbl_attendance[[#This Row],[R1 Pts]]=0, tbl_attendance[[#This Row],[R2 Pts]]=0,tbl_attendance[[#This Row],[R3 Pts]]=0,tbl_attendance[[#This Row],[R4 Pts]]=0),"YES", "NO")</f>
        <v>NO</v>
      </c>
    </row>
    <row r="48" spans="1:13" hidden="1" x14ac:dyDescent="0.4">
      <c r="A48" t="e">
        <f>_xlfn.TEXTBEFORE(#REF!," ",)</f>
        <v>#REF!</v>
      </c>
      <c r="B48" t="e">
        <f>_xlfn.TEXTAFTER(#REF!, " ", -1)</f>
        <v>#REF!</v>
      </c>
      <c r="C48" t="s">
        <v>10</v>
      </c>
      <c r="D48" t="s">
        <v>1</v>
      </c>
      <c r="E48" s="3">
        <v>12016</v>
      </c>
      <c r="F48" s="3">
        <v>0</v>
      </c>
      <c r="G48" s="3">
        <v>1</v>
      </c>
      <c r="H48" s="3">
        <v>0</v>
      </c>
      <c r="I48" s="3">
        <v>11</v>
      </c>
      <c r="J48" s="3" t="str">
        <f>IF(AND(tbl_attendance[[#This Row],[R1 Pts]]&gt;0, tbl_attendance[[#This Row],[R2 Pts]]&gt;0,tbl_attendance[[#This Row],[R3 Pts]]&gt;0,tbl_attendance[[#This Row],[R4 Pts]]&gt;0),"YES", "NO")</f>
        <v>NO</v>
      </c>
      <c r="K48" s="3" t="str">
        <f>IF(AND(tbl_attendance[[#This Row],[R2 Pts]]&gt;0, tbl_attendance[[#This Row],[R4 Pts]]&gt;0), "YES", "NO")</f>
        <v>YES</v>
      </c>
      <c r="L48" s="3" t="str">
        <f>IF(
(tbl_attendance[[#This Row],[R1 Pts]]&gt;0)+(tbl_attendance[[#This Row],[R2 Pts]]&gt;0)+(tbl_attendance[[#This Row],[R3 Pts]]&gt;0)+(tbl_attendance[[#This Row],[R4 Pts]]&gt;0)&gt;=3,"YES", "NO")</f>
        <v>NO</v>
      </c>
      <c r="M48" s="3" t="str">
        <f>IF(AND(tbl_attendance[[#This Row],[R1 Pts]]=0, tbl_attendance[[#This Row],[R2 Pts]]=0,tbl_attendance[[#This Row],[R3 Pts]]=0,tbl_attendance[[#This Row],[R4 Pts]]=0),"YES", "NO")</f>
        <v>NO</v>
      </c>
    </row>
    <row r="49" spans="1:13" hidden="1" x14ac:dyDescent="0.4">
      <c r="A49" t="e">
        <f>_xlfn.TEXTBEFORE(#REF!," ",)</f>
        <v>#REF!</v>
      </c>
      <c r="B49" t="e">
        <f>_xlfn.TEXTAFTER(#REF!, " ", -1)</f>
        <v>#REF!</v>
      </c>
      <c r="C49" t="s">
        <v>10</v>
      </c>
      <c r="D49" t="s">
        <v>1</v>
      </c>
      <c r="E49" s="3">
        <v>12017</v>
      </c>
      <c r="F49" s="3">
        <v>0</v>
      </c>
      <c r="G49" s="3">
        <v>1</v>
      </c>
      <c r="H49" s="3">
        <v>0</v>
      </c>
      <c r="I49" s="3">
        <v>18</v>
      </c>
      <c r="J49" s="3" t="str">
        <f>IF(AND(tbl_attendance[[#This Row],[R1 Pts]]&gt;0, tbl_attendance[[#This Row],[R2 Pts]]&gt;0,tbl_attendance[[#This Row],[R3 Pts]]&gt;0,tbl_attendance[[#This Row],[R4 Pts]]&gt;0),"YES", "NO")</f>
        <v>NO</v>
      </c>
      <c r="K49" s="3" t="str">
        <f>IF(AND(tbl_attendance[[#This Row],[R2 Pts]]&gt;0, tbl_attendance[[#This Row],[R4 Pts]]&gt;0), "YES", "NO")</f>
        <v>YES</v>
      </c>
      <c r="L49" s="3" t="str">
        <f>IF(
(tbl_attendance[[#This Row],[R1 Pts]]&gt;0)+(tbl_attendance[[#This Row],[R2 Pts]]&gt;0)+(tbl_attendance[[#This Row],[R3 Pts]]&gt;0)+(tbl_attendance[[#This Row],[R4 Pts]]&gt;0)&gt;=3,"YES", "NO")</f>
        <v>NO</v>
      </c>
      <c r="M49" s="3" t="str">
        <f>IF(AND(tbl_attendance[[#This Row],[R1 Pts]]=0, tbl_attendance[[#This Row],[R2 Pts]]=0,tbl_attendance[[#This Row],[R3 Pts]]=0,tbl_attendance[[#This Row],[R4 Pts]]=0),"YES", "NO")</f>
        <v>NO</v>
      </c>
    </row>
    <row r="50" spans="1:13" hidden="1" x14ac:dyDescent="0.4">
      <c r="A50" t="e">
        <f>_xlfn.TEXTBEFORE(#REF!," ",)</f>
        <v>#REF!</v>
      </c>
      <c r="B50" t="e">
        <f>_xlfn.TEXTAFTER(#REF!, " ", -1)</f>
        <v>#REF!</v>
      </c>
      <c r="C50" t="s">
        <v>10</v>
      </c>
      <c r="D50" t="s">
        <v>1</v>
      </c>
      <c r="E50" s="3">
        <v>12104</v>
      </c>
      <c r="F50" s="3">
        <v>47</v>
      </c>
      <c r="G50" s="3">
        <v>1</v>
      </c>
      <c r="H50" s="3">
        <v>42</v>
      </c>
      <c r="I50" s="3">
        <v>6</v>
      </c>
      <c r="J50" s="3" t="str">
        <f>IF(AND(tbl_attendance[[#This Row],[R1 Pts]]&gt;0, tbl_attendance[[#This Row],[R2 Pts]]&gt;0,tbl_attendance[[#This Row],[R3 Pts]]&gt;0,tbl_attendance[[#This Row],[R4 Pts]]&gt;0),"YES", "NO")</f>
        <v>YES</v>
      </c>
      <c r="K50" s="3" t="str">
        <f>IF(AND(tbl_attendance[[#This Row],[R2 Pts]]&gt;0, tbl_attendance[[#This Row],[R4 Pts]]&gt;0), "YES", "NO")</f>
        <v>YES</v>
      </c>
      <c r="L50" s="3" t="str">
        <f>IF(
(tbl_attendance[[#This Row],[R1 Pts]]&gt;0)+(tbl_attendance[[#This Row],[R2 Pts]]&gt;0)+(tbl_attendance[[#This Row],[R3 Pts]]&gt;0)+(tbl_attendance[[#This Row],[R4 Pts]]&gt;0)&gt;=3,"YES", "NO")</f>
        <v>YES</v>
      </c>
      <c r="M50" s="3" t="str">
        <f>IF(AND(tbl_attendance[[#This Row],[R1 Pts]]=0, tbl_attendance[[#This Row],[R2 Pts]]=0,tbl_attendance[[#This Row],[R3 Pts]]=0,tbl_attendance[[#This Row],[R4 Pts]]=0),"YES", "NO")</f>
        <v>NO</v>
      </c>
    </row>
    <row r="51" spans="1:13" hidden="1" x14ac:dyDescent="0.4">
      <c r="A51" t="e">
        <f>_xlfn.TEXTBEFORE(#REF!," ",)</f>
        <v>#REF!</v>
      </c>
      <c r="B51" t="e">
        <f>_xlfn.TEXTAFTER(#REF!, " ", -1)</f>
        <v>#REF!</v>
      </c>
      <c r="C51" t="s">
        <v>11</v>
      </c>
      <c r="D51" t="s">
        <v>5</v>
      </c>
      <c r="E51" s="3">
        <v>911</v>
      </c>
      <c r="F51" s="3">
        <v>0</v>
      </c>
      <c r="G51" s="3">
        <v>14</v>
      </c>
      <c r="H51" s="3">
        <v>0</v>
      </c>
      <c r="I51" s="3">
        <v>0</v>
      </c>
      <c r="J51" s="3" t="str">
        <f>IF(AND(tbl_attendance[[#This Row],[R1 Pts]]&gt;0, tbl_attendance[[#This Row],[R2 Pts]]&gt;0,tbl_attendance[[#This Row],[R3 Pts]]&gt;0,tbl_attendance[[#This Row],[R4 Pts]]&gt;0),"YES", "NO")</f>
        <v>NO</v>
      </c>
      <c r="K51" s="3" t="str">
        <f>IF(AND(tbl_attendance[[#This Row],[R2 Pts]]&gt;0, tbl_attendance[[#This Row],[R4 Pts]]&gt;0), "YES", "NO")</f>
        <v>NO</v>
      </c>
      <c r="L51" s="3" t="str">
        <f>IF(
(tbl_attendance[[#This Row],[R1 Pts]]&gt;0)+(tbl_attendance[[#This Row],[R2 Pts]]&gt;0)+(tbl_attendance[[#This Row],[R3 Pts]]&gt;0)+(tbl_attendance[[#This Row],[R4 Pts]]&gt;0)&gt;=3,"YES", "NO")</f>
        <v>NO</v>
      </c>
      <c r="M51" s="3" t="str">
        <f>IF(AND(tbl_attendance[[#This Row],[R1 Pts]]=0, tbl_attendance[[#This Row],[R2 Pts]]=0,tbl_attendance[[#This Row],[R3 Pts]]=0,tbl_attendance[[#This Row],[R4 Pts]]=0),"YES", "NO")</f>
        <v>NO</v>
      </c>
    </row>
    <row r="52" spans="1:13" hidden="1" x14ac:dyDescent="0.4">
      <c r="A52" t="e">
        <f>_xlfn.TEXTBEFORE(#REF!," ",)</f>
        <v>#REF!</v>
      </c>
      <c r="B52" t="e">
        <f>_xlfn.TEXTAFTER(#REF!, " ", -1)</f>
        <v>#REF!</v>
      </c>
      <c r="C52" t="s">
        <v>11</v>
      </c>
      <c r="D52" t="s">
        <v>7</v>
      </c>
      <c r="E52" s="3">
        <v>8189</v>
      </c>
      <c r="F52" s="3">
        <v>27</v>
      </c>
      <c r="G52" s="3">
        <v>22</v>
      </c>
      <c r="H52" s="3">
        <v>0</v>
      </c>
      <c r="I52" s="3">
        <v>28</v>
      </c>
      <c r="J52" s="3" t="str">
        <f>IF(AND(tbl_attendance[[#This Row],[R1 Pts]]&gt;0, tbl_attendance[[#This Row],[R2 Pts]]&gt;0,tbl_attendance[[#This Row],[R3 Pts]]&gt;0,tbl_attendance[[#This Row],[R4 Pts]]&gt;0),"YES", "NO")</f>
        <v>NO</v>
      </c>
      <c r="K52" s="3" t="str">
        <f>IF(AND(tbl_attendance[[#This Row],[R2 Pts]]&gt;0, tbl_attendance[[#This Row],[R4 Pts]]&gt;0), "YES", "NO")</f>
        <v>YES</v>
      </c>
      <c r="L52" s="3" t="str">
        <f>IF(
(tbl_attendance[[#This Row],[R1 Pts]]&gt;0)+(tbl_attendance[[#This Row],[R2 Pts]]&gt;0)+(tbl_attendance[[#This Row],[R3 Pts]]&gt;0)+(tbl_attendance[[#This Row],[R4 Pts]]&gt;0)&gt;=3,"YES", "NO")</f>
        <v>YES</v>
      </c>
      <c r="M52" s="3" t="str">
        <f>IF(AND(tbl_attendance[[#This Row],[R1 Pts]]=0, tbl_attendance[[#This Row],[R2 Pts]]=0,tbl_attendance[[#This Row],[R3 Pts]]=0,tbl_attendance[[#This Row],[R4 Pts]]=0),"YES", "NO")</f>
        <v>NO</v>
      </c>
    </row>
    <row r="53" spans="1:13" hidden="1" x14ac:dyDescent="0.4">
      <c r="A53" t="e">
        <f>_xlfn.TEXTBEFORE(#REF!," ",)</f>
        <v>#REF!</v>
      </c>
      <c r="B53" t="e">
        <f>_xlfn.TEXTAFTER(#REF!, " ", -1)</f>
        <v>#REF!</v>
      </c>
      <c r="C53" t="s">
        <v>11</v>
      </c>
      <c r="D53" t="s">
        <v>7</v>
      </c>
      <c r="E53" s="3">
        <v>8190</v>
      </c>
      <c r="F53" s="3">
        <v>0</v>
      </c>
      <c r="G53" s="3">
        <v>0</v>
      </c>
      <c r="H53" s="3">
        <v>0</v>
      </c>
      <c r="I53" s="3">
        <v>0</v>
      </c>
      <c r="J53" s="3" t="str">
        <f>IF(AND(tbl_attendance[[#This Row],[R1 Pts]]&gt;0, tbl_attendance[[#This Row],[R2 Pts]]&gt;0,tbl_attendance[[#This Row],[R3 Pts]]&gt;0,tbl_attendance[[#This Row],[R4 Pts]]&gt;0),"YES", "NO")</f>
        <v>NO</v>
      </c>
      <c r="K53" s="3" t="str">
        <f>IF(AND(tbl_attendance[[#This Row],[R2 Pts]]&gt;0, tbl_attendance[[#This Row],[R4 Pts]]&gt;0), "YES", "NO")</f>
        <v>NO</v>
      </c>
      <c r="L53" s="3" t="str">
        <f>IF(
(tbl_attendance[[#This Row],[R1 Pts]]&gt;0)+(tbl_attendance[[#This Row],[R2 Pts]]&gt;0)+(tbl_attendance[[#This Row],[R3 Pts]]&gt;0)+(tbl_attendance[[#This Row],[R4 Pts]]&gt;0)&gt;=3,"YES", "NO")</f>
        <v>NO</v>
      </c>
      <c r="M53" s="3" t="str">
        <f>IF(AND(tbl_attendance[[#This Row],[R1 Pts]]=0, tbl_attendance[[#This Row],[R2 Pts]]=0,tbl_attendance[[#This Row],[R3 Pts]]=0,tbl_attendance[[#This Row],[R4 Pts]]=0),"YES", "NO")</f>
        <v>YES</v>
      </c>
    </row>
    <row r="54" spans="1:13" hidden="1" x14ac:dyDescent="0.4">
      <c r="A54" t="e">
        <f>_xlfn.TEXTBEFORE(#REF!," ",)</f>
        <v>#REF!</v>
      </c>
      <c r="B54" t="e">
        <f>_xlfn.TEXTAFTER(#REF!, " ", -1)</f>
        <v>#REF!</v>
      </c>
      <c r="C54" t="s">
        <v>11</v>
      </c>
      <c r="D54" t="s">
        <v>6</v>
      </c>
      <c r="E54" s="3">
        <v>9290</v>
      </c>
      <c r="F54" s="3">
        <v>0</v>
      </c>
      <c r="G54" s="3">
        <v>0</v>
      </c>
      <c r="H54" s="3">
        <v>0</v>
      </c>
      <c r="I54" s="3">
        <v>0</v>
      </c>
      <c r="J54" s="3" t="str">
        <f>IF(AND(tbl_attendance[[#This Row],[R1 Pts]]&gt;0, tbl_attendance[[#This Row],[R2 Pts]]&gt;0,tbl_attendance[[#This Row],[R3 Pts]]&gt;0,tbl_attendance[[#This Row],[R4 Pts]]&gt;0),"YES", "NO")</f>
        <v>NO</v>
      </c>
      <c r="K54" s="3" t="str">
        <f>IF(AND(tbl_attendance[[#This Row],[R2 Pts]]&gt;0, tbl_attendance[[#This Row],[R4 Pts]]&gt;0), "YES", "NO")</f>
        <v>NO</v>
      </c>
      <c r="L54" s="3" t="str">
        <f>IF(
(tbl_attendance[[#This Row],[R1 Pts]]&gt;0)+(tbl_attendance[[#This Row],[R2 Pts]]&gt;0)+(tbl_attendance[[#This Row],[R3 Pts]]&gt;0)+(tbl_attendance[[#This Row],[R4 Pts]]&gt;0)&gt;=3,"YES", "NO")</f>
        <v>NO</v>
      </c>
      <c r="M54" s="3" t="str">
        <f>IF(AND(tbl_attendance[[#This Row],[R1 Pts]]=0, tbl_attendance[[#This Row],[R2 Pts]]=0,tbl_attendance[[#This Row],[R3 Pts]]=0,tbl_attendance[[#This Row],[R4 Pts]]=0),"YES", "NO")</f>
        <v>YES</v>
      </c>
    </row>
    <row r="55" spans="1:13" hidden="1" x14ac:dyDescent="0.4">
      <c r="A55" t="e">
        <f>_xlfn.TEXTBEFORE(#REF!," ",)</f>
        <v>#REF!</v>
      </c>
      <c r="B55" t="e">
        <f>_xlfn.TEXTAFTER(#REF!, " ", -1)</f>
        <v>#REF!</v>
      </c>
      <c r="C55" t="s">
        <v>11</v>
      </c>
      <c r="D55" t="s">
        <v>3</v>
      </c>
      <c r="E55" s="3">
        <v>10152</v>
      </c>
      <c r="F55" s="3">
        <v>0</v>
      </c>
      <c r="G55" s="3">
        <v>39</v>
      </c>
      <c r="H55" s="3">
        <v>39</v>
      </c>
      <c r="I55" s="3">
        <v>51</v>
      </c>
      <c r="J55" s="3" t="str">
        <f>IF(AND(tbl_attendance[[#This Row],[R1 Pts]]&gt;0, tbl_attendance[[#This Row],[R2 Pts]]&gt;0,tbl_attendance[[#This Row],[R3 Pts]]&gt;0,tbl_attendance[[#This Row],[R4 Pts]]&gt;0),"YES", "NO")</f>
        <v>NO</v>
      </c>
      <c r="K55" s="3" t="str">
        <f>IF(AND(tbl_attendance[[#This Row],[R2 Pts]]&gt;0, tbl_attendance[[#This Row],[R4 Pts]]&gt;0), "YES", "NO")</f>
        <v>YES</v>
      </c>
      <c r="L55" s="3" t="str">
        <f>IF(
(tbl_attendance[[#This Row],[R1 Pts]]&gt;0)+(tbl_attendance[[#This Row],[R2 Pts]]&gt;0)+(tbl_attendance[[#This Row],[R3 Pts]]&gt;0)+(tbl_attendance[[#This Row],[R4 Pts]]&gt;0)&gt;=3,"YES", "NO")</f>
        <v>YES</v>
      </c>
      <c r="M55" s="3" t="str">
        <f>IF(AND(tbl_attendance[[#This Row],[R1 Pts]]=0, tbl_attendance[[#This Row],[R2 Pts]]=0,tbl_attendance[[#This Row],[R3 Pts]]=0,tbl_attendance[[#This Row],[R4 Pts]]=0),"YES", "NO")</f>
        <v>NO</v>
      </c>
    </row>
    <row r="56" spans="1:13" hidden="1" x14ac:dyDescent="0.4">
      <c r="A56" t="e">
        <f>_xlfn.TEXTBEFORE(#REF!," ",)</f>
        <v>#REF!</v>
      </c>
      <c r="B56" t="e">
        <f>_xlfn.TEXTAFTER(#REF!, " ", -1)</f>
        <v>#REF!</v>
      </c>
      <c r="C56" t="s">
        <v>11</v>
      </c>
      <c r="D56" t="s">
        <v>3</v>
      </c>
      <c r="E56" s="3">
        <v>10153</v>
      </c>
      <c r="F56" s="3">
        <v>0</v>
      </c>
      <c r="G56" s="3">
        <v>41</v>
      </c>
      <c r="H56" s="3">
        <v>12</v>
      </c>
      <c r="I56" s="3">
        <v>38</v>
      </c>
      <c r="J56" s="3" t="str">
        <f>IF(AND(tbl_attendance[[#This Row],[R1 Pts]]&gt;0, tbl_attendance[[#This Row],[R2 Pts]]&gt;0,tbl_attendance[[#This Row],[R3 Pts]]&gt;0,tbl_attendance[[#This Row],[R4 Pts]]&gt;0),"YES", "NO")</f>
        <v>NO</v>
      </c>
      <c r="K56" s="3" t="str">
        <f>IF(AND(tbl_attendance[[#This Row],[R2 Pts]]&gt;0, tbl_attendance[[#This Row],[R4 Pts]]&gt;0), "YES", "NO")</f>
        <v>YES</v>
      </c>
      <c r="L56" s="3" t="str">
        <f>IF(
(tbl_attendance[[#This Row],[R1 Pts]]&gt;0)+(tbl_attendance[[#This Row],[R2 Pts]]&gt;0)+(tbl_attendance[[#This Row],[R3 Pts]]&gt;0)+(tbl_attendance[[#This Row],[R4 Pts]]&gt;0)&gt;=3,"YES", "NO")</f>
        <v>YES</v>
      </c>
      <c r="M56" s="3" t="str">
        <f>IF(AND(tbl_attendance[[#This Row],[R1 Pts]]=0, tbl_attendance[[#This Row],[R2 Pts]]=0,tbl_attendance[[#This Row],[R3 Pts]]=0,tbl_attendance[[#This Row],[R4 Pts]]=0),"YES", "NO")</f>
        <v>NO</v>
      </c>
    </row>
    <row r="57" spans="1:13" hidden="1" x14ac:dyDescent="0.4">
      <c r="A57" t="e">
        <f>_xlfn.TEXTBEFORE(#REF!," ",)</f>
        <v>#REF!</v>
      </c>
      <c r="B57" t="e">
        <f>_xlfn.TEXTAFTER(#REF!, " ", -1)</f>
        <v>#REF!</v>
      </c>
      <c r="C57" t="s">
        <v>11</v>
      </c>
      <c r="D57" t="s">
        <v>3</v>
      </c>
      <c r="E57" s="3">
        <v>10154</v>
      </c>
      <c r="F57" s="3">
        <v>27</v>
      </c>
      <c r="G57" s="3">
        <v>22</v>
      </c>
      <c r="H57" s="3">
        <v>19</v>
      </c>
      <c r="I57" s="3">
        <v>8</v>
      </c>
      <c r="J57" s="3" t="str">
        <f>IF(AND(tbl_attendance[[#This Row],[R1 Pts]]&gt;0, tbl_attendance[[#This Row],[R2 Pts]]&gt;0,tbl_attendance[[#This Row],[R3 Pts]]&gt;0,tbl_attendance[[#This Row],[R4 Pts]]&gt;0),"YES", "NO")</f>
        <v>YES</v>
      </c>
      <c r="K57" s="3" t="str">
        <f>IF(AND(tbl_attendance[[#This Row],[R2 Pts]]&gt;0, tbl_attendance[[#This Row],[R4 Pts]]&gt;0), "YES", "NO")</f>
        <v>YES</v>
      </c>
      <c r="L57" s="3" t="str">
        <f>IF(
(tbl_attendance[[#This Row],[R1 Pts]]&gt;0)+(tbl_attendance[[#This Row],[R2 Pts]]&gt;0)+(tbl_attendance[[#This Row],[R3 Pts]]&gt;0)+(tbl_attendance[[#This Row],[R4 Pts]]&gt;0)&gt;=3,"YES", "NO")</f>
        <v>YES</v>
      </c>
      <c r="M57" s="3" t="str">
        <f>IF(AND(tbl_attendance[[#This Row],[R1 Pts]]=0, tbl_attendance[[#This Row],[R2 Pts]]=0,tbl_attendance[[#This Row],[R3 Pts]]=0,tbl_attendance[[#This Row],[R4 Pts]]=0),"YES", "NO")</f>
        <v>NO</v>
      </c>
    </row>
    <row r="58" spans="1:13" hidden="1" x14ac:dyDescent="0.4">
      <c r="A58" t="e">
        <f>_xlfn.TEXTBEFORE(#REF!," ",)</f>
        <v>#REF!</v>
      </c>
      <c r="B58" t="e">
        <f>_xlfn.TEXTAFTER(#REF!, " ", -1)</f>
        <v>#REF!</v>
      </c>
      <c r="C58" t="s">
        <v>11</v>
      </c>
      <c r="D58" t="s">
        <v>3</v>
      </c>
      <c r="E58" s="3">
        <v>10155</v>
      </c>
      <c r="F58" s="3">
        <v>19</v>
      </c>
      <c r="G58" s="3">
        <v>23</v>
      </c>
      <c r="H58" s="3">
        <v>32</v>
      </c>
      <c r="I58" s="3">
        <v>0</v>
      </c>
      <c r="J58" s="3" t="str">
        <f>IF(AND(tbl_attendance[[#This Row],[R1 Pts]]&gt;0, tbl_attendance[[#This Row],[R2 Pts]]&gt;0,tbl_attendance[[#This Row],[R3 Pts]]&gt;0,tbl_attendance[[#This Row],[R4 Pts]]&gt;0),"YES", "NO")</f>
        <v>NO</v>
      </c>
      <c r="K58" s="3" t="str">
        <f>IF(AND(tbl_attendance[[#This Row],[R2 Pts]]&gt;0, tbl_attendance[[#This Row],[R4 Pts]]&gt;0), "YES", "NO")</f>
        <v>NO</v>
      </c>
      <c r="L58" s="3" t="str">
        <f>IF(
(tbl_attendance[[#This Row],[R1 Pts]]&gt;0)+(tbl_attendance[[#This Row],[R2 Pts]]&gt;0)+(tbl_attendance[[#This Row],[R3 Pts]]&gt;0)+(tbl_attendance[[#This Row],[R4 Pts]]&gt;0)&gt;=3,"YES", "NO")</f>
        <v>YES</v>
      </c>
      <c r="M58" s="3" t="str">
        <f>IF(AND(tbl_attendance[[#This Row],[R1 Pts]]=0, tbl_attendance[[#This Row],[R2 Pts]]=0,tbl_attendance[[#This Row],[R3 Pts]]=0,tbl_attendance[[#This Row],[R4 Pts]]=0),"YES", "NO")</f>
        <v>NO</v>
      </c>
    </row>
    <row r="59" spans="1:13" hidden="1" x14ac:dyDescent="0.4">
      <c r="A59" t="e">
        <f>_xlfn.TEXTBEFORE(#REF!," ",)</f>
        <v>#REF!</v>
      </c>
      <c r="B59" t="e">
        <f>_xlfn.TEXTAFTER(#REF!, " ", -1)</f>
        <v>#REF!</v>
      </c>
      <c r="C59" t="s">
        <v>11</v>
      </c>
      <c r="D59" t="s">
        <v>1</v>
      </c>
      <c r="E59" s="3">
        <v>12018</v>
      </c>
      <c r="F59" s="3">
        <v>15</v>
      </c>
      <c r="G59" s="3">
        <v>1</v>
      </c>
      <c r="H59" s="3">
        <v>1</v>
      </c>
      <c r="I59" s="3">
        <v>0</v>
      </c>
      <c r="J59" s="3" t="str">
        <f>IF(AND(tbl_attendance[[#This Row],[R1 Pts]]&gt;0, tbl_attendance[[#This Row],[R2 Pts]]&gt;0,tbl_attendance[[#This Row],[R3 Pts]]&gt;0,tbl_attendance[[#This Row],[R4 Pts]]&gt;0),"YES", "NO")</f>
        <v>NO</v>
      </c>
      <c r="K59" s="3" t="str">
        <f>IF(AND(tbl_attendance[[#This Row],[R2 Pts]]&gt;0, tbl_attendance[[#This Row],[R4 Pts]]&gt;0), "YES", "NO")</f>
        <v>NO</v>
      </c>
      <c r="L59" s="3" t="str">
        <f>IF(
(tbl_attendance[[#This Row],[R1 Pts]]&gt;0)+(tbl_attendance[[#This Row],[R2 Pts]]&gt;0)+(tbl_attendance[[#This Row],[R3 Pts]]&gt;0)+(tbl_attendance[[#This Row],[R4 Pts]]&gt;0)&gt;=3,"YES", "NO")</f>
        <v>YES</v>
      </c>
      <c r="M59" s="3" t="str">
        <f>IF(AND(tbl_attendance[[#This Row],[R1 Pts]]=0, tbl_attendance[[#This Row],[R2 Pts]]=0,tbl_attendance[[#This Row],[R3 Pts]]=0,tbl_attendance[[#This Row],[R4 Pts]]=0),"YES", "NO")</f>
        <v>NO</v>
      </c>
    </row>
    <row r="60" spans="1:13" hidden="1" x14ac:dyDescent="0.4">
      <c r="A60" t="e">
        <f>_xlfn.TEXTBEFORE(#REF!," ",)</f>
        <v>#REF!</v>
      </c>
      <c r="B60" t="e">
        <f>_xlfn.TEXTAFTER(#REF!, " ", -1)</f>
        <v>#REF!</v>
      </c>
      <c r="C60" t="s">
        <v>11</v>
      </c>
      <c r="D60" t="s">
        <v>1</v>
      </c>
      <c r="E60" s="3">
        <v>12019</v>
      </c>
      <c r="F60" s="3">
        <v>0</v>
      </c>
      <c r="G60" s="3">
        <v>0</v>
      </c>
      <c r="H60" s="3">
        <v>0</v>
      </c>
      <c r="I60" s="3">
        <v>0</v>
      </c>
      <c r="J60" s="3" t="str">
        <f>IF(AND(tbl_attendance[[#This Row],[R1 Pts]]&gt;0, tbl_attendance[[#This Row],[R2 Pts]]&gt;0,tbl_attendance[[#This Row],[R3 Pts]]&gt;0,tbl_attendance[[#This Row],[R4 Pts]]&gt;0),"YES", "NO")</f>
        <v>NO</v>
      </c>
      <c r="K60" s="3" t="str">
        <f>IF(AND(tbl_attendance[[#This Row],[R2 Pts]]&gt;0, tbl_attendance[[#This Row],[R4 Pts]]&gt;0), "YES", "NO")</f>
        <v>NO</v>
      </c>
      <c r="L60" s="3" t="str">
        <f>IF(
(tbl_attendance[[#This Row],[R1 Pts]]&gt;0)+(tbl_attendance[[#This Row],[R2 Pts]]&gt;0)+(tbl_attendance[[#This Row],[R3 Pts]]&gt;0)+(tbl_attendance[[#This Row],[R4 Pts]]&gt;0)&gt;=3,"YES", "NO")</f>
        <v>NO</v>
      </c>
      <c r="M60" s="3" t="str">
        <f>IF(AND(tbl_attendance[[#This Row],[R1 Pts]]=0, tbl_attendance[[#This Row],[R2 Pts]]=0,tbl_attendance[[#This Row],[R3 Pts]]=0,tbl_attendance[[#This Row],[R4 Pts]]=0),"YES", "NO")</f>
        <v>YES</v>
      </c>
    </row>
    <row r="61" spans="1:13" hidden="1" x14ac:dyDescent="0.4">
      <c r="A61" t="e">
        <f>_xlfn.TEXTBEFORE(#REF!," ",)</f>
        <v>#REF!</v>
      </c>
      <c r="B61" t="e">
        <f>_xlfn.TEXTAFTER(#REF!, " ", -1)</f>
        <v>#REF!</v>
      </c>
      <c r="C61" t="s">
        <v>12</v>
      </c>
      <c r="D61" t="s">
        <v>2</v>
      </c>
      <c r="E61" s="3">
        <v>1227</v>
      </c>
      <c r="F61" s="3">
        <v>90</v>
      </c>
      <c r="G61" s="3">
        <v>0</v>
      </c>
      <c r="H61" s="3">
        <v>0</v>
      </c>
      <c r="I61" s="3">
        <v>0</v>
      </c>
      <c r="J61" s="3" t="str">
        <f>IF(AND(tbl_attendance[[#This Row],[R1 Pts]]&gt;0, tbl_attendance[[#This Row],[R2 Pts]]&gt;0,tbl_attendance[[#This Row],[R3 Pts]]&gt;0,tbl_attendance[[#This Row],[R4 Pts]]&gt;0),"YES", "NO")</f>
        <v>NO</v>
      </c>
      <c r="K61" s="3" t="str">
        <f>IF(AND(tbl_attendance[[#This Row],[R2 Pts]]&gt;0, tbl_attendance[[#This Row],[R4 Pts]]&gt;0), "YES", "NO")</f>
        <v>NO</v>
      </c>
      <c r="L61" s="3" t="str">
        <f>IF(
(tbl_attendance[[#This Row],[R1 Pts]]&gt;0)+(tbl_attendance[[#This Row],[R2 Pts]]&gt;0)+(tbl_attendance[[#This Row],[R3 Pts]]&gt;0)+(tbl_attendance[[#This Row],[R4 Pts]]&gt;0)&gt;=3,"YES", "NO")</f>
        <v>NO</v>
      </c>
      <c r="M61" s="3" t="str">
        <f>IF(AND(tbl_attendance[[#This Row],[R1 Pts]]=0, tbl_attendance[[#This Row],[R2 Pts]]=0,tbl_attendance[[#This Row],[R3 Pts]]=0,tbl_attendance[[#This Row],[R4 Pts]]=0),"YES", "NO")</f>
        <v>NO</v>
      </c>
    </row>
    <row r="62" spans="1:13" hidden="1" x14ac:dyDescent="0.4">
      <c r="A62" t="e">
        <f>_xlfn.TEXTBEFORE(#REF!," ",)</f>
        <v>#REF!</v>
      </c>
      <c r="B62" t="e">
        <f>_xlfn.TEXTAFTER(#REF!, " ", -1)</f>
        <v>#REF!</v>
      </c>
      <c r="C62" t="s">
        <v>12</v>
      </c>
      <c r="D62" t="s">
        <v>7</v>
      </c>
      <c r="E62" s="3">
        <v>8191</v>
      </c>
      <c r="F62" s="3">
        <v>38</v>
      </c>
      <c r="G62" s="3">
        <v>25</v>
      </c>
      <c r="H62" s="3">
        <v>0</v>
      </c>
      <c r="I62" s="3">
        <v>39</v>
      </c>
      <c r="J62" s="3" t="str">
        <f>IF(AND(tbl_attendance[[#This Row],[R1 Pts]]&gt;0, tbl_attendance[[#This Row],[R2 Pts]]&gt;0,tbl_attendance[[#This Row],[R3 Pts]]&gt;0,tbl_attendance[[#This Row],[R4 Pts]]&gt;0),"YES", "NO")</f>
        <v>NO</v>
      </c>
      <c r="K62" s="3" t="str">
        <f>IF(AND(tbl_attendance[[#This Row],[R2 Pts]]&gt;0, tbl_attendance[[#This Row],[R4 Pts]]&gt;0), "YES", "NO")</f>
        <v>YES</v>
      </c>
      <c r="L62" s="3" t="str">
        <f>IF(
(tbl_attendance[[#This Row],[R1 Pts]]&gt;0)+(tbl_attendance[[#This Row],[R2 Pts]]&gt;0)+(tbl_attendance[[#This Row],[R3 Pts]]&gt;0)+(tbl_attendance[[#This Row],[R4 Pts]]&gt;0)&gt;=3,"YES", "NO")</f>
        <v>YES</v>
      </c>
      <c r="M62" s="3" t="str">
        <f>IF(AND(tbl_attendance[[#This Row],[R1 Pts]]=0, tbl_attendance[[#This Row],[R2 Pts]]=0,tbl_attendance[[#This Row],[R3 Pts]]=0,tbl_attendance[[#This Row],[R4 Pts]]=0),"YES", "NO")</f>
        <v>NO</v>
      </c>
    </row>
    <row r="63" spans="1:13" hidden="1" x14ac:dyDescent="0.4">
      <c r="A63" t="e">
        <f>_xlfn.TEXTBEFORE(#REF!," ",)</f>
        <v>#REF!</v>
      </c>
      <c r="B63" t="e">
        <f>_xlfn.TEXTAFTER(#REF!, " ", -1)</f>
        <v>#REF!</v>
      </c>
      <c r="C63" t="s">
        <v>12</v>
      </c>
      <c r="D63" t="s">
        <v>7</v>
      </c>
      <c r="E63" s="3">
        <v>8192</v>
      </c>
      <c r="F63" s="3">
        <v>31</v>
      </c>
      <c r="G63" s="3">
        <v>17</v>
      </c>
      <c r="H63" s="3">
        <v>35</v>
      </c>
      <c r="I63" s="3">
        <v>23</v>
      </c>
      <c r="J63" s="3" t="str">
        <f>IF(AND(tbl_attendance[[#This Row],[R1 Pts]]&gt;0, tbl_attendance[[#This Row],[R2 Pts]]&gt;0,tbl_attendance[[#This Row],[R3 Pts]]&gt;0,tbl_attendance[[#This Row],[R4 Pts]]&gt;0),"YES", "NO")</f>
        <v>YES</v>
      </c>
      <c r="K63" s="3" t="str">
        <f>IF(AND(tbl_attendance[[#This Row],[R2 Pts]]&gt;0, tbl_attendance[[#This Row],[R4 Pts]]&gt;0), "YES", "NO")</f>
        <v>YES</v>
      </c>
      <c r="L63" s="3" t="str">
        <f>IF(
(tbl_attendance[[#This Row],[R1 Pts]]&gt;0)+(tbl_attendance[[#This Row],[R2 Pts]]&gt;0)+(tbl_attendance[[#This Row],[R3 Pts]]&gt;0)+(tbl_attendance[[#This Row],[R4 Pts]]&gt;0)&gt;=3,"YES", "NO")</f>
        <v>YES</v>
      </c>
      <c r="M63" s="3" t="str">
        <f>IF(AND(tbl_attendance[[#This Row],[R1 Pts]]=0, tbl_attendance[[#This Row],[R2 Pts]]=0,tbl_attendance[[#This Row],[R3 Pts]]=0,tbl_attendance[[#This Row],[R4 Pts]]=0),"YES", "NO")</f>
        <v>NO</v>
      </c>
    </row>
    <row r="64" spans="1:13" hidden="1" x14ac:dyDescent="0.4">
      <c r="A64" t="e">
        <f>_xlfn.TEXTBEFORE(#REF!," ",)</f>
        <v>#REF!</v>
      </c>
      <c r="B64" t="e">
        <f>_xlfn.TEXTAFTER(#REF!, " ", -1)</f>
        <v>#REF!</v>
      </c>
      <c r="C64" t="s">
        <v>12</v>
      </c>
      <c r="D64" t="s">
        <v>3</v>
      </c>
      <c r="E64" s="3">
        <v>10156</v>
      </c>
      <c r="F64" s="3">
        <v>33</v>
      </c>
      <c r="G64" s="3">
        <v>27</v>
      </c>
      <c r="H64" s="3">
        <v>36</v>
      </c>
      <c r="I64" s="3">
        <v>19</v>
      </c>
      <c r="J64" s="3" t="str">
        <f>IF(AND(tbl_attendance[[#This Row],[R1 Pts]]&gt;0, tbl_attendance[[#This Row],[R2 Pts]]&gt;0,tbl_attendance[[#This Row],[R3 Pts]]&gt;0,tbl_attendance[[#This Row],[R4 Pts]]&gt;0),"YES", "NO")</f>
        <v>YES</v>
      </c>
      <c r="K64" s="3" t="str">
        <f>IF(AND(tbl_attendance[[#This Row],[R2 Pts]]&gt;0, tbl_attendance[[#This Row],[R4 Pts]]&gt;0), "YES", "NO")</f>
        <v>YES</v>
      </c>
      <c r="L64" s="3" t="str">
        <f>IF(
(tbl_attendance[[#This Row],[R1 Pts]]&gt;0)+(tbl_attendance[[#This Row],[R2 Pts]]&gt;0)+(tbl_attendance[[#This Row],[R3 Pts]]&gt;0)+(tbl_attendance[[#This Row],[R4 Pts]]&gt;0)&gt;=3,"YES", "NO")</f>
        <v>YES</v>
      </c>
      <c r="M64" s="3" t="str">
        <f>IF(AND(tbl_attendance[[#This Row],[R1 Pts]]=0, tbl_attendance[[#This Row],[R2 Pts]]=0,tbl_attendance[[#This Row],[R3 Pts]]=0,tbl_attendance[[#This Row],[R4 Pts]]=0),"YES", "NO")</f>
        <v>NO</v>
      </c>
    </row>
    <row r="65" spans="1:13" hidden="1" x14ac:dyDescent="0.4">
      <c r="A65" t="e">
        <f>_xlfn.TEXTBEFORE(#REF!," ",)</f>
        <v>#REF!</v>
      </c>
      <c r="B65" t="e">
        <f>_xlfn.TEXTAFTER(#REF!, " ", -1)</f>
        <v>#REF!</v>
      </c>
      <c r="C65" t="s">
        <v>12</v>
      </c>
      <c r="D65" t="s">
        <v>3</v>
      </c>
      <c r="E65" s="3">
        <v>10157</v>
      </c>
      <c r="F65" s="3">
        <v>32</v>
      </c>
      <c r="G65" s="3">
        <v>19</v>
      </c>
      <c r="H65" s="3">
        <v>27</v>
      </c>
      <c r="I65" s="3">
        <v>0</v>
      </c>
      <c r="J65" s="3" t="str">
        <f>IF(AND(tbl_attendance[[#This Row],[R1 Pts]]&gt;0, tbl_attendance[[#This Row],[R2 Pts]]&gt;0,tbl_attendance[[#This Row],[R3 Pts]]&gt;0,tbl_attendance[[#This Row],[R4 Pts]]&gt;0),"YES", "NO")</f>
        <v>NO</v>
      </c>
      <c r="K65" s="3" t="str">
        <f>IF(AND(tbl_attendance[[#This Row],[R2 Pts]]&gt;0, tbl_attendance[[#This Row],[R4 Pts]]&gt;0), "YES", "NO")</f>
        <v>NO</v>
      </c>
      <c r="L65" s="3" t="str">
        <f>IF(
(tbl_attendance[[#This Row],[R1 Pts]]&gt;0)+(tbl_attendance[[#This Row],[R2 Pts]]&gt;0)+(tbl_attendance[[#This Row],[R3 Pts]]&gt;0)+(tbl_attendance[[#This Row],[R4 Pts]]&gt;0)&gt;=3,"YES", "NO")</f>
        <v>YES</v>
      </c>
      <c r="M65" s="3" t="str">
        <f>IF(AND(tbl_attendance[[#This Row],[R1 Pts]]=0, tbl_attendance[[#This Row],[R2 Pts]]=0,tbl_attendance[[#This Row],[R3 Pts]]=0,tbl_attendance[[#This Row],[R4 Pts]]=0),"YES", "NO")</f>
        <v>NO</v>
      </c>
    </row>
    <row r="66" spans="1:13" hidden="1" x14ac:dyDescent="0.4">
      <c r="A66" t="e">
        <f>_xlfn.TEXTBEFORE(#REF!," ",)</f>
        <v>#REF!</v>
      </c>
      <c r="B66" t="e">
        <f>_xlfn.TEXTAFTER(#REF!, " ", -1)</f>
        <v>#REF!</v>
      </c>
      <c r="C66" t="s">
        <v>12</v>
      </c>
      <c r="D66" t="s">
        <v>1</v>
      </c>
      <c r="E66" s="3">
        <v>12020</v>
      </c>
      <c r="F66" s="3">
        <v>11</v>
      </c>
      <c r="G66" s="3">
        <v>1</v>
      </c>
      <c r="H66" s="3">
        <v>6</v>
      </c>
      <c r="I66" s="3">
        <v>1</v>
      </c>
      <c r="J66" s="3" t="str">
        <f>IF(AND(tbl_attendance[[#This Row],[R1 Pts]]&gt;0, tbl_attendance[[#This Row],[R2 Pts]]&gt;0,tbl_attendance[[#This Row],[R3 Pts]]&gt;0,tbl_attendance[[#This Row],[R4 Pts]]&gt;0),"YES", "NO")</f>
        <v>YES</v>
      </c>
      <c r="K66" s="3" t="str">
        <f>IF(AND(tbl_attendance[[#This Row],[R2 Pts]]&gt;0, tbl_attendance[[#This Row],[R4 Pts]]&gt;0), "YES", "NO")</f>
        <v>YES</v>
      </c>
      <c r="L66" s="3" t="str">
        <f>IF(
(tbl_attendance[[#This Row],[R1 Pts]]&gt;0)+(tbl_attendance[[#This Row],[R2 Pts]]&gt;0)+(tbl_attendance[[#This Row],[R3 Pts]]&gt;0)+(tbl_attendance[[#This Row],[R4 Pts]]&gt;0)&gt;=3,"YES", "NO")</f>
        <v>YES</v>
      </c>
      <c r="M66" s="3" t="str">
        <f>IF(AND(tbl_attendance[[#This Row],[R1 Pts]]=0, tbl_attendance[[#This Row],[R2 Pts]]=0,tbl_attendance[[#This Row],[R3 Pts]]=0,tbl_attendance[[#This Row],[R4 Pts]]=0),"YES", "NO")</f>
        <v>NO</v>
      </c>
    </row>
    <row r="67" spans="1:13" hidden="1" x14ac:dyDescent="0.4">
      <c r="A67" t="e">
        <f>_xlfn.TEXTBEFORE(#REF!," ",)</f>
        <v>#REF!</v>
      </c>
      <c r="B67" t="e">
        <f>_xlfn.TEXTAFTER(#REF!, " ", -1)</f>
        <v>#REF!</v>
      </c>
      <c r="C67" t="s">
        <v>12</v>
      </c>
      <c r="D67" t="s">
        <v>1</v>
      </c>
      <c r="E67" s="3">
        <v>12021</v>
      </c>
      <c r="F67" s="3">
        <v>1</v>
      </c>
      <c r="G67" s="3">
        <v>0</v>
      </c>
      <c r="H67" s="3">
        <v>8</v>
      </c>
      <c r="I67" s="3">
        <v>1</v>
      </c>
      <c r="J67" s="3" t="str">
        <f>IF(AND(tbl_attendance[[#This Row],[R1 Pts]]&gt;0, tbl_attendance[[#This Row],[R2 Pts]]&gt;0,tbl_attendance[[#This Row],[R3 Pts]]&gt;0,tbl_attendance[[#This Row],[R4 Pts]]&gt;0),"YES", "NO")</f>
        <v>NO</v>
      </c>
      <c r="K67" s="3" t="str">
        <f>IF(AND(tbl_attendance[[#This Row],[R2 Pts]]&gt;0, tbl_attendance[[#This Row],[R4 Pts]]&gt;0), "YES", "NO")</f>
        <v>NO</v>
      </c>
      <c r="L67" s="3" t="str">
        <f>IF(
(tbl_attendance[[#This Row],[R1 Pts]]&gt;0)+(tbl_attendance[[#This Row],[R2 Pts]]&gt;0)+(tbl_attendance[[#This Row],[R3 Pts]]&gt;0)+(tbl_attendance[[#This Row],[R4 Pts]]&gt;0)&gt;=3,"YES", "NO")</f>
        <v>YES</v>
      </c>
      <c r="M67" s="3" t="str">
        <f>IF(AND(tbl_attendance[[#This Row],[R1 Pts]]=0, tbl_attendance[[#This Row],[R2 Pts]]=0,tbl_attendance[[#This Row],[R3 Pts]]=0,tbl_attendance[[#This Row],[R4 Pts]]=0),"YES", "NO")</f>
        <v>NO</v>
      </c>
    </row>
    <row r="68" spans="1:13" hidden="1" x14ac:dyDescent="0.4">
      <c r="A68" t="e">
        <f>_xlfn.TEXTBEFORE(#REF!," ",)</f>
        <v>#REF!</v>
      </c>
      <c r="B68" t="e">
        <f>_xlfn.TEXTAFTER(#REF!, " ", -1)</f>
        <v>#REF!</v>
      </c>
      <c r="C68" t="s">
        <v>12</v>
      </c>
      <c r="D68" t="s">
        <v>1</v>
      </c>
      <c r="E68" s="3">
        <v>12022</v>
      </c>
      <c r="F68" s="3">
        <v>14</v>
      </c>
      <c r="G68" s="3">
        <v>1</v>
      </c>
      <c r="H68" s="3">
        <v>0</v>
      </c>
      <c r="I68" s="3">
        <v>1</v>
      </c>
      <c r="J68" s="3" t="str">
        <f>IF(AND(tbl_attendance[[#This Row],[R1 Pts]]&gt;0, tbl_attendance[[#This Row],[R2 Pts]]&gt;0,tbl_attendance[[#This Row],[R3 Pts]]&gt;0,tbl_attendance[[#This Row],[R4 Pts]]&gt;0),"YES", "NO")</f>
        <v>NO</v>
      </c>
      <c r="K68" s="3" t="str">
        <f>IF(AND(tbl_attendance[[#This Row],[R2 Pts]]&gt;0, tbl_attendance[[#This Row],[R4 Pts]]&gt;0), "YES", "NO")</f>
        <v>YES</v>
      </c>
      <c r="L68" s="3" t="str">
        <f>IF(
(tbl_attendance[[#This Row],[R1 Pts]]&gt;0)+(tbl_attendance[[#This Row],[R2 Pts]]&gt;0)+(tbl_attendance[[#This Row],[R3 Pts]]&gt;0)+(tbl_attendance[[#This Row],[R4 Pts]]&gt;0)&gt;=3,"YES", "NO")</f>
        <v>YES</v>
      </c>
      <c r="M68" s="3" t="str">
        <f>IF(AND(tbl_attendance[[#This Row],[R1 Pts]]=0, tbl_attendance[[#This Row],[R2 Pts]]=0,tbl_attendance[[#This Row],[R3 Pts]]=0,tbl_attendance[[#This Row],[R4 Pts]]=0),"YES", "NO")</f>
        <v>NO</v>
      </c>
    </row>
    <row r="69" spans="1:13" hidden="1" x14ac:dyDescent="0.4">
      <c r="A69" t="e">
        <f>_xlfn.TEXTBEFORE(#REF!," ",)</f>
        <v>#REF!</v>
      </c>
      <c r="B69" t="e">
        <f>_xlfn.TEXTAFTER(#REF!, " ", -1)</f>
        <v>#REF!</v>
      </c>
      <c r="C69" t="s">
        <v>12</v>
      </c>
      <c r="D69" t="s">
        <v>1</v>
      </c>
      <c r="E69" s="3">
        <v>12023</v>
      </c>
      <c r="F69" s="3">
        <v>13</v>
      </c>
      <c r="G69" s="3">
        <v>1</v>
      </c>
      <c r="H69" s="3">
        <v>7</v>
      </c>
      <c r="I69" s="3">
        <v>2</v>
      </c>
      <c r="J69" s="3" t="str">
        <f>IF(AND(tbl_attendance[[#This Row],[R1 Pts]]&gt;0, tbl_attendance[[#This Row],[R2 Pts]]&gt;0,tbl_attendance[[#This Row],[R3 Pts]]&gt;0,tbl_attendance[[#This Row],[R4 Pts]]&gt;0),"YES", "NO")</f>
        <v>YES</v>
      </c>
      <c r="K69" s="3" t="str">
        <f>IF(AND(tbl_attendance[[#This Row],[R2 Pts]]&gt;0, tbl_attendance[[#This Row],[R4 Pts]]&gt;0), "YES", "NO")</f>
        <v>YES</v>
      </c>
      <c r="L69" s="3" t="str">
        <f>IF(
(tbl_attendance[[#This Row],[R1 Pts]]&gt;0)+(tbl_attendance[[#This Row],[R2 Pts]]&gt;0)+(tbl_attendance[[#This Row],[R3 Pts]]&gt;0)+(tbl_attendance[[#This Row],[R4 Pts]]&gt;0)&gt;=3,"YES", "NO")</f>
        <v>YES</v>
      </c>
      <c r="M69" s="3" t="str">
        <f>IF(AND(tbl_attendance[[#This Row],[R1 Pts]]=0, tbl_attendance[[#This Row],[R2 Pts]]=0,tbl_attendance[[#This Row],[R3 Pts]]=0,tbl_attendance[[#This Row],[R4 Pts]]=0),"YES", "NO")</f>
        <v>NO</v>
      </c>
    </row>
    <row r="70" spans="1:13" hidden="1" x14ac:dyDescent="0.4">
      <c r="A70" t="e">
        <f>_xlfn.TEXTBEFORE(#REF!," ",)</f>
        <v>#REF!</v>
      </c>
      <c r="B70" t="e">
        <f>_xlfn.TEXTAFTER(#REF!, " ", -1)</f>
        <v>#REF!</v>
      </c>
      <c r="C70" t="s">
        <v>13</v>
      </c>
      <c r="D70" t="s">
        <v>5</v>
      </c>
      <c r="E70" s="3">
        <v>912</v>
      </c>
      <c r="F70" s="3">
        <v>29</v>
      </c>
      <c r="G70" s="3">
        <v>21</v>
      </c>
      <c r="H70" s="3">
        <v>35</v>
      </c>
      <c r="I70" s="3">
        <v>21</v>
      </c>
      <c r="J70" s="3" t="str">
        <f>IF(AND(tbl_attendance[[#This Row],[R1 Pts]]&gt;0, tbl_attendance[[#This Row],[R2 Pts]]&gt;0,tbl_attendance[[#This Row],[R3 Pts]]&gt;0,tbl_attendance[[#This Row],[R4 Pts]]&gt;0),"YES", "NO")</f>
        <v>YES</v>
      </c>
      <c r="K70" s="3" t="str">
        <f>IF(AND(tbl_attendance[[#This Row],[R2 Pts]]&gt;0, tbl_attendance[[#This Row],[R4 Pts]]&gt;0), "YES", "NO")</f>
        <v>YES</v>
      </c>
      <c r="L70" s="3" t="str">
        <f>IF(
(tbl_attendance[[#This Row],[R1 Pts]]&gt;0)+(tbl_attendance[[#This Row],[R2 Pts]]&gt;0)+(tbl_attendance[[#This Row],[R3 Pts]]&gt;0)+(tbl_attendance[[#This Row],[R4 Pts]]&gt;0)&gt;=3,"YES", "NO")</f>
        <v>YES</v>
      </c>
      <c r="M70" s="3" t="str">
        <f>IF(AND(tbl_attendance[[#This Row],[R1 Pts]]=0, tbl_attendance[[#This Row],[R2 Pts]]=0,tbl_attendance[[#This Row],[R3 Pts]]=0,tbl_attendance[[#This Row],[R4 Pts]]=0),"YES", "NO")</f>
        <v>NO</v>
      </c>
    </row>
    <row r="71" spans="1:13" hidden="1" x14ac:dyDescent="0.4">
      <c r="A71" t="e">
        <f>_xlfn.TEXTBEFORE(#REF!," ",)</f>
        <v>#REF!</v>
      </c>
      <c r="B71" t="e">
        <f>_xlfn.TEXTAFTER(#REF!, " ", -1)</f>
        <v>#REF!</v>
      </c>
      <c r="C71" t="s">
        <v>13</v>
      </c>
      <c r="D71" t="s">
        <v>5</v>
      </c>
      <c r="E71" s="3">
        <v>913</v>
      </c>
      <c r="F71" s="3">
        <v>27</v>
      </c>
      <c r="G71" s="3">
        <v>39</v>
      </c>
      <c r="H71" s="3">
        <v>37</v>
      </c>
      <c r="I71" s="3">
        <v>43</v>
      </c>
      <c r="J71" s="3" t="str">
        <f>IF(AND(tbl_attendance[[#This Row],[R1 Pts]]&gt;0, tbl_attendance[[#This Row],[R2 Pts]]&gt;0,tbl_attendance[[#This Row],[R3 Pts]]&gt;0,tbl_attendance[[#This Row],[R4 Pts]]&gt;0),"YES", "NO")</f>
        <v>YES</v>
      </c>
      <c r="K71" s="3" t="str">
        <f>IF(AND(tbl_attendance[[#This Row],[R2 Pts]]&gt;0, tbl_attendance[[#This Row],[R4 Pts]]&gt;0), "YES", "NO")</f>
        <v>YES</v>
      </c>
      <c r="L71" s="3" t="str">
        <f>IF(
(tbl_attendance[[#This Row],[R1 Pts]]&gt;0)+(tbl_attendance[[#This Row],[R2 Pts]]&gt;0)+(tbl_attendance[[#This Row],[R3 Pts]]&gt;0)+(tbl_attendance[[#This Row],[R4 Pts]]&gt;0)&gt;=3,"YES", "NO")</f>
        <v>YES</v>
      </c>
      <c r="M71" s="3" t="str">
        <f>IF(AND(tbl_attendance[[#This Row],[R1 Pts]]=0, tbl_attendance[[#This Row],[R2 Pts]]=0,tbl_attendance[[#This Row],[R3 Pts]]=0,tbl_attendance[[#This Row],[R4 Pts]]=0),"YES", "NO")</f>
        <v>NO</v>
      </c>
    </row>
    <row r="72" spans="1:13" hidden="1" x14ac:dyDescent="0.4">
      <c r="A72" t="e">
        <f>_xlfn.TEXTBEFORE(#REF!," ",)</f>
        <v>#REF!</v>
      </c>
      <c r="B72" t="e">
        <f>_xlfn.TEXTAFTER(#REF!, " ", -1)</f>
        <v>#REF!</v>
      </c>
      <c r="C72" t="s">
        <v>13</v>
      </c>
      <c r="D72" t="s">
        <v>2</v>
      </c>
      <c r="E72" s="3">
        <v>1230</v>
      </c>
      <c r="F72" s="3">
        <v>0</v>
      </c>
      <c r="G72" s="3">
        <v>0</v>
      </c>
      <c r="H72" s="3">
        <v>65</v>
      </c>
      <c r="I72" s="3">
        <v>55</v>
      </c>
      <c r="J72" s="3" t="str">
        <f>IF(AND(tbl_attendance[[#This Row],[R1 Pts]]&gt;0, tbl_attendance[[#This Row],[R2 Pts]]&gt;0,tbl_attendance[[#This Row],[R3 Pts]]&gt;0,tbl_attendance[[#This Row],[R4 Pts]]&gt;0),"YES", "NO")</f>
        <v>NO</v>
      </c>
      <c r="K72" s="3" t="str">
        <f>IF(AND(tbl_attendance[[#This Row],[R2 Pts]]&gt;0, tbl_attendance[[#This Row],[R4 Pts]]&gt;0), "YES", "NO")</f>
        <v>NO</v>
      </c>
      <c r="L72" s="3" t="str">
        <f>IF(
(tbl_attendance[[#This Row],[R1 Pts]]&gt;0)+(tbl_attendance[[#This Row],[R2 Pts]]&gt;0)+(tbl_attendance[[#This Row],[R3 Pts]]&gt;0)+(tbl_attendance[[#This Row],[R4 Pts]]&gt;0)&gt;=3,"YES", "NO")</f>
        <v>NO</v>
      </c>
      <c r="M72" s="3" t="str">
        <f>IF(AND(tbl_attendance[[#This Row],[R1 Pts]]=0, tbl_attendance[[#This Row],[R2 Pts]]=0,tbl_attendance[[#This Row],[R3 Pts]]=0,tbl_attendance[[#This Row],[R4 Pts]]=0),"YES", "NO")</f>
        <v>NO</v>
      </c>
    </row>
    <row r="73" spans="1:13" hidden="1" x14ac:dyDescent="0.4">
      <c r="A73" t="e">
        <f>_xlfn.TEXTBEFORE(#REF!," ",)</f>
        <v>#REF!</v>
      </c>
      <c r="B73" t="e">
        <f>_xlfn.TEXTAFTER(#REF!, " ", -1)</f>
        <v>#REF!</v>
      </c>
      <c r="C73" t="s">
        <v>13</v>
      </c>
      <c r="D73" t="s">
        <v>2</v>
      </c>
      <c r="E73" s="3">
        <v>1231</v>
      </c>
      <c r="F73" s="3">
        <v>0</v>
      </c>
      <c r="G73" s="3">
        <v>0</v>
      </c>
      <c r="H73" s="3">
        <v>0</v>
      </c>
      <c r="I73" s="3">
        <v>1</v>
      </c>
      <c r="J73" s="3" t="str">
        <f>IF(AND(tbl_attendance[[#This Row],[R1 Pts]]&gt;0, tbl_attendance[[#This Row],[R2 Pts]]&gt;0,tbl_attendance[[#This Row],[R3 Pts]]&gt;0,tbl_attendance[[#This Row],[R4 Pts]]&gt;0),"YES", "NO")</f>
        <v>NO</v>
      </c>
      <c r="K73" s="3" t="str">
        <f>IF(AND(tbl_attendance[[#This Row],[R2 Pts]]&gt;0, tbl_attendance[[#This Row],[R4 Pts]]&gt;0), "YES", "NO")</f>
        <v>NO</v>
      </c>
      <c r="L73" s="3" t="str">
        <f>IF(
(tbl_attendance[[#This Row],[R1 Pts]]&gt;0)+(tbl_attendance[[#This Row],[R2 Pts]]&gt;0)+(tbl_attendance[[#This Row],[R3 Pts]]&gt;0)+(tbl_attendance[[#This Row],[R4 Pts]]&gt;0)&gt;=3,"YES", "NO")</f>
        <v>NO</v>
      </c>
      <c r="M73" s="3" t="str">
        <f>IF(AND(tbl_attendance[[#This Row],[R1 Pts]]=0, tbl_attendance[[#This Row],[R2 Pts]]=0,tbl_attendance[[#This Row],[R3 Pts]]=0,tbl_attendance[[#This Row],[R4 Pts]]=0),"YES", "NO")</f>
        <v>NO</v>
      </c>
    </row>
    <row r="74" spans="1:13" hidden="1" x14ac:dyDescent="0.4">
      <c r="A74" t="e">
        <f>_xlfn.TEXTBEFORE(#REF!," ",)</f>
        <v>#REF!</v>
      </c>
      <c r="B74" t="e">
        <f>_xlfn.TEXTAFTER(#REF!, " ", -1)</f>
        <v>#REF!</v>
      </c>
      <c r="C74" t="s">
        <v>13</v>
      </c>
      <c r="D74" t="s">
        <v>2</v>
      </c>
      <c r="E74" s="3">
        <v>1232</v>
      </c>
      <c r="F74" s="3">
        <v>0</v>
      </c>
      <c r="G74" s="3">
        <v>100</v>
      </c>
      <c r="H74" s="3">
        <v>0</v>
      </c>
      <c r="I74" s="3">
        <v>100</v>
      </c>
      <c r="J74" s="3" t="str">
        <f>IF(AND(tbl_attendance[[#This Row],[R1 Pts]]&gt;0, tbl_attendance[[#This Row],[R2 Pts]]&gt;0,tbl_attendance[[#This Row],[R3 Pts]]&gt;0,tbl_attendance[[#This Row],[R4 Pts]]&gt;0),"YES", "NO")</f>
        <v>NO</v>
      </c>
      <c r="K74" s="3" t="str">
        <f>IF(AND(tbl_attendance[[#This Row],[R2 Pts]]&gt;0, tbl_attendance[[#This Row],[R4 Pts]]&gt;0), "YES", "NO")</f>
        <v>YES</v>
      </c>
      <c r="L74" s="3" t="str">
        <f>IF(
(tbl_attendance[[#This Row],[R1 Pts]]&gt;0)+(tbl_attendance[[#This Row],[R2 Pts]]&gt;0)+(tbl_attendance[[#This Row],[R3 Pts]]&gt;0)+(tbl_attendance[[#This Row],[R4 Pts]]&gt;0)&gt;=3,"YES", "NO")</f>
        <v>NO</v>
      </c>
      <c r="M74" s="3" t="str">
        <f>IF(AND(tbl_attendance[[#This Row],[R1 Pts]]=0, tbl_attendance[[#This Row],[R2 Pts]]=0,tbl_attendance[[#This Row],[R3 Pts]]=0,tbl_attendance[[#This Row],[R4 Pts]]=0),"YES", "NO")</f>
        <v>NO</v>
      </c>
    </row>
    <row r="75" spans="1:13" hidden="1" x14ac:dyDescent="0.4">
      <c r="A75" t="e">
        <f>_xlfn.TEXTBEFORE(#REF!," ",)</f>
        <v>#REF!</v>
      </c>
      <c r="B75" t="e">
        <f>_xlfn.TEXTAFTER(#REF!, " ", -1)</f>
        <v>#REF!</v>
      </c>
      <c r="C75" t="s">
        <v>13</v>
      </c>
      <c r="D75" t="s">
        <v>2</v>
      </c>
      <c r="E75" s="3">
        <v>1233</v>
      </c>
      <c r="F75" s="3">
        <v>85</v>
      </c>
      <c r="G75" s="3">
        <v>0</v>
      </c>
      <c r="H75" s="3">
        <v>80</v>
      </c>
      <c r="I75" s="3">
        <v>1</v>
      </c>
      <c r="J75" s="3" t="str">
        <f>IF(AND(tbl_attendance[[#This Row],[R1 Pts]]&gt;0, tbl_attendance[[#This Row],[R2 Pts]]&gt;0,tbl_attendance[[#This Row],[R3 Pts]]&gt;0,tbl_attendance[[#This Row],[R4 Pts]]&gt;0),"YES", "NO")</f>
        <v>NO</v>
      </c>
      <c r="K75" s="3" t="str">
        <f>IF(AND(tbl_attendance[[#This Row],[R2 Pts]]&gt;0, tbl_attendance[[#This Row],[R4 Pts]]&gt;0), "YES", "NO")</f>
        <v>NO</v>
      </c>
      <c r="L75" s="3" t="str">
        <f>IF(
(tbl_attendance[[#This Row],[R1 Pts]]&gt;0)+(tbl_attendance[[#This Row],[R2 Pts]]&gt;0)+(tbl_attendance[[#This Row],[R3 Pts]]&gt;0)+(tbl_attendance[[#This Row],[R4 Pts]]&gt;0)&gt;=3,"YES", "NO")</f>
        <v>YES</v>
      </c>
      <c r="M75" s="3" t="str">
        <f>IF(AND(tbl_attendance[[#This Row],[R1 Pts]]=0, tbl_attendance[[#This Row],[R2 Pts]]=0,tbl_attendance[[#This Row],[R3 Pts]]=0,tbl_attendance[[#This Row],[R4 Pts]]=0),"YES", "NO")</f>
        <v>NO</v>
      </c>
    </row>
    <row r="76" spans="1:13" hidden="1" x14ac:dyDescent="0.4">
      <c r="A76" t="e">
        <f>_xlfn.TEXTBEFORE(#REF!," ",)</f>
        <v>#REF!</v>
      </c>
      <c r="B76" t="e">
        <f>_xlfn.TEXTAFTER(#REF!, " ", -1)</f>
        <v>#REF!</v>
      </c>
      <c r="C76" t="s">
        <v>13</v>
      </c>
      <c r="D76" t="s">
        <v>7</v>
      </c>
      <c r="E76" s="3">
        <v>8193</v>
      </c>
      <c r="F76" s="3">
        <v>0</v>
      </c>
      <c r="G76" s="3">
        <v>30</v>
      </c>
      <c r="H76" s="3">
        <v>0</v>
      </c>
      <c r="I76" s="3">
        <v>35</v>
      </c>
      <c r="J76" s="3" t="str">
        <f>IF(AND(tbl_attendance[[#This Row],[R1 Pts]]&gt;0, tbl_attendance[[#This Row],[R2 Pts]]&gt;0,tbl_attendance[[#This Row],[R3 Pts]]&gt;0,tbl_attendance[[#This Row],[R4 Pts]]&gt;0),"YES", "NO")</f>
        <v>NO</v>
      </c>
      <c r="K76" s="3" t="str">
        <f>IF(AND(tbl_attendance[[#This Row],[R2 Pts]]&gt;0, tbl_attendance[[#This Row],[R4 Pts]]&gt;0), "YES", "NO")</f>
        <v>YES</v>
      </c>
      <c r="L76" s="3" t="str">
        <f>IF(
(tbl_attendance[[#This Row],[R1 Pts]]&gt;0)+(tbl_attendance[[#This Row],[R2 Pts]]&gt;0)+(tbl_attendance[[#This Row],[R3 Pts]]&gt;0)+(tbl_attendance[[#This Row],[R4 Pts]]&gt;0)&gt;=3,"YES", "NO")</f>
        <v>NO</v>
      </c>
      <c r="M76" s="3" t="str">
        <f>IF(AND(tbl_attendance[[#This Row],[R1 Pts]]=0, tbl_attendance[[#This Row],[R2 Pts]]=0,tbl_attendance[[#This Row],[R3 Pts]]=0,tbl_attendance[[#This Row],[R4 Pts]]=0),"YES", "NO")</f>
        <v>NO</v>
      </c>
    </row>
    <row r="77" spans="1:13" hidden="1" x14ac:dyDescent="0.4">
      <c r="A77" t="e">
        <f>_xlfn.TEXTBEFORE(#REF!," ",)</f>
        <v>#REF!</v>
      </c>
      <c r="B77" t="e">
        <f>_xlfn.TEXTAFTER(#REF!, " ", -1)</f>
        <v>#REF!</v>
      </c>
      <c r="C77" t="s">
        <v>13</v>
      </c>
      <c r="D77" t="s">
        <v>7</v>
      </c>
      <c r="E77" s="3">
        <v>8194</v>
      </c>
      <c r="F77" s="3">
        <v>0</v>
      </c>
      <c r="G77" s="3">
        <v>40</v>
      </c>
      <c r="H77" s="3">
        <v>0</v>
      </c>
      <c r="I77" s="3">
        <v>40</v>
      </c>
      <c r="J77" s="3" t="str">
        <f>IF(AND(tbl_attendance[[#This Row],[R1 Pts]]&gt;0, tbl_attendance[[#This Row],[R2 Pts]]&gt;0,tbl_attendance[[#This Row],[R3 Pts]]&gt;0,tbl_attendance[[#This Row],[R4 Pts]]&gt;0),"YES", "NO")</f>
        <v>NO</v>
      </c>
      <c r="K77" s="3" t="str">
        <f>IF(AND(tbl_attendance[[#This Row],[R2 Pts]]&gt;0, tbl_attendance[[#This Row],[R4 Pts]]&gt;0), "YES", "NO")</f>
        <v>YES</v>
      </c>
      <c r="L77" s="3" t="str">
        <f>IF(
(tbl_attendance[[#This Row],[R1 Pts]]&gt;0)+(tbl_attendance[[#This Row],[R2 Pts]]&gt;0)+(tbl_attendance[[#This Row],[R3 Pts]]&gt;0)+(tbl_attendance[[#This Row],[R4 Pts]]&gt;0)&gt;=3,"YES", "NO")</f>
        <v>NO</v>
      </c>
      <c r="M77" s="3" t="str">
        <f>IF(AND(tbl_attendance[[#This Row],[R1 Pts]]=0, tbl_attendance[[#This Row],[R2 Pts]]=0,tbl_attendance[[#This Row],[R3 Pts]]=0,tbl_attendance[[#This Row],[R4 Pts]]=0),"YES", "NO")</f>
        <v>NO</v>
      </c>
    </row>
    <row r="78" spans="1:13" hidden="1" x14ac:dyDescent="0.4">
      <c r="A78" t="e">
        <f>_xlfn.TEXTBEFORE(#REF!," ",)</f>
        <v>#REF!</v>
      </c>
      <c r="B78" t="e">
        <f>_xlfn.TEXTAFTER(#REF!, " ", -1)</f>
        <v>#REF!</v>
      </c>
      <c r="C78" t="s">
        <v>13</v>
      </c>
      <c r="D78" t="s">
        <v>3</v>
      </c>
      <c r="E78" s="3">
        <v>10159</v>
      </c>
      <c r="F78" s="3">
        <v>42</v>
      </c>
      <c r="G78" s="3">
        <v>32</v>
      </c>
      <c r="H78" s="3">
        <v>47</v>
      </c>
      <c r="I78" s="3">
        <v>30</v>
      </c>
      <c r="J78" s="3" t="str">
        <f>IF(AND(tbl_attendance[[#This Row],[R1 Pts]]&gt;0, tbl_attendance[[#This Row],[R2 Pts]]&gt;0,tbl_attendance[[#This Row],[R3 Pts]]&gt;0,tbl_attendance[[#This Row],[R4 Pts]]&gt;0),"YES", "NO")</f>
        <v>YES</v>
      </c>
      <c r="K78" s="3" t="str">
        <f>IF(AND(tbl_attendance[[#This Row],[R2 Pts]]&gt;0, tbl_attendance[[#This Row],[R4 Pts]]&gt;0), "YES", "NO")</f>
        <v>YES</v>
      </c>
      <c r="L78" s="3" t="str">
        <f>IF(
(tbl_attendance[[#This Row],[R1 Pts]]&gt;0)+(tbl_attendance[[#This Row],[R2 Pts]]&gt;0)+(tbl_attendance[[#This Row],[R3 Pts]]&gt;0)+(tbl_attendance[[#This Row],[R4 Pts]]&gt;0)&gt;=3,"YES", "NO")</f>
        <v>YES</v>
      </c>
      <c r="M78" s="3" t="str">
        <f>IF(AND(tbl_attendance[[#This Row],[R1 Pts]]=0, tbl_attendance[[#This Row],[R2 Pts]]=0,tbl_attendance[[#This Row],[R3 Pts]]=0,tbl_attendance[[#This Row],[R4 Pts]]=0),"YES", "NO")</f>
        <v>NO</v>
      </c>
    </row>
    <row r="79" spans="1:13" hidden="1" x14ac:dyDescent="0.4">
      <c r="A79" t="e">
        <f>_xlfn.TEXTBEFORE(#REF!," ",)</f>
        <v>#REF!</v>
      </c>
      <c r="B79" t="e">
        <f>_xlfn.TEXTAFTER(#REF!, " ", -1)</f>
        <v>#REF!</v>
      </c>
      <c r="C79" t="s">
        <v>13</v>
      </c>
      <c r="D79" t="s">
        <v>1</v>
      </c>
      <c r="E79" s="3">
        <v>12024</v>
      </c>
      <c r="F79" s="3">
        <v>0</v>
      </c>
      <c r="G79" s="3">
        <v>45</v>
      </c>
      <c r="H79" s="3">
        <v>38</v>
      </c>
      <c r="I79" s="3">
        <v>44</v>
      </c>
      <c r="J79" s="3" t="str">
        <f>IF(AND(tbl_attendance[[#This Row],[R1 Pts]]&gt;0, tbl_attendance[[#This Row],[R2 Pts]]&gt;0,tbl_attendance[[#This Row],[R3 Pts]]&gt;0,tbl_attendance[[#This Row],[R4 Pts]]&gt;0),"YES", "NO")</f>
        <v>NO</v>
      </c>
      <c r="K79" s="3" t="str">
        <f>IF(AND(tbl_attendance[[#This Row],[R2 Pts]]&gt;0, tbl_attendance[[#This Row],[R4 Pts]]&gt;0), "YES", "NO")</f>
        <v>YES</v>
      </c>
      <c r="L79" s="3" t="str">
        <f>IF(
(tbl_attendance[[#This Row],[R1 Pts]]&gt;0)+(tbl_attendance[[#This Row],[R2 Pts]]&gt;0)+(tbl_attendance[[#This Row],[R3 Pts]]&gt;0)+(tbl_attendance[[#This Row],[R4 Pts]]&gt;0)&gt;=3,"YES", "NO")</f>
        <v>YES</v>
      </c>
      <c r="M79" s="3" t="str">
        <f>IF(AND(tbl_attendance[[#This Row],[R1 Pts]]=0, tbl_attendance[[#This Row],[R2 Pts]]=0,tbl_attendance[[#This Row],[R3 Pts]]=0,tbl_attendance[[#This Row],[R4 Pts]]=0),"YES", "NO")</f>
        <v>NO</v>
      </c>
    </row>
    <row r="80" spans="1:13" hidden="1" x14ac:dyDescent="0.4">
      <c r="A80" t="e">
        <f>_xlfn.TEXTBEFORE(#REF!," ",)</f>
        <v>#REF!</v>
      </c>
      <c r="B80" t="e">
        <f>_xlfn.TEXTAFTER(#REF!, " ", -1)</f>
        <v>#REF!</v>
      </c>
      <c r="C80" t="s">
        <v>13</v>
      </c>
      <c r="D80" t="s">
        <v>1</v>
      </c>
      <c r="E80" s="3">
        <v>12025</v>
      </c>
      <c r="F80" s="3">
        <v>85</v>
      </c>
      <c r="G80" s="3">
        <v>95</v>
      </c>
      <c r="H80" s="3">
        <v>75</v>
      </c>
      <c r="I80" s="3">
        <v>100</v>
      </c>
      <c r="J80" s="3" t="str">
        <f>IF(AND(tbl_attendance[[#This Row],[R1 Pts]]&gt;0, tbl_attendance[[#This Row],[R2 Pts]]&gt;0,tbl_attendance[[#This Row],[R3 Pts]]&gt;0,tbl_attendance[[#This Row],[R4 Pts]]&gt;0),"YES", "NO")</f>
        <v>YES</v>
      </c>
      <c r="K80" s="3" t="str">
        <f>IF(AND(tbl_attendance[[#This Row],[R2 Pts]]&gt;0, tbl_attendance[[#This Row],[R4 Pts]]&gt;0), "YES", "NO")</f>
        <v>YES</v>
      </c>
      <c r="L80" s="3" t="str">
        <f>IF(
(tbl_attendance[[#This Row],[R1 Pts]]&gt;0)+(tbl_attendance[[#This Row],[R2 Pts]]&gt;0)+(tbl_attendance[[#This Row],[R3 Pts]]&gt;0)+(tbl_attendance[[#This Row],[R4 Pts]]&gt;0)&gt;=3,"YES", "NO")</f>
        <v>YES</v>
      </c>
      <c r="M80" s="3" t="str">
        <f>IF(AND(tbl_attendance[[#This Row],[R1 Pts]]=0, tbl_attendance[[#This Row],[R2 Pts]]=0,tbl_attendance[[#This Row],[R3 Pts]]=0,tbl_attendance[[#This Row],[R4 Pts]]=0),"YES", "NO")</f>
        <v>NO</v>
      </c>
    </row>
    <row r="81" spans="1:13" hidden="1" x14ac:dyDescent="0.4">
      <c r="A81" t="e">
        <f>_xlfn.TEXTBEFORE(#REF!," ",)</f>
        <v>#REF!</v>
      </c>
      <c r="B81" t="e">
        <f>_xlfn.TEXTAFTER(#REF!, " ", -1)</f>
        <v>#REF!</v>
      </c>
      <c r="C81" t="s">
        <v>13</v>
      </c>
      <c r="D81" t="s">
        <v>1</v>
      </c>
      <c r="E81" s="3">
        <v>12026</v>
      </c>
      <c r="F81" s="3">
        <v>33</v>
      </c>
      <c r="G81" s="3">
        <v>4</v>
      </c>
      <c r="H81" s="3">
        <v>0</v>
      </c>
      <c r="I81" s="3">
        <v>0</v>
      </c>
      <c r="J81" s="3" t="str">
        <f>IF(AND(tbl_attendance[[#This Row],[R1 Pts]]&gt;0, tbl_attendance[[#This Row],[R2 Pts]]&gt;0,tbl_attendance[[#This Row],[R3 Pts]]&gt;0,tbl_attendance[[#This Row],[R4 Pts]]&gt;0),"YES", "NO")</f>
        <v>NO</v>
      </c>
      <c r="K81" s="3" t="str">
        <f>IF(AND(tbl_attendance[[#This Row],[R2 Pts]]&gt;0, tbl_attendance[[#This Row],[R4 Pts]]&gt;0), "YES", "NO")</f>
        <v>NO</v>
      </c>
      <c r="L81" s="3" t="str">
        <f>IF(
(tbl_attendance[[#This Row],[R1 Pts]]&gt;0)+(tbl_attendance[[#This Row],[R2 Pts]]&gt;0)+(tbl_attendance[[#This Row],[R3 Pts]]&gt;0)+(tbl_attendance[[#This Row],[R4 Pts]]&gt;0)&gt;=3,"YES", "NO")</f>
        <v>NO</v>
      </c>
      <c r="M81" s="3" t="str">
        <f>IF(AND(tbl_attendance[[#This Row],[R1 Pts]]=0, tbl_attendance[[#This Row],[R2 Pts]]=0,tbl_attendance[[#This Row],[R3 Pts]]=0,tbl_attendance[[#This Row],[R4 Pts]]=0),"YES", "NO")</f>
        <v>NO</v>
      </c>
    </row>
    <row r="82" spans="1:13" hidden="1" x14ac:dyDescent="0.4">
      <c r="A82" t="e">
        <f>_xlfn.TEXTBEFORE(#REF!," ",)</f>
        <v>#REF!</v>
      </c>
      <c r="B82" t="e">
        <f>_xlfn.TEXTAFTER(#REF!, " ", -1)</f>
        <v>#REF!</v>
      </c>
      <c r="C82" t="s">
        <v>13</v>
      </c>
      <c r="D82" t="s">
        <v>1</v>
      </c>
      <c r="E82" s="3">
        <v>12027</v>
      </c>
      <c r="F82" s="3">
        <v>17</v>
      </c>
      <c r="G82" s="3">
        <v>19</v>
      </c>
      <c r="H82" s="3">
        <v>13</v>
      </c>
      <c r="I82" s="3">
        <v>26</v>
      </c>
      <c r="J82" s="3" t="str">
        <f>IF(AND(tbl_attendance[[#This Row],[R1 Pts]]&gt;0, tbl_attendance[[#This Row],[R2 Pts]]&gt;0,tbl_attendance[[#This Row],[R3 Pts]]&gt;0,tbl_attendance[[#This Row],[R4 Pts]]&gt;0),"YES", "NO")</f>
        <v>YES</v>
      </c>
      <c r="K82" s="3" t="str">
        <f>IF(AND(tbl_attendance[[#This Row],[R2 Pts]]&gt;0, tbl_attendance[[#This Row],[R4 Pts]]&gt;0), "YES", "NO")</f>
        <v>YES</v>
      </c>
      <c r="L82" s="3" t="str">
        <f>IF(
(tbl_attendance[[#This Row],[R1 Pts]]&gt;0)+(tbl_attendance[[#This Row],[R2 Pts]]&gt;0)+(tbl_attendance[[#This Row],[R3 Pts]]&gt;0)+(tbl_attendance[[#This Row],[R4 Pts]]&gt;0)&gt;=3,"YES", "NO")</f>
        <v>YES</v>
      </c>
      <c r="M82" s="3" t="str">
        <f>IF(AND(tbl_attendance[[#This Row],[R1 Pts]]=0, tbl_attendance[[#This Row],[R2 Pts]]=0,tbl_attendance[[#This Row],[R3 Pts]]=0,tbl_attendance[[#This Row],[R4 Pts]]=0),"YES", "NO")</f>
        <v>NO</v>
      </c>
    </row>
    <row r="83" spans="1:13" hidden="1" x14ac:dyDescent="0.4">
      <c r="A83" t="e">
        <f>_xlfn.TEXTBEFORE(#REF!," ",)</f>
        <v>#REF!</v>
      </c>
      <c r="B83" t="e">
        <f>_xlfn.TEXTAFTER(#REF!, " ", -1)</f>
        <v>#REF!</v>
      </c>
      <c r="C83" t="s">
        <v>13</v>
      </c>
      <c r="D83" t="s">
        <v>1</v>
      </c>
      <c r="E83" s="3">
        <v>12028</v>
      </c>
      <c r="F83" s="3">
        <v>18</v>
      </c>
      <c r="G83" s="3">
        <v>5</v>
      </c>
      <c r="H83" s="3">
        <v>17</v>
      </c>
      <c r="I83" s="3">
        <v>23</v>
      </c>
      <c r="J83" s="3" t="str">
        <f>IF(AND(tbl_attendance[[#This Row],[R1 Pts]]&gt;0, tbl_attendance[[#This Row],[R2 Pts]]&gt;0,tbl_attendance[[#This Row],[R3 Pts]]&gt;0,tbl_attendance[[#This Row],[R4 Pts]]&gt;0),"YES", "NO")</f>
        <v>YES</v>
      </c>
      <c r="K83" s="3" t="str">
        <f>IF(AND(tbl_attendance[[#This Row],[R2 Pts]]&gt;0, tbl_attendance[[#This Row],[R4 Pts]]&gt;0), "YES", "NO")</f>
        <v>YES</v>
      </c>
      <c r="L83" s="3" t="str">
        <f>IF(
(tbl_attendance[[#This Row],[R1 Pts]]&gt;0)+(tbl_attendance[[#This Row],[R2 Pts]]&gt;0)+(tbl_attendance[[#This Row],[R3 Pts]]&gt;0)+(tbl_attendance[[#This Row],[R4 Pts]]&gt;0)&gt;=3,"YES", "NO")</f>
        <v>YES</v>
      </c>
      <c r="M83" s="3" t="str">
        <f>IF(AND(tbl_attendance[[#This Row],[R1 Pts]]=0, tbl_attendance[[#This Row],[R2 Pts]]=0,tbl_attendance[[#This Row],[R3 Pts]]=0,tbl_attendance[[#This Row],[R4 Pts]]=0),"YES", "NO")</f>
        <v>NO</v>
      </c>
    </row>
    <row r="84" spans="1:13" hidden="1" x14ac:dyDescent="0.4">
      <c r="A84" t="e">
        <f>_xlfn.TEXTBEFORE(#REF!," ",)</f>
        <v>#REF!</v>
      </c>
      <c r="B84" t="e">
        <f>_xlfn.TEXTAFTER(#REF!, " ", -1)</f>
        <v>#REF!</v>
      </c>
      <c r="C84" t="s">
        <v>13</v>
      </c>
      <c r="D84" t="s">
        <v>1</v>
      </c>
      <c r="E84" s="3">
        <v>12029</v>
      </c>
      <c r="F84" s="3">
        <v>0</v>
      </c>
      <c r="G84" s="3">
        <v>0</v>
      </c>
      <c r="H84" s="3">
        <v>0</v>
      </c>
      <c r="I84" s="3">
        <v>0</v>
      </c>
      <c r="J84" s="3" t="str">
        <f>IF(AND(tbl_attendance[[#This Row],[R1 Pts]]&gt;0, tbl_attendance[[#This Row],[R2 Pts]]&gt;0,tbl_attendance[[#This Row],[R3 Pts]]&gt;0,tbl_attendance[[#This Row],[R4 Pts]]&gt;0),"YES", "NO")</f>
        <v>NO</v>
      </c>
      <c r="K84" s="3" t="str">
        <f>IF(AND(tbl_attendance[[#This Row],[R2 Pts]]&gt;0, tbl_attendance[[#This Row],[R4 Pts]]&gt;0), "YES", "NO")</f>
        <v>NO</v>
      </c>
      <c r="L84" s="3" t="str">
        <f>IF(
(tbl_attendance[[#This Row],[R1 Pts]]&gt;0)+(tbl_attendance[[#This Row],[R2 Pts]]&gt;0)+(tbl_attendance[[#This Row],[R3 Pts]]&gt;0)+(tbl_attendance[[#This Row],[R4 Pts]]&gt;0)&gt;=3,"YES", "NO")</f>
        <v>NO</v>
      </c>
      <c r="M84" s="3" t="str">
        <f>IF(AND(tbl_attendance[[#This Row],[R1 Pts]]=0, tbl_attendance[[#This Row],[R2 Pts]]=0,tbl_attendance[[#This Row],[R3 Pts]]=0,tbl_attendance[[#This Row],[R4 Pts]]=0),"YES", "NO")</f>
        <v>YES</v>
      </c>
    </row>
    <row r="85" spans="1:13" hidden="1" x14ac:dyDescent="0.4">
      <c r="A85" t="e">
        <f>_xlfn.TEXTBEFORE(#REF!," ",)</f>
        <v>#REF!</v>
      </c>
      <c r="B85" t="e">
        <f>_xlfn.TEXTAFTER(#REF!, " ", -1)</f>
        <v>#REF!</v>
      </c>
      <c r="C85" t="s">
        <v>13</v>
      </c>
      <c r="D85" t="s">
        <v>1</v>
      </c>
      <c r="E85" s="3">
        <v>12030</v>
      </c>
      <c r="F85" s="3">
        <v>75</v>
      </c>
      <c r="G85" s="3">
        <v>34</v>
      </c>
      <c r="H85" s="3">
        <v>70</v>
      </c>
      <c r="I85" s="3">
        <v>43</v>
      </c>
      <c r="J85" s="3" t="str">
        <f>IF(AND(tbl_attendance[[#This Row],[R1 Pts]]&gt;0, tbl_attendance[[#This Row],[R2 Pts]]&gt;0,tbl_attendance[[#This Row],[R3 Pts]]&gt;0,tbl_attendance[[#This Row],[R4 Pts]]&gt;0),"YES", "NO")</f>
        <v>YES</v>
      </c>
      <c r="K85" s="3" t="str">
        <f>IF(AND(tbl_attendance[[#This Row],[R2 Pts]]&gt;0, tbl_attendance[[#This Row],[R4 Pts]]&gt;0), "YES", "NO")</f>
        <v>YES</v>
      </c>
      <c r="L85" s="3" t="str">
        <f>IF(
(tbl_attendance[[#This Row],[R1 Pts]]&gt;0)+(tbl_attendance[[#This Row],[R2 Pts]]&gt;0)+(tbl_attendance[[#This Row],[R3 Pts]]&gt;0)+(tbl_attendance[[#This Row],[R4 Pts]]&gt;0)&gt;=3,"YES", "NO")</f>
        <v>YES</v>
      </c>
      <c r="M85" s="3" t="str">
        <f>IF(AND(tbl_attendance[[#This Row],[R1 Pts]]=0, tbl_attendance[[#This Row],[R2 Pts]]=0,tbl_attendance[[#This Row],[R3 Pts]]=0,tbl_attendance[[#This Row],[R4 Pts]]=0),"YES", "NO")</f>
        <v>NO</v>
      </c>
    </row>
    <row r="86" spans="1:13" hidden="1" x14ac:dyDescent="0.4">
      <c r="A86" t="e">
        <f>_xlfn.TEXTBEFORE(#REF!," ",)</f>
        <v>#REF!</v>
      </c>
      <c r="B86" t="e">
        <f>_xlfn.TEXTAFTER(#REF!, " ", -1)</f>
        <v>#REF!</v>
      </c>
      <c r="C86" t="s">
        <v>13</v>
      </c>
      <c r="D86" t="s">
        <v>1</v>
      </c>
      <c r="E86" s="3">
        <v>12103</v>
      </c>
      <c r="F86" s="3">
        <v>100</v>
      </c>
      <c r="G86" s="3">
        <v>49</v>
      </c>
      <c r="H86" s="3">
        <v>100</v>
      </c>
      <c r="I86" s="3">
        <v>51</v>
      </c>
      <c r="J86" s="3" t="str">
        <f>IF(AND(tbl_attendance[[#This Row],[R1 Pts]]&gt;0, tbl_attendance[[#This Row],[R2 Pts]]&gt;0,tbl_attendance[[#This Row],[R3 Pts]]&gt;0,tbl_attendance[[#This Row],[R4 Pts]]&gt;0),"YES", "NO")</f>
        <v>YES</v>
      </c>
      <c r="K86" s="3" t="str">
        <f>IF(AND(tbl_attendance[[#This Row],[R2 Pts]]&gt;0, tbl_attendance[[#This Row],[R4 Pts]]&gt;0), "YES", "NO")</f>
        <v>YES</v>
      </c>
      <c r="L86" s="3" t="str">
        <f>IF(
(tbl_attendance[[#This Row],[R1 Pts]]&gt;0)+(tbl_attendance[[#This Row],[R2 Pts]]&gt;0)+(tbl_attendance[[#This Row],[R3 Pts]]&gt;0)+(tbl_attendance[[#This Row],[R4 Pts]]&gt;0)&gt;=3,"YES", "NO")</f>
        <v>YES</v>
      </c>
      <c r="M86" s="3" t="str">
        <f>IF(AND(tbl_attendance[[#This Row],[R1 Pts]]=0, tbl_attendance[[#This Row],[R2 Pts]]=0,tbl_attendance[[#This Row],[R3 Pts]]=0,tbl_attendance[[#This Row],[R4 Pts]]=0),"YES", "NO")</f>
        <v>NO</v>
      </c>
    </row>
    <row r="87" spans="1:13" hidden="1" x14ac:dyDescent="0.4">
      <c r="A87" t="e">
        <f>_xlfn.TEXTBEFORE(#REF!," ",)</f>
        <v>#REF!</v>
      </c>
      <c r="B87" t="e">
        <f>_xlfn.TEXTAFTER(#REF!, " ", -1)</f>
        <v>#REF!</v>
      </c>
      <c r="C87" t="s">
        <v>14</v>
      </c>
      <c r="D87" t="s">
        <v>7</v>
      </c>
      <c r="E87" s="3">
        <v>843</v>
      </c>
      <c r="F87" s="3">
        <v>0</v>
      </c>
      <c r="G87" s="3">
        <v>0</v>
      </c>
      <c r="H87" s="3">
        <v>0</v>
      </c>
      <c r="I87" s="3">
        <v>36</v>
      </c>
      <c r="J87" s="3" t="str">
        <f>IF(AND(tbl_attendance[[#This Row],[R1 Pts]]&gt;0, tbl_attendance[[#This Row],[R2 Pts]]&gt;0,tbl_attendance[[#This Row],[R3 Pts]]&gt;0,tbl_attendance[[#This Row],[R4 Pts]]&gt;0),"YES", "NO")</f>
        <v>NO</v>
      </c>
      <c r="K87" s="3" t="str">
        <f>IF(AND(tbl_attendance[[#This Row],[R2 Pts]]&gt;0, tbl_attendance[[#This Row],[R4 Pts]]&gt;0), "YES", "NO")</f>
        <v>NO</v>
      </c>
      <c r="L87" s="3" t="str">
        <f>IF(
(tbl_attendance[[#This Row],[R1 Pts]]&gt;0)+(tbl_attendance[[#This Row],[R2 Pts]]&gt;0)+(tbl_attendance[[#This Row],[R3 Pts]]&gt;0)+(tbl_attendance[[#This Row],[R4 Pts]]&gt;0)&gt;=3,"YES", "NO")</f>
        <v>NO</v>
      </c>
      <c r="M87" s="3" t="str">
        <f>IF(AND(tbl_attendance[[#This Row],[R1 Pts]]=0, tbl_attendance[[#This Row],[R2 Pts]]=0,tbl_attendance[[#This Row],[R3 Pts]]=0,tbl_attendance[[#This Row],[R4 Pts]]=0),"YES", "NO")</f>
        <v>NO</v>
      </c>
    </row>
    <row r="88" spans="1:13" hidden="1" x14ac:dyDescent="0.4">
      <c r="A88" t="e">
        <f>_xlfn.TEXTBEFORE(#REF!," ",)</f>
        <v>#REF!</v>
      </c>
      <c r="B88" t="e">
        <f>_xlfn.TEXTAFTER(#REF!, " ", -1)</f>
        <v>#REF!</v>
      </c>
      <c r="C88" t="s">
        <v>14</v>
      </c>
      <c r="D88" t="s">
        <v>5</v>
      </c>
      <c r="E88" s="3">
        <v>961</v>
      </c>
      <c r="F88" s="3">
        <v>90</v>
      </c>
      <c r="G88" s="3">
        <v>0</v>
      </c>
      <c r="H88" s="3">
        <v>0</v>
      </c>
      <c r="I88" s="3">
        <v>0</v>
      </c>
      <c r="J88" s="3" t="str">
        <f>IF(AND(tbl_attendance[[#This Row],[R1 Pts]]&gt;0, tbl_attendance[[#This Row],[R2 Pts]]&gt;0,tbl_attendance[[#This Row],[R3 Pts]]&gt;0,tbl_attendance[[#This Row],[R4 Pts]]&gt;0),"YES", "NO")</f>
        <v>NO</v>
      </c>
      <c r="K88" s="3" t="str">
        <f>IF(AND(tbl_attendance[[#This Row],[R2 Pts]]&gt;0, tbl_attendance[[#This Row],[R4 Pts]]&gt;0), "YES", "NO")</f>
        <v>NO</v>
      </c>
      <c r="L88" s="3" t="str">
        <f>IF(
(tbl_attendance[[#This Row],[R1 Pts]]&gt;0)+(tbl_attendance[[#This Row],[R2 Pts]]&gt;0)+(tbl_attendance[[#This Row],[R3 Pts]]&gt;0)+(tbl_attendance[[#This Row],[R4 Pts]]&gt;0)&gt;=3,"YES", "NO")</f>
        <v>NO</v>
      </c>
      <c r="M88" s="3" t="str">
        <f>IF(AND(tbl_attendance[[#This Row],[R1 Pts]]=0, tbl_attendance[[#This Row],[R2 Pts]]=0,tbl_attendance[[#This Row],[R3 Pts]]=0,tbl_attendance[[#This Row],[R4 Pts]]=0),"YES", "NO")</f>
        <v>NO</v>
      </c>
    </row>
    <row r="89" spans="1:13" hidden="1" x14ac:dyDescent="0.4">
      <c r="A89" t="e">
        <f>_xlfn.TEXTBEFORE(#REF!," ",)</f>
        <v>#REF!</v>
      </c>
      <c r="B89" t="e">
        <f>_xlfn.TEXTAFTER(#REF!, " ", -1)</f>
        <v>#REF!</v>
      </c>
      <c r="C89" t="s">
        <v>14</v>
      </c>
      <c r="D89" t="s">
        <v>7</v>
      </c>
      <c r="E89" s="3">
        <v>8195</v>
      </c>
      <c r="F89" s="3">
        <v>0</v>
      </c>
      <c r="G89" s="3">
        <v>0</v>
      </c>
      <c r="H89" s="3">
        <v>0</v>
      </c>
      <c r="I89" s="3">
        <v>1</v>
      </c>
      <c r="J89" s="3" t="str">
        <f>IF(AND(tbl_attendance[[#This Row],[R1 Pts]]&gt;0, tbl_attendance[[#This Row],[R2 Pts]]&gt;0,tbl_attendance[[#This Row],[R3 Pts]]&gt;0,tbl_attendance[[#This Row],[R4 Pts]]&gt;0),"YES", "NO")</f>
        <v>NO</v>
      </c>
      <c r="K89" s="3" t="str">
        <f>IF(AND(tbl_attendance[[#This Row],[R2 Pts]]&gt;0, tbl_attendance[[#This Row],[R4 Pts]]&gt;0), "YES", "NO")</f>
        <v>NO</v>
      </c>
      <c r="L89" s="3" t="str">
        <f>IF(
(tbl_attendance[[#This Row],[R1 Pts]]&gt;0)+(tbl_attendance[[#This Row],[R2 Pts]]&gt;0)+(tbl_attendance[[#This Row],[R3 Pts]]&gt;0)+(tbl_attendance[[#This Row],[R4 Pts]]&gt;0)&gt;=3,"YES", "NO")</f>
        <v>NO</v>
      </c>
      <c r="M89" s="3" t="str">
        <f>IF(AND(tbl_attendance[[#This Row],[R1 Pts]]=0, tbl_attendance[[#This Row],[R2 Pts]]=0,tbl_attendance[[#This Row],[R3 Pts]]=0,tbl_attendance[[#This Row],[R4 Pts]]=0),"YES", "NO")</f>
        <v>NO</v>
      </c>
    </row>
    <row r="90" spans="1:13" hidden="1" x14ac:dyDescent="0.4">
      <c r="A90" t="e">
        <f>_xlfn.TEXTBEFORE(#REF!," ",)</f>
        <v>#REF!</v>
      </c>
      <c r="B90" t="e">
        <f>_xlfn.TEXTAFTER(#REF!, " ", -1)</f>
        <v>#REF!</v>
      </c>
      <c r="C90" t="s">
        <v>14</v>
      </c>
      <c r="D90" t="s">
        <v>3</v>
      </c>
      <c r="E90" s="3">
        <v>10206</v>
      </c>
      <c r="F90" s="3">
        <v>34</v>
      </c>
      <c r="G90" s="3">
        <v>0</v>
      </c>
      <c r="H90" s="3">
        <v>1</v>
      </c>
      <c r="I90" s="3">
        <v>15</v>
      </c>
      <c r="J90" s="3" t="str">
        <f>IF(AND(tbl_attendance[[#This Row],[R1 Pts]]&gt;0, tbl_attendance[[#This Row],[R2 Pts]]&gt;0,tbl_attendance[[#This Row],[R3 Pts]]&gt;0,tbl_attendance[[#This Row],[R4 Pts]]&gt;0),"YES", "NO")</f>
        <v>NO</v>
      </c>
      <c r="K90" s="3" t="str">
        <f>IF(AND(tbl_attendance[[#This Row],[R2 Pts]]&gt;0, tbl_attendance[[#This Row],[R4 Pts]]&gt;0), "YES", "NO")</f>
        <v>NO</v>
      </c>
      <c r="L90" s="3" t="str">
        <f>IF(
(tbl_attendance[[#This Row],[R1 Pts]]&gt;0)+(tbl_attendance[[#This Row],[R2 Pts]]&gt;0)+(tbl_attendance[[#This Row],[R3 Pts]]&gt;0)+(tbl_attendance[[#This Row],[R4 Pts]]&gt;0)&gt;=3,"YES", "NO")</f>
        <v>YES</v>
      </c>
      <c r="M90" s="3" t="str">
        <f>IF(AND(tbl_attendance[[#This Row],[R1 Pts]]=0, tbl_attendance[[#This Row],[R2 Pts]]=0,tbl_attendance[[#This Row],[R3 Pts]]=0,tbl_attendance[[#This Row],[R4 Pts]]=0),"YES", "NO")</f>
        <v>NO</v>
      </c>
    </row>
    <row r="91" spans="1:13" hidden="1" x14ac:dyDescent="0.4">
      <c r="A91" t="e">
        <f>_xlfn.TEXTBEFORE(#REF!," ",)</f>
        <v>#REF!</v>
      </c>
      <c r="B91" t="e">
        <f>_xlfn.TEXTAFTER(#REF!, " ", -1)</f>
        <v>#REF!</v>
      </c>
      <c r="C91" t="s">
        <v>14</v>
      </c>
      <c r="D91" t="s">
        <v>3</v>
      </c>
      <c r="E91" s="3">
        <v>10207</v>
      </c>
      <c r="F91" s="3">
        <v>0</v>
      </c>
      <c r="G91" s="3">
        <v>0</v>
      </c>
      <c r="H91" s="3">
        <v>18</v>
      </c>
      <c r="I91" s="3">
        <v>22</v>
      </c>
      <c r="J91" s="3" t="str">
        <f>IF(AND(tbl_attendance[[#This Row],[R1 Pts]]&gt;0, tbl_attendance[[#This Row],[R2 Pts]]&gt;0,tbl_attendance[[#This Row],[R3 Pts]]&gt;0,tbl_attendance[[#This Row],[R4 Pts]]&gt;0),"YES", "NO")</f>
        <v>NO</v>
      </c>
      <c r="K91" s="3" t="str">
        <f>IF(AND(tbl_attendance[[#This Row],[R2 Pts]]&gt;0, tbl_attendance[[#This Row],[R4 Pts]]&gt;0), "YES", "NO")</f>
        <v>NO</v>
      </c>
      <c r="L91" s="3" t="str">
        <f>IF(
(tbl_attendance[[#This Row],[R1 Pts]]&gt;0)+(tbl_attendance[[#This Row],[R2 Pts]]&gt;0)+(tbl_attendance[[#This Row],[R3 Pts]]&gt;0)+(tbl_attendance[[#This Row],[R4 Pts]]&gt;0)&gt;=3,"YES", "NO")</f>
        <v>NO</v>
      </c>
      <c r="M91" s="3" t="str">
        <f>IF(AND(tbl_attendance[[#This Row],[R1 Pts]]=0, tbl_attendance[[#This Row],[R2 Pts]]=0,tbl_attendance[[#This Row],[R3 Pts]]=0,tbl_attendance[[#This Row],[R4 Pts]]=0),"YES", "NO")</f>
        <v>NO</v>
      </c>
    </row>
    <row r="92" spans="1:13" hidden="1" x14ac:dyDescent="0.4">
      <c r="A92" t="e">
        <f>_xlfn.TEXTBEFORE(#REF!," ",)</f>
        <v>#REF!</v>
      </c>
      <c r="B92" t="e">
        <f>_xlfn.TEXTAFTER(#REF!, " ", -1)</f>
        <v>#REF!</v>
      </c>
      <c r="C92" t="s">
        <v>14</v>
      </c>
      <c r="D92" t="s">
        <v>1</v>
      </c>
      <c r="E92" s="3">
        <v>12031</v>
      </c>
      <c r="F92" s="3">
        <v>35</v>
      </c>
      <c r="G92" s="3">
        <v>0</v>
      </c>
      <c r="H92" s="3">
        <v>29</v>
      </c>
      <c r="I92" s="3">
        <v>13</v>
      </c>
      <c r="J92" s="3" t="str">
        <f>IF(AND(tbl_attendance[[#This Row],[R1 Pts]]&gt;0, tbl_attendance[[#This Row],[R2 Pts]]&gt;0,tbl_attendance[[#This Row],[R3 Pts]]&gt;0,tbl_attendance[[#This Row],[R4 Pts]]&gt;0),"YES", "NO")</f>
        <v>NO</v>
      </c>
      <c r="K92" s="3" t="str">
        <f>IF(AND(tbl_attendance[[#This Row],[R2 Pts]]&gt;0, tbl_attendance[[#This Row],[R4 Pts]]&gt;0), "YES", "NO")</f>
        <v>NO</v>
      </c>
      <c r="L92" s="3" t="str">
        <f>IF(
(tbl_attendance[[#This Row],[R1 Pts]]&gt;0)+(tbl_attendance[[#This Row],[R2 Pts]]&gt;0)+(tbl_attendance[[#This Row],[R3 Pts]]&gt;0)+(tbl_attendance[[#This Row],[R4 Pts]]&gt;0)&gt;=3,"YES", "NO")</f>
        <v>YES</v>
      </c>
      <c r="M92" s="3" t="str">
        <f>IF(AND(tbl_attendance[[#This Row],[R1 Pts]]=0, tbl_attendance[[#This Row],[R2 Pts]]=0,tbl_attendance[[#This Row],[R3 Pts]]=0,tbl_attendance[[#This Row],[R4 Pts]]=0),"YES", "NO")</f>
        <v>NO</v>
      </c>
    </row>
    <row r="93" spans="1:13" hidden="1" x14ac:dyDescent="0.4">
      <c r="A93" t="e">
        <f>_xlfn.TEXTBEFORE(#REF!," ",)</f>
        <v>#REF!</v>
      </c>
      <c r="B93" t="e">
        <f>_xlfn.TEXTAFTER(#REF!, " ", -1)</f>
        <v>#REF!</v>
      </c>
      <c r="C93" t="s">
        <v>15</v>
      </c>
      <c r="D93" t="s">
        <v>7</v>
      </c>
      <c r="E93" s="3">
        <v>800</v>
      </c>
      <c r="F93" s="3">
        <v>34</v>
      </c>
      <c r="G93" s="3">
        <v>31</v>
      </c>
      <c r="H93" s="3">
        <v>0</v>
      </c>
      <c r="I93" s="3">
        <v>0</v>
      </c>
      <c r="J93" s="3" t="str">
        <f>IF(AND(tbl_attendance[[#This Row],[R1 Pts]]&gt;0, tbl_attendance[[#This Row],[R2 Pts]]&gt;0,tbl_attendance[[#This Row],[R3 Pts]]&gt;0,tbl_attendance[[#This Row],[R4 Pts]]&gt;0),"YES", "NO")</f>
        <v>NO</v>
      </c>
      <c r="K93" s="3" t="str">
        <f>IF(AND(tbl_attendance[[#This Row],[R2 Pts]]&gt;0, tbl_attendance[[#This Row],[R4 Pts]]&gt;0), "YES", "NO")</f>
        <v>NO</v>
      </c>
      <c r="L93" s="3" t="str">
        <f>IF(
(tbl_attendance[[#This Row],[R1 Pts]]&gt;0)+(tbl_attendance[[#This Row],[R2 Pts]]&gt;0)+(tbl_attendance[[#This Row],[R3 Pts]]&gt;0)+(tbl_attendance[[#This Row],[R4 Pts]]&gt;0)&gt;=3,"YES", "NO")</f>
        <v>NO</v>
      </c>
      <c r="M93" s="3" t="str">
        <f>IF(AND(tbl_attendance[[#This Row],[R1 Pts]]=0, tbl_attendance[[#This Row],[R2 Pts]]=0,tbl_attendance[[#This Row],[R3 Pts]]=0,tbl_attendance[[#This Row],[R4 Pts]]=0),"YES", "NO")</f>
        <v>NO</v>
      </c>
    </row>
    <row r="94" spans="1:13" hidden="1" x14ac:dyDescent="0.4">
      <c r="A94" t="e">
        <f>_xlfn.TEXTBEFORE(#REF!," ",)</f>
        <v>#REF!</v>
      </c>
      <c r="B94" t="e">
        <f>_xlfn.TEXTAFTER(#REF!, " ", -1)</f>
        <v>#REF!</v>
      </c>
      <c r="C94" t="s">
        <v>15</v>
      </c>
      <c r="D94" t="s">
        <v>7</v>
      </c>
      <c r="E94" s="3">
        <v>801</v>
      </c>
      <c r="F94" s="3">
        <v>0</v>
      </c>
      <c r="G94" s="3">
        <v>35</v>
      </c>
      <c r="H94" s="3">
        <v>0</v>
      </c>
      <c r="I94" s="3">
        <v>0</v>
      </c>
      <c r="J94" s="3" t="str">
        <f>IF(AND(tbl_attendance[[#This Row],[R1 Pts]]&gt;0, tbl_attendance[[#This Row],[R2 Pts]]&gt;0,tbl_attendance[[#This Row],[R3 Pts]]&gt;0,tbl_attendance[[#This Row],[R4 Pts]]&gt;0),"YES", "NO")</f>
        <v>NO</v>
      </c>
      <c r="K94" s="3" t="str">
        <f>IF(AND(tbl_attendance[[#This Row],[R2 Pts]]&gt;0, tbl_attendance[[#This Row],[R4 Pts]]&gt;0), "YES", "NO")</f>
        <v>NO</v>
      </c>
      <c r="L94" s="3" t="str">
        <f>IF(
(tbl_attendance[[#This Row],[R1 Pts]]&gt;0)+(tbl_attendance[[#This Row],[R2 Pts]]&gt;0)+(tbl_attendance[[#This Row],[R3 Pts]]&gt;0)+(tbl_attendance[[#This Row],[R4 Pts]]&gt;0)&gt;=3,"YES", "NO")</f>
        <v>NO</v>
      </c>
      <c r="M94" s="3" t="str">
        <f>IF(AND(tbl_attendance[[#This Row],[R1 Pts]]=0, tbl_attendance[[#This Row],[R2 Pts]]=0,tbl_attendance[[#This Row],[R3 Pts]]=0,tbl_attendance[[#This Row],[R4 Pts]]=0),"YES", "NO")</f>
        <v>NO</v>
      </c>
    </row>
    <row r="95" spans="1:13" hidden="1" x14ac:dyDescent="0.4">
      <c r="A95" t="e">
        <f>_xlfn.TEXTBEFORE(#REF!," ",)</f>
        <v>#REF!</v>
      </c>
      <c r="B95" t="e">
        <f>_xlfn.TEXTAFTER(#REF!, " ", -1)</f>
        <v>#REF!</v>
      </c>
      <c r="C95" t="s">
        <v>15</v>
      </c>
      <c r="D95" t="s">
        <v>7</v>
      </c>
      <c r="E95" s="3">
        <v>802</v>
      </c>
      <c r="F95" s="3">
        <v>0</v>
      </c>
      <c r="G95" s="3">
        <v>33</v>
      </c>
      <c r="H95" s="3">
        <v>0</v>
      </c>
      <c r="I95" s="3">
        <v>0</v>
      </c>
      <c r="J95" s="3" t="str">
        <f>IF(AND(tbl_attendance[[#This Row],[R1 Pts]]&gt;0, tbl_attendance[[#This Row],[R2 Pts]]&gt;0,tbl_attendance[[#This Row],[R3 Pts]]&gt;0,tbl_attendance[[#This Row],[R4 Pts]]&gt;0),"YES", "NO")</f>
        <v>NO</v>
      </c>
      <c r="K95" s="3" t="str">
        <f>IF(AND(tbl_attendance[[#This Row],[R2 Pts]]&gt;0, tbl_attendance[[#This Row],[R4 Pts]]&gt;0), "YES", "NO")</f>
        <v>NO</v>
      </c>
      <c r="L95" s="3" t="str">
        <f>IF(
(tbl_attendance[[#This Row],[R1 Pts]]&gt;0)+(tbl_attendance[[#This Row],[R2 Pts]]&gt;0)+(tbl_attendance[[#This Row],[R3 Pts]]&gt;0)+(tbl_attendance[[#This Row],[R4 Pts]]&gt;0)&gt;=3,"YES", "NO")</f>
        <v>NO</v>
      </c>
      <c r="M95" s="3" t="str">
        <f>IF(AND(tbl_attendance[[#This Row],[R1 Pts]]=0, tbl_attendance[[#This Row],[R2 Pts]]=0,tbl_attendance[[#This Row],[R3 Pts]]=0,tbl_attendance[[#This Row],[R4 Pts]]=0),"YES", "NO")</f>
        <v>NO</v>
      </c>
    </row>
    <row r="96" spans="1:13" hidden="1" x14ac:dyDescent="0.4">
      <c r="A96" t="e">
        <f>_xlfn.TEXTBEFORE(#REF!," ",)</f>
        <v>#REF!</v>
      </c>
      <c r="B96" t="e">
        <f>_xlfn.TEXTAFTER(#REF!, " ", -1)</f>
        <v>#REF!</v>
      </c>
      <c r="C96" t="s">
        <v>15</v>
      </c>
      <c r="D96" t="s">
        <v>7</v>
      </c>
      <c r="E96" s="3">
        <v>840</v>
      </c>
      <c r="F96" s="3">
        <v>0</v>
      </c>
      <c r="G96" s="3">
        <v>21</v>
      </c>
      <c r="H96" s="3">
        <v>0</v>
      </c>
      <c r="I96" s="3">
        <v>0</v>
      </c>
      <c r="J96" s="3" t="str">
        <f>IF(AND(tbl_attendance[[#This Row],[R1 Pts]]&gt;0, tbl_attendance[[#This Row],[R2 Pts]]&gt;0,tbl_attendance[[#This Row],[R3 Pts]]&gt;0,tbl_attendance[[#This Row],[R4 Pts]]&gt;0),"YES", "NO")</f>
        <v>NO</v>
      </c>
      <c r="K96" s="3" t="str">
        <f>IF(AND(tbl_attendance[[#This Row],[R2 Pts]]&gt;0, tbl_attendance[[#This Row],[R4 Pts]]&gt;0), "YES", "NO")</f>
        <v>NO</v>
      </c>
      <c r="L96" s="3" t="str">
        <f>IF(
(tbl_attendance[[#This Row],[R1 Pts]]&gt;0)+(tbl_attendance[[#This Row],[R2 Pts]]&gt;0)+(tbl_attendance[[#This Row],[R3 Pts]]&gt;0)+(tbl_attendance[[#This Row],[R4 Pts]]&gt;0)&gt;=3,"YES", "NO")</f>
        <v>NO</v>
      </c>
      <c r="M96" s="3" t="str">
        <f>IF(AND(tbl_attendance[[#This Row],[R1 Pts]]=0, tbl_attendance[[#This Row],[R2 Pts]]=0,tbl_attendance[[#This Row],[R3 Pts]]=0,tbl_attendance[[#This Row],[R4 Pts]]=0),"YES", "NO")</f>
        <v>NO</v>
      </c>
    </row>
    <row r="97" spans="1:13" hidden="1" x14ac:dyDescent="0.4">
      <c r="A97" t="e">
        <f>_xlfn.TEXTBEFORE(#REF!," ",)</f>
        <v>#REF!</v>
      </c>
      <c r="B97" t="e">
        <f>_xlfn.TEXTAFTER(#REF!, " ", -1)</f>
        <v>#REF!</v>
      </c>
      <c r="C97" t="s">
        <v>15</v>
      </c>
      <c r="D97" t="s">
        <v>8</v>
      </c>
      <c r="E97" s="3">
        <v>854</v>
      </c>
      <c r="F97" s="3">
        <v>75</v>
      </c>
      <c r="G97" s="3">
        <v>0</v>
      </c>
      <c r="H97" s="3">
        <v>70</v>
      </c>
      <c r="I97" s="3">
        <v>0</v>
      </c>
      <c r="J97" s="3" t="str">
        <f>IF(AND(tbl_attendance[[#This Row],[R1 Pts]]&gt;0, tbl_attendance[[#This Row],[R2 Pts]]&gt;0,tbl_attendance[[#This Row],[R3 Pts]]&gt;0,tbl_attendance[[#This Row],[R4 Pts]]&gt;0),"YES", "NO")</f>
        <v>NO</v>
      </c>
      <c r="K97" s="3" t="str">
        <f>IF(AND(tbl_attendance[[#This Row],[R2 Pts]]&gt;0, tbl_attendance[[#This Row],[R4 Pts]]&gt;0), "YES", "NO")</f>
        <v>NO</v>
      </c>
      <c r="L97" s="3" t="str">
        <f>IF(
(tbl_attendance[[#This Row],[R1 Pts]]&gt;0)+(tbl_attendance[[#This Row],[R2 Pts]]&gt;0)+(tbl_attendance[[#This Row],[R3 Pts]]&gt;0)+(tbl_attendance[[#This Row],[R4 Pts]]&gt;0)&gt;=3,"YES", "NO")</f>
        <v>NO</v>
      </c>
      <c r="M97" s="3" t="str">
        <f>IF(AND(tbl_attendance[[#This Row],[R1 Pts]]=0, tbl_attendance[[#This Row],[R2 Pts]]=0,tbl_attendance[[#This Row],[R3 Pts]]=0,tbl_attendance[[#This Row],[R4 Pts]]=0),"YES", "NO")</f>
        <v>NO</v>
      </c>
    </row>
    <row r="98" spans="1:13" hidden="1" x14ac:dyDescent="0.4">
      <c r="A98" t="e">
        <f>_xlfn.TEXTBEFORE(#REF!," ",)</f>
        <v>#REF!</v>
      </c>
      <c r="B98" t="e">
        <f>_xlfn.TEXTAFTER(#REF!, " ", -1)</f>
        <v>#REF!</v>
      </c>
      <c r="C98" t="s">
        <v>15</v>
      </c>
      <c r="D98" t="s">
        <v>7</v>
      </c>
      <c r="E98" s="3">
        <v>8009</v>
      </c>
      <c r="F98" s="3">
        <v>60</v>
      </c>
      <c r="G98" s="3">
        <v>0</v>
      </c>
      <c r="H98" s="3">
        <v>0</v>
      </c>
      <c r="I98" s="3">
        <v>0</v>
      </c>
      <c r="J98" s="3" t="str">
        <f>IF(AND(tbl_attendance[[#This Row],[R1 Pts]]&gt;0, tbl_attendance[[#This Row],[R2 Pts]]&gt;0,tbl_attendance[[#This Row],[R3 Pts]]&gt;0,tbl_attendance[[#This Row],[R4 Pts]]&gt;0),"YES", "NO")</f>
        <v>NO</v>
      </c>
      <c r="K98" s="3" t="str">
        <f>IF(AND(tbl_attendance[[#This Row],[R2 Pts]]&gt;0, tbl_attendance[[#This Row],[R4 Pts]]&gt;0), "YES", "NO")</f>
        <v>NO</v>
      </c>
      <c r="L98" s="3" t="str">
        <f>IF(
(tbl_attendance[[#This Row],[R1 Pts]]&gt;0)+(tbl_attendance[[#This Row],[R2 Pts]]&gt;0)+(tbl_attendance[[#This Row],[R3 Pts]]&gt;0)+(tbl_attendance[[#This Row],[R4 Pts]]&gt;0)&gt;=3,"YES", "NO")</f>
        <v>NO</v>
      </c>
      <c r="M98" s="3" t="str">
        <f>IF(AND(tbl_attendance[[#This Row],[R1 Pts]]=0, tbl_attendance[[#This Row],[R2 Pts]]=0,tbl_attendance[[#This Row],[R3 Pts]]=0,tbl_attendance[[#This Row],[R4 Pts]]=0),"YES", "NO")</f>
        <v>NO</v>
      </c>
    </row>
    <row r="99" spans="1:13" hidden="1" x14ac:dyDescent="0.4">
      <c r="A99" t="e">
        <f>_xlfn.TEXTBEFORE(#REF!," ",)</f>
        <v>#REF!</v>
      </c>
      <c r="B99" t="e">
        <f>_xlfn.TEXTAFTER(#REF!, " ", -1)</f>
        <v>#REF!</v>
      </c>
      <c r="C99" t="s">
        <v>15</v>
      </c>
      <c r="D99" t="s">
        <v>7</v>
      </c>
      <c r="E99" s="3">
        <v>8197</v>
      </c>
      <c r="F99" s="3">
        <v>53</v>
      </c>
      <c r="G99" s="3">
        <v>90</v>
      </c>
      <c r="H99" s="3">
        <v>100</v>
      </c>
      <c r="I99" s="3">
        <v>0</v>
      </c>
      <c r="J99" s="3" t="str">
        <f>IF(AND(tbl_attendance[[#This Row],[R1 Pts]]&gt;0, tbl_attendance[[#This Row],[R2 Pts]]&gt;0,tbl_attendance[[#This Row],[R3 Pts]]&gt;0,tbl_attendance[[#This Row],[R4 Pts]]&gt;0),"YES", "NO")</f>
        <v>NO</v>
      </c>
      <c r="K99" s="3" t="str">
        <f>IF(AND(tbl_attendance[[#This Row],[R2 Pts]]&gt;0, tbl_attendance[[#This Row],[R4 Pts]]&gt;0), "YES", "NO")</f>
        <v>NO</v>
      </c>
      <c r="L99" s="3" t="str">
        <f>IF(
(tbl_attendance[[#This Row],[R1 Pts]]&gt;0)+(tbl_attendance[[#This Row],[R2 Pts]]&gt;0)+(tbl_attendance[[#This Row],[R3 Pts]]&gt;0)+(tbl_attendance[[#This Row],[R4 Pts]]&gt;0)&gt;=3,"YES", "NO")</f>
        <v>YES</v>
      </c>
      <c r="M99" s="3" t="str">
        <f>IF(AND(tbl_attendance[[#This Row],[R1 Pts]]=0, tbl_attendance[[#This Row],[R2 Pts]]=0,tbl_attendance[[#This Row],[R3 Pts]]=0,tbl_attendance[[#This Row],[R4 Pts]]=0),"YES", "NO")</f>
        <v>NO</v>
      </c>
    </row>
    <row r="100" spans="1:13" hidden="1" x14ac:dyDescent="0.4">
      <c r="A100" t="e">
        <f>_xlfn.TEXTBEFORE(#REF!," ",)</f>
        <v>#REF!</v>
      </c>
      <c r="B100" t="e">
        <f>_xlfn.TEXTAFTER(#REF!, " ", -1)</f>
        <v>#REF!</v>
      </c>
      <c r="C100" t="s">
        <v>15</v>
      </c>
      <c r="D100" t="s">
        <v>7</v>
      </c>
      <c r="E100" s="3">
        <v>8198</v>
      </c>
      <c r="F100" s="3">
        <v>90</v>
      </c>
      <c r="G100" s="3">
        <v>41</v>
      </c>
      <c r="H100" s="3">
        <v>95</v>
      </c>
      <c r="I100" s="3">
        <v>0</v>
      </c>
      <c r="J100" s="3" t="str">
        <f>IF(AND(tbl_attendance[[#This Row],[R1 Pts]]&gt;0, tbl_attendance[[#This Row],[R2 Pts]]&gt;0,tbl_attendance[[#This Row],[R3 Pts]]&gt;0,tbl_attendance[[#This Row],[R4 Pts]]&gt;0),"YES", "NO")</f>
        <v>NO</v>
      </c>
      <c r="K100" s="3" t="str">
        <f>IF(AND(tbl_attendance[[#This Row],[R2 Pts]]&gt;0, tbl_attendance[[#This Row],[R4 Pts]]&gt;0), "YES", "NO")</f>
        <v>NO</v>
      </c>
      <c r="L100" s="3" t="str">
        <f>IF(
(tbl_attendance[[#This Row],[R1 Pts]]&gt;0)+(tbl_attendance[[#This Row],[R2 Pts]]&gt;0)+(tbl_attendance[[#This Row],[R3 Pts]]&gt;0)+(tbl_attendance[[#This Row],[R4 Pts]]&gt;0)&gt;=3,"YES", "NO")</f>
        <v>YES</v>
      </c>
      <c r="M100" s="3" t="str">
        <f>IF(AND(tbl_attendance[[#This Row],[R1 Pts]]=0, tbl_attendance[[#This Row],[R2 Pts]]=0,tbl_attendance[[#This Row],[R3 Pts]]=0,tbl_attendance[[#This Row],[R4 Pts]]=0),"YES", "NO")</f>
        <v>NO</v>
      </c>
    </row>
    <row r="101" spans="1:13" hidden="1" x14ac:dyDescent="0.4">
      <c r="A101" t="e">
        <f>_xlfn.TEXTBEFORE(#REF!," ",)</f>
        <v>#REF!</v>
      </c>
      <c r="B101" t="e">
        <f>_xlfn.TEXTAFTER(#REF!, " ", -1)</f>
        <v>#REF!</v>
      </c>
      <c r="C101" t="s">
        <v>15</v>
      </c>
      <c r="D101" t="s">
        <v>7</v>
      </c>
      <c r="E101" s="3">
        <v>8199</v>
      </c>
      <c r="F101" s="3">
        <v>0</v>
      </c>
      <c r="G101" s="3">
        <v>0</v>
      </c>
      <c r="H101" s="3">
        <v>0</v>
      </c>
      <c r="I101" s="3">
        <v>0</v>
      </c>
      <c r="J101" s="3" t="str">
        <f>IF(AND(tbl_attendance[[#This Row],[R1 Pts]]&gt;0, tbl_attendance[[#This Row],[R2 Pts]]&gt;0,tbl_attendance[[#This Row],[R3 Pts]]&gt;0,tbl_attendance[[#This Row],[R4 Pts]]&gt;0),"YES", "NO")</f>
        <v>NO</v>
      </c>
      <c r="K101" s="3" t="str">
        <f>IF(AND(tbl_attendance[[#This Row],[R2 Pts]]&gt;0, tbl_attendance[[#This Row],[R4 Pts]]&gt;0), "YES", "NO")</f>
        <v>NO</v>
      </c>
      <c r="L101" s="3" t="str">
        <f>IF(
(tbl_attendance[[#This Row],[R1 Pts]]&gt;0)+(tbl_attendance[[#This Row],[R2 Pts]]&gt;0)+(tbl_attendance[[#This Row],[R3 Pts]]&gt;0)+(tbl_attendance[[#This Row],[R4 Pts]]&gt;0)&gt;=3,"YES", "NO")</f>
        <v>NO</v>
      </c>
      <c r="M101" s="3" t="str">
        <f>IF(AND(tbl_attendance[[#This Row],[R1 Pts]]=0, tbl_attendance[[#This Row],[R2 Pts]]=0,tbl_attendance[[#This Row],[R3 Pts]]=0,tbl_attendance[[#This Row],[R4 Pts]]=0),"YES", "NO")</f>
        <v>YES</v>
      </c>
    </row>
    <row r="102" spans="1:13" hidden="1" x14ac:dyDescent="0.4">
      <c r="A102" t="e">
        <f>_xlfn.TEXTBEFORE(#REF!," ",)</f>
        <v>#REF!</v>
      </c>
      <c r="B102" t="e">
        <f>_xlfn.TEXTAFTER(#REF!, " ", -1)</f>
        <v>#REF!</v>
      </c>
      <c r="C102" t="s">
        <v>15</v>
      </c>
      <c r="D102" t="s">
        <v>8</v>
      </c>
      <c r="E102" s="3">
        <v>8250</v>
      </c>
      <c r="F102" s="3">
        <v>80</v>
      </c>
      <c r="G102" s="3">
        <v>95</v>
      </c>
      <c r="H102" s="3">
        <v>80</v>
      </c>
      <c r="I102" s="3">
        <v>0</v>
      </c>
      <c r="J102" s="3" t="str">
        <f>IF(AND(tbl_attendance[[#This Row],[R1 Pts]]&gt;0, tbl_attendance[[#This Row],[R2 Pts]]&gt;0,tbl_attendance[[#This Row],[R3 Pts]]&gt;0,tbl_attendance[[#This Row],[R4 Pts]]&gt;0),"YES", "NO")</f>
        <v>NO</v>
      </c>
      <c r="K102" s="3" t="str">
        <f>IF(AND(tbl_attendance[[#This Row],[R2 Pts]]&gt;0, tbl_attendance[[#This Row],[R4 Pts]]&gt;0), "YES", "NO")</f>
        <v>NO</v>
      </c>
      <c r="L102" s="3" t="str">
        <f>IF(
(tbl_attendance[[#This Row],[R1 Pts]]&gt;0)+(tbl_attendance[[#This Row],[R2 Pts]]&gt;0)+(tbl_attendance[[#This Row],[R3 Pts]]&gt;0)+(tbl_attendance[[#This Row],[R4 Pts]]&gt;0)&gt;=3,"YES", "NO")</f>
        <v>YES</v>
      </c>
      <c r="M102" s="3" t="str">
        <f>IF(AND(tbl_attendance[[#This Row],[R1 Pts]]=0, tbl_attendance[[#This Row],[R2 Pts]]=0,tbl_attendance[[#This Row],[R3 Pts]]=0,tbl_attendance[[#This Row],[R4 Pts]]=0),"YES", "NO")</f>
        <v>NO</v>
      </c>
    </row>
    <row r="103" spans="1:13" hidden="1" x14ac:dyDescent="0.4">
      <c r="A103" t="e">
        <f>_xlfn.TEXTBEFORE(#REF!," ",)</f>
        <v>#REF!</v>
      </c>
      <c r="B103" t="e">
        <f>_xlfn.TEXTAFTER(#REF!, " ", -1)</f>
        <v>#REF!</v>
      </c>
      <c r="C103" t="s">
        <v>15</v>
      </c>
      <c r="D103" t="s">
        <v>6</v>
      </c>
      <c r="E103" s="3">
        <v>9491</v>
      </c>
      <c r="F103" s="3">
        <v>65</v>
      </c>
      <c r="G103" s="3">
        <v>47</v>
      </c>
      <c r="H103" s="3">
        <v>70</v>
      </c>
      <c r="I103" s="3" t="s">
        <v>1162</v>
      </c>
      <c r="J103" s="3" t="str">
        <f>IF(AND(tbl_attendance[[#This Row],[R1 Pts]]&gt;0, tbl_attendance[[#This Row],[R2 Pts]]&gt;0,tbl_attendance[[#This Row],[R3 Pts]]&gt;0,tbl_attendance[[#This Row],[R4 Pts]]&gt;0),"YES", "NO")</f>
        <v>YES</v>
      </c>
      <c r="K103" s="3" t="str">
        <f>IF(AND(tbl_attendance[[#This Row],[R2 Pts]]&gt;0, tbl_attendance[[#This Row],[R4 Pts]]&gt;0), "YES", "NO")</f>
        <v>YES</v>
      </c>
      <c r="L103" s="3" t="str">
        <f>IF(
(tbl_attendance[[#This Row],[R1 Pts]]&gt;0)+(tbl_attendance[[#This Row],[R2 Pts]]&gt;0)+(tbl_attendance[[#This Row],[R3 Pts]]&gt;0)+(tbl_attendance[[#This Row],[R4 Pts]]&gt;0)&gt;=3,"YES", "NO")</f>
        <v>YES</v>
      </c>
      <c r="M103" s="3" t="str">
        <f>IF(AND(tbl_attendance[[#This Row],[R1 Pts]]=0, tbl_attendance[[#This Row],[R2 Pts]]=0,tbl_attendance[[#This Row],[R3 Pts]]=0,tbl_attendance[[#This Row],[R4 Pts]]=0),"YES", "NO")</f>
        <v>NO</v>
      </c>
    </row>
    <row r="104" spans="1:13" hidden="1" x14ac:dyDescent="0.4">
      <c r="A104" t="e">
        <f>_xlfn.TEXTBEFORE(#REF!," ",)</f>
        <v>#REF!</v>
      </c>
      <c r="B104" t="e">
        <f>_xlfn.TEXTAFTER(#REF!, " ", -1)</f>
        <v>#REF!</v>
      </c>
      <c r="C104" t="s">
        <v>15</v>
      </c>
      <c r="D104" t="s">
        <v>3</v>
      </c>
      <c r="E104" s="3">
        <v>10160</v>
      </c>
      <c r="F104" s="3">
        <v>1</v>
      </c>
      <c r="G104" s="3">
        <v>0</v>
      </c>
      <c r="H104" s="3">
        <v>0</v>
      </c>
      <c r="I104" s="3">
        <v>0</v>
      </c>
      <c r="J104" s="3" t="str">
        <f>IF(AND(tbl_attendance[[#This Row],[R1 Pts]]&gt;0, tbl_attendance[[#This Row],[R2 Pts]]&gt;0,tbl_attendance[[#This Row],[R3 Pts]]&gt;0,tbl_attendance[[#This Row],[R4 Pts]]&gt;0),"YES", "NO")</f>
        <v>NO</v>
      </c>
      <c r="K104" s="3" t="str">
        <f>IF(AND(tbl_attendance[[#This Row],[R2 Pts]]&gt;0, tbl_attendance[[#This Row],[R4 Pts]]&gt;0), "YES", "NO")</f>
        <v>NO</v>
      </c>
      <c r="L104" s="3" t="str">
        <f>IF(
(tbl_attendance[[#This Row],[R1 Pts]]&gt;0)+(tbl_attendance[[#This Row],[R2 Pts]]&gt;0)+(tbl_attendance[[#This Row],[R3 Pts]]&gt;0)+(tbl_attendance[[#This Row],[R4 Pts]]&gt;0)&gt;=3,"YES", "NO")</f>
        <v>NO</v>
      </c>
      <c r="M104" s="3" t="str">
        <f>IF(AND(tbl_attendance[[#This Row],[R1 Pts]]=0, tbl_attendance[[#This Row],[R2 Pts]]=0,tbl_attendance[[#This Row],[R3 Pts]]=0,tbl_attendance[[#This Row],[R4 Pts]]=0),"YES", "NO")</f>
        <v>NO</v>
      </c>
    </row>
    <row r="105" spans="1:13" hidden="1" x14ac:dyDescent="0.4">
      <c r="A105" t="e">
        <f>_xlfn.TEXTBEFORE(#REF!," ",)</f>
        <v>#REF!</v>
      </c>
      <c r="B105" t="e">
        <f>_xlfn.TEXTAFTER(#REF!, " ", -1)</f>
        <v>#REF!</v>
      </c>
      <c r="C105" t="s">
        <v>15</v>
      </c>
      <c r="D105" t="s">
        <v>1</v>
      </c>
      <c r="E105" s="3">
        <v>12032</v>
      </c>
      <c r="F105" s="3">
        <v>1</v>
      </c>
      <c r="G105" s="3">
        <v>0</v>
      </c>
      <c r="H105" s="3">
        <v>0</v>
      </c>
      <c r="I105" s="3">
        <v>0</v>
      </c>
      <c r="J105" s="3" t="str">
        <f>IF(AND(tbl_attendance[[#This Row],[R1 Pts]]&gt;0, tbl_attendance[[#This Row],[R2 Pts]]&gt;0,tbl_attendance[[#This Row],[R3 Pts]]&gt;0,tbl_attendance[[#This Row],[R4 Pts]]&gt;0),"YES", "NO")</f>
        <v>NO</v>
      </c>
      <c r="K105" s="3" t="str">
        <f>IF(AND(tbl_attendance[[#This Row],[R2 Pts]]&gt;0, tbl_attendance[[#This Row],[R4 Pts]]&gt;0), "YES", "NO")</f>
        <v>NO</v>
      </c>
      <c r="L105" s="3" t="str">
        <f>IF(
(tbl_attendance[[#This Row],[R1 Pts]]&gt;0)+(tbl_attendance[[#This Row],[R2 Pts]]&gt;0)+(tbl_attendance[[#This Row],[R3 Pts]]&gt;0)+(tbl_attendance[[#This Row],[R4 Pts]]&gt;0)&gt;=3,"YES", "NO")</f>
        <v>NO</v>
      </c>
      <c r="M105" s="3" t="str">
        <f>IF(AND(tbl_attendance[[#This Row],[R1 Pts]]=0, tbl_attendance[[#This Row],[R2 Pts]]=0,tbl_attendance[[#This Row],[R3 Pts]]=0,tbl_attendance[[#This Row],[R4 Pts]]=0),"YES", "NO")</f>
        <v>NO</v>
      </c>
    </row>
    <row r="106" spans="1:13" hidden="1" x14ac:dyDescent="0.4">
      <c r="A106" t="e">
        <f>_xlfn.TEXTBEFORE(#REF!," ",)</f>
        <v>#REF!</v>
      </c>
      <c r="B106" t="e">
        <f>_xlfn.TEXTAFTER(#REF!, " ", -1)</f>
        <v>#REF!</v>
      </c>
      <c r="C106" t="s">
        <v>15</v>
      </c>
      <c r="D106" t="s">
        <v>1</v>
      </c>
      <c r="E106" s="3">
        <v>12033</v>
      </c>
      <c r="F106" s="3">
        <v>80</v>
      </c>
      <c r="G106" s="3">
        <v>0</v>
      </c>
      <c r="H106" s="3">
        <v>0</v>
      </c>
      <c r="I106" s="3">
        <v>0</v>
      </c>
      <c r="J106" s="3" t="str">
        <f>IF(AND(tbl_attendance[[#This Row],[R1 Pts]]&gt;0, tbl_attendance[[#This Row],[R2 Pts]]&gt;0,tbl_attendance[[#This Row],[R3 Pts]]&gt;0,tbl_attendance[[#This Row],[R4 Pts]]&gt;0),"YES", "NO")</f>
        <v>NO</v>
      </c>
      <c r="K106" s="3" t="str">
        <f>IF(AND(tbl_attendance[[#This Row],[R2 Pts]]&gt;0, tbl_attendance[[#This Row],[R4 Pts]]&gt;0), "YES", "NO")</f>
        <v>NO</v>
      </c>
      <c r="L106" s="3" t="str">
        <f>IF(
(tbl_attendance[[#This Row],[R1 Pts]]&gt;0)+(tbl_attendance[[#This Row],[R2 Pts]]&gt;0)+(tbl_attendance[[#This Row],[R3 Pts]]&gt;0)+(tbl_attendance[[#This Row],[R4 Pts]]&gt;0)&gt;=3,"YES", "NO")</f>
        <v>NO</v>
      </c>
      <c r="M106" s="3" t="str">
        <f>IF(AND(tbl_attendance[[#This Row],[R1 Pts]]=0, tbl_attendance[[#This Row],[R2 Pts]]=0,tbl_attendance[[#This Row],[R3 Pts]]=0,tbl_attendance[[#This Row],[R4 Pts]]=0),"YES", "NO")</f>
        <v>NO</v>
      </c>
    </row>
    <row r="107" spans="1:13" hidden="1" x14ac:dyDescent="0.4">
      <c r="A107" t="e">
        <f>_xlfn.TEXTBEFORE(#REF!," ",)</f>
        <v>#REF!</v>
      </c>
      <c r="B107" t="e">
        <f>_xlfn.TEXTAFTER(#REF!, " ", -1)</f>
        <v>#REF!</v>
      </c>
      <c r="C107" t="s">
        <v>16</v>
      </c>
      <c r="D107" t="s">
        <v>7</v>
      </c>
      <c r="E107" s="3">
        <v>803</v>
      </c>
      <c r="F107" s="3">
        <v>0</v>
      </c>
      <c r="G107" s="3">
        <v>29</v>
      </c>
      <c r="H107" s="3">
        <v>38</v>
      </c>
      <c r="I107" s="3">
        <v>0</v>
      </c>
      <c r="J107" s="3" t="str">
        <f>IF(AND(tbl_attendance[[#This Row],[R1 Pts]]&gt;0, tbl_attendance[[#This Row],[R2 Pts]]&gt;0,tbl_attendance[[#This Row],[R3 Pts]]&gt;0,tbl_attendance[[#This Row],[R4 Pts]]&gt;0),"YES", "NO")</f>
        <v>NO</v>
      </c>
      <c r="K107" s="3" t="str">
        <f>IF(AND(tbl_attendance[[#This Row],[R2 Pts]]&gt;0, tbl_attendance[[#This Row],[R4 Pts]]&gt;0), "YES", "NO")</f>
        <v>NO</v>
      </c>
      <c r="L107" s="3" t="str">
        <f>IF(
(tbl_attendance[[#This Row],[R1 Pts]]&gt;0)+(tbl_attendance[[#This Row],[R2 Pts]]&gt;0)+(tbl_attendance[[#This Row],[R3 Pts]]&gt;0)+(tbl_attendance[[#This Row],[R4 Pts]]&gt;0)&gt;=3,"YES", "NO")</f>
        <v>NO</v>
      </c>
      <c r="M107" s="3" t="str">
        <f>IF(AND(tbl_attendance[[#This Row],[R1 Pts]]=0, tbl_attendance[[#This Row],[R2 Pts]]=0,tbl_attendance[[#This Row],[R3 Pts]]=0,tbl_attendance[[#This Row],[R4 Pts]]=0),"YES", "NO")</f>
        <v>NO</v>
      </c>
    </row>
    <row r="108" spans="1:13" hidden="1" x14ac:dyDescent="0.4">
      <c r="A108" t="e">
        <f>_xlfn.TEXTBEFORE(#REF!," ",)</f>
        <v>#REF!</v>
      </c>
      <c r="B108" t="e">
        <f>_xlfn.TEXTAFTER(#REF!, " ", -1)</f>
        <v>#REF!</v>
      </c>
      <c r="C108" t="s">
        <v>16</v>
      </c>
      <c r="D108" t="s">
        <v>7</v>
      </c>
      <c r="E108" s="3">
        <v>804</v>
      </c>
      <c r="F108" s="3">
        <v>65</v>
      </c>
      <c r="G108" s="3">
        <v>80</v>
      </c>
      <c r="H108" s="3">
        <v>44</v>
      </c>
      <c r="I108" s="3">
        <v>0</v>
      </c>
      <c r="J108" s="3" t="str">
        <f>IF(AND(tbl_attendance[[#This Row],[R1 Pts]]&gt;0, tbl_attendance[[#This Row],[R2 Pts]]&gt;0,tbl_attendance[[#This Row],[R3 Pts]]&gt;0,tbl_attendance[[#This Row],[R4 Pts]]&gt;0),"YES", "NO")</f>
        <v>NO</v>
      </c>
      <c r="K108" s="3" t="str">
        <f>IF(AND(tbl_attendance[[#This Row],[R2 Pts]]&gt;0, tbl_attendance[[#This Row],[R4 Pts]]&gt;0), "YES", "NO")</f>
        <v>NO</v>
      </c>
      <c r="L108" s="3" t="str">
        <f>IF(
(tbl_attendance[[#This Row],[R1 Pts]]&gt;0)+(tbl_attendance[[#This Row],[R2 Pts]]&gt;0)+(tbl_attendance[[#This Row],[R3 Pts]]&gt;0)+(tbl_attendance[[#This Row],[R4 Pts]]&gt;0)&gt;=3,"YES", "NO")</f>
        <v>YES</v>
      </c>
      <c r="M108" s="3" t="str">
        <f>IF(AND(tbl_attendance[[#This Row],[R1 Pts]]=0, tbl_attendance[[#This Row],[R2 Pts]]=0,tbl_attendance[[#This Row],[R3 Pts]]=0,tbl_attendance[[#This Row],[R4 Pts]]=0),"YES", "NO")</f>
        <v>NO</v>
      </c>
    </row>
    <row r="109" spans="1:13" hidden="1" x14ac:dyDescent="0.4">
      <c r="A109" t="e">
        <f>_xlfn.TEXTBEFORE(#REF!," ",)</f>
        <v>#REF!</v>
      </c>
      <c r="B109" t="e">
        <f>_xlfn.TEXTAFTER(#REF!, " ", -1)</f>
        <v>#REF!</v>
      </c>
      <c r="C109" t="s">
        <v>16</v>
      </c>
      <c r="D109" t="s">
        <v>5</v>
      </c>
      <c r="E109" s="3">
        <v>914</v>
      </c>
      <c r="F109" s="3">
        <v>34</v>
      </c>
      <c r="G109" s="3">
        <v>42</v>
      </c>
      <c r="H109" s="3">
        <v>44</v>
      </c>
      <c r="I109" s="3">
        <v>41</v>
      </c>
      <c r="J109" s="3" t="str">
        <f>IF(AND(tbl_attendance[[#This Row],[R1 Pts]]&gt;0, tbl_attendance[[#This Row],[R2 Pts]]&gt;0,tbl_attendance[[#This Row],[R3 Pts]]&gt;0,tbl_attendance[[#This Row],[R4 Pts]]&gt;0),"YES", "NO")</f>
        <v>YES</v>
      </c>
      <c r="K109" s="3" t="str">
        <f>IF(AND(tbl_attendance[[#This Row],[R2 Pts]]&gt;0, tbl_attendance[[#This Row],[R4 Pts]]&gt;0), "YES", "NO")</f>
        <v>YES</v>
      </c>
      <c r="L109" s="3" t="str">
        <f>IF(
(tbl_attendance[[#This Row],[R1 Pts]]&gt;0)+(tbl_attendance[[#This Row],[R2 Pts]]&gt;0)+(tbl_attendance[[#This Row],[R3 Pts]]&gt;0)+(tbl_attendance[[#This Row],[R4 Pts]]&gt;0)&gt;=3,"YES", "NO")</f>
        <v>YES</v>
      </c>
      <c r="M109" s="3" t="str">
        <f>IF(AND(tbl_attendance[[#This Row],[R1 Pts]]=0, tbl_attendance[[#This Row],[R2 Pts]]=0,tbl_attendance[[#This Row],[R3 Pts]]=0,tbl_attendance[[#This Row],[R4 Pts]]=0),"YES", "NO")</f>
        <v>NO</v>
      </c>
    </row>
    <row r="110" spans="1:13" hidden="1" x14ac:dyDescent="0.4">
      <c r="A110" t="e">
        <f>_xlfn.TEXTBEFORE(#REF!," ",)</f>
        <v>#REF!</v>
      </c>
      <c r="B110" t="e">
        <f>_xlfn.TEXTAFTER(#REF!, " ", -1)</f>
        <v>#REF!</v>
      </c>
      <c r="C110" t="s">
        <v>16</v>
      </c>
      <c r="D110" t="s">
        <v>5</v>
      </c>
      <c r="E110" s="3">
        <v>915</v>
      </c>
      <c r="F110" s="3">
        <v>28</v>
      </c>
      <c r="G110" s="3">
        <v>27</v>
      </c>
      <c r="H110" s="3">
        <v>43</v>
      </c>
      <c r="I110" s="3">
        <v>35</v>
      </c>
      <c r="J110" s="3" t="str">
        <f>IF(AND(tbl_attendance[[#This Row],[R1 Pts]]&gt;0, tbl_attendance[[#This Row],[R2 Pts]]&gt;0,tbl_attendance[[#This Row],[R3 Pts]]&gt;0,tbl_attendance[[#This Row],[R4 Pts]]&gt;0),"YES", "NO")</f>
        <v>YES</v>
      </c>
      <c r="K110" s="3" t="str">
        <f>IF(AND(tbl_attendance[[#This Row],[R2 Pts]]&gt;0, tbl_attendance[[#This Row],[R4 Pts]]&gt;0), "YES", "NO")</f>
        <v>YES</v>
      </c>
      <c r="L110" s="3" t="str">
        <f>IF(
(tbl_attendance[[#This Row],[R1 Pts]]&gt;0)+(tbl_attendance[[#This Row],[R2 Pts]]&gt;0)+(tbl_attendance[[#This Row],[R3 Pts]]&gt;0)+(tbl_attendance[[#This Row],[R4 Pts]]&gt;0)&gt;=3,"YES", "NO")</f>
        <v>YES</v>
      </c>
      <c r="M110" s="3" t="str">
        <f>IF(AND(tbl_attendance[[#This Row],[R1 Pts]]=0, tbl_attendance[[#This Row],[R2 Pts]]=0,tbl_attendance[[#This Row],[R3 Pts]]=0,tbl_attendance[[#This Row],[R4 Pts]]=0),"YES", "NO")</f>
        <v>NO</v>
      </c>
    </row>
    <row r="111" spans="1:13" hidden="1" x14ac:dyDescent="0.4">
      <c r="A111" t="e">
        <f>_xlfn.TEXTBEFORE(#REF!," ",)</f>
        <v>#REF!</v>
      </c>
      <c r="B111" t="e">
        <f>_xlfn.TEXTAFTER(#REF!, " ", -1)</f>
        <v>#REF!</v>
      </c>
      <c r="C111" t="s">
        <v>16</v>
      </c>
      <c r="D111" t="s">
        <v>5</v>
      </c>
      <c r="E111" s="3">
        <v>916</v>
      </c>
      <c r="F111" s="3">
        <v>40</v>
      </c>
      <c r="G111" s="3">
        <v>65</v>
      </c>
      <c r="H111" s="3">
        <v>51</v>
      </c>
      <c r="I111" s="3">
        <v>70</v>
      </c>
      <c r="J111" s="3" t="str">
        <f>IF(AND(tbl_attendance[[#This Row],[R1 Pts]]&gt;0, tbl_attendance[[#This Row],[R2 Pts]]&gt;0,tbl_attendance[[#This Row],[R3 Pts]]&gt;0,tbl_attendance[[#This Row],[R4 Pts]]&gt;0),"YES", "NO")</f>
        <v>YES</v>
      </c>
      <c r="K111" s="3" t="str">
        <f>IF(AND(tbl_attendance[[#This Row],[R2 Pts]]&gt;0, tbl_attendance[[#This Row],[R4 Pts]]&gt;0), "YES", "NO")</f>
        <v>YES</v>
      </c>
      <c r="L111" s="3" t="str">
        <f>IF(
(tbl_attendance[[#This Row],[R1 Pts]]&gt;0)+(tbl_attendance[[#This Row],[R2 Pts]]&gt;0)+(tbl_attendance[[#This Row],[R3 Pts]]&gt;0)+(tbl_attendance[[#This Row],[R4 Pts]]&gt;0)&gt;=3,"YES", "NO")</f>
        <v>YES</v>
      </c>
      <c r="M111" s="3" t="str">
        <f>IF(AND(tbl_attendance[[#This Row],[R1 Pts]]=0, tbl_attendance[[#This Row],[R2 Pts]]=0,tbl_attendance[[#This Row],[R3 Pts]]=0,tbl_attendance[[#This Row],[R4 Pts]]=0),"YES", "NO")</f>
        <v>NO</v>
      </c>
    </row>
    <row r="112" spans="1:13" hidden="1" x14ac:dyDescent="0.4">
      <c r="A112" t="e">
        <f>_xlfn.TEXTBEFORE(#REF!," ",)</f>
        <v>#REF!</v>
      </c>
      <c r="B112" t="e">
        <f>_xlfn.TEXTAFTER(#REF!, " ", -1)</f>
        <v>#REF!</v>
      </c>
      <c r="C112" t="s">
        <v>16</v>
      </c>
      <c r="D112" t="s">
        <v>5</v>
      </c>
      <c r="E112" s="3">
        <v>917</v>
      </c>
      <c r="F112" s="3">
        <v>85</v>
      </c>
      <c r="G112" s="3">
        <v>53</v>
      </c>
      <c r="H112" s="3">
        <v>95</v>
      </c>
      <c r="I112" s="3">
        <v>60</v>
      </c>
      <c r="J112" s="3" t="str">
        <f>IF(AND(tbl_attendance[[#This Row],[R1 Pts]]&gt;0, tbl_attendance[[#This Row],[R2 Pts]]&gt;0,tbl_attendance[[#This Row],[R3 Pts]]&gt;0,tbl_attendance[[#This Row],[R4 Pts]]&gt;0),"YES", "NO")</f>
        <v>YES</v>
      </c>
      <c r="K112" s="3" t="str">
        <f>IF(AND(tbl_attendance[[#This Row],[R2 Pts]]&gt;0, tbl_attendance[[#This Row],[R4 Pts]]&gt;0), "YES", "NO")</f>
        <v>YES</v>
      </c>
      <c r="L112" s="3" t="str">
        <f>IF(
(tbl_attendance[[#This Row],[R1 Pts]]&gt;0)+(tbl_attendance[[#This Row],[R2 Pts]]&gt;0)+(tbl_attendance[[#This Row],[R3 Pts]]&gt;0)+(tbl_attendance[[#This Row],[R4 Pts]]&gt;0)&gt;=3,"YES", "NO")</f>
        <v>YES</v>
      </c>
      <c r="M112" s="3" t="str">
        <f>IF(AND(tbl_attendance[[#This Row],[R1 Pts]]=0, tbl_attendance[[#This Row],[R2 Pts]]=0,tbl_attendance[[#This Row],[R3 Pts]]=0,tbl_attendance[[#This Row],[R4 Pts]]=0),"YES", "NO")</f>
        <v>NO</v>
      </c>
    </row>
    <row r="113" spans="1:13" hidden="1" x14ac:dyDescent="0.4">
      <c r="A113" t="e">
        <f>_xlfn.TEXTBEFORE(#REF!," ",)</f>
        <v>#REF!</v>
      </c>
      <c r="B113" t="e">
        <f>_xlfn.TEXTAFTER(#REF!, " ", -1)</f>
        <v>#REF!</v>
      </c>
      <c r="C113" t="s">
        <v>16</v>
      </c>
      <c r="D113" t="s">
        <v>6</v>
      </c>
      <c r="E113" s="3">
        <v>9250</v>
      </c>
      <c r="F113" s="3">
        <v>80</v>
      </c>
      <c r="G113" s="3">
        <v>95</v>
      </c>
      <c r="H113" s="3">
        <v>90</v>
      </c>
      <c r="I113" s="3">
        <v>95</v>
      </c>
      <c r="J113" s="3" t="str">
        <f>IF(AND(tbl_attendance[[#This Row],[R1 Pts]]&gt;0, tbl_attendance[[#This Row],[R2 Pts]]&gt;0,tbl_attendance[[#This Row],[R3 Pts]]&gt;0,tbl_attendance[[#This Row],[R4 Pts]]&gt;0),"YES", "NO")</f>
        <v>YES</v>
      </c>
      <c r="K113" s="3" t="str">
        <f>IF(AND(tbl_attendance[[#This Row],[R2 Pts]]&gt;0, tbl_attendance[[#This Row],[R4 Pts]]&gt;0), "YES", "NO")</f>
        <v>YES</v>
      </c>
      <c r="L113" s="3" t="str">
        <f>IF(
(tbl_attendance[[#This Row],[R1 Pts]]&gt;0)+(tbl_attendance[[#This Row],[R2 Pts]]&gt;0)+(tbl_attendance[[#This Row],[R3 Pts]]&gt;0)+(tbl_attendance[[#This Row],[R4 Pts]]&gt;0)&gt;=3,"YES", "NO")</f>
        <v>YES</v>
      </c>
      <c r="M113" s="3" t="str">
        <f>IF(AND(tbl_attendance[[#This Row],[R1 Pts]]=0, tbl_attendance[[#This Row],[R2 Pts]]=0,tbl_attendance[[#This Row],[R3 Pts]]=0,tbl_attendance[[#This Row],[R4 Pts]]=0),"YES", "NO")</f>
        <v>NO</v>
      </c>
    </row>
    <row r="114" spans="1:13" hidden="1" x14ac:dyDescent="0.4">
      <c r="A114" t="e">
        <f>_xlfn.TEXTBEFORE(#REF!," ",)</f>
        <v>#REF!</v>
      </c>
      <c r="B114" t="e">
        <f>_xlfn.TEXTAFTER(#REF!, " ", -1)</f>
        <v>#REF!</v>
      </c>
      <c r="C114" t="s">
        <v>16</v>
      </c>
      <c r="D114" t="s">
        <v>1</v>
      </c>
      <c r="E114" s="3">
        <v>12034</v>
      </c>
      <c r="F114" s="3">
        <v>0</v>
      </c>
      <c r="G114" s="3">
        <v>14</v>
      </c>
      <c r="H114" s="3">
        <v>0</v>
      </c>
      <c r="I114" s="3">
        <v>22</v>
      </c>
      <c r="J114" s="3" t="str">
        <f>IF(AND(tbl_attendance[[#This Row],[R1 Pts]]&gt;0, tbl_attendance[[#This Row],[R2 Pts]]&gt;0,tbl_attendance[[#This Row],[R3 Pts]]&gt;0,tbl_attendance[[#This Row],[R4 Pts]]&gt;0),"YES", "NO")</f>
        <v>NO</v>
      </c>
      <c r="K114" s="3" t="str">
        <f>IF(AND(tbl_attendance[[#This Row],[R2 Pts]]&gt;0, tbl_attendance[[#This Row],[R4 Pts]]&gt;0), "YES", "NO")</f>
        <v>YES</v>
      </c>
      <c r="L114" s="3" t="str">
        <f>IF(
(tbl_attendance[[#This Row],[R1 Pts]]&gt;0)+(tbl_attendance[[#This Row],[R2 Pts]]&gt;0)+(tbl_attendance[[#This Row],[R3 Pts]]&gt;0)+(tbl_attendance[[#This Row],[R4 Pts]]&gt;0)&gt;=3,"YES", "NO")</f>
        <v>NO</v>
      </c>
      <c r="M114" s="3" t="str">
        <f>IF(AND(tbl_attendance[[#This Row],[R1 Pts]]=0, tbl_attendance[[#This Row],[R2 Pts]]=0,tbl_attendance[[#This Row],[R3 Pts]]=0,tbl_attendance[[#This Row],[R4 Pts]]=0),"YES", "NO")</f>
        <v>NO</v>
      </c>
    </row>
    <row r="115" spans="1:13" hidden="1" x14ac:dyDescent="0.4">
      <c r="A115" t="e">
        <f>_xlfn.TEXTBEFORE(#REF!," ",)</f>
        <v>#REF!</v>
      </c>
      <c r="B115" t="e">
        <f>_xlfn.TEXTAFTER(#REF!, " ", -1)</f>
        <v>#REF!</v>
      </c>
      <c r="C115" t="s">
        <v>16</v>
      </c>
      <c r="D115" t="s">
        <v>1</v>
      </c>
      <c r="E115" s="3">
        <v>12035</v>
      </c>
      <c r="F115" s="3">
        <v>0</v>
      </c>
      <c r="G115" s="3">
        <v>1</v>
      </c>
      <c r="H115" s="3">
        <v>0</v>
      </c>
      <c r="I115" s="3">
        <v>0</v>
      </c>
      <c r="J115" s="3" t="str">
        <f>IF(AND(tbl_attendance[[#This Row],[R1 Pts]]&gt;0, tbl_attendance[[#This Row],[R2 Pts]]&gt;0,tbl_attendance[[#This Row],[R3 Pts]]&gt;0,tbl_attendance[[#This Row],[R4 Pts]]&gt;0),"YES", "NO")</f>
        <v>NO</v>
      </c>
      <c r="K115" s="3" t="str">
        <f>IF(AND(tbl_attendance[[#This Row],[R2 Pts]]&gt;0, tbl_attendance[[#This Row],[R4 Pts]]&gt;0), "YES", "NO")</f>
        <v>NO</v>
      </c>
      <c r="L115" s="3" t="str">
        <f>IF(
(tbl_attendance[[#This Row],[R1 Pts]]&gt;0)+(tbl_attendance[[#This Row],[R2 Pts]]&gt;0)+(tbl_attendance[[#This Row],[R3 Pts]]&gt;0)+(tbl_attendance[[#This Row],[R4 Pts]]&gt;0)&gt;=3,"YES", "NO")</f>
        <v>NO</v>
      </c>
      <c r="M115" s="3" t="str">
        <f>IF(AND(tbl_attendance[[#This Row],[R1 Pts]]=0, tbl_attendance[[#This Row],[R2 Pts]]=0,tbl_attendance[[#This Row],[R3 Pts]]=0,tbl_attendance[[#This Row],[R4 Pts]]=0),"YES", "NO")</f>
        <v>NO</v>
      </c>
    </row>
    <row r="116" spans="1:13" x14ac:dyDescent="0.4">
      <c r="A116" t="s">
        <v>652</v>
      </c>
      <c r="B116" t="s">
        <v>653</v>
      </c>
      <c r="C116" t="s">
        <v>17</v>
      </c>
      <c r="D116" t="s">
        <v>7</v>
      </c>
      <c r="E116" s="3">
        <v>837</v>
      </c>
      <c r="F116" s="3">
        <v>100</v>
      </c>
      <c r="G116" s="3">
        <v>95</v>
      </c>
      <c r="H116" s="3">
        <v>0</v>
      </c>
      <c r="I116" s="3">
        <v>100</v>
      </c>
      <c r="J116" s="3" t="str">
        <f>IF(AND(tbl_attendance[[#This Row],[R1 Pts]]&gt;0, tbl_attendance[[#This Row],[R2 Pts]]&gt;0,tbl_attendance[[#This Row],[R3 Pts]]&gt;0,tbl_attendance[[#This Row],[R4 Pts]]&gt;0),"YES", "NO")</f>
        <v>NO</v>
      </c>
      <c r="K116" s="3" t="str">
        <f>IF(AND(tbl_attendance[[#This Row],[R2 Pts]]&gt;0, tbl_attendance[[#This Row],[R4 Pts]]&gt;0), "YES", "NO")</f>
        <v>YES</v>
      </c>
      <c r="L116" s="3" t="str">
        <f>IF(
(tbl_attendance[[#This Row],[R1 Pts]]&gt;0)+(tbl_attendance[[#This Row],[R2 Pts]]&gt;0)+(tbl_attendance[[#This Row],[R3 Pts]]&gt;0)+(tbl_attendance[[#This Row],[R4 Pts]]&gt;0)&gt;=3,"YES", "NO")</f>
        <v>YES</v>
      </c>
      <c r="M116" s="3" t="str">
        <f>IF(AND(tbl_attendance[[#This Row],[R1 Pts]]=0, tbl_attendance[[#This Row],[R2 Pts]]=0,tbl_attendance[[#This Row],[R3 Pts]]=0,tbl_attendance[[#This Row],[R4 Pts]]=0),"YES", "NO")</f>
        <v>NO</v>
      </c>
    </row>
    <row r="117" spans="1:13" x14ac:dyDescent="0.4">
      <c r="A117" t="s">
        <v>655</v>
      </c>
      <c r="B117" t="s">
        <v>656</v>
      </c>
      <c r="C117" t="s">
        <v>17</v>
      </c>
      <c r="D117" t="s">
        <v>7</v>
      </c>
      <c r="E117" s="3">
        <v>838</v>
      </c>
      <c r="F117" s="3">
        <v>95</v>
      </c>
      <c r="G117" s="3">
        <v>60</v>
      </c>
      <c r="H117" s="3">
        <v>85</v>
      </c>
      <c r="I117" s="3">
        <v>80</v>
      </c>
      <c r="J117" s="3" t="str">
        <f>IF(AND(tbl_attendance[[#This Row],[R1 Pts]]&gt;0, tbl_attendance[[#This Row],[R2 Pts]]&gt;0,tbl_attendance[[#This Row],[R3 Pts]]&gt;0,tbl_attendance[[#This Row],[R4 Pts]]&gt;0),"YES", "NO")</f>
        <v>YES</v>
      </c>
      <c r="K117" s="3" t="str">
        <f>IF(AND(tbl_attendance[[#This Row],[R2 Pts]]&gt;0, tbl_attendance[[#This Row],[R4 Pts]]&gt;0), "YES", "NO")</f>
        <v>YES</v>
      </c>
      <c r="L117" s="3" t="str">
        <f>IF(
(tbl_attendance[[#This Row],[R1 Pts]]&gt;0)+(tbl_attendance[[#This Row],[R2 Pts]]&gt;0)+(tbl_attendance[[#This Row],[R3 Pts]]&gt;0)+(tbl_attendance[[#This Row],[R4 Pts]]&gt;0)&gt;=3,"YES", "NO")</f>
        <v>YES</v>
      </c>
      <c r="M117" s="3" t="str">
        <f>IF(AND(tbl_attendance[[#This Row],[R1 Pts]]=0, tbl_attendance[[#This Row],[R2 Pts]]=0,tbl_attendance[[#This Row],[R3 Pts]]=0,tbl_attendance[[#This Row],[R4 Pts]]=0),"YES", "NO")</f>
        <v>NO</v>
      </c>
    </row>
    <row r="118" spans="1:13" x14ac:dyDescent="0.4">
      <c r="A118" t="s">
        <v>562</v>
      </c>
      <c r="B118" t="s">
        <v>658</v>
      </c>
      <c r="C118" t="s">
        <v>17</v>
      </c>
      <c r="D118" t="s">
        <v>7</v>
      </c>
      <c r="E118" s="3">
        <v>839</v>
      </c>
      <c r="F118" s="3">
        <v>85</v>
      </c>
      <c r="G118" s="3">
        <v>0</v>
      </c>
      <c r="H118" s="3">
        <v>0</v>
      </c>
      <c r="I118" s="3">
        <v>90</v>
      </c>
      <c r="J118" s="3" t="str">
        <f>IF(AND(tbl_attendance[[#This Row],[R1 Pts]]&gt;0, tbl_attendance[[#This Row],[R2 Pts]]&gt;0,tbl_attendance[[#This Row],[R3 Pts]]&gt;0,tbl_attendance[[#This Row],[R4 Pts]]&gt;0),"YES", "NO")</f>
        <v>NO</v>
      </c>
      <c r="K118" s="3" t="str">
        <f>IF(AND(tbl_attendance[[#This Row],[R2 Pts]]&gt;0, tbl_attendance[[#This Row],[R4 Pts]]&gt;0), "YES", "NO")</f>
        <v>NO</v>
      </c>
      <c r="L118" s="3" t="str">
        <f>IF(
(tbl_attendance[[#This Row],[R1 Pts]]&gt;0)+(tbl_attendance[[#This Row],[R2 Pts]]&gt;0)+(tbl_attendance[[#This Row],[R3 Pts]]&gt;0)+(tbl_attendance[[#This Row],[R4 Pts]]&gt;0)&gt;=3,"YES", "NO")</f>
        <v>NO</v>
      </c>
      <c r="M118" s="3" t="str">
        <f>IF(AND(tbl_attendance[[#This Row],[R1 Pts]]=0, tbl_attendance[[#This Row],[R2 Pts]]=0,tbl_attendance[[#This Row],[R3 Pts]]=0,tbl_attendance[[#This Row],[R4 Pts]]=0),"YES", "NO")</f>
        <v>NO</v>
      </c>
    </row>
    <row r="119" spans="1:13" x14ac:dyDescent="0.4">
      <c r="A119" t="s">
        <v>660</v>
      </c>
      <c r="B119" t="s">
        <v>661</v>
      </c>
      <c r="C119" t="s">
        <v>17</v>
      </c>
      <c r="D119" t="s">
        <v>7</v>
      </c>
      <c r="E119" s="3">
        <v>841</v>
      </c>
      <c r="F119" s="3">
        <v>0</v>
      </c>
      <c r="G119" s="3">
        <v>53</v>
      </c>
      <c r="H119" s="3">
        <v>0</v>
      </c>
      <c r="I119" s="3">
        <v>70</v>
      </c>
      <c r="J119" s="3" t="str">
        <f>IF(AND(tbl_attendance[[#This Row],[R1 Pts]]&gt;0, tbl_attendance[[#This Row],[R2 Pts]]&gt;0,tbl_attendance[[#This Row],[R3 Pts]]&gt;0,tbl_attendance[[#This Row],[R4 Pts]]&gt;0),"YES", "NO")</f>
        <v>NO</v>
      </c>
      <c r="K119" s="3" t="str">
        <f>IF(AND(tbl_attendance[[#This Row],[R2 Pts]]&gt;0, tbl_attendance[[#This Row],[R4 Pts]]&gt;0), "YES", "NO")</f>
        <v>YES</v>
      </c>
      <c r="L119" s="3" t="str">
        <f>IF(
(tbl_attendance[[#This Row],[R1 Pts]]&gt;0)+(tbl_attendance[[#This Row],[R2 Pts]]&gt;0)+(tbl_attendance[[#This Row],[R3 Pts]]&gt;0)+(tbl_attendance[[#This Row],[R4 Pts]]&gt;0)&gt;=3,"YES", "NO")</f>
        <v>NO</v>
      </c>
      <c r="M119" s="3" t="str">
        <f>IF(AND(tbl_attendance[[#This Row],[R1 Pts]]=0, tbl_attendance[[#This Row],[R2 Pts]]=0,tbl_attendance[[#This Row],[R3 Pts]]=0,tbl_attendance[[#This Row],[R4 Pts]]=0),"YES", "NO")</f>
        <v>NO</v>
      </c>
    </row>
    <row r="120" spans="1:13" x14ac:dyDescent="0.4">
      <c r="A120" t="s">
        <v>681</v>
      </c>
      <c r="B120" t="s">
        <v>682</v>
      </c>
      <c r="C120" t="s">
        <v>17</v>
      </c>
      <c r="D120" t="s">
        <v>8</v>
      </c>
      <c r="E120" s="3">
        <v>859</v>
      </c>
      <c r="F120" s="3">
        <v>0</v>
      </c>
      <c r="G120" s="3">
        <v>0</v>
      </c>
      <c r="H120" s="3">
        <v>95</v>
      </c>
      <c r="I120" s="3">
        <v>0</v>
      </c>
      <c r="J120" s="3" t="str">
        <f>IF(AND(tbl_attendance[[#This Row],[R1 Pts]]&gt;0, tbl_attendance[[#This Row],[R2 Pts]]&gt;0,tbl_attendance[[#This Row],[R3 Pts]]&gt;0,tbl_attendance[[#This Row],[R4 Pts]]&gt;0),"YES", "NO")</f>
        <v>NO</v>
      </c>
      <c r="K120" s="3" t="str">
        <f>IF(AND(tbl_attendance[[#This Row],[R2 Pts]]&gt;0, tbl_attendance[[#This Row],[R4 Pts]]&gt;0), "YES", "NO")</f>
        <v>NO</v>
      </c>
      <c r="L120" s="3" t="str">
        <f>IF(
(tbl_attendance[[#This Row],[R1 Pts]]&gt;0)+(tbl_attendance[[#This Row],[R2 Pts]]&gt;0)+(tbl_attendance[[#This Row],[R3 Pts]]&gt;0)+(tbl_attendance[[#This Row],[R4 Pts]]&gt;0)&gt;=3,"YES", "NO")</f>
        <v>NO</v>
      </c>
      <c r="M120" s="3" t="str">
        <f>IF(AND(tbl_attendance[[#This Row],[R1 Pts]]=0, tbl_attendance[[#This Row],[R2 Pts]]=0,tbl_attendance[[#This Row],[R3 Pts]]=0,tbl_attendance[[#This Row],[R4 Pts]]=0),"YES", "NO")</f>
        <v>NO</v>
      </c>
    </row>
    <row r="121" spans="1:13" x14ac:dyDescent="0.4">
      <c r="A121" t="s">
        <v>663</v>
      </c>
      <c r="B121" t="s">
        <v>664</v>
      </c>
      <c r="C121" t="s">
        <v>17</v>
      </c>
      <c r="D121" t="s">
        <v>5</v>
      </c>
      <c r="E121" s="3">
        <v>955</v>
      </c>
      <c r="F121" s="3">
        <v>0</v>
      </c>
      <c r="G121" s="3">
        <v>0</v>
      </c>
      <c r="H121" s="3">
        <v>0</v>
      </c>
      <c r="I121" s="3">
        <v>51</v>
      </c>
      <c r="J121" s="3" t="str">
        <f>IF(AND(tbl_attendance[[#This Row],[R1 Pts]]&gt;0, tbl_attendance[[#This Row],[R2 Pts]]&gt;0,tbl_attendance[[#This Row],[R3 Pts]]&gt;0,tbl_attendance[[#This Row],[R4 Pts]]&gt;0),"YES", "NO")</f>
        <v>NO</v>
      </c>
      <c r="K121" s="3" t="str">
        <f>IF(AND(tbl_attendance[[#This Row],[R2 Pts]]&gt;0, tbl_attendance[[#This Row],[R4 Pts]]&gt;0), "YES", "NO")</f>
        <v>NO</v>
      </c>
      <c r="L121" s="3" t="str">
        <f>IF(
(tbl_attendance[[#This Row],[R1 Pts]]&gt;0)+(tbl_attendance[[#This Row],[R2 Pts]]&gt;0)+(tbl_attendance[[#This Row],[R3 Pts]]&gt;0)+(tbl_attendance[[#This Row],[R4 Pts]]&gt;0)&gt;=3,"YES", "NO")</f>
        <v>NO</v>
      </c>
      <c r="M121" s="3" t="str">
        <f>IF(AND(tbl_attendance[[#This Row],[R1 Pts]]=0, tbl_attendance[[#This Row],[R2 Pts]]=0,tbl_attendance[[#This Row],[R3 Pts]]=0,tbl_attendance[[#This Row],[R4 Pts]]=0),"YES", "NO")</f>
        <v>NO</v>
      </c>
    </row>
    <row r="122" spans="1:13" x14ac:dyDescent="0.4">
      <c r="A122" t="s">
        <v>666</v>
      </c>
      <c r="B122" t="s">
        <v>667</v>
      </c>
      <c r="C122" t="s">
        <v>17</v>
      </c>
      <c r="D122" t="s">
        <v>5</v>
      </c>
      <c r="E122" s="3">
        <v>956</v>
      </c>
      <c r="F122" s="3">
        <v>0</v>
      </c>
      <c r="G122" s="3">
        <v>60</v>
      </c>
      <c r="H122" s="3">
        <v>0</v>
      </c>
      <c r="I122" s="3">
        <v>65</v>
      </c>
      <c r="J122" s="3" t="str">
        <f>IF(AND(tbl_attendance[[#This Row],[R1 Pts]]&gt;0, tbl_attendance[[#This Row],[R2 Pts]]&gt;0,tbl_attendance[[#This Row],[R3 Pts]]&gt;0,tbl_attendance[[#This Row],[R4 Pts]]&gt;0),"YES", "NO")</f>
        <v>NO</v>
      </c>
      <c r="K122" s="3" t="str">
        <f>IF(AND(tbl_attendance[[#This Row],[R2 Pts]]&gt;0, tbl_attendance[[#This Row],[R4 Pts]]&gt;0), "YES", "NO")</f>
        <v>YES</v>
      </c>
      <c r="L122" s="3" t="str">
        <f>IF(
(tbl_attendance[[#This Row],[R1 Pts]]&gt;0)+(tbl_attendance[[#This Row],[R2 Pts]]&gt;0)+(tbl_attendance[[#This Row],[R3 Pts]]&gt;0)+(tbl_attendance[[#This Row],[R4 Pts]]&gt;0)&gt;=3,"YES", "NO")</f>
        <v>NO</v>
      </c>
      <c r="M122" s="3" t="str">
        <f>IF(AND(tbl_attendance[[#This Row],[R1 Pts]]=0, tbl_attendance[[#This Row],[R2 Pts]]=0,tbl_attendance[[#This Row],[R3 Pts]]=0,tbl_attendance[[#This Row],[R4 Pts]]=0),"YES", "NO")</f>
        <v>NO</v>
      </c>
    </row>
    <row r="123" spans="1:13" x14ac:dyDescent="0.4">
      <c r="A123" t="s">
        <v>669</v>
      </c>
      <c r="B123" t="s">
        <v>670</v>
      </c>
      <c r="C123" t="s">
        <v>17</v>
      </c>
      <c r="D123" t="s">
        <v>5</v>
      </c>
      <c r="E123" s="3">
        <v>957</v>
      </c>
      <c r="F123" s="3">
        <v>0</v>
      </c>
      <c r="G123" s="3">
        <v>0</v>
      </c>
      <c r="H123" s="3">
        <v>70</v>
      </c>
      <c r="I123" s="3">
        <v>0</v>
      </c>
      <c r="J123" s="3" t="str">
        <f>IF(AND(tbl_attendance[[#This Row],[R1 Pts]]&gt;0, tbl_attendance[[#This Row],[R2 Pts]]&gt;0,tbl_attendance[[#This Row],[R3 Pts]]&gt;0,tbl_attendance[[#This Row],[R4 Pts]]&gt;0),"YES", "NO")</f>
        <v>NO</v>
      </c>
      <c r="K123" s="3" t="str">
        <f>IF(AND(tbl_attendance[[#This Row],[R2 Pts]]&gt;0, tbl_attendance[[#This Row],[R4 Pts]]&gt;0), "YES", "NO")</f>
        <v>NO</v>
      </c>
      <c r="L123" s="3" t="str">
        <f>IF(
(tbl_attendance[[#This Row],[R1 Pts]]&gt;0)+(tbl_attendance[[#This Row],[R2 Pts]]&gt;0)+(tbl_attendance[[#This Row],[R3 Pts]]&gt;0)+(tbl_attendance[[#This Row],[R4 Pts]]&gt;0)&gt;=3,"YES", "NO")</f>
        <v>NO</v>
      </c>
      <c r="M123" s="3" t="str">
        <f>IF(AND(tbl_attendance[[#This Row],[R1 Pts]]=0, tbl_attendance[[#This Row],[R2 Pts]]=0,tbl_attendance[[#This Row],[R3 Pts]]=0,tbl_attendance[[#This Row],[R4 Pts]]=0),"YES", "NO")</f>
        <v>NO</v>
      </c>
    </row>
    <row r="124" spans="1:13" x14ac:dyDescent="0.4">
      <c r="A124" t="s">
        <v>672</v>
      </c>
      <c r="B124" t="s">
        <v>673</v>
      </c>
      <c r="C124" t="s">
        <v>17</v>
      </c>
      <c r="D124" t="s">
        <v>5</v>
      </c>
      <c r="E124" s="3">
        <v>959</v>
      </c>
      <c r="F124" s="3">
        <v>75</v>
      </c>
      <c r="G124" s="3">
        <v>95</v>
      </c>
      <c r="H124" s="3">
        <v>0</v>
      </c>
      <c r="I124" s="3">
        <v>100</v>
      </c>
      <c r="J124" s="3" t="str">
        <f>IF(AND(tbl_attendance[[#This Row],[R1 Pts]]&gt;0, tbl_attendance[[#This Row],[R2 Pts]]&gt;0,tbl_attendance[[#This Row],[R3 Pts]]&gt;0,tbl_attendance[[#This Row],[R4 Pts]]&gt;0),"YES", "NO")</f>
        <v>NO</v>
      </c>
      <c r="K124" s="3" t="str">
        <f>IF(AND(tbl_attendance[[#This Row],[R2 Pts]]&gt;0, tbl_attendance[[#This Row],[R4 Pts]]&gt;0), "YES", "NO")</f>
        <v>YES</v>
      </c>
      <c r="L124" s="3" t="str">
        <f>IF(
(tbl_attendance[[#This Row],[R1 Pts]]&gt;0)+(tbl_attendance[[#This Row],[R2 Pts]]&gt;0)+(tbl_attendance[[#This Row],[R3 Pts]]&gt;0)+(tbl_attendance[[#This Row],[R4 Pts]]&gt;0)&gt;=3,"YES", "NO")</f>
        <v>YES</v>
      </c>
      <c r="M124" s="3" t="str">
        <f>IF(AND(tbl_attendance[[#This Row],[R1 Pts]]=0, tbl_attendance[[#This Row],[R2 Pts]]=0,tbl_attendance[[#This Row],[R3 Pts]]=0,tbl_attendance[[#This Row],[R4 Pts]]=0),"YES", "NO")</f>
        <v>NO</v>
      </c>
    </row>
    <row r="125" spans="1:13" x14ac:dyDescent="0.4">
      <c r="A125" t="s">
        <v>675</v>
      </c>
      <c r="B125" t="s">
        <v>676</v>
      </c>
      <c r="C125" t="s">
        <v>17</v>
      </c>
      <c r="D125" t="s">
        <v>6</v>
      </c>
      <c r="E125" s="3">
        <v>9360</v>
      </c>
      <c r="F125" s="3">
        <v>85</v>
      </c>
      <c r="G125" s="3">
        <v>75</v>
      </c>
      <c r="H125" s="3">
        <v>0</v>
      </c>
      <c r="I125" s="3">
        <v>70</v>
      </c>
      <c r="J125" s="3" t="str">
        <f>IF(AND(tbl_attendance[[#This Row],[R1 Pts]]&gt;0, tbl_attendance[[#This Row],[R2 Pts]]&gt;0,tbl_attendance[[#This Row],[R3 Pts]]&gt;0,tbl_attendance[[#This Row],[R4 Pts]]&gt;0),"YES", "NO")</f>
        <v>NO</v>
      </c>
      <c r="K125" s="3" t="str">
        <f>IF(AND(tbl_attendance[[#This Row],[R2 Pts]]&gt;0, tbl_attendance[[#This Row],[R4 Pts]]&gt;0), "YES", "NO")</f>
        <v>YES</v>
      </c>
      <c r="L125" s="3" t="str">
        <f>IF(
(tbl_attendance[[#This Row],[R1 Pts]]&gt;0)+(tbl_attendance[[#This Row],[R2 Pts]]&gt;0)+(tbl_attendance[[#This Row],[R3 Pts]]&gt;0)+(tbl_attendance[[#This Row],[R4 Pts]]&gt;0)&gt;=3,"YES", "NO")</f>
        <v>YES</v>
      </c>
      <c r="M125" s="3" t="str">
        <f>IF(AND(tbl_attendance[[#This Row],[R1 Pts]]=0, tbl_attendance[[#This Row],[R2 Pts]]=0,tbl_attendance[[#This Row],[R3 Pts]]=0,tbl_attendance[[#This Row],[R4 Pts]]=0),"YES", "NO")</f>
        <v>NO</v>
      </c>
    </row>
    <row r="126" spans="1:13" x14ac:dyDescent="0.4">
      <c r="A126" t="s">
        <v>678</v>
      </c>
      <c r="B126" t="s">
        <v>679</v>
      </c>
      <c r="C126" t="s">
        <v>17</v>
      </c>
      <c r="D126" t="s">
        <v>6</v>
      </c>
      <c r="E126" s="3">
        <v>9370</v>
      </c>
      <c r="F126" s="3">
        <v>70</v>
      </c>
      <c r="G126" s="3">
        <v>90</v>
      </c>
      <c r="H126" s="3">
        <v>0</v>
      </c>
      <c r="I126" s="3">
        <v>75</v>
      </c>
      <c r="J126" s="3" t="str">
        <f>IF(AND(tbl_attendance[[#This Row],[R1 Pts]]&gt;0, tbl_attendance[[#This Row],[R2 Pts]]&gt;0,tbl_attendance[[#This Row],[R3 Pts]]&gt;0,tbl_attendance[[#This Row],[R4 Pts]]&gt;0),"YES", "NO")</f>
        <v>NO</v>
      </c>
      <c r="K126" s="3" t="str">
        <f>IF(AND(tbl_attendance[[#This Row],[R2 Pts]]&gt;0, tbl_attendance[[#This Row],[R4 Pts]]&gt;0), "YES", "NO")</f>
        <v>YES</v>
      </c>
      <c r="L126" s="3" t="str">
        <f>IF(
(tbl_attendance[[#This Row],[R1 Pts]]&gt;0)+(tbl_attendance[[#This Row],[R2 Pts]]&gt;0)+(tbl_attendance[[#This Row],[R3 Pts]]&gt;0)+(tbl_attendance[[#This Row],[R4 Pts]]&gt;0)&gt;=3,"YES", "NO")</f>
        <v>YES</v>
      </c>
      <c r="M126" s="3" t="str">
        <f>IF(AND(tbl_attendance[[#This Row],[R1 Pts]]=0, tbl_attendance[[#This Row],[R2 Pts]]=0,tbl_attendance[[#This Row],[R3 Pts]]=0,tbl_attendance[[#This Row],[R4 Pts]]=0),"YES", "NO")</f>
        <v>NO</v>
      </c>
    </row>
    <row r="127" spans="1:13" x14ac:dyDescent="0.4">
      <c r="A127" t="s">
        <v>684</v>
      </c>
      <c r="B127" t="s">
        <v>685</v>
      </c>
      <c r="C127" t="s">
        <v>17</v>
      </c>
      <c r="D127" t="s">
        <v>6</v>
      </c>
      <c r="E127" s="3">
        <v>9380</v>
      </c>
      <c r="F127" s="3">
        <v>0</v>
      </c>
      <c r="G127" s="3">
        <v>0</v>
      </c>
      <c r="H127" s="3">
        <v>0</v>
      </c>
      <c r="I127" s="3">
        <v>0</v>
      </c>
      <c r="J127" s="3" t="str">
        <f>IF(AND(tbl_attendance[[#This Row],[R1 Pts]]&gt;0, tbl_attendance[[#This Row],[R2 Pts]]&gt;0,tbl_attendance[[#This Row],[R3 Pts]]&gt;0,tbl_attendance[[#This Row],[R4 Pts]]&gt;0),"YES", "NO")</f>
        <v>NO</v>
      </c>
      <c r="K127" s="3" t="str">
        <f>IF(AND(tbl_attendance[[#This Row],[R2 Pts]]&gt;0, tbl_attendance[[#This Row],[R4 Pts]]&gt;0), "YES", "NO")</f>
        <v>NO</v>
      </c>
      <c r="L127" s="3" t="str">
        <f>IF(
(tbl_attendance[[#This Row],[R1 Pts]]&gt;0)+(tbl_attendance[[#This Row],[R2 Pts]]&gt;0)+(tbl_attendance[[#This Row],[R3 Pts]]&gt;0)+(tbl_attendance[[#This Row],[R4 Pts]]&gt;0)&gt;=3,"YES", "NO")</f>
        <v>NO</v>
      </c>
      <c r="M127" s="3" t="str">
        <f>IF(AND(tbl_attendance[[#This Row],[R1 Pts]]=0, tbl_attendance[[#This Row],[R2 Pts]]=0,tbl_attendance[[#This Row],[R3 Pts]]=0,tbl_attendance[[#This Row],[R4 Pts]]=0),"YES", "NO")</f>
        <v>YES</v>
      </c>
    </row>
    <row r="128" spans="1:13" hidden="1" x14ac:dyDescent="0.4">
      <c r="A128" t="e">
        <f>_xlfn.TEXTBEFORE(#REF!," ",)</f>
        <v>#REF!</v>
      </c>
      <c r="B128" t="e">
        <f>_xlfn.TEXTAFTER(#REF!, " ", -1)</f>
        <v>#REF!</v>
      </c>
      <c r="C128" t="s">
        <v>18</v>
      </c>
      <c r="D128" t="s">
        <v>7</v>
      </c>
      <c r="E128" s="3">
        <v>806</v>
      </c>
      <c r="F128" s="3">
        <v>0</v>
      </c>
      <c r="G128" s="3">
        <v>0</v>
      </c>
      <c r="H128" s="3">
        <v>23</v>
      </c>
      <c r="I128" s="3">
        <v>20</v>
      </c>
      <c r="J128" s="3" t="str">
        <f>IF(AND(tbl_attendance[[#This Row],[R1 Pts]]&gt;0, tbl_attendance[[#This Row],[R2 Pts]]&gt;0,tbl_attendance[[#This Row],[R3 Pts]]&gt;0,tbl_attendance[[#This Row],[R4 Pts]]&gt;0),"YES", "NO")</f>
        <v>NO</v>
      </c>
      <c r="K128" s="3" t="str">
        <f>IF(AND(tbl_attendance[[#This Row],[R2 Pts]]&gt;0, tbl_attendance[[#This Row],[R4 Pts]]&gt;0), "YES", "NO")</f>
        <v>NO</v>
      </c>
      <c r="L128" s="3" t="str">
        <f>IF(
(tbl_attendance[[#This Row],[R1 Pts]]&gt;0)+(tbl_attendance[[#This Row],[R2 Pts]]&gt;0)+(tbl_attendance[[#This Row],[R3 Pts]]&gt;0)+(tbl_attendance[[#This Row],[R4 Pts]]&gt;0)&gt;=3,"YES", "NO")</f>
        <v>NO</v>
      </c>
      <c r="M128" s="3" t="str">
        <f>IF(AND(tbl_attendance[[#This Row],[R1 Pts]]=0, tbl_attendance[[#This Row],[R2 Pts]]=0,tbl_attendance[[#This Row],[R3 Pts]]=0,tbl_attendance[[#This Row],[R4 Pts]]=0),"YES", "NO")</f>
        <v>NO</v>
      </c>
    </row>
    <row r="129" spans="1:13" hidden="1" x14ac:dyDescent="0.4">
      <c r="A129" t="e">
        <f>_xlfn.TEXTBEFORE(#REF!," ",)</f>
        <v>#REF!</v>
      </c>
      <c r="B129" t="e">
        <f>_xlfn.TEXTAFTER(#REF!, " ", -1)</f>
        <v>#REF!</v>
      </c>
      <c r="C129" t="s">
        <v>18</v>
      </c>
      <c r="D129" t="s">
        <v>7</v>
      </c>
      <c r="E129" s="3">
        <v>807</v>
      </c>
      <c r="F129" s="3">
        <v>0</v>
      </c>
      <c r="G129" s="3">
        <v>0</v>
      </c>
      <c r="H129" s="3">
        <v>22</v>
      </c>
      <c r="I129" s="3">
        <v>22</v>
      </c>
      <c r="J129" s="3" t="str">
        <f>IF(AND(tbl_attendance[[#This Row],[R1 Pts]]&gt;0, tbl_attendance[[#This Row],[R2 Pts]]&gt;0,tbl_attendance[[#This Row],[R3 Pts]]&gt;0,tbl_attendance[[#This Row],[R4 Pts]]&gt;0),"YES", "NO")</f>
        <v>NO</v>
      </c>
      <c r="K129" s="3" t="str">
        <f>IF(AND(tbl_attendance[[#This Row],[R2 Pts]]&gt;0, tbl_attendance[[#This Row],[R4 Pts]]&gt;0), "YES", "NO")</f>
        <v>NO</v>
      </c>
      <c r="L129" s="3" t="str">
        <f>IF(
(tbl_attendance[[#This Row],[R1 Pts]]&gt;0)+(tbl_attendance[[#This Row],[R2 Pts]]&gt;0)+(tbl_attendance[[#This Row],[R3 Pts]]&gt;0)+(tbl_attendance[[#This Row],[R4 Pts]]&gt;0)&gt;=3,"YES", "NO")</f>
        <v>NO</v>
      </c>
      <c r="M129" s="3" t="str">
        <f>IF(AND(tbl_attendance[[#This Row],[R1 Pts]]=0, tbl_attendance[[#This Row],[R2 Pts]]=0,tbl_attendance[[#This Row],[R3 Pts]]=0,tbl_attendance[[#This Row],[R4 Pts]]=0),"YES", "NO")</f>
        <v>NO</v>
      </c>
    </row>
    <row r="130" spans="1:13" hidden="1" x14ac:dyDescent="0.4">
      <c r="A130" t="e">
        <f>_xlfn.TEXTBEFORE(#REF!," ",)</f>
        <v>#REF!</v>
      </c>
      <c r="B130" t="e">
        <f>_xlfn.TEXTAFTER(#REF!, " ", -1)</f>
        <v>#REF!</v>
      </c>
      <c r="C130" t="s">
        <v>18</v>
      </c>
      <c r="D130" t="s">
        <v>7</v>
      </c>
      <c r="E130" s="3">
        <v>808</v>
      </c>
      <c r="F130" s="3">
        <v>0</v>
      </c>
      <c r="G130" s="3">
        <v>0</v>
      </c>
      <c r="H130" s="3">
        <v>21</v>
      </c>
      <c r="I130" s="3">
        <v>21</v>
      </c>
      <c r="J130" s="3" t="str">
        <f>IF(AND(tbl_attendance[[#This Row],[R1 Pts]]&gt;0, tbl_attendance[[#This Row],[R2 Pts]]&gt;0,tbl_attendance[[#This Row],[R3 Pts]]&gt;0,tbl_attendance[[#This Row],[R4 Pts]]&gt;0),"YES", "NO")</f>
        <v>NO</v>
      </c>
      <c r="K130" s="3" t="str">
        <f>IF(AND(tbl_attendance[[#This Row],[R2 Pts]]&gt;0, tbl_attendance[[#This Row],[R4 Pts]]&gt;0), "YES", "NO")</f>
        <v>NO</v>
      </c>
      <c r="L130" s="3" t="str">
        <f>IF(
(tbl_attendance[[#This Row],[R1 Pts]]&gt;0)+(tbl_attendance[[#This Row],[R2 Pts]]&gt;0)+(tbl_attendance[[#This Row],[R3 Pts]]&gt;0)+(tbl_attendance[[#This Row],[R4 Pts]]&gt;0)&gt;=3,"YES", "NO")</f>
        <v>NO</v>
      </c>
      <c r="M130" s="3" t="str">
        <f>IF(AND(tbl_attendance[[#This Row],[R1 Pts]]=0, tbl_attendance[[#This Row],[R2 Pts]]=0,tbl_attendance[[#This Row],[R3 Pts]]=0,tbl_attendance[[#This Row],[R4 Pts]]=0),"YES", "NO")</f>
        <v>NO</v>
      </c>
    </row>
    <row r="131" spans="1:13" hidden="1" x14ac:dyDescent="0.4">
      <c r="A131" t="e">
        <f>_xlfn.TEXTBEFORE(#REF!," ",)</f>
        <v>#REF!</v>
      </c>
      <c r="B131" t="e">
        <f>_xlfn.TEXTAFTER(#REF!, " ", -1)</f>
        <v>#REF!</v>
      </c>
      <c r="C131" t="s">
        <v>18</v>
      </c>
      <c r="D131" t="s">
        <v>8</v>
      </c>
      <c r="E131" s="3">
        <v>868</v>
      </c>
      <c r="F131" s="3">
        <v>0</v>
      </c>
      <c r="G131" s="3">
        <v>0</v>
      </c>
      <c r="H131" s="3">
        <v>0</v>
      </c>
      <c r="I131" s="3">
        <v>90</v>
      </c>
      <c r="J131" s="3" t="str">
        <f>IF(AND(tbl_attendance[[#This Row],[R1 Pts]]&gt;0, tbl_attendance[[#This Row],[R2 Pts]]&gt;0,tbl_attendance[[#This Row],[R3 Pts]]&gt;0,tbl_attendance[[#This Row],[R4 Pts]]&gt;0),"YES", "NO")</f>
        <v>NO</v>
      </c>
      <c r="K131" s="3" t="str">
        <f>IF(AND(tbl_attendance[[#This Row],[R2 Pts]]&gt;0, tbl_attendance[[#This Row],[R4 Pts]]&gt;0), "YES", "NO")</f>
        <v>NO</v>
      </c>
      <c r="L131" s="3" t="str">
        <f>IF(
(tbl_attendance[[#This Row],[R1 Pts]]&gt;0)+(tbl_attendance[[#This Row],[R2 Pts]]&gt;0)+(tbl_attendance[[#This Row],[R3 Pts]]&gt;0)+(tbl_attendance[[#This Row],[R4 Pts]]&gt;0)&gt;=3,"YES", "NO")</f>
        <v>NO</v>
      </c>
      <c r="M131" s="3" t="str">
        <f>IF(AND(tbl_attendance[[#This Row],[R1 Pts]]=0, tbl_attendance[[#This Row],[R2 Pts]]=0,tbl_attendance[[#This Row],[R3 Pts]]=0,tbl_attendance[[#This Row],[R4 Pts]]=0),"YES", "NO")</f>
        <v>NO</v>
      </c>
    </row>
    <row r="132" spans="1:13" hidden="1" x14ac:dyDescent="0.4">
      <c r="A132" t="e">
        <f>_xlfn.TEXTBEFORE(#REF!," ",)</f>
        <v>#REF!</v>
      </c>
      <c r="B132" t="e">
        <f>_xlfn.TEXTAFTER(#REF!, " ", -1)</f>
        <v>#REF!</v>
      </c>
      <c r="C132" t="s">
        <v>18</v>
      </c>
      <c r="D132" t="s">
        <v>4</v>
      </c>
      <c r="E132" s="3">
        <v>1032</v>
      </c>
      <c r="F132" s="3">
        <v>0</v>
      </c>
      <c r="G132" s="3">
        <v>0</v>
      </c>
      <c r="H132" s="3">
        <v>53</v>
      </c>
      <c r="I132" s="3">
        <v>49</v>
      </c>
      <c r="J132" s="3" t="str">
        <f>IF(AND(tbl_attendance[[#This Row],[R1 Pts]]&gt;0, tbl_attendance[[#This Row],[R2 Pts]]&gt;0,tbl_attendance[[#This Row],[R3 Pts]]&gt;0,tbl_attendance[[#This Row],[R4 Pts]]&gt;0),"YES", "NO")</f>
        <v>NO</v>
      </c>
      <c r="K132" s="3" t="str">
        <f>IF(AND(tbl_attendance[[#This Row],[R2 Pts]]&gt;0, tbl_attendance[[#This Row],[R4 Pts]]&gt;0), "YES", "NO")</f>
        <v>NO</v>
      </c>
      <c r="L132" s="3" t="str">
        <f>IF(
(tbl_attendance[[#This Row],[R1 Pts]]&gt;0)+(tbl_attendance[[#This Row],[R2 Pts]]&gt;0)+(tbl_attendance[[#This Row],[R3 Pts]]&gt;0)+(tbl_attendance[[#This Row],[R4 Pts]]&gt;0)&gt;=3,"YES", "NO")</f>
        <v>NO</v>
      </c>
      <c r="M132" s="3" t="str">
        <f>IF(AND(tbl_attendance[[#This Row],[R1 Pts]]=0, tbl_attendance[[#This Row],[R2 Pts]]=0,tbl_attendance[[#This Row],[R3 Pts]]=0,tbl_attendance[[#This Row],[R4 Pts]]=0),"YES", "NO")</f>
        <v>NO</v>
      </c>
    </row>
    <row r="133" spans="1:13" hidden="1" x14ac:dyDescent="0.4">
      <c r="A133" t="e">
        <f>_xlfn.TEXTBEFORE(#REF!," ",)</f>
        <v>#REF!</v>
      </c>
      <c r="B133" t="e">
        <f>_xlfn.TEXTAFTER(#REF!, " ", -1)</f>
        <v>#REF!</v>
      </c>
      <c r="C133" t="s">
        <v>19</v>
      </c>
      <c r="D133" t="s">
        <v>5</v>
      </c>
      <c r="E133" s="3">
        <v>918</v>
      </c>
      <c r="F133" s="3">
        <v>0</v>
      </c>
      <c r="G133" s="3">
        <v>0</v>
      </c>
      <c r="H133" s="3">
        <v>0</v>
      </c>
      <c r="I133" s="3">
        <v>0</v>
      </c>
      <c r="J133" s="3" t="str">
        <f>IF(AND(tbl_attendance[[#This Row],[R1 Pts]]&gt;0, tbl_attendance[[#This Row],[R2 Pts]]&gt;0,tbl_attendance[[#This Row],[R3 Pts]]&gt;0,tbl_attendance[[#This Row],[R4 Pts]]&gt;0),"YES", "NO")</f>
        <v>NO</v>
      </c>
      <c r="K133" s="3" t="str">
        <f>IF(AND(tbl_attendance[[#This Row],[R2 Pts]]&gt;0, tbl_attendance[[#This Row],[R4 Pts]]&gt;0), "YES", "NO")</f>
        <v>NO</v>
      </c>
      <c r="L133" s="3" t="str">
        <f>IF(
(tbl_attendance[[#This Row],[R1 Pts]]&gt;0)+(tbl_attendance[[#This Row],[R2 Pts]]&gt;0)+(tbl_attendance[[#This Row],[R3 Pts]]&gt;0)+(tbl_attendance[[#This Row],[R4 Pts]]&gt;0)&gt;=3,"YES", "NO")</f>
        <v>NO</v>
      </c>
      <c r="M133" s="3" t="str">
        <f>IF(AND(tbl_attendance[[#This Row],[R1 Pts]]=0, tbl_attendance[[#This Row],[R2 Pts]]=0,tbl_attendance[[#This Row],[R3 Pts]]=0,tbl_attendance[[#This Row],[R4 Pts]]=0),"YES", "NO")</f>
        <v>YES</v>
      </c>
    </row>
    <row r="134" spans="1:13" hidden="1" x14ac:dyDescent="0.4">
      <c r="A134" t="e">
        <f>_xlfn.TEXTBEFORE(#REF!," ",)</f>
        <v>#REF!</v>
      </c>
      <c r="B134" t="e">
        <f>_xlfn.TEXTAFTER(#REF!, " ", -1)</f>
        <v>#REF!</v>
      </c>
      <c r="C134" t="s">
        <v>19</v>
      </c>
      <c r="D134" t="s">
        <v>3</v>
      </c>
      <c r="E134" s="3">
        <v>10162</v>
      </c>
      <c r="F134" s="3">
        <v>0</v>
      </c>
      <c r="G134" s="3">
        <v>36</v>
      </c>
      <c r="H134" s="3">
        <v>0</v>
      </c>
      <c r="I134" s="3">
        <v>20</v>
      </c>
      <c r="J134" s="3" t="str">
        <f>IF(AND(tbl_attendance[[#This Row],[R1 Pts]]&gt;0, tbl_attendance[[#This Row],[R2 Pts]]&gt;0,tbl_attendance[[#This Row],[R3 Pts]]&gt;0,tbl_attendance[[#This Row],[R4 Pts]]&gt;0),"YES", "NO")</f>
        <v>NO</v>
      </c>
      <c r="K134" s="3" t="str">
        <f>IF(AND(tbl_attendance[[#This Row],[R2 Pts]]&gt;0, tbl_attendance[[#This Row],[R4 Pts]]&gt;0), "YES", "NO")</f>
        <v>YES</v>
      </c>
      <c r="L134" s="3" t="str">
        <f>IF(
(tbl_attendance[[#This Row],[R1 Pts]]&gt;0)+(tbl_attendance[[#This Row],[R2 Pts]]&gt;0)+(tbl_attendance[[#This Row],[R3 Pts]]&gt;0)+(tbl_attendance[[#This Row],[R4 Pts]]&gt;0)&gt;=3,"YES", "NO")</f>
        <v>NO</v>
      </c>
      <c r="M134" s="3" t="str">
        <f>IF(AND(tbl_attendance[[#This Row],[R1 Pts]]=0, tbl_attendance[[#This Row],[R2 Pts]]=0,tbl_attendance[[#This Row],[R3 Pts]]=0,tbl_attendance[[#This Row],[R4 Pts]]=0),"YES", "NO")</f>
        <v>NO</v>
      </c>
    </row>
    <row r="135" spans="1:13" hidden="1" x14ac:dyDescent="0.4">
      <c r="A135" t="e">
        <f>_xlfn.TEXTBEFORE(#REF!," ",)</f>
        <v>#REF!</v>
      </c>
      <c r="B135" t="e">
        <f>_xlfn.TEXTAFTER(#REF!, " ", -1)</f>
        <v>#REF!</v>
      </c>
      <c r="C135" t="s">
        <v>19</v>
      </c>
      <c r="D135" t="s">
        <v>3</v>
      </c>
      <c r="E135" s="3">
        <v>10163</v>
      </c>
      <c r="F135" s="3">
        <v>0</v>
      </c>
      <c r="G135" s="3">
        <v>0</v>
      </c>
      <c r="H135" s="3">
        <v>0</v>
      </c>
      <c r="I135" s="3">
        <v>25</v>
      </c>
      <c r="J135" s="3" t="str">
        <f>IF(AND(tbl_attendance[[#This Row],[R1 Pts]]&gt;0, tbl_attendance[[#This Row],[R2 Pts]]&gt;0,tbl_attendance[[#This Row],[R3 Pts]]&gt;0,tbl_attendance[[#This Row],[R4 Pts]]&gt;0),"YES", "NO")</f>
        <v>NO</v>
      </c>
      <c r="K135" s="3" t="str">
        <f>IF(AND(tbl_attendance[[#This Row],[R2 Pts]]&gt;0, tbl_attendance[[#This Row],[R4 Pts]]&gt;0), "YES", "NO")</f>
        <v>NO</v>
      </c>
      <c r="L135" s="3" t="str">
        <f>IF(
(tbl_attendance[[#This Row],[R1 Pts]]&gt;0)+(tbl_attendance[[#This Row],[R2 Pts]]&gt;0)+(tbl_attendance[[#This Row],[R3 Pts]]&gt;0)+(tbl_attendance[[#This Row],[R4 Pts]]&gt;0)&gt;=3,"YES", "NO")</f>
        <v>NO</v>
      </c>
      <c r="M135" s="3" t="str">
        <f>IF(AND(tbl_attendance[[#This Row],[R1 Pts]]=0, tbl_attendance[[#This Row],[R2 Pts]]=0,tbl_attendance[[#This Row],[R3 Pts]]=0,tbl_attendance[[#This Row],[R4 Pts]]=0),"YES", "NO")</f>
        <v>NO</v>
      </c>
    </row>
    <row r="136" spans="1:13" hidden="1" x14ac:dyDescent="0.4">
      <c r="A136" t="e">
        <f>_xlfn.TEXTBEFORE(#REF!," ",)</f>
        <v>#REF!</v>
      </c>
      <c r="B136" t="e">
        <f>_xlfn.TEXTAFTER(#REF!, " ", -1)</f>
        <v>#REF!</v>
      </c>
      <c r="C136" t="s">
        <v>19</v>
      </c>
      <c r="D136" t="s">
        <v>3</v>
      </c>
      <c r="E136" s="3">
        <v>10164</v>
      </c>
      <c r="F136" s="3">
        <v>0</v>
      </c>
      <c r="G136" s="3">
        <v>0</v>
      </c>
      <c r="H136" s="3">
        <v>0</v>
      </c>
      <c r="I136" s="3">
        <v>5</v>
      </c>
      <c r="J136" s="3" t="str">
        <f>IF(AND(tbl_attendance[[#This Row],[R1 Pts]]&gt;0, tbl_attendance[[#This Row],[R2 Pts]]&gt;0,tbl_attendance[[#This Row],[R3 Pts]]&gt;0,tbl_attendance[[#This Row],[R4 Pts]]&gt;0),"YES", "NO")</f>
        <v>NO</v>
      </c>
      <c r="K136" s="3" t="str">
        <f>IF(AND(tbl_attendance[[#This Row],[R2 Pts]]&gt;0, tbl_attendance[[#This Row],[R4 Pts]]&gt;0), "YES", "NO")</f>
        <v>NO</v>
      </c>
      <c r="L136" s="3" t="str">
        <f>IF(
(tbl_attendance[[#This Row],[R1 Pts]]&gt;0)+(tbl_attendance[[#This Row],[R2 Pts]]&gt;0)+(tbl_attendance[[#This Row],[R3 Pts]]&gt;0)+(tbl_attendance[[#This Row],[R4 Pts]]&gt;0)&gt;=3,"YES", "NO")</f>
        <v>NO</v>
      </c>
      <c r="M136" s="3" t="str">
        <f>IF(AND(tbl_attendance[[#This Row],[R1 Pts]]=0, tbl_attendance[[#This Row],[R2 Pts]]=0,tbl_attendance[[#This Row],[R3 Pts]]=0,tbl_attendance[[#This Row],[R4 Pts]]=0),"YES", "NO")</f>
        <v>NO</v>
      </c>
    </row>
    <row r="137" spans="1:13" hidden="1" x14ac:dyDescent="0.4">
      <c r="A137" t="e">
        <f>_xlfn.TEXTBEFORE(#REF!," ",)</f>
        <v>#REF!</v>
      </c>
      <c r="B137" t="e">
        <f>_xlfn.TEXTAFTER(#REF!, " ", -1)</f>
        <v>#REF!</v>
      </c>
      <c r="C137" t="s">
        <v>19</v>
      </c>
      <c r="D137" t="s">
        <v>1</v>
      </c>
      <c r="E137" s="3">
        <v>12036</v>
      </c>
      <c r="F137" s="3">
        <v>0</v>
      </c>
      <c r="G137" s="3">
        <v>0</v>
      </c>
      <c r="H137" s="3">
        <v>0</v>
      </c>
      <c r="I137" s="3">
        <v>7</v>
      </c>
      <c r="J137" s="3" t="str">
        <f>IF(AND(tbl_attendance[[#This Row],[R1 Pts]]&gt;0, tbl_attendance[[#This Row],[R2 Pts]]&gt;0,tbl_attendance[[#This Row],[R3 Pts]]&gt;0,tbl_attendance[[#This Row],[R4 Pts]]&gt;0),"YES", "NO")</f>
        <v>NO</v>
      </c>
      <c r="K137" s="3" t="str">
        <f>IF(AND(tbl_attendance[[#This Row],[R2 Pts]]&gt;0, tbl_attendance[[#This Row],[R4 Pts]]&gt;0), "YES", "NO")</f>
        <v>NO</v>
      </c>
      <c r="L137" s="3" t="str">
        <f>IF(
(tbl_attendance[[#This Row],[R1 Pts]]&gt;0)+(tbl_attendance[[#This Row],[R2 Pts]]&gt;0)+(tbl_attendance[[#This Row],[R3 Pts]]&gt;0)+(tbl_attendance[[#This Row],[R4 Pts]]&gt;0)&gt;=3,"YES", "NO")</f>
        <v>NO</v>
      </c>
      <c r="M137" s="3" t="str">
        <f>IF(AND(tbl_attendance[[#This Row],[R1 Pts]]=0, tbl_attendance[[#This Row],[R2 Pts]]=0,tbl_attendance[[#This Row],[R3 Pts]]=0,tbl_attendance[[#This Row],[R4 Pts]]=0),"YES", "NO")</f>
        <v>NO</v>
      </c>
    </row>
    <row r="138" spans="1:13" hidden="1" x14ac:dyDescent="0.4">
      <c r="A138" t="e">
        <f>_xlfn.TEXTBEFORE(#REF!," ",)</f>
        <v>#REF!</v>
      </c>
      <c r="B138" t="e">
        <f>_xlfn.TEXTAFTER(#REF!, " ", -1)</f>
        <v>#REF!</v>
      </c>
      <c r="C138" t="s">
        <v>19</v>
      </c>
      <c r="D138" t="s">
        <v>1</v>
      </c>
      <c r="E138" s="3">
        <v>12037</v>
      </c>
      <c r="F138" s="3">
        <v>0</v>
      </c>
      <c r="G138" s="3">
        <v>0</v>
      </c>
      <c r="H138" s="3">
        <v>0</v>
      </c>
      <c r="I138" s="3">
        <v>0</v>
      </c>
      <c r="J138" s="3" t="str">
        <f>IF(AND(tbl_attendance[[#This Row],[R1 Pts]]&gt;0, tbl_attendance[[#This Row],[R2 Pts]]&gt;0,tbl_attendance[[#This Row],[R3 Pts]]&gt;0,tbl_attendance[[#This Row],[R4 Pts]]&gt;0),"YES", "NO")</f>
        <v>NO</v>
      </c>
      <c r="K138" s="3" t="str">
        <f>IF(AND(tbl_attendance[[#This Row],[R2 Pts]]&gt;0, tbl_attendance[[#This Row],[R4 Pts]]&gt;0), "YES", "NO")</f>
        <v>NO</v>
      </c>
      <c r="L138" s="3" t="str">
        <f>IF(
(tbl_attendance[[#This Row],[R1 Pts]]&gt;0)+(tbl_attendance[[#This Row],[R2 Pts]]&gt;0)+(tbl_attendance[[#This Row],[R3 Pts]]&gt;0)+(tbl_attendance[[#This Row],[R4 Pts]]&gt;0)&gt;=3,"YES", "NO")</f>
        <v>NO</v>
      </c>
      <c r="M138" s="3" t="str">
        <f>IF(AND(tbl_attendance[[#This Row],[R1 Pts]]=0, tbl_attendance[[#This Row],[R2 Pts]]=0,tbl_attendance[[#This Row],[R3 Pts]]=0,tbl_attendance[[#This Row],[R4 Pts]]=0),"YES", "NO")</f>
        <v>YES</v>
      </c>
    </row>
    <row r="139" spans="1:13" hidden="1" x14ac:dyDescent="0.4">
      <c r="A139" t="e">
        <f>_xlfn.TEXTBEFORE(#REF!," ",)</f>
        <v>#REF!</v>
      </c>
      <c r="B139" t="e">
        <f>_xlfn.TEXTAFTER(#REF!, " ", -1)</f>
        <v>#REF!</v>
      </c>
      <c r="C139" t="s">
        <v>20</v>
      </c>
      <c r="D139" t="s">
        <v>7</v>
      </c>
      <c r="E139" s="3">
        <v>809</v>
      </c>
      <c r="F139" s="3">
        <v>26</v>
      </c>
      <c r="G139" s="3">
        <v>15</v>
      </c>
      <c r="H139" s="3">
        <v>27</v>
      </c>
      <c r="I139" s="3">
        <v>29</v>
      </c>
      <c r="J139" s="3" t="str">
        <f>IF(AND(tbl_attendance[[#This Row],[R1 Pts]]&gt;0, tbl_attendance[[#This Row],[R2 Pts]]&gt;0,tbl_attendance[[#This Row],[R3 Pts]]&gt;0,tbl_attendance[[#This Row],[R4 Pts]]&gt;0),"YES", "NO")</f>
        <v>YES</v>
      </c>
      <c r="K139" s="3" t="str">
        <f>IF(AND(tbl_attendance[[#This Row],[R2 Pts]]&gt;0, tbl_attendance[[#This Row],[R4 Pts]]&gt;0), "YES", "NO")</f>
        <v>YES</v>
      </c>
      <c r="L139" s="3" t="str">
        <f>IF(
(tbl_attendance[[#This Row],[R1 Pts]]&gt;0)+(tbl_attendance[[#This Row],[R2 Pts]]&gt;0)+(tbl_attendance[[#This Row],[R3 Pts]]&gt;0)+(tbl_attendance[[#This Row],[R4 Pts]]&gt;0)&gt;=3,"YES", "NO")</f>
        <v>YES</v>
      </c>
      <c r="M139" s="3" t="str">
        <f>IF(AND(tbl_attendance[[#This Row],[R1 Pts]]=0, tbl_attendance[[#This Row],[R2 Pts]]=0,tbl_attendance[[#This Row],[R3 Pts]]=0,tbl_attendance[[#This Row],[R4 Pts]]=0),"YES", "NO")</f>
        <v>NO</v>
      </c>
    </row>
    <row r="140" spans="1:13" hidden="1" x14ac:dyDescent="0.4">
      <c r="A140" t="e">
        <f>_xlfn.TEXTBEFORE(#REF!," ",)</f>
        <v>#REF!</v>
      </c>
      <c r="B140" t="e">
        <f>_xlfn.TEXTAFTER(#REF!, " ", -1)</f>
        <v>#REF!</v>
      </c>
      <c r="C140" t="s">
        <v>20</v>
      </c>
      <c r="D140" t="s">
        <v>7</v>
      </c>
      <c r="E140" s="3">
        <v>810</v>
      </c>
      <c r="F140" s="3">
        <v>43</v>
      </c>
      <c r="G140" s="3">
        <v>42</v>
      </c>
      <c r="H140" s="3">
        <v>60</v>
      </c>
      <c r="I140" s="3">
        <v>41</v>
      </c>
      <c r="J140" s="3" t="str">
        <f>IF(AND(tbl_attendance[[#This Row],[R1 Pts]]&gt;0, tbl_attendance[[#This Row],[R2 Pts]]&gt;0,tbl_attendance[[#This Row],[R3 Pts]]&gt;0,tbl_attendance[[#This Row],[R4 Pts]]&gt;0),"YES", "NO")</f>
        <v>YES</v>
      </c>
      <c r="K140" s="3" t="str">
        <f>IF(AND(tbl_attendance[[#This Row],[R2 Pts]]&gt;0, tbl_attendance[[#This Row],[R4 Pts]]&gt;0), "YES", "NO")</f>
        <v>YES</v>
      </c>
      <c r="L140" s="3" t="str">
        <f>IF(
(tbl_attendance[[#This Row],[R1 Pts]]&gt;0)+(tbl_attendance[[#This Row],[R2 Pts]]&gt;0)+(tbl_attendance[[#This Row],[R3 Pts]]&gt;0)+(tbl_attendance[[#This Row],[R4 Pts]]&gt;0)&gt;=3,"YES", "NO")</f>
        <v>YES</v>
      </c>
      <c r="M140" s="3" t="str">
        <f>IF(AND(tbl_attendance[[#This Row],[R1 Pts]]=0, tbl_attendance[[#This Row],[R2 Pts]]=0,tbl_attendance[[#This Row],[R3 Pts]]=0,tbl_attendance[[#This Row],[R4 Pts]]=0),"YES", "NO")</f>
        <v>NO</v>
      </c>
    </row>
    <row r="141" spans="1:13" hidden="1" x14ac:dyDescent="0.4">
      <c r="A141" t="e">
        <f>_xlfn.TEXTBEFORE(#REF!," ",)</f>
        <v>#REF!</v>
      </c>
      <c r="B141" t="e">
        <f>_xlfn.TEXTAFTER(#REF!, " ", -1)</f>
        <v>#REF!</v>
      </c>
      <c r="C141" t="s">
        <v>20</v>
      </c>
      <c r="D141" t="s">
        <v>7</v>
      </c>
      <c r="E141" s="3">
        <v>811</v>
      </c>
      <c r="F141" s="3">
        <v>0</v>
      </c>
      <c r="G141" s="3">
        <v>0</v>
      </c>
      <c r="H141" s="3">
        <v>90</v>
      </c>
      <c r="I141" s="3">
        <v>51</v>
      </c>
      <c r="J141" s="3" t="str">
        <f>IF(AND(tbl_attendance[[#This Row],[R1 Pts]]&gt;0, tbl_attendance[[#This Row],[R2 Pts]]&gt;0,tbl_attendance[[#This Row],[R3 Pts]]&gt;0,tbl_attendance[[#This Row],[R4 Pts]]&gt;0),"YES", "NO")</f>
        <v>NO</v>
      </c>
      <c r="K141" s="3" t="str">
        <f>IF(AND(tbl_attendance[[#This Row],[R2 Pts]]&gt;0, tbl_attendance[[#This Row],[R4 Pts]]&gt;0), "YES", "NO")</f>
        <v>NO</v>
      </c>
      <c r="L141" s="3" t="str">
        <f>IF(
(tbl_attendance[[#This Row],[R1 Pts]]&gt;0)+(tbl_attendance[[#This Row],[R2 Pts]]&gt;0)+(tbl_attendance[[#This Row],[R3 Pts]]&gt;0)+(tbl_attendance[[#This Row],[R4 Pts]]&gt;0)&gt;=3,"YES", "NO")</f>
        <v>NO</v>
      </c>
      <c r="M141" s="3" t="str">
        <f>IF(AND(tbl_attendance[[#This Row],[R1 Pts]]=0, tbl_attendance[[#This Row],[R2 Pts]]=0,tbl_attendance[[#This Row],[R3 Pts]]=0,tbl_attendance[[#This Row],[R4 Pts]]=0),"YES", "NO")</f>
        <v>NO</v>
      </c>
    </row>
    <row r="142" spans="1:13" hidden="1" x14ac:dyDescent="0.4">
      <c r="A142" t="e">
        <f>_xlfn.TEXTBEFORE(#REF!," ",)</f>
        <v>#REF!</v>
      </c>
      <c r="B142" t="e">
        <f>_xlfn.TEXTAFTER(#REF!, " ", -1)</f>
        <v>#REF!</v>
      </c>
      <c r="C142" t="s">
        <v>20</v>
      </c>
      <c r="D142" t="s">
        <v>7</v>
      </c>
      <c r="E142" s="3">
        <v>812</v>
      </c>
      <c r="F142" s="3">
        <v>29</v>
      </c>
      <c r="G142" s="3">
        <v>34</v>
      </c>
      <c r="H142" s="3">
        <v>31</v>
      </c>
      <c r="I142" s="3">
        <v>43</v>
      </c>
      <c r="J142" s="3" t="str">
        <f>IF(AND(tbl_attendance[[#This Row],[R1 Pts]]&gt;0, tbl_attendance[[#This Row],[R2 Pts]]&gt;0,tbl_attendance[[#This Row],[R3 Pts]]&gt;0,tbl_attendance[[#This Row],[R4 Pts]]&gt;0),"YES", "NO")</f>
        <v>YES</v>
      </c>
      <c r="K142" s="3" t="str">
        <f>IF(AND(tbl_attendance[[#This Row],[R2 Pts]]&gt;0, tbl_attendance[[#This Row],[R4 Pts]]&gt;0), "YES", "NO")</f>
        <v>YES</v>
      </c>
      <c r="L142" s="3" t="str">
        <f>IF(
(tbl_attendance[[#This Row],[R1 Pts]]&gt;0)+(tbl_attendance[[#This Row],[R2 Pts]]&gt;0)+(tbl_attendance[[#This Row],[R3 Pts]]&gt;0)+(tbl_attendance[[#This Row],[R4 Pts]]&gt;0)&gt;=3,"YES", "NO")</f>
        <v>YES</v>
      </c>
      <c r="M142" s="3" t="str">
        <f>IF(AND(tbl_attendance[[#This Row],[R1 Pts]]=0, tbl_attendance[[#This Row],[R2 Pts]]=0,tbl_attendance[[#This Row],[R3 Pts]]=0,tbl_attendance[[#This Row],[R4 Pts]]=0),"YES", "NO")</f>
        <v>NO</v>
      </c>
    </row>
    <row r="143" spans="1:13" hidden="1" x14ac:dyDescent="0.4">
      <c r="A143" t="e">
        <f>_xlfn.TEXTBEFORE(#REF!," ",)</f>
        <v>#REF!</v>
      </c>
      <c r="B143" t="e">
        <f>_xlfn.TEXTAFTER(#REF!, " ", -1)</f>
        <v>#REF!</v>
      </c>
      <c r="C143" t="s">
        <v>20</v>
      </c>
      <c r="D143" t="s">
        <v>5</v>
      </c>
      <c r="E143" s="3">
        <v>919</v>
      </c>
      <c r="F143" s="3">
        <v>95</v>
      </c>
      <c r="G143" s="3">
        <v>1</v>
      </c>
      <c r="H143" s="3">
        <v>100</v>
      </c>
      <c r="I143" s="3">
        <v>80</v>
      </c>
      <c r="J143" s="3" t="str">
        <f>IF(AND(tbl_attendance[[#This Row],[R1 Pts]]&gt;0, tbl_attendance[[#This Row],[R2 Pts]]&gt;0,tbl_attendance[[#This Row],[R3 Pts]]&gt;0,tbl_attendance[[#This Row],[R4 Pts]]&gt;0),"YES", "NO")</f>
        <v>YES</v>
      </c>
      <c r="K143" s="3" t="str">
        <f>IF(AND(tbl_attendance[[#This Row],[R2 Pts]]&gt;0, tbl_attendance[[#This Row],[R4 Pts]]&gt;0), "YES", "NO")</f>
        <v>YES</v>
      </c>
      <c r="L143" s="3" t="str">
        <f>IF(
(tbl_attendance[[#This Row],[R1 Pts]]&gt;0)+(tbl_attendance[[#This Row],[R2 Pts]]&gt;0)+(tbl_attendance[[#This Row],[R3 Pts]]&gt;0)+(tbl_attendance[[#This Row],[R4 Pts]]&gt;0)&gt;=3,"YES", "NO")</f>
        <v>YES</v>
      </c>
      <c r="M143" s="3" t="str">
        <f>IF(AND(tbl_attendance[[#This Row],[R1 Pts]]=0, tbl_attendance[[#This Row],[R2 Pts]]=0,tbl_attendance[[#This Row],[R3 Pts]]=0,tbl_attendance[[#This Row],[R4 Pts]]=0),"YES", "NO")</f>
        <v>NO</v>
      </c>
    </row>
    <row r="144" spans="1:13" hidden="1" x14ac:dyDescent="0.4">
      <c r="A144" t="e">
        <f>_xlfn.TEXTBEFORE(#REF!," ",)</f>
        <v>#REF!</v>
      </c>
      <c r="B144" t="e">
        <f>_xlfn.TEXTAFTER(#REF!, " ", -1)</f>
        <v>#REF!</v>
      </c>
      <c r="C144" t="s">
        <v>20</v>
      </c>
      <c r="D144" t="s">
        <v>5</v>
      </c>
      <c r="E144" s="3">
        <v>920</v>
      </c>
      <c r="F144" s="3">
        <v>0</v>
      </c>
      <c r="G144" s="3">
        <v>38</v>
      </c>
      <c r="H144" s="3">
        <v>85</v>
      </c>
      <c r="I144" s="3">
        <v>47</v>
      </c>
      <c r="J144" s="3" t="str">
        <f>IF(AND(tbl_attendance[[#This Row],[R1 Pts]]&gt;0, tbl_attendance[[#This Row],[R2 Pts]]&gt;0,tbl_attendance[[#This Row],[R3 Pts]]&gt;0,tbl_attendance[[#This Row],[R4 Pts]]&gt;0),"YES", "NO")</f>
        <v>NO</v>
      </c>
      <c r="K144" s="3" t="str">
        <f>IF(AND(tbl_attendance[[#This Row],[R2 Pts]]&gt;0, tbl_attendance[[#This Row],[R4 Pts]]&gt;0), "YES", "NO")</f>
        <v>YES</v>
      </c>
      <c r="L144" s="3" t="str">
        <f>IF(
(tbl_attendance[[#This Row],[R1 Pts]]&gt;0)+(tbl_attendance[[#This Row],[R2 Pts]]&gt;0)+(tbl_attendance[[#This Row],[R3 Pts]]&gt;0)+(tbl_attendance[[#This Row],[R4 Pts]]&gt;0)&gt;=3,"YES", "NO")</f>
        <v>YES</v>
      </c>
      <c r="M144" s="3" t="str">
        <f>IF(AND(tbl_attendance[[#This Row],[R1 Pts]]=0, tbl_attendance[[#This Row],[R2 Pts]]=0,tbl_attendance[[#This Row],[R3 Pts]]=0,tbl_attendance[[#This Row],[R4 Pts]]=0),"YES", "NO")</f>
        <v>NO</v>
      </c>
    </row>
    <row r="145" spans="1:13" hidden="1" x14ac:dyDescent="0.4">
      <c r="A145" t="e">
        <f>_xlfn.TEXTBEFORE(#REF!," ",)</f>
        <v>#REF!</v>
      </c>
      <c r="B145" t="e">
        <f>_xlfn.TEXTAFTER(#REF!, " ", -1)</f>
        <v>#REF!</v>
      </c>
      <c r="C145" t="s">
        <v>20</v>
      </c>
      <c r="D145" t="s">
        <v>5</v>
      </c>
      <c r="E145" s="3">
        <v>921</v>
      </c>
      <c r="F145" s="3">
        <v>35</v>
      </c>
      <c r="G145" s="3">
        <v>47</v>
      </c>
      <c r="H145" s="3">
        <v>38</v>
      </c>
      <c r="I145" s="3">
        <v>12</v>
      </c>
      <c r="J145" s="3" t="str">
        <f>IF(AND(tbl_attendance[[#This Row],[R1 Pts]]&gt;0, tbl_attendance[[#This Row],[R2 Pts]]&gt;0,tbl_attendance[[#This Row],[R3 Pts]]&gt;0,tbl_attendance[[#This Row],[R4 Pts]]&gt;0),"YES", "NO")</f>
        <v>YES</v>
      </c>
      <c r="K145" s="3" t="str">
        <f>IF(AND(tbl_attendance[[#This Row],[R2 Pts]]&gt;0, tbl_attendance[[#This Row],[R4 Pts]]&gt;0), "YES", "NO")</f>
        <v>YES</v>
      </c>
      <c r="L145" s="3" t="str">
        <f>IF(
(tbl_attendance[[#This Row],[R1 Pts]]&gt;0)+(tbl_attendance[[#This Row],[R2 Pts]]&gt;0)+(tbl_attendance[[#This Row],[R3 Pts]]&gt;0)+(tbl_attendance[[#This Row],[R4 Pts]]&gt;0)&gt;=3,"YES", "NO")</f>
        <v>YES</v>
      </c>
      <c r="M145" s="3" t="str">
        <f>IF(AND(tbl_attendance[[#This Row],[R1 Pts]]=0, tbl_attendance[[#This Row],[R2 Pts]]=0,tbl_attendance[[#This Row],[R3 Pts]]=0,tbl_attendance[[#This Row],[R4 Pts]]=0),"YES", "NO")</f>
        <v>NO</v>
      </c>
    </row>
    <row r="146" spans="1:13" hidden="1" x14ac:dyDescent="0.4">
      <c r="A146" t="e">
        <f>_xlfn.TEXTBEFORE(#REF!," ",)</f>
        <v>#REF!</v>
      </c>
      <c r="B146" t="e">
        <f>_xlfn.TEXTAFTER(#REF!, " ", -1)</f>
        <v>#REF!</v>
      </c>
      <c r="C146" t="s">
        <v>20</v>
      </c>
      <c r="D146" t="s">
        <v>5</v>
      </c>
      <c r="E146" s="3">
        <v>922</v>
      </c>
      <c r="F146" s="3">
        <v>43</v>
      </c>
      <c r="G146" s="3">
        <v>16</v>
      </c>
      <c r="H146" s="3">
        <v>53</v>
      </c>
      <c r="I146" s="3">
        <v>20</v>
      </c>
      <c r="J146" s="3" t="str">
        <f>IF(AND(tbl_attendance[[#This Row],[R1 Pts]]&gt;0, tbl_attendance[[#This Row],[R2 Pts]]&gt;0,tbl_attendance[[#This Row],[R3 Pts]]&gt;0,tbl_attendance[[#This Row],[R4 Pts]]&gt;0),"YES", "NO")</f>
        <v>YES</v>
      </c>
      <c r="K146" s="3" t="str">
        <f>IF(AND(tbl_attendance[[#This Row],[R2 Pts]]&gt;0, tbl_attendance[[#This Row],[R4 Pts]]&gt;0), "YES", "NO")</f>
        <v>YES</v>
      </c>
      <c r="L146" s="3" t="str">
        <f>IF(
(tbl_attendance[[#This Row],[R1 Pts]]&gt;0)+(tbl_attendance[[#This Row],[R2 Pts]]&gt;0)+(tbl_attendance[[#This Row],[R3 Pts]]&gt;0)+(tbl_attendance[[#This Row],[R4 Pts]]&gt;0)&gt;=3,"YES", "NO")</f>
        <v>YES</v>
      </c>
      <c r="M146" s="3" t="str">
        <f>IF(AND(tbl_attendance[[#This Row],[R1 Pts]]=0, tbl_attendance[[#This Row],[R2 Pts]]=0,tbl_attendance[[#This Row],[R3 Pts]]=0,tbl_attendance[[#This Row],[R4 Pts]]=0),"YES", "NO")</f>
        <v>NO</v>
      </c>
    </row>
    <row r="147" spans="1:13" hidden="1" x14ac:dyDescent="0.4">
      <c r="A147" t="e">
        <f>_xlfn.TEXTBEFORE(#REF!," ",)</f>
        <v>#REF!</v>
      </c>
      <c r="B147" t="e">
        <f>_xlfn.TEXTAFTER(#REF!, " ", -1)</f>
        <v>#REF!</v>
      </c>
      <c r="C147" t="s">
        <v>20</v>
      </c>
      <c r="D147" t="s">
        <v>2</v>
      </c>
      <c r="E147" s="3">
        <v>1235</v>
      </c>
      <c r="F147" s="3">
        <v>95</v>
      </c>
      <c r="G147" s="3">
        <v>65</v>
      </c>
      <c r="H147" s="3">
        <v>95</v>
      </c>
      <c r="I147" s="3">
        <v>90</v>
      </c>
      <c r="J147" s="3" t="str">
        <f>IF(AND(tbl_attendance[[#This Row],[R1 Pts]]&gt;0, tbl_attendance[[#This Row],[R2 Pts]]&gt;0,tbl_attendance[[#This Row],[R3 Pts]]&gt;0,tbl_attendance[[#This Row],[R4 Pts]]&gt;0),"YES", "NO")</f>
        <v>YES</v>
      </c>
      <c r="K147" s="3" t="str">
        <f>IF(AND(tbl_attendance[[#This Row],[R2 Pts]]&gt;0, tbl_attendance[[#This Row],[R4 Pts]]&gt;0), "YES", "NO")</f>
        <v>YES</v>
      </c>
      <c r="L147" s="3" t="str">
        <f>IF(
(tbl_attendance[[#This Row],[R1 Pts]]&gt;0)+(tbl_attendance[[#This Row],[R2 Pts]]&gt;0)+(tbl_attendance[[#This Row],[R3 Pts]]&gt;0)+(tbl_attendance[[#This Row],[R4 Pts]]&gt;0)&gt;=3,"YES", "NO")</f>
        <v>YES</v>
      </c>
      <c r="M147" s="3" t="str">
        <f>IF(AND(tbl_attendance[[#This Row],[R1 Pts]]=0, tbl_attendance[[#This Row],[R2 Pts]]=0,tbl_attendance[[#This Row],[R3 Pts]]=0,tbl_attendance[[#This Row],[R4 Pts]]=0),"YES", "NO")</f>
        <v>NO</v>
      </c>
    </row>
    <row r="148" spans="1:13" hidden="1" x14ac:dyDescent="0.4">
      <c r="A148" t="e">
        <f>_xlfn.TEXTBEFORE(#REF!," ",)</f>
        <v>#REF!</v>
      </c>
      <c r="B148" t="e">
        <f>_xlfn.TEXTAFTER(#REF!, " ", -1)</f>
        <v>#REF!</v>
      </c>
      <c r="C148" t="s">
        <v>20</v>
      </c>
      <c r="D148" t="s">
        <v>2</v>
      </c>
      <c r="E148" s="3">
        <v>1236</v>
      </c>
      <c r="F148" s="3">
        <v>70</v>
      </c>
      <c r="G148" s="3">
        <v>80</v>
      </c>
      <c r="H148" s="3">
        <v>0</v>
      </c>
      <c r="I148" s="3">
        <v>95</v>
      </c>
      <c r="J148" s="3" t="str">
        <f>IF(AND(tbl_attendance[[#This Row],[R1 Pts]]&gt;0, tbl_attendance[[#This Row],[R2 Pts]]&gt;0,tbl_attendance[[#This Row],[R3 Pts]]&gt;0,tbl_attendance[[#This Row],[R4 Pts]]&gt;0),"YES", "NO")</f>
        <v>NO</v>
      </c>
      <c r="K148" s="3" t="str">
        <f>IF(AND(tbl_attendance[[#This Row],[R2 Pts]]&gt;0, tbl_attendance[[#This Row],[R4 Pts]]&gt;0), "YES", "NO")</f>
        <v>YES</v>
      </c>
      <c r="L148" s="3" t="str">
        <f>IF(
(tbl_attendance[[#This Row],[R1 Pts]]&gt;0)+(tbl_attendance[[#This Row],[R2 Pts]]&gt;0)+(tbl_attendance[[#This Row],[R3 Pts]]&gt;0)+(tbl_attendance[[#This Row],[R4 Pts]]&gt;0)&gt;=3,"YES", "NO")</f>
        <v>YES</v>
      </c>
      <c r="M148" s="3" t="str">
        <f>IF(AND(tbl_attendance[[#This Row],[R1 Pts]]=0, tbl_attendance[[#This Row],[R2 Pts]]=0,tbl_attendance[[#This Row],[R3 Pts]]=0,tbl_attendance[[#This Row],[R4 Pts]]=0),"YES", "NO")</f>
        <v>NO</v>
      </c>
    </row>
    <row r="149" spans="1:13" hidden="1" x14ac:dyDescent="0.4">
      <c r="A149" t="e">
        <f>_xlfn.TEXTBEFORE(#REF!," ",)</f>
        <v>#REF!</v>
      </c>
      <c r="B149" t="e">
        <f>_xlfn.TEXTAFTER(#REF!, " ", -1)</f>
        <v>#REF!</v>
      </c>
      <c r="C149" t="s">
        <v>20</v>
      </c>
      <c r="D149" t="s">
        <v>3</v>
      </c>
      <c r="E149" s="3">
        <v>10165</v>
      </c>
      <c r="F149" s="3">
        <v>39</v>
      </c>
      <c r="G149" s="3">
        <v>0</v>
      </c>
      <c r="H149" s="3">
        <v>45</v>
      </c>
      <c r="I149" s="3">
        <v>41</v>
      </c>
      <c r="J149" s="3" t="str">
        <f>IF(AND(tbl_attendance[[#This Row],[R1 Pts]]&gt;0, tbl_attendance[[#This Row],[R2 Pts]]&gt;0,tbl_attendance[[#This Row],[R3 Pts]]&gt;0,tbl_attendance[[#This Row],[R4 Pts]]&gt;0),"YES", "NO")</f>
        <v>NO</v>
      </c>
      <c r="K149" s="3" t="str">
        <f>IF(AND(tbl_attendance[[#This Row],[R2 Pts]]&gt;0, tbl_attendance[[#This Row],[R4 Pts]]&gt;0), "YES", "NO")</f>
        <v>NO</v>
      </c>
      <c r="L149" s="3" t="str">
        <f>IF(
(tbl_attendance[[#This Row],[R1 Pts]]&gt;0)+(tbl_attendance[[#This Row],[R2 Pts]]&gt;0)+(tbl_attendance[[#This Row],[R3 Pts]]&gt;0)+(tbl_attendance[[#This Row],[R4 Pts]]&gt;0)&gt;=3,"YES", "NO")</f>
        <v>YES</v>
      </c>
      <c r="M149" s="3" t="str">
        <f>IF(AND(tbl_attendance[[#This Row],[R1 Pts]]=0, tbl_attendance[[#This Row],[R2 Pts]]=0,tbl_attendance[[#This Row],[R3 Pts]]=0,tbl_attendance[[#This Row],[R4 Pts]]=0),"YES", "NO")</f>
        <v>NO</v>
      </c>
    </row>
    <row r="150" spans="1:13" hidden="1" x14ac:dyDescent="0.4">
      <c r="A150" t="e">
        <f>_xlfn.TEXTBEFORE(#REF!," ",)</f>
        <v>#REF!</v>
      </c>
      <c r="B150" t="e">
        <f>_xlfn.TEXTAFTER(#REF!, " ", -1)</f>
        <v>#REF!</v>
      </c>
      <c r="C150" t="s">
        <v>20</v>
      </c>
      <c r="D150" t="s">
        <v>3</v>
      </c>
      <c r="E150" s="3">
        <v>10166</v>
      </c>
      <c r="F150" s="3">
        <v>26</v>
      </c>
      <c r="G150" s="3">
        <v>18</v>
      </c>
      <c r="H150" s="3">
        <v>0</v>
      </c>
      <c r="I150" s="3">
        <v>11</v>
      </c>
      <c r="J150" s="3" t="str">
        <f>IF(AND(tbl_attendance[[#This Row],[R1 Pts]]&gt;0, tbl_attendance[[#This Row],[R2 Pts]]&gt;0,tbl_attendance[[#This Row],[R3 Pts]]&gt;0,tbl_attendance[[#This Row],[R4 Pts]]&gt;0),"YES", "NO")</f>
        <v>NO</v>
      </c>
      <c r="K150" s="3" t="str">
        <f>IF(AND(tbl_attendance[[#This Row],[R2 Pts]]&gt;0, tbl_attendance[[#This Row],[R4 Pts]]&gt;0), "YES", "NO")</f>
        <v>YES</v>
      </c>
      <c r="L150" s="3" t="str">
        <f>IF(
(tbl_attendance[[#This Row],[R1 Pts]]&gt;0)+(tbl_attendance[[#This Row],[R2 Pts]]&gt;0)+(tbl_attendance[[#This Row],[R3 Pts]]&gt;0)+(tbl_attendance[[#This Row],[R4 Pts]]&gt;0)&gt;=3,"YES", "NO")</f>
        <v>YES</v>
      </c>
      <c r="M150" s="3" t="str">
        <f>IF(AND(tbl_attendance[[#This Row],[R1 Pts]]=0, tbl_attendance[[#This Row],[R2 Pts]]=0,tbl_attendance[[#This Row],[R3 Pts]]=0,tbl_attendance[[#This Row],[R4 Pts]]=0),"YES", "NO")</f>
        <v>NO</v>
      </c>
    </row>
    <row r="151" spans="1:13" hidden="1" x14ac:dyDescent="0.4">
      <c r="A151" t="e">
        <f>_xlfn.TEXTBEFORE(#REF!," ",)</f>
        <v>#REF!</v>
      </c>
      <c r="B151" t="e">
        <f>_xlfn.TEXTAFTER(#REF!, " ", -1)</f>
        <v>#REF!</v>
      </c>
      <c r="C151" t="s">
        <v>20</v>
      </c>
      <c r="D151" t="s">
        <v>3</v>
      </c>
      <c r="E151" s="3">
        <v>10167</v>
      </c>
      <c r="F151" s="3">
        <v>80</v>
      </c>
      <c r="G151" s="3">
        <v>85</v>
      </c>
      <c r="H151" s="3">
        <v>85</v>
      </c>
      <c r="I151" s="3">
        <v>80</v>
      </c>
      <c r="J151" s="3" t="str">
        <f>IF(AND(tbl_attendance[[#This Row],[R1 Pts]]&gt;0, tbl_attendance[[#This Row],[R2 Pts]]&gt;0,tbl_attendance[[#This Row],[R3 Pts]]&gt;0,tbl_attendance[[#This Row],[R4 Pts]]&gt;0),"YES", "NO")</f>
        <v>YES</v>
      </c>
      <c r="K151" s="3" t="str">
        <f>IF(AND(tbl_attendance[[#This Row],[R2 Pts]]&gt;0, tbl_attendance[[#This Row],[R4 Pts]]&gt;0), "YES", "NO")</f>
        <v>YES</v>
      </c>
      <c r="L151" s="3" t="str">
        <f>IF(
(tbl_attendance[[#This Row],[R1 Pts]]&gt;0)+(tbl_attendance[[#This Row],[R2 Pts]]&gt;0)+(tbl_attendance[[#This Row],[R3 Pts]]&gt;0)+(tbl_attendance[[#This Row],[R4 Pts]]&gt;0)&gt;=3,"YES", "NO")</f>
        <v>YES</v>
      </c>
      <c r="M151" s="3" t="str">
        <f>IF(AND(tbl_attendance[[#This Row],[R1 Pts]]=0, tbl_attendance[[#This Row],[R2 Pts]]=0,tbl_attendance[[#This Row],[R3 Pts]]=0,tbl_attendance[[#This Row],[R4 Pts]]=0),"YES", "NO")</f>
        <v>NO</v>
      </c>
    </row>
    <row r="152" spans="1:13" hidden="1" x14ac:dyDescent="0.4">
      <c r="A152" t="e">
        <f>_xlfn.TEXTBEFORE(#REF!," ",)</f>
        <v>#REF!</v>
      </c>
      <c r="B152" t="e">
        <f>_xlfn.TEXTAFTER(#REF!, " ", -1)</f>
        <v>#REF!</v>
      </c>
      <c r="C152" t="s">
        <v>20</v>
      </c>
      <c r="D152" t="s">
        <v>3</v>
      </c>
      <c r="E152" s="3">
        <v>10168</v>
      </c>
      <c r="F152" s="3">
        <v>28</v>
      </c>
      <c r="G152" s="3">
        <v>21</v>
      </c>
      <c r="H152" s="3">
        <v>26</v>
      </c>
      <c r="I152" s="3">
        <v>17</v>
      </c>
      <c r="J152" s="3" t="str">
        <f>IF(AND(tbl_attendance[[#This Row],[R1 Pts]]&gt;0, tbl_attendance[[#This Row],[R2 Pts]]&gt;0,tbl_attendance[[#This Row],[R3 Pts]]&gt;0,tbl_attendance[[#This Row],[R4 Pts]]&gt;0),"YES", "NO")</f>
        <v>YES</v>
      </c>
      <c r="K152" s="3" t="str">
        <f>IF(AND(tbl_attendance[[#This Row],[R2 Pts]]&gt;0, tbl_attendance[[#This Row],[R4 Pts]]&gt;0), "YES", "NO")</f>
        <v>YES</v>
      </c>
      <c r="L152" s="3" t="str">
        <f>IF(
(tbl_attendance[[#This Row],[R1 Pts]]&gt;0)+(tbl_attendance[[#This Row],[R2 Pts]]&gt;0)+(tbl_attendance[[#This Row],[R3 Pts]]&gt;0)+(tbl_attendance[[#This Row],[R4 Pts]]&gt;0)&gt;=3,"YES", "NO")</f>
        <v>YES</v>
      </c>
      <c r="M152" s="3" t="str">
        <f>IF(AND(tbl_attendance[[#This Row],[R1 Pts]]=0, tbl_attendance[[#This Row],[R2 Pts]]=0,tbl_attendance[[#This Row],[R3 Pts]]=0,tbl_attendance[[#This Row],[R4 Pts]]=0),"YES", "NO")</f>
        <v>NO</v>
      </c>
    </row>
    <row r="153" spans="1:13" hidden="1" x14ac:dyDescent="0.4">
      <c r="A153" t="e">
        <f>_xlfn.TEXTBEFORE(#REF!," ",)</f>
        <v>#REF!</v>
      </c>
      <c r="B153" t="e">
        <f>_xlfn.TEXTAFTER(#REF!, " ", -1)</f>
        <v>#REF!</v>
      </c>
      <c r="C153" t="s">
        <v>20</v>
      </c>
      <c r="D153" t="s">
        <v>3</v>
      </c>
      <c r="E153" s="3">
        <v>10169</v>
      </c>
      <c r="F153" s="3">
        <v>0</v>
      </c>
      <c r="G153" s="3">
        <v>65</v>
      </c>
      <c r="H153" s="3">
        <v>53</v>
      </c>
      <c r="I153" s="3">
        <v>85</v>
      </c>
      <c r="J153" s="3" t="str">
        <f>IF(AND(tbl_attendance[[#This Row],[R1 Pts]]&gt;0, tbl_attendance[[#This Row],[R2 Pts]]&gt;0,tbl_attendance[[#This Row],[R3 Pts]]&gt;0,tbl_attendance[[#This Row],[R4 Pts]]&gt;0),"YES", "NO")</f>
        <v>NO</v>
      </c>
      <c r="K153" s="3" t="str">
        <f>IF(AND(tbl_attendance[[#This Row],[R2 Pts]]&gt;0, tbl_attendance[[#This Row],[R4 Pts]]&gt;0), "YES", "NO")</f>
        <v>YES</v>
      </c>
      <c r="L153" s="3" t="str">
        <f>IF(
(tbl_attendance[[#This Row],[R1 Pts]]&gt;0)+(tbl_attendance[[#This Row],[R2 Pts]]&gt;0)+(tbl_attendance[[#This Row],[R3 Pts]]&gt;0)+(tbl_attendance[[#This Row],[R4 Pts]]&gt;0)&gt;=3,"YES", "NO")</f>
        <v>YES</v>
      </c>
      <c r="M153" s="3" t="str">
        <f>IF(AND(tbl_attendance[[#This Row],[R1 Pts]]=0, tbl_attendance[[#This Row],[R2 Pts]]=0,tbl_attendance[[#This Row],[R3 Pts]]=0,tbl_attendance[[#This Row],[R4 Pts]]=0),"YES", "NO")</f>
        <v>NO</v>
      </c>
    </row>
    <row r="154" spans="1:13" hidden="1" x14ac:dyDescent="0.4">
      <c r="A154" t="e">
        <f>_xlfn.TEXTBEFORE(#REF!," ",)</f>
        <v>#REF!</v>
      </c>
      <c r="B154" t="e">
        <f>_xlfn.TEXTAFTER(#REF!, " ", -1)</f>
        <v>#REF!</v>
      </c>
      <c r="C154" t="s">
        <v>20</v>
      </c>
      <c r="D154" t="s">
        <v>3</v>
      </c>
      <c r="E154" s="3">
        <v>10170</v>
      </c>
      <c r="F154" s="3">
        <v>0</v>
      </c>
      <c r="G154" s="3">
        <v>28</v>
      </c>
      <c r="H154" s="3">
        <v>40</v>
      </c>
      <c r="I154" s="3">
        <v>29</v>
      </c>
      <c r="J154" s="3" t="str">
        <f>IF(AND(tbl_attendance[[#This Row],[R1 Pts]]&gt;0, tbl_attendance[[#This Row],[R2 Pts]]&gt;0,tbl_attendance[[#This Row],[R3 Pts]]&gt;0,tbl_attendance[[#This Row],[R4 Pts]]&gt;0),"YES", "NO")</f>
        <v>NO</v>
      </c>
      <c r="K154" s="3" t="str">
        <f>IF(AND(tbl_attendance[[#This Row],[R2 Pts]]&gt;0, tbl_attendance[[#This Row],[R4 Pts]]&gt;0), "YES", "NO")</f>
        <v>YES</v>
      </c>
      <c r="L154" s="3" t="str">
        <f>IF(
(tbl_attendance[[#This Row],[R1 Pts]]&gt;0)+(tbl_attendance[[#This Row],[R2 Pts]]&gt;0)+(tbl_attendance[[#This Row],[R3 Pts]]&gt;0)+(tbl_attendance[[#This Row],[R4 Pts]]&gt;0)&gt;=3,"YES", "NO")</f>
        <v>YES</v>
      </c>
      <c r="M154" s="3" t="str">
        <f>IF(AND(tbl_attendance[[#This Row],[R1 Pts]]=0, tbl_attendance[[#This Row],[R2 Pts]]=0,tbl_attendance[[#This Row],[R3 Pts]]=0,tbl_attendance[[#This Row],[R4 Pts]]=0),"YES", "NO")</f>
        <v>NO</v>
      </c>
    </row>
    <row r="155" spans="1:13" hidden="1" x14ac:dyDescent="0.4">
      <c r="A155" t="e">
        <f>_xlfn.TEXTBEFORE(#REF!," ",)</f>
        <v>#REF!</v>
      </c>
      <c r="B155" t="e">
        <f>_xlfn.TEXTAFTER(#REF!, " ", -1)</f>
        <v>#REF!</v>
      </c>
      <c r="C155" t="s">
        <v>20</v>
      </c>
      <c r="D155" t="s">
        <v>3</v>
      </c>
      <c r="E155" s="3">
        <v>10171</v>
      </c>
      <c r="F155" s="3">
        <v>95</v>
      </c>
      <c r="G155" s="3">
        <v>43</v>
      </c>
      <c r="H155" s="3">
        <v>100</v>
      </c>
      <c r="I155" s="3">
        <v>34</v>
      </c>
      <c r="J155" s="3" t="str">
        <f>IF(AND(tbl_attendance[[#This Row],[R1 Pts]]&gt;0, tbl_attendance[[#This Row],[R2 Pts]]&gt;0,tbl_attendance[[#This Row],[R3 Pts]]&gt;0,tbl_attendance[[#This Row],[R4 Pts]]&gt;0),"YES", "NO")</f>
        <v>YES</v>
      </c>
      <c r="K155" s="3" t="str">
        <f>IF(AND(tbl_attendance[[#This Row],[R2 Pts]]&gt;0, tbl_attendance[[#This Row],[R4 Pts]]&gt;0), "YES", "NO")</f>
        <v>YES</v>
      </c>
      <c r="L155" s="3" t="str">
        <f>IF(
(tbl_attendance[[#This Row],[R1 Pts]]&gt;0)+(tbl_attendance[[#This Row],[R2 Pts]]&gt;0)+(tbl_attendance[[#This Row],[R3 Pts]]&gt;0)+(tbl_attendance[[#This Row],[R4 Pts]]&gt;0)&gt;=3,"YES", "NO")</f>
        <v>YES</v>
      </c>
      <c r="M155" s="3" t="str">
        <f>IF(AND(tbl_attendance[[#This Row],[R1 Pts]]=0, tbl_attendance[[#This Row],[R2 Pts]]=0,tbl_attendance[[#This Row],[R3 Pts]]=0,tbl_attendance[[#This Row],[R4 Pts]]=0),"YES", "NO")</f>
        <v>NO</v>
      </c>
    </row>
    <row r="156" spans="1:13" hidden="1" x14ac:dyDescent="0.4">
      <c r="A156" t="e">
        <f>_xlfn.TEXTBEFORE(#REF!," ",)</f>
        <v>#REF!</v>
      </c>
      <c r="B156" t="e">
        <f>_xlfn.TEXTAFTER(#REF!, " ", -1)</f>
        <v>#REF!</v>
      </c>
      <c r="C156" t="s">
        <v>20</v>
      </c>
      <c r="D156" t="s">
        <v>3</v>
      </c>
      <c r="E156" s="3">
        <v>10203</v>
      </c>
      <c r="F156" s="3">
        <v>21</v>
      </c>
      <c r="G156" s="3">
        <v>13</v>
      </c>
      <c r="H156" s="3">
        <v>22</v>
      </c>
      <c r="I156" s="3">
        <v>0</v>
      </c>
      <c r="J156" s="3" t="str">
        <f>IF(AND(tbl_attendance[[#This Row],[R1 Pts]]&gt;0, tbl_attendance[[#This Row],[R2 Pts]]&gt;0,tbl_attendance[[#This Row],[R3 Pts]]&gt;0,tbl_attendance[[#This Row],[R4 Pts]]&gt;0),"YES", "NO")</f>
        <v>NO</v>
      </c>
      <c r="K156" s="3" t="str">
        <f>IF(AND(tbl_attendance[[#This Row],[R2 Pts]]&gt;0, tbl_attendance[[#This Row],[R4 Pts]]&gt;0), "YES", "NO")</f>
        <v>NO</v>
      </c>
      <c r="L156" s="3" t="str">
        <f>IF(
(tbl_attendance[[#This Row],[R1 Pts]]&gt;0)+(tbl_attendance[[#This Row],[R2 Pts]]&gt;0)+(tbl_attendance[[#This Row],[R3 Pts]]&gt;0)+(tbl_attendance[[#This Row],[R4 Pts]]&gt;0)&gt;=3,"YES", "NO")</f>
        <v>YES</v>
      </c>
      <c r="M156" s="3" t="str">
        <f>IF(AND(tbl_attendance[[#This Row],[R1 Pts]]=0, tbl_attendance[[#This Row],[R2 Pts]]=0,tbl_attendance[[#This Row],[R3 Pts]]=0,tbl_attendance[[#This Row],[R4 Pts]]=0),"YES", "NO")</f>
        <v>NO</v>
      </c>
    </row>
    <row r="157" spans="1:13" hidden="1" x14ac:dyDescent="0.4">
      <c r="A157" t="e">
        <f>_xlfn.TEXTBEFORE(#REF!," ",)</f>
        <v>#REF!</v>
      </c>
      <c r="B157" t="e">
        <f>_xlfn.TEXTAFTER(#REF!, " ", -1)</f>
        <v>#REF!</v>
      </c>
      <c r="C157" t="s">
        <v>20</v>
      </c>
      <c r="D157" t="s">
        <v>1</v>
      </c>
      <c r="E157" s="3">
        <v>12038</v>
      </c>
      <c r="F157" s="3">
        <v>42</v>
      </c>
      <c r="G157" s="3">
        <v>51</v>
      </c>
      <c r="H157" s="3">
        <v>41</v>
      </c>
      <c r="I157" s="3">
        <v>60</v>
      </c>
      <c r="J157" s="3" t="str">
        <f>IF(AND(tbl_attendance[[#This Row],[R1 Pts]]&gt;0, tbl_attendance[[#This Row],[R2 Pts]]&gt;0,tbl_attendance[[#This Row],[R3 Pts]]&gt;0,tbl_attendance[[#This Row],[R4 Pts]]&gt;0),"YES", "NO")</f>
        <v>YES</v>
      </c>
      <c r="K157" s="3" t="str">
        <f>IF(AND(tbl_attendance[[#This Row],[R2 Pts]]&gt;0, tbl_attendance[[#This Row],[R4 Pts]]&gt;0), "YES", "NO")</f>
        <v>YES</v>
      </c>
      <c r="L157" s="3" t="str">
        <f>IF(
(tbl_attendance[[#This Row],[R1 Pts]]&gt;0)+(tbl_attendance[[#This Row],[R2 Pts]]&gt;0)+(tbl_attendance[[#This Row],[R3 Pts]]&gt;0)+(tbl_attendance[[#This Row],[R4 Pts]]&gt;0)&gt;=3,"YES", "NO")</f>
        <v>YES</v>
      </c>
      <c r="M157" s="3" t="str">
        <f>IF(AND(tbl_attendance[[#This Row],[R1 Pts]]=0, tbl_attendance[[#This Row],[R2 Pts]]=0,tbl_attendance[[#This Row],[R3 Pts]]=0,tbl_attendance[[#This Row],[R4 Pts]]=0),"YES", "NO")</f>
        <v>NO</v>
      </c>
    </row>
    <row r="158" spans="1:13" hidden="1" x14ac:dyDescent="0.4">
      <c r="A158" t="e">
        <f>_xlfn.TEXTBEFORE(#REF!," ",)</f>
        <v>#REF!</v>
      </c>
      <c r="B158" t="e">
        <f>_xlfn.TEXTAFTER(#REF!, " ", -1)</f>
        <v>#REF!</v>
      </c>
      <c r="C158" t="s">
        <v>20</v>
      </c>
      <c r="D158" t="s">
        <v>1</v>
      </c>
      <c r="E158" s="3">
        <v>12039</v>
      </c>
      <c r="F158" s="3">
        <v>38</v>
      </c>
      <c r="G158" s="3">
        <v>7</v>
      </c>
      <c r="H158" s="3">
        <v>32</v>
      </c>
      <c r="I158" s="3">
        <v>5</v>
      </c>
      <c r="J158" s="3" t="str">
        <f>IF(AND(tbl_attendance[[#This Row],[R1 Pts]]&gt;0, tbl_attendance[[#This Row],[R2 Pts]]&gt;0,tbl_attendance[[#This Row],[R3 Pts]]&gt;0,tbl_attendance[[#This Row],[R4 Pts]]&gt;0),"YES", "NO")</f>
        <v>YES</v>
      </c>
      <c r="K158" s="3" t="str">
        <f>IF(AND(tbl_attendance[[#This Row],[R2 Pts]]&gt;0, tbl_attendance[[#This Row],[R4 Pts]]&gt;0), "YES", "NO")</f>
        <v>YES</v>
      </c>
      <c r="L158" s="3" t="str">
        <f>IF(
(tbl_attendance[[#This Row],[R1 Pts]]&gt;0)+(tbl_attendance[[#This Row],[R2 Pts]]&gt;0)+(tbl_attendance[[#This Row],[R3 Pts]]&gt;0)+(tbl_attendance[[#This Row],[R4 Pts]]&gt;0)&gt;=3,"YES", "NO")</f>
        <v>YES</v>
      </c>
      <c r="M158" s="3" t="str">
        <f>IF(AND(tbl_attendance[[#This Row],[R1 Pts]]=0, tbl_attendance[[#This Row],[R2 Pts]]=0,tbl_attendance[[#This Row],[R3 Pts]]=0,tbl_attendance[[#This Row],[R4 Pts]]=0),"YES", "NO")</f>
        <v>NO</v>
      </c>
    </row>
    <row r="159" spans="1:13" hidden="1" x14ac:dyDescent="0.4">
      <c r="A159" t="e">
        <f>_xlfn.TEXTBEFORE(#REF!," ",)</f>
        <v>#REF!</v>
      </c>
      <c r="B159" t="e">
        <f>_xlfn.TEXTAFTER(#REF!, " ", -1)</f>
        <v>#REF!</v>
      </c>
      <c r="C159" t="s">
        <v>20</v>
      </c>
      <c r="D159" t="s">
        <v>1</v>
      </c>
      <c r="E159" s="3">
        <v>12040</v>
      </c>
      <c r="F159" s="3">
        <v>90</v>
      </c>
      <c r="G159" s="3">
        <v>70</v>
      </c>
      <c r="H159" s="3">
        <v>49</v>
      </c>
      <c r="I159" s="3">
        <v>0</v>
      </c>
      <c r="J159" s="3" t="str">
        <f>IF(AND(tbl_attendance[[#This Row],[R1 Pts]]&gt;0, tbl_attendance[[#This Row],[R2 Pts]]&gt;0,tbl_attendance[[#This Row],[R3 Pts]]&gt;0,tbl_attendance[[#This Row],[R4 Pts]]&gt;0),"YES", "NO")</f>
        <v>NO</v>
      </c>
      <c r="K159" s="3" t="str">
        <f>IF(AND(tbl_attendance[[#This Row],[R2 Pts]]&gt;0, tbl_attendance[[#This Row],[R4 Pts]]&gt;0), "YES", "NO")</f>
        <v>NO</v>
      </c>
      <c r="L159" s="3" t="str">
        <f>IF(
(tbl_attendance[[#This Row],[R1 Pts]]&gt;0)+(tbl_attendance[[#This Row],[R2 Pts]]&gt;0)+(tbl_attendance[[#This Row],[R3 Pts]]&gt;0)+(tbl_attendance[[#This Row],[R4 Pts]]&gt;0)&gt;=3,"YES", "NO")</f>
        <v>YES</v>
      </c>
      <c r="M159" s="3" t="str">
        <f>IF(AND(tbl_attendance[[#This Row],[R1 Pts]]=0, tbl_attendance[[#This Row],[R2 Pts]]=0,tbl_attendance[[#This Row],[R3 Pts]]=0,tbl_attendance[[#This Row],[R4 Pts]]=0),"YES", "NO")</f>
        <v>NO</v>
      </c>
    </row>
    <row r="160" spans="1:13" hidden="1" x14ac:dyDescent="0.4">
      <c r="A160" t="e">
        <f>_xlfn.TEXTBEFORE(#REF!," ",)</f>
        <v>#REF!</v>
      </c>
      <c r="B160" t="e">
        <f>_xlfn.TEXTAFTER(#REF!, " ", -1)</f>
        <v>#REF!</v>
      </c>
      <c r="C160" t="s">
        <v>20</v>
      </c>
      <c r="D160" t="s">
        <v>1</v>
      </c>
      <c r="E160" s="3">
        <v>12041</v>
      </c>
      <c r="F160" s="3">
        <v>0</v>
      </c>
      <c r="G160" s="3">
        <v>44</v>
      </c>
      <c r="H160" s="3">
        <v>25</v>
      </c>
      <c r="I160" s="3">
        <v>75</v>
      </c>
      <c r="J160" s="3" t="str">
        <f>IF(AND(tbl_attendance[[#This Row],[R1 Pts]]&gt;0, tbl_attendance[[#This Row],[R2 Pts]]&gt;0,tbl_attendance[[#This Row],[R3 Pts]]&gt;0,tbl_attendance[[#This Row],[R4 Pts]]&gt;0),"YES", "NO")</f>
        <v>NO</v>
      </c>
      <c r="K160" s="3" t="str">
        <f>IF(AND(tbl_attendance[[#This Row],[R2 Pts]]&gt;0, tbl_attendance[[#This Row],[R4 Pts]]&gt;0), "YES", "NO")</f>
        <v>YES</v>
      </c>
      <c r="L160" s="3" t="str">
        <f>IF(
(tbl_attendance[[#This Row],[R1 Pts]]&gt;0)+(tbl_attendance[[#This Row],[R2 Pts]]&gt;0)+(tbl_attendance[[#This Row],[R3 Pts]]&gt;0)+(tbl_attendance[[#This Row],[R4 Pts]]&gt;0)&gt;=3,"YES", "NO")</f>
        <v>YES</v>
      </c>
      <c r="M160" s="3" t="str">
        <f>IF(AND(tbl_attendance[[#This Row],[R1 Pts]]=0, tbl_attendance[[#This Row],[R2 Pts]]=0,tbl_attendance[[#This Row],[R3 Pts]]=0,tbl_attendance[[#This Row],[R4 Pts]]=0),"YES", "NO")</f>
        <v>NO</v>
      </c>
    </row>
    <row r="161" spans="1:13" hidden="1" x14ac:dyDescent="0.4">
      <c r="A161" t="e">
        <f>_xlfn.TEXTBEFORE(#REF!," ",)</f>
        <v>#REF!</v>
      </c>
      <c r="B161" t="e">
        <f>_xlfn.TEXTAFTER(#REF!, " ", -1)</f>
        <v>#REF!</v>
      </c>
      <c r="C161" t="s">
        <v>20</v>
      </c>
      <c r="D161" t="s">
        <v>1</v>
      </c>
      <c r="E161" s="3">
        <v>12042</v>
      </c>
      <c r="F161" s="3">
        <v>0</v>
      </c>
      <c r="G161" s="3">
        <v>1</v>
      </c>
      <c r="H161" s="3">
        <v>0</v>
      </c>
      <c r="I161" s="3">
        <v>0</v>
      </c>
      <c r="J161" s="3" t="str">
        <f>IF(AND(tbl_attendance[[#This Row],[R1 Pts]]&gt;0, tbl_attendance[[#This Row],[R2 Pts]]&gt;0,tbl_attendance[[#This Row],[R3 Pts]]&gt;0,tbl_attendance[[#This Row],[R4 Pts]]&gt;0),"YES", "NO")</f>
        <v>NO</v>
      </c>
      <c r="K161" s="3" t="str">
        <f>IF(AND(tbl_attendance[[#This Row],[R2 Pts]]&gt;0, tbl_attendance[[#This Row],[R4 Pts]]&gt;0), "YES", "NO")</f>
        <v>NO</v>
      </c>
      <c r="L161" s="3" t="str">
        <f>IF(
(tbl_attendance[[#This Row],[R1 Pts]]&gt;0)+(tbl_attendance[[#This Row],[R2 Pts]]&gt;0)+(tbl_attendance[[#This Row],[R3 Pts]]&gt;0)+(tbl_attendance[[#This Row],[R4 Pts]]&gt;0)&gt;=3,"YES", "NO")</f>
        <v>NO</v>
      </c>
      <c r="M161" s="3" t="str">
        <f>IF(AND(tbl_attendance[[#This Row],[R1 Pts]]=0, tbl_attendance[[#This Row],[R2 Pts]]=0,tbl_attendance[[#This Row],[R3 Pts]]=0,tbl_attendance[[#This Row],[R4 Pts]]=0),"YES", "NO")</f>
        <v>NO</v>
      </c>
    </row>
    <row r="162" spans="1:13" hidden="1" x14ac:dyDescent="0.4">
      <c r="A162" t="e">
        <f>_xlfn.TEXTBEFORE(#REF!," ",)</f>
        <v>#REF!</v>
      </c>
      <c r="B162" t="e">
        <f>_xlfn.TEXTAFTER(#REF!, " ", -1)</f>
        <v>#REF!</v>
      </c>
      <c r="C162" t="s">
        <v>20</v>
      </c>
      <c r="D162" t="s">
        <v>1</v>
      </c>
      <c r="E162" s="3">
        <v>12043</v>
      </c>
      <c r="F162" s="3">
        <v>43</v>
      </c>
      <c r="G162" s="3">
        <v>100</v>
      </c>
      <c r="H162" s="3">
        <v>60</v>
      </c>
      <c r="I162" s="3">
        <v>95</v>
      </c>
      <c r="J162" s="3" t="str">
        <f>IF(AND(tbl_attendance[[#This Row],[R1 Pts]]&gt;0, tbl_attendance[[#This Row],[R2 Pts]]&gt;0,tbl_attendance[[#This Row],[R3 Pts]]&gt;0,tbl_attendance[[#This Row],[R4 Pts]]&gt;0),"YES", "NO")</f>
        <v>YES</v>
      </c>
      <c r="K162" s="3" t="str">
        <f>IF(AND(tbl_attendance[[#This Row],[R2 Pts]]&gt;0, tbl_attendance[[#This Row],[R4 Pts]]&gt;0), "YES", "NO")</f>
        <v>YES</v>
      </c>
      <c r="L162" s="3" t="str">
        <f>IF(
(tbl_attendance[[#This Row],[R1 Pts]]&gt;0)+(tbl_attendance[[#This Row],[R2 Pts]]&gt;0)+(tbl_attendance[[#This Row],[R3 Pts]]&gt;0)+(tbl_attendance[[#This Row],[R4 Pts]]&gt;0)&gt;=3,"YES", "NO")</f>
        <v>YES</v>
      </c>
      <c r="M162" s="3" t="str">
        <f>IF(AND(tbl_attendance[[#This Row],[R1 Pts]]=0, tbl_attendance[[#This Row],[R2 Pts]]=0,tbl_attendance[[#This Row],[R3 Pts]]=0,tbl_attendance[[#This Row],[R4 Pts]]=0),"YES", "NO")</f>
        <v>NO</v>
      </c>
    </row>
    <row r="163" spans="1:13" hidden="1" x14ac:dyDescent="0.4">
      <c r="A163" t="e">
        <f>_xlfn.TEXTBEFORE(#REF!," ",)</f>
        <v>#REF!</v>
      </c>
      <c r="B163" t="e">
        <f>_xlfn.TEXTAFTER(#REF!, " ", -1)</f>
        <v>#REF!</v>
      </c>
      <c r="C163" t="s">
        <v>20</v>
      </c>
      <c r="D163" t="s">
        <v>1</v>
      </c>
      <c r="E163" s="3">
        <v>12044</v>
      </c>
      <c r="F163" s="3">
        <v>60</v>
      </c>
      <c r="G163" s="3">
        <v>32</v>
      </c>
      <c r="H163" s="3">
        <v>55</v>
      </c>
      <c r="I163" s="3">
        <v>37</v>
      </c>
      <c r="J163" s="3" t="str">
        <f>IF(AND(tbl_attendance[[#This Row],[R1 Pts]]&gt;0, tbl_attendance[[#This Row],[R2 Pts]]&gt;0,tbl_attendance[[#This Row],[R3 Pts]]&gt;0,tbl_attendance[[#This Row],[R4 Pts]]&gt;0),"YES", "NO")</f>
        <v>YES</v>
      </c>
      <c r="K163" s="3" t="str">
        <f>IF(AND(tbl_attendance[[#This Row],[R2 Pts]]&gt;0, tbl_attendance[[#This Row],[R4 Pts]]&gt;0), "YES", "NO")</f>
        <v>YES</v>
      </c>
      <c r="L163" s="3" t="str">
        <f>IF(
(tbl_attendance[[#This Row],[R1 Pts]]&gt;0)+(tbl_attendance[[#This Row],[R2 Pts]]&gt;0)+(tbl_attendance[[#This Row],[R3 Pts]]&gt;0)+(tbl_attendance[[#This Row],[R4 Pts]]&gt;0)&gt;=3,"YES", "NO")</f>
        <v>YES</v>
      </c>
      <c r="M163" s="3" t="str">
        <f>IF(AND(tbl_attendance[[#This Row],[R1 Pts]]=0, tbl_attendance[[#This Row],[R2 Pts]]=0,tbl_attendance[[#This Row],[R3 Pts]]=0,tbl_attendance[[#This Row],[R4 Pts]]=0),"YES", "NO")</f>
        <v>NO</v>
      </c>
    </row>
    <row r="164" spans="1:13" hidden="1" x14ac:dyDescent="0.4">
      <c r="A164" t="e">
        <f>_xlfn.TEXTBEFORE(#REF!," ",)</f>
        <v>#REF!</v>
      </c>
      <c r="B164" t="e">
        <f>_xlfn.TEXTAFTER(#REF!, " ", -1)</f>
        <v>#REF!</v>
      </c>
      <c r="C164" t="s">
        <v>20</v>
      </c>
      <c r="D164" t="s">
        <v>1</v>
      </c>
      <c r="E164" s="3">
        <v>12045</v>
      </c>
      <c r="F164" s="3">
        <v>0</v>
      </c>
      <c r="G164" s="3">
        <v>85</v>
      </c>
      <c r="H164" s="3">
        <v>51</v>
      </c>
      <c r="I164" s="3">
        <v>0</v>
      </c>
      <c r="J164" s="3" t="str">
        <f>IF(AND(tbl_attendance[[#This Row],[R1 Pts]]&gt;0, tbl_attendance[[#This Row],[R2 Pts]]&gt;0,tbl_attendance[[#This Row],[R3 Pts]]&gt;0,tbl_attendance[[#This Row],[R4 Pts]]&gt;0),"YES", "NO")</f>
        <v>NO</v>
      </c>
      <c r="K164" s="3" t="str">
        <f>IF(AND(tbl_attendance[[#This Row],[R2 Pts]]&gt;0, tbl_attendance[[#This Row],[R4 Pts]]&gt;0), "YES", "NO")</f>
        <v>NO</v>
      </c>
      <c r="L164" s="3" t="str">
        <f>IF(
(tbl_attendance[[#This Row],[R1 Pts]]&gt;0)+(tbl_attendance[[#This Row],[R2 Pts]]&gt;0)+(tbl_attendance[[#This Row],[R3 Pts]]&gt;0)+(tbl_attendance[[#This Row],[R4 Pts]]&gt;0)&gt;=3,"YES", "NO")</f>
        <v>NO</v>
      </c>
      <c r="M164" s="3" t="str">
        <f>IF(AND(tbl_attendance[[#This Row],[R1 Pts]]=0, tbl_attendance[[#This Row],[R2 Pts]]=0,tbl_attendance[[#This Row],[R3 Pts]]=0,tbl_attendance[[#This Row],[R4 Pts]]=0),"YES", "NO")</f>
        <v>NO</v>
      </c>
    </row>
    <row r="165" spans="1:13" hidden="1" x14ac:dyDescent="0.4">
      <c r="A165" t="e">
        <f>_xlfn.TEXTBEFORE(#REF!," ",)</f>
        <v>#REF!</v>
      </c>
      <c r="B165" t="e">
        <f>_xlfn.TEXTAFTER(#REF!, " ", -1)</f>
        <v>#REF!</v>
      </c>
      <c r="C165" t="s">
        <v>20</v>
      </c>
      <c r="D165" t="s">
        <v>1</v>
      </c>
      <c r="E165" s="3">
        <v>12046</v>
      </c>
      <c r="F165" s="3">
        <v>37</v>
      </c>
      <c r="G165" s="3">
        <v>1</v>
      </c>
      <c r="H165" s="3">
        <v>44</v>
      </c>
      <c r="I165" s="3">
        <v>28</v>
      </c>
      <c r="J165" s="3" t="str">
        <f>IF(AND(tbl_attendance[[#This Row],[R1 Pts]]&gt;0, tbl_attendance[[#This Row],[R2 Pts]]&gt;0,tbl_attendance[[#This Row],[R3 Pts]]&gt;0,tbl_attendance[[#This Row],[R4 Pts]]&gt;0),"YES", "NO")</f>
        <v>YES</v>
      </c>
      <c r="K165" s="3" t="str">
        <f>IF(AND(tbl_attendance[[#This Row],[R2 Pts]]&gt;0, tbl_attendance[[#This Row],[R4 Pts]]&gt;0), "YES", "NO")</f>
        <v>YES</v>
      </c>
      <c r="L165" s="3" t="str">
        <f>IF(
(tbl_attendance[[#This Row],[R1 Pts]]&gt;0)+(tbl_attendance[[#This Row],[R2 Pts]]&gt;0)+(tbl_attendance[[#This Row],[R3 Pts]]&gt;0)+(tbl_attendance[[#This Row],[R4 Pts]]&gt;0)&gt;=3,"YES", "NO")</f>
        <v>YES</v>
      </c>
      <c r="M165" s="3" t="str">
        <f>IF(AND(tbl_attendance[[#This Row],[R1 Pts]]=0, tbl_attendance[[#This Row],[R2 Pts]]=0,tbl_attendance[[#This Row],[R3 Pts]]=0,tbl_attendance[[#This Row],[R4 Pts]]=0),"YES", "NO")</f>
        <v>NO</v>
      </c>
    </row>
    <row r="166" spans="1:13" hidden="1" x14ac:dyDescent="0.4">
      <c r="A166" t="e">
        <f>_xlfn.TEXTBEFORE(#REF!," ",)</f>
        <v>#REF!</v>
      </c>
      <c r="B166" t="e">
        <f>_xlfn.TEXTAFTER(#REF!, " ", -1)</f>
        <v>#REF!</v>
      </c>
      <c r="C166" t="s">
        <v>20</v>
      </c>
      <c r="D166" t="s">
        <v>1</v>
      </c>
      <c r="E166" s="3">
        <v>12047</v>
      </c>
      <c r="F166" s="3">
        <v>0</v>
      </c>
      <c r="G166" s="3">
        <v>90</v>
      </c>
      <c r="H166" s="3">
        <v>90</v>
      </c>
      <c r="I166" s="3">
        <v>90</v>
      </c>
      <c r="J166" s="3" t="str">
        <f>IF(AND(tbl_attendance[[#This Row],[R1 Pts]]&gt;0, tbl_attendance[[#This Row],[R2 Pts]]&gt;0,tbl_attendance[[#This Row],[R3 Pts]]&gt;0,tbl_attendance[[#This Row],[R4 Pts]]&gt;0),"YES", "NO")</f>
        <v>NO</v>
      </c>
      <c r="K166" s="3" t="str">
        <f>IF(AND(tbl_attendance[[#This Row],[R2 Pts]]&gt;0, tbl_attendance[[#This Row],[R4 Pts]]&gt;0), "YES", "NO")</f>
        <v>YES</v>
      </c>
      <c r="L166" s="3" t="str">
        <f>IF(
(tbl_attendance[[#This Row],[R1 Pts]]&gt;0)+(tbl_attendance[[#This Row],[R2 Pts]]&gt;0)+(tbl_attendance[[#This Row],[R3 Pts]]&gt;0)+(tbl_attendance[[#This Row],[R4 Pts]]&gt;0)&gt;=3,"YES", "NO")</f>
        <v>YES</v>
      </c>
      <c r="M166" s="3" t="str">
        <f>IF(AND(tbl_attendance[[#This Row],[R1 Pts]]=0, tbl_attendance[[#This Row],[R2 Pts]]=0,tbl_attendance[[#This Row],[R3 Pts]]=0,tbl_attendance[[#This Row],[R4 Pts]]=0),"YES", "NO")</f>
        <v>NO</v>
      </c>
    </row>
    <row r="167" spans="1:13" hidden="1" x14ac:dyDescent="0.4">
      <c r="A167" t="e">
        <f>_xlfn.TEXTBEFORE(#REF!," ",)</f>
        <v>#REF!</v>
      </c>
      <c r="B167" t="e">
        <f>_xlfn.TEXTAFTER(#REF!, " ", -1)</f>
        <v>#REF!</v>
      </c>
      <c r="C167" t="s">
        <v>20</v>
      </c>
      <c r="D167" t="s">
        <v>1</v>
      </c>
      <c r="E167" s="3">
        <v>12048</v>
      </c>
      <c r="F167" s="3">
        <v>25</v>
      </c>
      <c r="G167" s="3">
        <v>23</v>
      </c>
      <c r="H167" s="3">
        <v>0</v>
      </c>
      <c r="I167" s="3">
        <v>29</v>
      </c>
      <c r="J167" s="3" t="str">
        <f>IF(AND(tbl_attendance[[#This Row],[R1 Pts]]&gt;0, tbl_attendance[[#This Row],[R2 Pts]]&gt;0,tbl_attendance[[#This Row],[R3 Pts]]&gt;0,tbl_attendance[[#This Row],[R4 Pts]]&gt;0),"YES", "NO")</f>
        <v>NO</v>
      </c>
      <c r="K167" s="3" t="str">
        <f>IF(AND(tbl_attendance[[#This Row],[R2 Pts]]&gt;0, tbl_attendance[[#This Row],[R4 Pts]]&gt;0), "YES", "NO")</f>
        <v>YES</v>
      </c>
      <c r="L167" s="3" t="str">
        <f>IF(
(tbl_attendance[[#This Row],[R1 Pts]]&gt;0)+(tbl_attendance[[#This Row],[R2 Pts]]&gt;0)+(tbl_attendance[[#This Row],[R3 Pts]]&gt;0)+(tbl_attendance[[#This Row],[R4 Pts]]&gt;0)&gt;=3,"YES", "NO")</f>
        <v>YES</v>
      </c>
      <c r="M167" s="3" t="str">
        <f>IF(AND(tbl_attendance[[#This Row],[R1 Pts]]=0, tbl_attendance[[#This Row],[R2 Pts]]=0,tbl_attendance[[#This Row],[R3 Pts]]=0,tbl_attendance[[#This Row],[R4 Pts]]=0),"YES", "NO")</f>
        <v>NO</v>
      </c>
    </row>
    <row r="168" spans="1:13" hidden="1" x14ac:dyDescent="0.4">
      <c r="A168" t="e">
        <f>_xlfn.TEXTBEFORE(#REF!," ",)</f>
        <v>#REF!</v>
      </c>
      <c r="B168" t="e">
        <f>_xlfn.TEXTAFTER(#REF!, " ", -1)</f>
        <v>#REF!</v>
      </c>
      <c r="C168" t="s">
        <v>21</v>
      </c>
      <c r="D168" t="s">
        <v>4</v>
      </c>
      <c r="E168" s="3">
        <v>1033</v>
      </c>
      <c r="F168" s="3">
        <v>90</v>
      </c>
      <c r="G168" s="3">
        <v>53</v>
      </c>
      <c r="H168" s="3">
        <v>85</v>
      </c>
      <c r="I168" s="3">
        <v>0</v>
      </c>
      <c r="J168" s="3" t="str">
        <f>IF(AND(tbl_attendance[[#This Row],[R1 Pts]]&gt;0, tbl_attendance[[#This Row],[R2 Pts]]&gt;0,tbl_attendance[[#This Row],[R3 Pts]]&gt;0,tbl_attendance[[#This Row],[R4 Pts]]&gt;0),"YES", "NO")</f>
        <v>NO</v>
      </c>
      <c r="K168" s="3" t="str">
        <f>IF(AND(tbl_attendance[[#This Row],[R2 Pts]]&gt;0, tbl_attendance[[#This Row],[R4 Pts]]&gt;0), "YES", "NO")</f>
        <v>NO</v>
      </c>
      <c r="L168" s="3" t="str">
        <f>IF(
(tbl_attendance[[#This Row],[R1 Pts]]&gt;0)+(tbl_attendance[[#This Row],[R2 Pts]]&gt;0)+(tbl_attendance[[#This Row],[R3 Pts]]&gt;0)+(tbl_attendance[[#This Row],[R4 Pts]]&gt;0)&gt;=3,"YES", "NO")</f>
        <v>YES</v>
      </c>
      <c r="M168" s="3" t="str">
        <f>IF(AND(tbl_attendance[[#This Row],[R1 Pts]]=0, tbl_attendance[[#This Row],[R2 Pts]]=0,tbl_attendance[[#This Row],[R3 Pts]]=0,tbl_attendance[[#This Row],[R4 Pts]]=0),"YES", "NO")</f>
        <v>NO</v>
      </c>
    </row>
    <row r="169" spans="1:13" hidden="1" x14ac:dyDescent="0.4">
      <c r="A169" t="e">
        <f>_xlfn.TEXTBEFORE(#REF!," ",)</f>
        <v>#REF!</v>
      </c>
      <c r="B169" t="e">
        <f>_xlfn.TEXTAFTER(#REF!, " ", -1)</f>
        <v>#REF!</v>
      </c>
      <c r="C169" t="s">
        <v>21</v>
      </c>
      <c r="D169" t="s">
        <v>4</v>
      </c>
      <c r="E169" s="3">
        <v>1034</v>
      </c>
      <c r="F169" s="3">
        <v>95</v>
      </c>
      <c r="G169" s="3">
        <v>0</v>
      </c>
      <c r="H169" s="3">
        <v>90</v>
      </c>
      <c r="I169" s="3">
        <v>0</v>
      </c>
      <c r="J169" s="3" t="str">
        <f>IF(AND(tbl_attendance[[#This Row],[R1 Pts]]&gt;0, tbl_attendance[[#This Row],[R2 Pts]]&gt;0,tbl_attendance[[#This Row],[R3 Pts]]&gt;0,tbl_attendance[[#This Row],[R4 Pts]]&gt;0),"YES", "NO")</f>
        <v>NO</v>
      </c>
      <c r="K169" s="3" t="str">
        <f>IF(AND(tbl_attendance[[#This Row],[R2 Pts]]&gt;0, tbl_attendance[[#This Row],[R4 Pts]]&gt;0), "YES", "NO")</f>
        <v>NO</v>
      </c>
      <c r="L169" s="3" t="str">
        <f>IF(
(tbl_attendance[[#This Row],[R1 Pts]]&gt;0)+(tbl_attendance[[#This Row],[R2 Pts]]&gt;0)+(tbl_attendance[[#This Row],[R3 Pts]]&gt;0)+(tbl_attendance[[#This Row],[R4 Pts]]&gt;0)&gt;=3,"YES", "NO")</f>
        <v>NO</v>
      </c>
      <c r="M169" s="3" t="str">
        <f>IF(AND(tbl_attendance[[#This Row],[R1 Pts]]=0, tbl_attendance[[#This Row],[R2 Pts]]=0,tbl_attendance[[#This Row],[R3 Pts]]=0,tbl_attendance[[#This Row],[R4 Pts]]=0),"YES", "NO")</f>
        <v>NO</v>
      </c>
    </row>
    <row r="170" spans="1:13" hidden="1" x14ac:dyDescent="0.4">
      <c r="A170" t="e">
        <f>_xlfn.TEXTBEFORE(#REF!," ",)</f>
        <v>#REF!</v>
      </c>
      <c r="B170" t="e">
        <f>_xlfn.TEXTAFTER(#REF!, " ", -1)</f>
        <v>#REF!</v>
      </c>
      <c r="C170" t="s">
        <v>21</v>
      </c>
      <c r="D170" t="s">
        <v>4</v>
      </c>
      <c r="E170" s="3">
        <v>1035</v>
      </c>
      <c r="F170" s="3">
        <v>0</v>
      </c>
      <c r="G170" s="3">
        <v>100</v>
      </c>
      <c r="H170" s="3">
        <v>0</v>
      </c>
      <c r="I170" s="3">
        <v>100</v>
      </c>
      <c r="J170" s="3" t="str">
        <f>IF(AND(tbl_attendance[[#This Row],[R1 Pts]]&gt;0, tbl_attendance[[#This Row],[R2 Pts]]&gt;0,tbl_attendance[[#This Row],[R3 Pts]]&gt;0,tbl_attendance[[#This Row],[R4 Pts]]&gt;0),"YES", "NO")</f>
        <v>NO</v>
      </c>
      <c r="K170" s="3" t="str">
        <f>IF(AND(tbl_attendance[[#This Row],[R2 Pts]]&gt;0, tbl_attendance[[#This Row],[R4 Pts]]&gt;0), "YES", "NO")</f>
        <v>YES</v>
      </c>
      <c r="L170" s="3" t="str">
        <f>IF(
(tbl_attendance[[#This Row],[R1 Pts]]&gt;0)+(tbl_attendance[[#This Row],[R2 Pts]]&gt;0)+(tbl_attendance[[#This Row],[R3 Pts]]&gt;0)+(tbl_attendance[[#This Row],[R4 Pts]]&gt;0)&gt;=3,"YES", "NO")</f>
        <v>NO</v>
      </c>
      <c r="M170" s="3" t="str">
        <f>IF(AND(tbl_attendance[[#This Row],[R1 Pts]]=0, tbl_attendance[[#This Row],[R2 Pts]]=0,tbl_attendance[[#This Row],[R3 Pts]]=0,tbl_attendance[[#This Row],[R4 Pts]]=0),"YES", "NO")</f>
        <v>NO</v>
      </c>
    </row>
    <row r="171" spans="1:13" hidden="1" x14ac:dyDescent="0.4">
      <c r="A171" t="e">
        <f>_xlfn.TEXTBEFORE(#REF!," ",)</f>
        <v>#REF!</v>
      </c>
      <c r="B171" t="e">
        <f>_xlfn.TEXTAFTER(#REF!, " ", -1)</f>
        <v>#REF!</v>
      </c>
      <c r="C171" t="s">
        <v>21</v>
      </c>
      <c r="D171" t="s">
        <v>2</v>
      </c>
      <c r="E171" s="3">
        <v>1237</v>
      </c>
      <c r="F171" s="3">
        <v>53</v>
      </c>
      <c r="G171" s="3">
        <v>0</v>
      </c>
      <c r="H171" s="3">
        <v>0</v>
      </c>
      <c r="I171" s="3">
        <v>0</v>
      </c>
      <c r="J171" s="3" t="str">
        <f>IF(AND(tbl_attendance[[#This Row],[R1 Pts]]&gt;0, tbl_attendance[[#This Row],[R2 Pts]]&gt;0,tbl_attendance[[#This Row],[R3 Pts]]&gt;0,tbl_attendance[[#This Row],[R4 Pts]]&gt;0),"YES", "NO")</f>
        <v>NO</v>
      </c>
      <c r="K171" s="3" t="str">
        <f>IF(AND(tbl_attendance[[#This Row],[R2 Pts]]&gt;0, tbl_attendance[[#This Row],[R4 Pts]]&gt;0), "YES", "NO")</f>
        <v>NO</v>
      </c>
      <c r="L171" s="3" t="str">
        <f>IF(
(tbl_attendance[[#This Row],[R1 Pts]]&gt;0)+(tbl_attendance[[#This Row],[R2 Pts]]&gt;0)+(tbl_attendance[[#This Row],[R3 Pts]]&gt;0)+(tbl_attendance[[#This Row],[R4 Pts]]&gt;0)&gt;=3,"YES", "NO")</f>
        <v>NO</v>
      </c>
      <c r="M171" s="3" t="str">
        <f>IF(AND(tbl_attendance[[#This Row],[R1 Pts]]=0, tbl_attendance[[#This Row],[R2 Pts]]=0,tbl_attendance[[#This Row],[R3 Pts]]=0,tbl_attendance[[#This Row],[R4 Pts]]=0),"YES", "NO")</f>
        <v>NO</v>
      </c>
    </row>
    <row r="172" spans="1:13" hidden="1" x14ac:dyDescent="0.4">
      <c r="A172" t="e">
        <f>_xlfn.TEXTBEFORE(#REF!," ",)</f>
        <v>#REF!</v>
      </c>
      <c r="B172" t="e">
        <f>_xlfn.TEXTAFTER(#REF!, " ", -1)</f>
        <v>#REF!</v>
      </c>
      <c r="C172" t="s">
        <v>21</v>
      </c>
      <c r="D172" t="s">
        <v>2</v>
      </c>
      <c r="E172" s="3">
        <v>1238</v>
      </c>
      <c r="F172" s="3">
        <v>0</v>
      </c>
      <c r="G172" s="3">
        <v>95</v>
      </c>
      <c r="H172" s="3">
        <v>0</v>
      </c>
      <c r="I172" s="3">
        <v>0</v>
      </c>
      <c r="J172" s="3" t="str">
        <f>IF(AND(tbl_attendance[[#This Row],[R1 Pts]]&gt;0, tbl_attendance[[#This Row],[R2 Pts]]&gt;0,tbl_attendance[[#This Row],[R3 Pts]]&gt;0,tbl_attendance[[#This Row],[R4 Pts]]&gt;0),"YES", "NO")</f>
        <v>NO</v>
      </c>
      <c r="K172" s="3" t="str">
        <f>IF(AND(tbl_attendance[[#This Row],[R2 Pts]]&gt;0, tbl_attendance[[#This Row],[R4 Pts]]&gt;0), "YES", "NO")</f>
        <v>NO</v>
      </c>
      <c r="L172" s="3" t="str">
        <f>IF(
(tbl_attendance[[#This Row],[R1 Pts]]&gt;0)+(tbl_attendance[[#This Row],[R2 Pts]]&gt;0)+(tbl_attendance[[#This Row],[R3 Pts]]&gt;0)+(tbl_attendance[[#This Row],[R4 Pts]]&gt;0)&gt;=3,"YES", "NO")</f>
        <v>NO</v>
      </c>
      <c r="M172" s="3" t="str">
        <f>IF(AND(tbl_attendance[[#This Row],[R1 Pts]]=0, tbl_attendance[[#This Row],[R2 Pts]]=0,tbl_attendance[[#This Row],[R3 Pts]]=0,tbl_attendance[[#This Row],[R4 Pts]]=0),"YES", "NO")</f>
        <v>NO</v>
      </c>
    </row>
    <row r="173" spans="1:13" hidden="1" x14ac:dyDescent="0.4">
      <c r="A173" t="e">
        <f>_xlfn.TEXTBEFORE(#REF!," ",)</f>
        <v>#REF!</v>
      </c>
      <c r="B173" t="e">
        <f>_xlfn.TEXTAFTER(#REF!, " ", -1)</f>
        <v>#REF!</v>
      </c>
      <c r="C173" t="s">
        <v>21</v>
      </c>
      <c r="D173" t="s">
        <v>3</v>
      </c>
      <c r="E173" s="3">
        <v>10172</v>
      </c>
      <c r="F173" s="3">
        <v>1</v>
      </c>
      <c r="G173" s="3">
        <v>26</v>
      </c>
      <c r="H173" s="3">
        <v>0</v>
      </c>
      <c r="I173" s="3">
        <v>0</v>
      </c>
      <c r="J173" s="3" t="str">
        <f>IF(AND(tbl_attendance[[#This Row],[R1 Pts]]&gt;0, tbl_attendance[[#This Row],[R2 Pts]]&gt;0,tbl_attendance[[#This Row],[R3 Pts]]&gt;0,tbl_attendance[[#This Row],[R4 Pts]]&gt;0),"YES", "NO")</f>
        <v>NO</v>
      </c>
      <c r="K173" s="3" t="str">
        <f>IF(AND(tbl_attendance[[#This Row],[R2 Pts]]&gt;0, tbl_attendance[[#This Row],[R4 Pts]]&gt;0), "YES", "NO")</f>
        <v>NO</v>
      </c>
      <c r="L173" s="3" t="str">
        <f>IF(
(tbl_attendance[[#This Row],[R1 Pts]]&gt;0)+(tbl_attendance[[#This Row],[R2 Pts]]&gt;0)+(tbl_attendance[[#This Row],[R3 Pts]]&gt;0)+(tbl_attendance[[#This Row],[R4 Pts]]&gt;0)&gt;=3,"YES", "NO")</f>
        <v>NO</v>
      </c>
      <c r="M173" s="3" t="str">
        <f>IF(AND(tbl_attendance[[#This Row],[R1 Pts]]=0, tbl_attendance[[#This Row],[R2 Pts]]=0,tbl_attendance[[#This Row],[R3 Pts]]=0,tbl_attendance[[#This Row],[R4 Pts]]=0),"YES", "NO")</f>
        <v>NO</v>
      </c>
    </row>
    <row r="174" spans="1:13" hidden="1" x14ac:dyDescent="0.4">
      <c r="A174" t="e">
        <f>_xlfn.TEXTBEFORE(#REF!," ",)</f>
        <v>#REF!</v>
      </c>
      <c r="B174" t="e">
        <f>_xlfn.TEXTAFTER(#REF!, " ", -1)</f>
        <v>#REF!</v>
      </c>
      <c r="C174" t="s">
        <v>21</v>
      </c>
      <c r="D174" t="s">
        <v>3</v>
      </c>
      <c r="E174" s="3">
        <v>10173</v>
      </c>
      <c r="F174" s="3">
        <v>55</v>
      </c>
      <c r="G174" s="3">
        <v>51</v>
      </c>
      <c r="H174" s="3">
        <v>0</v>
      </c>
      <c r="I174" s="3">
        <v>55</v>
      </c>
      <c r="J174" s="3" t="str">
        <f>IF(AND(tbl_attendance[[#This Row],[R1 Pts]]&gt;0, tbl_attendance[[#This Row],[R2 Pts]]&gt;0,tbl_attendance[[#This Row],[R3 Pts]]&gt;0,tbl_attendance[[#This Row],[R4 Pts]]&gt;0),"YES", "NO")</f>
        <v>NO</v>
      </c>
      <c r="K174" s="3" t="str">
        <f>IF(AND(tbl_attendance[[#This Row],[R2 Pts]]&gt;0, tbl_attendance[[#This Row],[R4 Pts]]&gt;0), "YES", "NO")</f>
        <v>YES</v>
      </c>
      <c r="L174" s="3" t="str">
        <f>IF(
(tbl_attendance[[#This Row],[R1 Pts]]&gt;0)+(tbl_attendance[[#This Row],[R2 Pts]]&gt;0)+(tbl_attendance[[#This Row],[R3 Pts]]&gt;0)+(tbl_attendance[[#This Row],[R4 Pts]]&gt;0)&gt;=3,"YES", "NO")</f>
        <v>YES</v>
      </c>
      <c r="M174" s="3" t="str">
        <f>IF(AND(tbl_attendance[[#This Row],[R1 Pts]]=0, tbl_attendance[[#This Row],[R2 Pts]]=0,tbl_attendance[[#This Row],[R3 Pts]]=0,tbl_attendance[[#This Row],[R4 Pts]]=0),"YES", "NO")</f>
        <v>NO</v>
      </c>
    </row>
    <row r="175" spans="1:13" hidden="1" x14ac:dyDescent="0.4">
      <c r="A175" t="e">
        <f>_xlfn.TEXTBEFORE(#REF!," ",)</f>
        <v>#REF!</v>
      </c>
      <c r="B175" t="e">
        <f>_xlfn.TEXTAFTER(#REF!, " ", -1)</f>
        <v>#REF!</v>
      </c>
      <c r="C175" t="s">
        <v>21</v>
      </c>
      <c r="D175" t="s">
        <v>3</v>
      </c>
      <c r="E175" s="3">
        <v>10174</v>
      </c>
      <c r="F175" s="3">
        <v>90</v>
      </c>
      <c r="G175" s="3">
        <v>95</v>
      </c>
      <c r="H175" s="3">
        <v>65</v>
      </c>
      <c r="I175" s="3">
        <v>70</v>
      </c>
      <c r="J175" s="3" t="str">
        <f>IF(AND(tbl_attendance[[#This Row],[R1 Pts]]&gt;0, tbl_attendance[[#This Row],[R2 Pts]]&gt;0,tbl_attendance[[#This Row],[R3 Pts]]&gt;0,tbl_attendance[[#This Row],[R4 Pts]]&gt;0),"YES", "NO")</f>
        <v>YES</v>
      </c>
      <c r="K175" s="3" t="str">
        <f>IF(AND(tbl_attendance[[#This Row],[R2 Pts]]&gt;0, tbl_attendance[[#This Row],[R4 Pts]]&gt;0), "YES", "NO")</f>
        <v>YES</v>
      </c>
      <c r="L175" s="3" t="str">
        <f>IF(
(tbl_attendance[[#This Row],[R1 Pts]]&gt;0)+(tbl_attendance[[#This Row],[R2 Pts]]&gt;0)+(tbl_attendance[[#This Row],[R3 Pts]]&gt;0)+(tbl_attendance[[#This Row],[R4 Pts]]&gt;0)&gt;=3,"YES", "NO")</f>
        <v>YES</v>
      </c>
      <c r="M175" s="3" t="str">
        <f>IF(AND(tbl_attendance[[#This Row],[R1 Pts]]=0, tbl_attendance[[#This Row],[R2 Pts]]=0,tbl_attendance[[#This Row],[R3 Pts]]=0,tbl_attendance[[#This Row],[R4 Pts]]=0),"YES", "NO")</f>
        <v>NO</v>
      </c>
    </row>
    <row r="176" spans="1:13" hidden="1" x14ac:dyDescent="0.4">
      <c r="A176" t="e">
        <f>_xlfn.TEXTBEFORE(#REF!," ",)</f>
        <v>#REF!</v>
      </c>
      <c r="B176" t="e">
        <f>_xlfn.TEXTAFTER(#REF!, " ", -1)</f>
        <v>#REF!</v>
      </c>
      <c r="C176" t="s">
        <v>21</v>
      </c>
      <c r="D176" t="s">
        <v>3</v>
      </c>
      <c r="E176" s="3">
        <v>10175</v>
      </c>
      <c r="F176" s="3">
        <v>100</v>
      </c>
      <c r="G176" s="3">
        <v>100</v>
      </c>
      <c r="H176" s="3">
        <v>0</v>
      </c>
      <c r="I176" s="3">
        <v>0</v>
      </c>
      <c r="J176" s="3" t="str">
        <f>IF(AND(tbl_attendance[[#This Row],[R1 Pts]]&gt;0, tbl_attendance[[#This Row],[R2 Pts]]&gt;0,tbl_attendance[[#This Row],[R3 Pts]]&gt;0,tbl_attendance[[#This Row],[R4 Pts]]&gt;0),"YES", "NO")</f>
        <v>NO</v>
      </c>
      <c r="K176" s="3" t="str">
        <f>IF(AND(tbl_attendance[[#This Row],[R2 Pts]]&gt;0, tbl_attendance[[#This Row],[R4 Pts]]&gt;0), "YES", "NO")</f>
        <v>NO</v>
      </c>
      <c r="L176" s="3" t="str">
        <f>IF(
(tbl_attendance[[#This Row],[R1 Pts]]&gt;0)+(tbl_attendance[[#This Row],[R2 Pts]]&gt;0)+(tbl_attendance[[#This Row],[R3 Pts]]&gt;0)+(tbl_attendance[[#This Row],[R4 Pts]]&gt;0)&gt;=3,"YES", "NO")</f>
        <v>NO</v>
      </c>
      <c r="M176" s="3" t="str">
        <f>IF(AND(tbl_attendance[[#This Row],[R1 Pts]]=0, tbl_attendance[[#This Row],[R2 Pts]]=0,tbl_attendance[[#This Row],[R3 Pts]]=0,tbl_attendance[[#This Row],[R4 Pts]]=0),"YES", "NO")</f>
        <v>NO</v>
      </c>
    </row>
    <row r="177" spans="1:13" hidden="1" x14ac:dyDescent="0.4">
      <c r="A177" t="e">
        <f>_xlfn.TEXTBEFORE(#REF!," ",)</f>
        <v>#REF!</v>
      </c>
      <c r="B177" t="e">
        <f>_xlfn.TEXTAFTER(#REF!, " ", -1)</f>
        <v>#REF!</v>
      </c>
      <c r="C177" t="s">
        <v>21</v>
      </c>
      <c r="D177" t="s">
        <v>3</v>
      </c>
      <c r="E177" s="3">
        <v>10176</v>
      </c>
      <c r="F177" s="3">
        <v>25</v>
      </c>
      <c r="G177" s="3">
        <v>44</v>
      </c>
      <c r="H177" s="3">
        <v>51</v>
      </c>
      <c r="I177" s="3">
        <v>47</v>
      </c>
      <c r="J177" s="3" t="str">
        <f>IF(AND(tbl_attendance[[#This Row],[R1 Pts]]&gt;0, tbl_attendance[[#This Row],[R2 Pts]]&gt;0,tbl_attendance[[#This Row],[R3 Pts]]&gt;0,tbl_attendance[[#This Row],[R4 Pts]]&gt;0),"YES", "NO")</f>
        <v>YES</v>
      </c>
      <c r="K177" s="3" t="str">
        <f>IF(AND(tbl_attendance[[#This Row],[R2 Pts]]&gt;0, tbl_attendance[[#This Row],[R4 Pts]]&gt;0), "YES", "NO")</f>
        <v>YES</v>
      </c>
      <c r="L177" s="3" t="str">
        <f>IF(
(tbl_attendance[[#This Row],[R1 Pts]]&gt;0)+(tbl_attendance[[#This Row],[R2 Pts]]&gt;0)+(tbl_attendance[[#This Row],[R3 Pts]]&gt;0)+(tbl_attendance[[#This Row],[R4 Pts]]&gt;0)&gt;=3,"YES", "NO")</f>
        <v>YES</v>
      </c>
      <c r="M177" s="3" t="str">
        <f>IF(AND(tbl_attendance[[#This Row],[R1 Pts]]=0, tbl_attendance[[#This Row],[R2 Pts]]=0,tbl_attendance[[#This Row],[R3 Pts]]=0,tbl_attendance[[#This Row],[R4 Pts]]=0),"YES", "NO")</f>
        <v>NO</v>
      </c>
    </row>
    <row r="178" spans="1:13" hidden="1" x14ac:dyDescent="0.4">
      <c r="A178" t="e">
        <f>_xlfn.TEXTBEFORE(#REF!," ",)</f>
        <v>#REF!</v>
      </c>
      <c r="B178" t="e">
        <f>_xlfn.TEXTAFTER(#REF!, " ", -1)</f>
        <v>#REF!</v>
      </c>
      <c r="C178" t="s">
        <v>21</v>
      </c>
      <c r="D178" t="s">
        <v>3</v>
      </c>
      <c r="E178" s="3">
        <v>10177</v>
      </c>
      <c r="F178" s="3">
        <v>29</v>
      </c>
      <c r="G178" s="3">
        <v>24</v>
      </c>
      <c r="H178" s="3">
        <v>16</v>
      </c>
      <c r="I178" s="3">
        <v>1</v>
      </c>
      <c r="J178" s="3" t="str">
        <f>IF(AND(tbl_attendance[[#This Row],[R1 Pts]]&gt;0, tbl_attendance[[#This Row],[R2 Pts]]&gt;0,tbl_attendance[[#This Row],[R3 Pts]]&gt;0,tbl_attendance[[#This Row],[R4 Pts]]&gt;0),"YES", "NO")</f>
        <v>YES</v>
      </c>
      <c r="K178" s="3" t="str">
        <f>IF(AND(tbl_attendance[[#This Row],[R2 Pts]]&gt;0, tbl_attendance[[#This Row],[R4 Pts]]&gt;0), "YES", "NO")</f>
        <v>YES</v>
      </c>
      <c r="L178" s="3" t="str">
        <f>IF(
(tbl_attendance[[#This Row],[R1 Pts]]&gt;0)+(tbl_attendance[[#This Row],[R2 Pts]]&gt;0)+(tbl_attendance[[#This Row],[R3 Pts]]&gt;0)+(tbl_attendance[[#This Row],[R4 Pts]]&gt;0)&gt;=3,"YES", "NO")</f>
        <v>YES</v>
      </c>
      <c r="M178" s="3" t="str">
        <f>IF(AND(tbl_attendance[[#This Row],[R1 Pts]]=0, tbl_attendance[[#This Row],[R2 Pts]]=0,tbl_attendance[[#This Row],[R3 Pts]]=0,tbl_attendance[[#This Row],[R4 Pts]]=0),"YES", "NO")</f>
        <v>NO</v>
      </c>
    </row>
    <row r="179" spans="1:13" hidden="1" x14ac:dyDescent="0.4">
      <c r="A179" t="e">
        <f>_xlfn.TEXTBEFORE(#REF!," ",)</f>
        <v>#REF!</v>
      </c>
      <c r="B179" t="e">
        <f>_xlfn.TEXTAFTER(#REF!, " ", -1)</f>
        <v>#REF!</v>
      </c>
      <c r="C179" t="s">
        <v>21</v>
      </c>
      <c r="D179" t="s">
        <v>3</v>
      </c>
      <c r="E179" s="3">
        <v>10178</v>
      </c>
      <c r="F179" s="3">
        <v>75</v>
      </c>
      <c r="G179" s="3">
        <v>1</v>
      </c>
      <c r="H179" s="3">
        <v>90</v>
      </c>
      <c r="I179" s="3">
        <v>43</v>
      </c>
      <c r="J179" s="3" t="str">
        <f>IF(AND(tbl_attendance[[#This Row],[R1 Pts]]&gt;0, tbl_attendance[[#This Row],[R2 Pts]]&gt;0,tbl_attendance[[#This Row],[R3 Pts]]&gt;0,tbl_attendance[[#This Row],[R4 Pts]]&gt;0),"YES", "NO")</f>
        <v>YES</v>
      </c>
      <c r="K179" s="3" t="str">
        <f>IF(AND(tbl_attendance[[#This Row],[R2 Pts]]&gt;0, tbl_attendance[[#This Row],[R4 Pts]]&gt;0), "YES", "NO")</f>
        <v>YES</v>
      </c>
      <c r="L179" s="3" t="str">
        <f>IF(
(tbl_attendance[[#This Row],[R1 Pts]]&gt;0)+(tbl_attendance[[#This Row],[R2 Pts]]&gt;0)+(tbl_attendance[[#This Row],[R3 Pts]]&gt;0)+(tbl_attendance[[#This Row],[R4 Pts]]&gt;0)&gt;=3,"YES", "NO")</f>
        <v>YES</v>
      </c>
      <c r="M179" s="3" t="str">
        <f>IF(AND(tbl_attendance[[#This Row],[R1 Pts]]=0, tbl_attendance[[#This Row],[R2 Pts]]=0,tbl_attendance[[#This Row],[R3 Pts]]=0,tbl_attendance[[#This Row],[R4 Pts]]=0),"YES", "NO")</f>
        <v>NO</v>
      </c>
    </row>
    <row r="180" spans="1:13" hidden="1" x14ac:dyDescent="0.4">
      <c r="A180" t="e">
        <f>_xlfn.TEXTBEFORE(#REF!," ",)</f>
        <v>#REF!</v>
      </c>
      <c r="B180" t="e">
        <f>_xlfn.TEXTAFTER(#REF!, " ", -1)</f>
        <v>#REF!</v>
      </c>
      <c r="C180" t="s">
        <v>21</v>
      </c>
      <c r="D180" t="s">
        <v>1</v>
      </c>
      <c r="E180" s="3">
        <v>12049</v>
      </c>
      <c r="F180" s="3">
        <v>65</v>
      </c>
      <c r="G180" s="3">
        <v>37</v>
      </c>
      <c r="H180" s="3">
        <v>0</v>
      </c>
      <c r="I180" s="3">
        <v>1</v>
      </c>
      <c r="J180" s="3" t="str">
        <f>IF(AND(tbl_attendance[[#This Row],[R1 Pts]]&gt;0, tbl_attendance[[#This Row],[R2 Pts]]&gt;0,tbl_attendance[[#This Row],[R3 Pts]]&gt;0,tbl_attendance[[#This Row],[R4 Pts]]&gt;0),"YES", "NO")</f>
        <v>NO</v>
      </c>
      <c r="K180" s="3" t="str">
        <f>IF(AND(tbl_attendance[[#This Row],[R2 Pts]]&gt;0, tbl_attendance[[#This Row],[R4 Pts]]&gt;0), "YES", "NO")</f>
        <v>YES</v>
      </c>
      <c r="L180" s="3" t="str">
        <f>IF(
(tbl_attendance[[#This Row],[R1 Pts]]&gt;0)+(tbl_attendance[[#This Row],[R2 Pts]]&gt;0)+(tbl_attendance[[#This Row],[R3 Pts]]&gt;0)+(tbl_attendance[[#This Row],[R4 Pts]]&gt;0)&gt;=3,"YES", "NO")</f>
        <v>YES</v>
      </c>
      <c r="M180" s="3" t="str">
        <f>IF(AND(tbl_attendance[[#This Row],[R1 Pts]]=0, tbl_attendance[[#This Row],[R2 Pts]]=0,tbl_attendance[[#This Row],[R3 Pts]]=0,tbl_attendance[[#This Row],[R4 Pts]]=0),"YES", "NO")</f>
        <v>NO</v>
      </c>
    </row>
    <row r="181" spans="1:13" hidden="1" x14ac:dyDescent="0.4">
      <c r="A181" t="e">
        <f>_xlfn.TEXTBEFORE(#REF!," ",)</f>
        <v>#REF!</v>
      </c>
      <c r="B181" t="e">
        <f>_xlfn.TEXTAFTER(#REF!, " ", -1)</f>
        <v>#REF!</v>
      </c>
      <c r="C181" t="s">
        <v>21</v>
      </c>
      <c r="D181" t="s">
        <v>1</v>
      </c>
      <c r="E181" s="3">
        <v>12050</v>
      </c>
      <c r="F181" s="3">
        <v>30</v>
      </c>
      <c r="G181" s="3">
        <v>29</v>
      </c>
      <c r="H181" s="3">
        <v>0</v>
      </c>
      <c r="I181" s="3">
        <v>38</v>
      </c>
      <c r="J181" s="3" t="str">
        <f>IF(AND(tbl_attendance[[#This Row],[R1 Pts]]&gt;0, tbl_attendance[[#This Row],[R2 Pts]]&gt;0,tbl_attendance[[#This Row],[R3 Pts]]&gt;0,tbl_attendance[[#This Row],[R4 Pts]]&gt;0),"YES", "NO")</f>
        <v>NO</v>
      </c>
      <c r="K181" s="3" t="str">
        <f>IF(AND(tbl_attendance[[#This Row],[R2 Pts]]&gt;0, tbl_attendance[[#This Row],[R4 Pts]]&gt;0), "YES", "NO")</f>
        <v>YES</v>
      </c>
      <c r="L181" s="3" t="str">
        <f>IF(
(tbl_attendance[[#This Row],[R1 Pts]]&gt;0)+(tbl_attendance[[#This Row],[R2 Pts]]&gt;0)+(tbl_attendance[[#This Row],[R3 Pts]]&gt;0)+(tbl_attendance[[#This Row],[R4 Pts]]&gt;0)&gt;=3,"YES", "NO")</f>
        <v>YES</v>
      </c>
      <c r="M181" s="3" t="str">
        <f>IF(AND(tbl_attendance[[#This Row],[R1 Pts]]=0, tbl_attendance[[#This Row],[R2 Pts]]=0,tbl_attendance[[#This Row],[R3 Pts]]=0,tbl_attendance[[#This Row],[R4 Pts]]=0),"YES", "NO")</f>
        <v>NO</v>
      </c>
    </row>
    <row r="182" spans="1:13" hidden="1" x14ac:dyDescent="0.4">
      <c r="A182" t="e">
        <f>_xlfn.TEXTBEFORE(#REF!," ",)</f>
        <v>#REF!</v>
      </c>
      <c r="B182" t="e">
        <f>_xlfn.TEXTAFTER(#REF!, " ", -1)</f>
        <v>#REF!</v>
      </c>
      <c r="C182" t="s">
        <v>21</v>
      </c>
      <c r="D182" t="s">
        <v>1</v>
      </c>
      <c r="E182" s="3">
        <v>12051</v>
      </c>
      <c r="F182" s="3">
        <v>32</v>
      </c>
      <c r="G182" s="3">
        <v>20</v>
      </c>
      <c r="H182" s="3">
        <v>28</v>
      </c>
      <c r="I182" s="3">
        <v>0</v>
      </c>
      <c r="J182" s="3" t="str">
        <f>IF(AND(tbl_attendance[[#This Row],[R1 Pts]]&gt;0, tbl_attendance[[#This Row],[R2 Pts]]&gt;0,tbl_attendance[[#This Row],[R3 Pts]]&gt;0,tbl_attendance[[#This Row],[R4 Pts]]&gt;0),"YES", "NO")</f>
        <v>NO</v>
      </c>
      <c r="K182" s="3" t="str">
        <f>IF(AND(tbl_attendance[[#This Row],[R2 Pts]]&gt;0, tbl_attendance[[#This Row],[R4 Pts]]&gt;0), "YES", "NO")</f>
        <v>NO</v>
      </c>
      <c r="L182" s="3" t="str">
        <f>IF(
(tbl_attendance[[#This Row],[R1 Pts]]&gt;0)+(tbl_attendance[[#This Row],[R2 Pts]]&gt;0)+(tbl_attendance[[#This Row],[R3 Pts]]&gt;0)+(tbl_attendance[[#This Row],[R4 Pts]]&gt;0)&gt;=3,"YES", "NO")</f>
        <v>YES</v>
      </c>
      <c r="M182" s="3" t="str">
        <f>IF(AND(tbl_attendance[[#This Row],[R1 Pts]]=0, tbl_attendance[[#This Row],[R2 Pts]]=0,tbl_attendance[[#This Row],[R3 Pts]]=0,tbl_attendance[[#This Row],[R4 Pts]]=0),"YES", "NO")</f>
        <v>NO</v>
      </c>
    </row>
    <row r="183" spans="1:13" hidden="1" x14ac:dyDescent="0.4">
      <c r="A183" t="e">
        <f>_xlfn.TEXTBEFORE(#REF!," ",)</f>
        <v>#REF!</v>
      </c>
      <c r="B183" t="e">
        <f>_xlfn.TEXTAFTER(#REF!, " ", -1)</f>
        <v>#REF!</v>
      </c>
      <c r="C183" t="s">
        <v>21</v>
      </c>
      <c r="D183" t="s">
        <v>1</v>
      </c>
      <c r="E183" s="3">
        <v>12052</v>
      </c>
      <c r="F183" s="3">
        <v>41</v>
      </c>
      <c r="G183" s="3">
        <v>53</v>
      </c>
      <c r="H183" s="3">
        <v>0</v>
      </c>
      <c r="I183" s="3">
        <v>0</v>
      </c>
      <c r="J183" s="3" t="str">
        <f>IF(AND(tbl_attendance[[#This Row],[R1 Pts]]&gt;0, tbl_attendance[[#This Row],[R2 Pts]]&gt;0,tbl_attendance[[#This Row],[R3 Pts]]&gt;0,tbl_attendance[[#This Row],[R4 Pts]]&gt;0),"YES", "NO")</f>
        <v>NO</v>
      </c>
      <c r="K183" s="3" t="str">
        <f>IF(AND(tbl_attendance[[#This Row],[R2 Pts]]&gt;0, tbl_attendance[[#This Row],[R4 Pts]]&gt;0), "YES", "NO")</f>
        <v>NO</v>
      </c>
      <c r="L183" s="3" t="str">
        <f>IF(
(tbl_attendance[[#This Row],[R1 Pts]]&gt;0)+(tbl_attendance[[#This Row],[R2 Pts]]&gt;0)+(tbl_attendance[[#This Row],[R3 Pts]]&gt;0)+(tbl_attendance[[#This Row],[R4 Pts]]&gt;0)&gt;=3,"YES", "NO")</f>
        <v>NO</v>
      </c>
      <c r="M183" s="3" t="str">
        <f>IF(AND(tbl_attendance[[#This Row],[R1 Pts]]=0, tbl_attendance[[#This Row],[R2 Pts]]=0,tbl_attendance[[#This Row],[R3 Pts]]=0,tbl_attendance[[#This Row],[R4 Pts]]=0),"YES", "NO")</f>
        <v>NO</v>
      </c>
    </row>
    <row r="184" spans="1:13" hidden="1" x14ac:dyDescent="0.4">
      <c r="A184" t="e">
        <f>_xlfn.TEXTBEFORE(#REF!," ",)</f>
        <v>#REF!</v>
      </c>
      <c r="B184" t="e">
        <f>_xlfn.TEXTAFTER(#REF!, " ", -1)</f>
        <v>#REF!</v>
      </c>
      <c r="C184" t="s">
        <v>21</v>
      </c>
      <c r="D184" t="s">
        <v>1</v>
      </c>
      <c r="E184" s="3">
        <v>12053</v>
      </c>
      <c r="F184" s="3">
        <v>29</v>
      </c>
      <c r="G184" s="3">
        <v>0</v>
      </c>
      <c r="H184" s="3">
        <v>24</v>
      </c>
      <c r="I184" s="3">
        <v>0</v>
      </c>
      <c r="J184" s="15" t="str">
        <f>IF(AND(tbl_attendance[[#This Row],[R1 Pts]]&gt;0, tbl_attendance[[#This Row],[R2 Pts]]&gt;0,tbl_attendance[[#This Row],[R3 Pts]]&gt;0,tbl_attendance[[#This Row],[R4 Pts]]&gt;0),"YES", "NO")</f>
        <v>NO</v>
      </c>
      <c r="K184" s="15" t="str">
        <f>IF(AND(tbl_attendance[[#This Row],[R2 Pts]]&gt;0, tbl_attendance[[#This Row],[R4 Pts]]&gt;0), "YES", "NO")</f>
        <v>NO</v>
      </c>
      <c r="L184" s="15" t="str">
        <f>IF(
(tbl_attendance[[#This Row],[R1 Pts]]&gt;0)+(tbl_attendance[[#This Row],[R2 Pts]]&gt;0)+(tbl_attendance[[#This Row],[R3 Pts]]&gt;0)+(tbl_attendance[[#This Row],[R4 Pts]]&gt;0)&gt;=3,"YES", "NO")</f>
        <v>NO</v>
      </c>
      <c r="M184" s="3" t="str">
        <f>IF(AND(tbl_attendance[[#This Row],[R1 Pts]]=0, tbl_attendance[[#This Row],[R2 Pts]]=0,tbl_attendance[[#This Row],[R3 Pts]]=0,tbl_attendance[[#This Row],[R4 Pts]]=0),"YES", "NO")</f>
        <v>NO</v>
      </c>
    </row>
    <row r="185" spans="1:13" hidden="1" x14ac:dyDescent="0.4">
      <c r="A185" t="e">
        <f>_xlfn.TEXTBEFORE(#REF!," ",)</f>
        <v>#REF!</v>
      </c>
      <c r="B185" t="e">
        <f>_xlfn.TEXTAFTER(#REF!, " ", -1)</f>
        <v>#REF!</v>
      </c>
      <c r="C185" t="s">
        <v>21</v>
      </c>
      <c r="D185" t="s">
        <v>1</v>
      </c>
      <c r="E185" s="3">
        <v>12054</v>
      </c>
      <c r="F185" s="3">
        <v>0</v>
      </c>
      <c r="G185" s="3">
        <v>0</v>
      </c>
      <c r="H185" s="3">
        <v>33</v>
      </c>
      <c r="I185" s="3">
        <v>0</v>
      </c>
      <c r="J185" s="3" t="str">
        <f>IF(AND(tbl_attendance[[#This Row],[R1 Pts]]&gt;0, tbl_attendance[[#This Row],[R2 Pts]]&gt;0,tbl_attendance[[#This Row],[R3 Pts]]&gt;0,tbl_attendance[[#This Row],[R4 Pts]]&gt;0),"YES", "NO")</f>
        <v>NO</v>
      </c>
      <c r="K185" s="3" t="str">
        <f>IF(AND(tbl_attendance[[#This Row],[R2 Pts]]&gt;0, tbl_attendance[[#This Row],[R4 Pts]]&gt;0), "YES", "NO")</f>
        <v>NO</v>
      </c>
      <c r="L185" s="3" t="str">
        <f>IF(
(tbl_attendance[[#This Row],[R1 Pts]]&gt;0)+(tbl_attendance[[#This Row],[R2 Pts]]&gt;0)+(tbl_attendance[[#This Row],[R3 Pts]]&gt;0)+(tbl_attendance[[#This Row],[R4 Pts]]&gt;0)&gt;=3,"YES", "NO")</f>
        <v>NO</v>
      </c>
      <c r="M185" s="3" t="str">
        <f>IF(AND(tbl_attendance[[#This Row],[R1 Pts]]=0, tbl_attendance[[#This Row],[R2 Pts]]=0,tbl_attendance[[#This Row],[R3 Pts]]=0,tbl_attendance[[#This Row],[R4 Pts]]=0),"YES", "NO")</f>
        <v>NO</v>
      </c>
    </row>
    <row r="186" spans="1:13" hidden="1" x14ac:dyDescent="0.4">
      <c r="A186" t="e">
        <f>_xlfn.TEXTBEFORE(#REF!," ",)</f>
        <v>#REF!</v>
      </c>
      <c r="B186" t="e">
        <f>_xlfn.TEXTAFTER(#REF!, " ", -1)</f>
        <v>#REF!</v>
      </c>
      <c r="C186" t="s">
        <v>21</v>
      </c>
      <c r="D186" t="s">
        <v>1</v>
      </c>
      <c r="E186" s="3">
        <v>12055</v>
      </c>
      <c r="F186" s="3">
        <v>0</v>
      </c>
      <c r="G186" s="3">
        <v>15</v>
      </c>
      <c r="H186" s="3">
        <v>0</v>
      </c>
      <c r="I186" s="3">
        <v>0</v>
      </c>
      <c r="J186" s="3" t="str">
        <f>IF(AND(tbl_attendance[[#This Row],[R1 Pts]]&gt;0, tbl_attendance[[#This Row],[R2 Pts]]&gt;0,tbl_attendance[[#This Row],[R3 Pts]]&gt;0,tbl_attendance[[#This Row],[R4 Pts]]&gt;0),"YES", "NO")</f>
        <v>NO</v>
      </c>
      <c r="K186" s="3" t="str">
        <f>IF(AND(tbl_attendance[[#This Row],[R2 Pts]]&gt;0, tbl_attendance[[#This Row],[R4 Pts]]&gt;0), "YES", "NO")</f>
        <v>NO</v>
      </c>
      <c r="L186" s="3" t="str">
        <f>IF(
(tbl_attendance[[#This Row],[R1 Pts]]&gt;0)+(tbl_attendance[[#This Row],[R2 Pts]]&gt;0)+(tbl_attendance[[#This Row],[R3 Pts]]&gt;0)+(tbl_attendance[[#This Row],[R4 Pts]]&gt;0)&gt;=3,"YES", "NO")</f>
        <v>NO</v>
      </c>
      <c r="M186" s="3" t="str">
        <f>IF(AND(tbl_attendance[[#This Row],[R1 Pts]]=0, tbl_attendance[[#This Row],[R2 Pts]]=0,tbl_attendance[[#This Row],[R3 Pts]]=0,tbl_attendance[[#This Row],[R4 Pts]]=0),"YES", "NO")</f>
        <v>NO</v>
      </c>
    </row>
    <row r="187" spans="1:13" hidden="1" x14ac:dyDescent="0.4">
      <c r="A187" t="e">
        <f>_xlfn.TEXTBEFORE(#REF!," ",)</f>
        <v>#REF!</v>
      </c>
      <c r="B187" t="e">
        <f>_xlfn.TEXTAFTER(#REF!, " ", -1)</f>
        <v>#REF!</v>
      </c>
      <c r="C187" t="s">
        <v>21</v>
      </c>
      <c r="D187" t="s">
        <v>1</v>
      </c>
      <c r="E187" s="3">
        <v>12056</v>
      </c>
      <c r="F187" s="3">
        <v>0</v>
      </c>
      <c r="G187" s="3">
        <v>9</v>
      </c>
      <c r="H187" s="3">
        <v>0</v>
      </c>
      <c r="I187" s="3">
        <v>19</v>
      </c>
      <c r="J187" s="3" t="str">
        <f>IF(AND(tbl_attendance[[#This Row],[R1 Pts]]&gt;0, tbl_attendance[[#This Row],[R2 Pts]]&gt;0,tbl_attendance[[#This Row],[R3 Pts]]&gt;0,tbl_attendance[[#This Row],[R4 Pts]]&gt;0),"YES", "NO")</f>
        <v>NO</v>
      </c>
      <c r="K187" s="3" t="str">
        <f>IF(AND(tbl_attendance[[#This Row],[R2 Pts]]&gt;0, tbl_attendance[[#This Row],[R4 Pts]]&gt;0), "YES", "NO")</f>
        <v>YES</v>
      </c>
      <c r="L187" s="3" t="str">
        <f>IF(
(tbl_attendance[[#This Row],[R1 Pts]]&gt;0)+(tbl_attendance[[#This Row],[R2 Pts]]&gt;0)+(tbl_attendance[[#This Row],[R3 Pts]]&gt;0)+(tbl_attendance[[#This Row],[R4 Pts]]&gt;0)&gt;=3,"YES", "NO")</f>
        <v>NO</v>
      </c>
      <c r="M187" s="3" t="str">
        <f>IF(AND(tbl_attendance[[#This Row],[R1 Pts]]=0, tbl_attendance[[#This Row],[R2 Pts]]=0,tbl_attendance[[#This Row],[R3 Pts]]=0,tbl_attendance[[#This Row],[R4 Pts]]=0),"YES", "NO")</f>
        <v>NO</v>
      </c>
    </row>
    <row r="188" spans="1:13" hidden="1" x14ac:dyDescent="0.4">
      <c r="A188" t="e">
        <f>_xlfn.TEXTBEFORE(#REF!," ",)</f>
        <v>#REF!</v>
      </c>
      <c r="B188" t="e">
        <f>_xlfn.TEXTAFTER(#REF!, " ", -1)</f>
        <v>#REF!</v>
      </c>
      <c r="C188" t="s">
        <v>21</v>
      </c>
      <c r="D188" t="s">
        <v>1</v>
      </c>
      <c r="E188" s="3">
        <v>12057</v>
      </c>
      <c r="F188" s="3">
        <v>12</v>
      </c>
      <c r="G188" s="3">
        <v>11</v>
      </c>
      <c r="H188" s="3">
        <v>10</v>
      </c>
      <c r="I188" s="3">
        <v>34</v>
      </c>
      <c r="J188" s="3" t="str">
        <f>IF(AND(tbl_attendance[[#This Row],[R1 Pts]]&gt;0, tbl_attendance[[#This Row],[R2 Pts]]&gt;0,tbl_attendance[[#This Row],[R3 Pts]]&gt;0,tbl_attendance[[#This Row],[R4 Pts]]&gt;0),"YES", "NO")</f>
        <v>YES</v>
      </c>
      <c r="K188" s="3" t="str">
        <f>IF(AND(tbl_attendance[[#This Row],[R2 Pts]]&gt;0, tbl_attendance[[#This Row],[R4 Pts]]&gt;0), "YES", "NO")</f>
        <v>YES</v>
      </c>
      <c r="L188" s="3" t="str">
        <f>IF(
(tbl_attendance[[#This Row],[R1 Pts]]&gt;0)+(tbl_attendance[[#This Row],[R2 Pts]]&gt;0)+(tbl_attendance[[#This Row],[R3 Pts]]&gt;0)+(tbl_attendance[[#This Row],[R4 Pts]]&gt;0)&gt;=3,"YES", "NO")</f>
        <v>YES</v>
      </c>
      <c r="M188" s="3" t="str">
        <f>IF(AND(tbl_attendance[[#This Row],[R1 Pts]]=0, tbl_attendance[[#This Row],[R2 Pts]]=0,tbl_attendance[[#This Row],[R3 Pts]]=0,tbl_attendance[[#This Row],[R4 Pts]]=0),"YES", "NO")</f>
        <v>NO</v>
      </c>
    </row>
    <row r="189" spans="1:13" hidden="1" x14ac:dyDescent="0.4">
      <c r="A189" t="e">
        <f>_xlfn.TEXTBEFORE(#REF!," ",)</f>
        <v>#REF!</v>
      </c>
      <c r="B189" t="e">
        <f>_xlfn.TEXTAFTER(#REF!, " ", -1)</f>
        <v>#REF!</v>
      </c>
      <c r="C189" t="s">
        <v>21</v>
      </c>
      <c r="D189" t="s">
        <v>1</v>
      </c>
      <c r="E189" s="3">
        <v>12058</v>
      </c>
      <c r="F189" s="3">
        <v>0</v>
      </c>
      <c r="G189" s="3">
        <v>75</v>
      </c>
      <c r="H189" s="3">
        <v>0</v>
      </c>
      <c r="I189" s="3">
        <v>0</v>
      </c>
      <c r="J189" s="3" t="str">
        <f>IF(AND(tbl_attendance[[#This Row],[R1 Pts]]&gt;0, tbl_attendance[[#This Row],[R2 Pts]]&gt;0,tbl_attendance[[#This Row],[R3 Pts]]&gt;0,tbl_attendance[[#This Row],[R4 Pts]]&gt;0),"YES", "NO")</f>
        <v>NO</v>
      </c>
      <c r="K189" s="3" t="str">
        <f>IF(AND(tbl_attendance[[#This Row],[R2 Pts]]&gt;0, tbl_attendance[[#This Row],[R4 Pts]]&gt;0), "YES", "NO")</f>
        <v>NO</v>
      </c>
      <c r="L189" s="3" t="str">
        <f>IF(
(tbl_attendance[[#This Row],[R1 Pts]]&gt;0)+(tbl_attendance[[#This Row],[R2 Pts]]&gt;0)+(tbl_attendance[[#This Row],[R3 Pts]]&gt;0)+(tbl_attendance[[#This Row],[R4 Pts]]&gt;0)&gt;=3,"YES", "NO")</f>
        <v>NO</v>
      </c>
      <c r="M189" s="3" t="str">
        <f>IF(AND(tbl_attendance[[#This Row],[R1 Pts]]=0, tbl_attendance[[#This Row],[R2 Pts]]=0,tbl_attendance[[#This Row],[R3 Pts]]=0,tbl_attendance[[#This Row],[R4 Pts]]=0),"YES", "NO")</f>
        <v>NO</v>
      </c>
    </row>
    <row r="190" spans="1:13" hidden="1" x14ac:dyDescent="0.4">
      <c r="A190" t="e">
        <f>_xlfn.TEXTBEFORE(#REF!," ",)</f>
        <v>#REF!</v>
      </c>
      <c r="B190" t="e">
        <f>_xlfn.TEXTAFTER(#REF!, " ", -1)</f>
        <v>#REF!</v>
      </c>
      <c r="C190" t="s">
        <v>21</v>
      </c>
      <c r="D190" t="s">
        <v>1</v>
      </c>
      <c r="E190" s="3">
        <v>12059</v>
      </c>
      <c r="F190" s="3">
        <v>0</v>
      </c>
      <c r="G190" s="3">
        <v>0</v>
      </c>
      <c r="H190" s="3">
        <v>0</v>
      </c>
      <c r="I190" s="3">
        <v>0</v>
      </c>
      <c r="J190" s="3" t="str">
        <f>IF(AND(tbl_attendance[[#This Row],[R1 Pts]]&gt;0, tbl_attendance[[#This Row],[R2 Pts]]&gt;0,tbl_attendance[[#This Row],[R3 Pts]]&gt;0,tbl_attendance[[#This Row],[R4 Pts]]&gt;0),"YES", "NO")</f>
        <v>NO</v>
      </c>
      <c r="K190" s="3" t="str">
        <f>IF(AND(tbl_attendance[[#This Row],[R2 Pts]]&gt;0, tbl_attendance[[#This Row],[R4 Pts]]&gt;0), "YES", "NO")</f>
        <v>NO</v>
      </c>
      <c r="L190" s="3" t="str">
        <f>IF(
(tbl_attendance[[#This Row],[R1 Pts]]&gt;0)+(tbl_attendance[[#This Row],[R2 Pts]]&gt;0)+(tbl_attendance[[#This Row],[R3 Pts]]&gt;0)+(tbl_attendance[[#This Row],[R4 Pts]]&gt;0)&gt;=3,"YES", "NO")</f>
        <v>NO</v>
      </c>
      <c r="M190" s="3" t="str">
        <f>IF(AND(tbl_attendance[[#This Row],[R1 Pts]]=0, tbl_attendance[[#This Row],[R2 Pts]]=0,tbl_attendance[[#This Row],[R3 Pts]]=0,tbl_attendance[[#This Row],[R4 Pts]]=0),"YES", "NO")</f>
        <v>YES</v>
      </c>
    </row>
    <row r="191" spans="1:13" hidden="1" x14ac:dyDescent="0.4">
      <c r="A191" t="e">
        <f>_xlfn.TEXTBEFORE(#REF!," ",)</f>
        <v>#REF!</v>
      </c>
      <c r="B191" t="e">
        <f>_xlfn.TEXTAFTER(#REF!, " ", -1)</f>
        <v>#REF!</v>
      </c>
      <c r="C191" t="s">
        <v>21</v>
      </c>
      <c r="D191" t="s">
        <v>1</v>
      </c>
      <c r="E191" s="3">
        <v>12060</v>
      </c>
      <c r="F191" s="3">
        <v>44</v>
      </c>
      <c r="G191" s="3">
        <v>13</v>
      </c>
      <c r="H191" s="3">
        <v>39</v>
      </c>
      <c r="I191" s="3">
        <v>25</v>
      </c>
      <c r="J191" s="3" t="str">
        <f>IF(AND(tbl_attendance[[#This Row],[R1 Pts]]&gt;0, tbl_attendance[[#This Row],[R2 Pts]]&gt;0,tbl_attendance[[#This Row],[R3 Pts]]&gt;0,tbl_attendance[[#This Row],[R4 Pts]]&gt;0),"YES", "NO")</f>
        <v>YES</v>
      </c>
      <c r="K191" s="3" t="str">
        <f>IF(AND(tbl_attendance[[#This Row],[R2 Pts]]&gt;0, tbl_attendance[[#This Row],[R4 Pts]]&gt;0), "YES", "NO")</f>
        <v>YES</v>
      </c>
      <c r="L191" s="3" t="str">
        <f>IF(
(tbl_attendance[[#This Row],[R1 Pts]]&gt;0)+(tbl_attendance[[#This Row],[R2 Pts]]&gt;0)+(tbl_attendance[[#This Row],[R3 Pts]]&gt;0)+(tbl_attendance[[#This Row],[R4 Pts]]&gt;0)&gt;=3,"YES", "NO")</f>
        <v>YES</v>
      </c>
      <c r="M191" s="3" t="str">
        <f>IF(AND(tbl_attendance[[#This Row],[R1 Pts]]=0, tbl_attendance[[#This Row],[R2 Pts]]=0,tbl_attendance[[#This Row],[R3 Pts]]=0,tbl_attendance[[#This Row],[R4 Pts]]=0),"YES", "NO")</f>
        <v>NO</v>
      </c>
    </row>
    <row r="192" spans="1:13" hidden="1" x14ac:dyDescent="0.4">
      <c r="A192" t="e">
        <f>_xlfn.TEXTBEFORE(#REF!," ",)</f>
        <v>#REF!</v>
      </c>
      <c r="B192" t="e">
        <f>_xlfn.TEXTAFTER(#REF!, " ", -1)</f>
        <v>#REF!</v>
      </c>
      <c r="C192" t="s">
        <v>22</v>
      </c>
      <c r="D192" t="s">
        <v>7</v>
      </c>
      <c r="E192" s="3">
        <v>813</v>
      </c>
      <c r="F192" s="3">
        <v>0</v>
      </c>
      <c r="G192" s="3">
        <v>65</v>
      </c>
      <c r="H192" s="3">
        <v>43</v>
      </c>
      <c r="I192" s="3">
        <v>0</v>
      </c>
      <c r="J192" s="3" t="str">
        <f>IF(AND(tbl_attendance[[#This Row],[R1 Pts]]&gt;0, tbl_attendance[[#This Row],[R2 Pts]]&gt;0,tbl_attendance[[#This Row],[R3 Pts]]&gt;0,tbl_attendance[[#This Row],[R4 Pts]]&gt;0),"YES", "NO")</f>
        <v>NO</v>
      </c>
      <c r="K192" s="3" t="str">
        <f>IF(AND(tbl_attendance[[#This Row],[R2 Pts]]&gt;0, tbl_attendance[[#This Row],[R4 Pts]]&gt;0), "YES", "NO")</f>
        <v>NO</v>
      </c>
      <c r="L192" s="3" t="str">
        <f>IF(
(tbl_attendance[[#This Row],[R1 Pts]]&gt;0)+(tbl_attendance[[#This Row],[R2 Pts]]&gt;0)+(tbl_attendance[[#This Row],[R3 Pts]]&gt;0)+(tbl_attendance[[#This Row],[R4 Pts]]&gt;0)&gt;=3,"YES", "NO")</f>
        <v>NO</v>
      </c>
      <c r="M192" s="3" t="str">
        <f>IF(AND(tbl_attendance[[#This Row],[R1 Pts]]=0, tbl_attendance[[#This Row],[R2 Pts]]=0,tbl_attendance[[#This Row],[R3 Pts]]=0,tbl_attendance[[#This Row],[R4 Pts]]=0),"YES", "NO")</f>
        <v>NO</v>
      </c>
    </row>
    <row r="193" spans="1:13" hidden="1" x14ac:dyDescent="0.4">
      <c r="A193" t="e">
        <f>_xlfn.TEXTBEFORE(#REF!," ",)</f>
        <v>#REF!</v>
      </c>
      <c r="B193" t="e">
        <f>_xlfn.TEXTAFTER(#REF!, " ", -1)</f>
        <v>#REF!</v>
      </c>
      <c r="C193" t="s">
        <v>22</v>
      </c>
      <c r="D193" t="s">
        <v>7</v>
      </c>
      <c r="E193" s="3">
        <v>814</v>
      </c>
      <c r="F193" s="3">
        <v>42</v>
      </c>
      <c r="G193" s="3">
        <v>36</v>
      </c>
      <c r="H193" s="3">
        <v>42</v>
      </c>
      <c r="I193" s="3">
        <v>0</v>
      </c>
      <c r="J193" s="3" t="str">
        <f>IF(AND(tbl_attendance[[#This Row],[R1 Pts]]&gt;0, tbl_attendance[[#This Row],[R2 Pts]]&gt;0,tbl_attendance[[#This Row],[R3 Pts]]&gt;0,tbl_attendance[[#This Row],[R4 Pts]]&gt;0),"YES", "NO")</f>
        <v>NO</v>
      </c>
      <c r="K193" s="3" t="str">
        <f>IF(AND(tbl_attendance[[#This Row],[R2 Pts]]&gt;0, tbl_attendance[[#This Row],[R4 Pts]]&gt;0), "YES", "NO")</f>
        <v>NO</v>
      </c>
      <c r="L193" s="3" t="str">
        <f>IF(
(tbl_attendance[[#This Row],[R1 Pts]]&gt;0)+(tbl_attendance[[#This Row],[R2 Pts]]&gt;0)+(tbl_attendance[[#This Row],[R3 Pts]]&gt;0)+(tbl_attendance[[#This Row],[R4 Pts]]&gt;0)&gt;=3,"YES", "NO")</f>
        <v>YES</v>
      </c>
      <c r="M193" s="3" t="str">
        <f>IF(AND(tbl_attendance[[#This Row],[R1 Pts]]=0, tbl_attendance[[#This Row],[R2 Pts]]=0,tbl_attendance[[#This Row],[R3 Pts]]=0,tbl_attendance[[#This Row],[R4 Pts]]=0),"YES", "NO")</f>
        <v>NO</v>
      </c>
    </row>
    <row r="194" spans="1:13" hidden="1" x14ac:dyDescent="0.4">
      <c r="A194" t="e">
        <f>_xlfn.TEXTBEFORE(#REF!," ",)</f>
        <v>#REF!</v>
      </c>
      <c r="B194" t="e">
        <f>_xlfn.TEXTAFTER(#REF!, " ", -1)</f>
        <v>#REF!</v>
      </c>
      <c r="C194" t="s">
        <v>22</v>
      </c>
      <c r="D194" t="s">
        <v>5</v>
      </c>
      <c r="E194" s="3">
        <v>923</v>
      </c>
      <c r="F194" s="3">
        <v>60</v>
      </c>
      <c r="G194" s="3">
        <v>0</v>
      </c>
      <c r="H194" s="3">
        <v>0</v>
      </c>
      <c r="I194" s="3">
        <v>30</v>
      </c>
      <c r="J194" s="3" t="str">
        <f>IF(AND(tbl_attendance[[#This Row],[R1 Pts]]&gt;0, tbl_attendance[[#This Row],[R2 Pts]]&gt;0,tbl_attendance[[#This Row],[R3 Pts]]&gt;0,tbl_attendance[[#This Row],[R4 Pts]]&gt;0),"YES", "NO")</f>
        <v>NO</v>
      </c>
      <c r="K194" s="3" t="str">
        <f>IF(AND(tbl_attendance[[#This Row],[R2 Pts]]&gt;0, tbl_attendance[[#This Row],[R4 Pts]]&gt;0), "YES", "NO")</f>
        <v>NO</v>
      </c>
      <c r="L194" s="3" t="str">
        <f>IF(
(tbl_attendance[[#This Row],[R1 Pts]]&gt;0)+(tbl_attendance[[#This Row],[R2 Pts]]&gt;0)+(tbl_attendance[[#This Row],[R3 Pts]]&gt;0)+(tbl_attendance[[#This Row],[R4 Pts]]&gt;0)&gt;=3,"YES", "NO")</f>
        <v>NO</v>
      </c>
      <c r="M194" s="3" t="str">
        <f>IF(AND(tbl_attendance[[#This Row],[R1 Pts]]=0, tbl_attendance[[#This Row],[R2 Pts]]=0,tbl_attendance[[#This Row],[R3 Pts]]=0,tbl_attendance[[#This Row],[R4 Pts]]=0),"YES", "NO")</f>
        <v>NO</v>
      </c>
    </row>
    <row r="195" spans="1:13" hidden="1" x14ac:dyDescent="0.4">
      <c r="A195" t="e">
        <f>_xlfn.TEXTBEFORE(#REF!," ",)</f>
        <v>#REF!</v>
      </c>
      <c r="B195" t="e">
        <f>_xlfn.TEXTAFTER(#REF!, " ", -1)</f>
        <v>#REF!</v>
      </c>
      <c r="C195" t="s">
        <v>22</v>
      </c>
      <c r="D195" t="s">
        <v>3</v>
      </c>
      <c r="E195" s="3">
        <v>10179</v>
      </c>
      <c r="F195" s="3">
        <v>1</v>
      </c>
      <c r="G195" s="3">
        <v>30</v>
      </c>
      <c r="H195" s="3">
        <v>0</v>
      </c>
      <c r="I195" s="3">
        <v>31</v>
      </c>
      <c r="J195" s="3" t="str">
        <f>IF(AND(tbl_attendance[[#This Row],[R1 Pts]]&gt;0, tbl_attendance[[#This Row],[R2 Pts]]&gt;0,tbl_attendance[[#This Row],[R3 Pts]]&gt;0,tbl_attendance[[#This Row],[R4 Pts]]&gt;0),"YES", "NO")</f>
        <v>NO</v>
      </c>
      <c r="K195" s="3" t="str">
        <f>IF(AND(tbl_attendance[[#This Row],[R2 Pts]]&gt;0, tbl_attendance[[#This Row],[R4 Pts]]&gt;0), "YES", "NO")</f>
        <v>YES</v>
      </c>
      <c r="L195" s="3" t="str">
        <f>IF(
(tbl_attendance[[#This Row],[R1 Pts]]&gt;0)+(tbl_attendance[[#This Row],[R2 Pts]]&gt;0)+(tbl_attendance[[#This Row],[R3 Pts]]&gt;0)+(tbl_attendance[[#This Row],[R4 Pts]]&gt;0)&gt;=3,"YES", "NO")</f>
        <v>YES</v>
      </c>
      <c r="M195" s="3" t="str">
        <f>IF(AND(tbl_attendance[[#This Row],[R1 Pts]]=0, tbl_attendance[[#This Row],[R2 Pts]]=0,tbl_attendance[[#This Row],[R3 Pts]]=0,tbl_attendance[[#This Row],[R4 Pts]]=0),"YES", "NO")</f>
        <v>NO</v>
      </c>
    </row>
    <row r="196" spans="1:13" hidden="1" x14ac:dyDescent="0.4">
      <c r="A196" t="e">
        <f>_xlfn.TEXTBEFORE(#REF!," ",)</f>
        <v>#REF!</v>
      </c>
      <c r="B196" t="e">
        <f>_xlfn.TEXTAFTER(#REF!, " ", -1)</f>
        <v>#REF!</v>
      </c>
      <c r="C196" t="s">
        <v>22</v>
      </c>
      <c r="D196" t="s">
        <v>3</v>
      </c>
      <c r="E196" s="3">
        <v>10180</v>
      </c>
      <c r="F196" s="3">
        <v>0</v>
      </c>
      <c r="G196" s="3">
        <v>90</v>
      </c>
      <c r="H196" s="3">
        <v>44</v>
      </c>
      <c r="I196" s="3">
        <v>28</v>
      </c>
      <c r="J196" s="3" t="str">
        <f>IF(AND(tbl_attendance[[#This Row],[R1 Pts]]&gt;0, tbl_attendance[[#This Row],[R2 Pts]]&gt;0,tbl_attendance[[#This Row],[R3 Pts]]&gt;0,tbl_attendance[[#This Row],[R4 Pts]]&gt;0),"YES", "NO")</f>
        <v>NO</v>
      </c>
      <c r="K196" s="3" t="str">
        <f>IF(AND(tbl_attendance[[#This Row],[R2 Pts]]&gt;0, tbl_attendance[[#This Row],[R4 Pts]]&gt;0), "YES", "NO")</f>
        <v>YES</v>
      </c>
      <c r="L196" s="3" t="str">
        <f>IF(
(tbl_attendance[[#This Row],[R1 Pts]]&gt;0)+(tbl_attendance[[#This Row],[R2 Pts]]&gt;0)+(tbl_attendance[[#This Row],[R3 Pts]]&gt;0)+(tbl_attendance[[#This Row],[R4 Pts]]&gt;0)&gt;=3,"YES", "NO")</f>
        <v>YES</v>
      </c>
      <c r="M196" s="3" t="str">
        <f>IF(AND(tbl_attendance[[#This Row],[R1 Pts]]=0, tbl_attendance[[#This Row],[R2 Pts]]=0,tbl_attendance[[#This Row],[R3 Pts]]=0,tbl_attendance[[#This Row],[R4 Pts]]=0),"YES", "NO")</f>
        <v>NO</v>
      </c>
    </row>
    <row r="197" spans="1:13" hidden="1" x14ac:dyDescent="0.4">
      <c r="A197" t="e">
        <f>_xlfn.TEXTBEFORE(#REF!," ",)</f>
        <v>#REF!</v>
      </c>
      <c r="B197" t="e">
        <f>_xlfn.TEXTAFTER(#REF!, " ", -1)</f>
        <v>#REF!</v>
      </c>
      <c r="C197" t="s">
        <v>23</v>
      </c>
      <c r="D197" t="s">
        <v>7</v>
      </c>
      <c r="E197" s="3">
        <v>815</v>
      </c>
      <c r="F197" s="3">
        <v>41</v>
      </c>
      <c r="G197" s="3">
        <v>27</v>
      </c>
      <c r="H197" s="3">
        <v>36</v>
      </c>
      <c r="I197" s="3">
        <v>34</v>
      </c>
      <c r="J197" s="3" t="str">
        <f>IF(AND(tbl_attendance[[#This Row],[R1 Pts]]&gt;0, tbl_attendance[[#This Row],[R2 Pts]]&gt;0,tbl_attendance[[#This Row],[R3 Pts]]&gt;0,tbl_attendance[[#This Row],[R4 Pts]]&gt;0),"YES", "NO")</f>
        <v>YES</v>
      </c>
      <c r="K197" s="3" t="str">
        <f>IF(AND(tbl_attendance[[#This Row],[R2 Pts]]&gt;0, tbl_attendance[[#This Row],[R4 Pts]]&gt;0), "YES", "NO")</f>
        <v>YES</v>
      </c>
      <c r="L197" s="3" t="str">
        <f>IF(
(tbl_attendance[[#This Row],[R1 Pts]]&gt;0)+(tbl_attendance[[#This Row],[R2 Pts]]&gt;0)+(tbl_attendance[[#This Row],[R3 Pts]]&gt;0)+(tbl_attendance[[#This Row],[R4 Pts]]&gt;0)&gt;=3,"YES", "NO")</f>
        <v>YES</v>
      </c>
      <c r="M197" s="3" t="str">
        <f>IF(AND(tbl_attendance[[#This Row],[R1 Pts]]=0, tbl_attendance[[#This Row],[R2 Pts]]=0,tbl_attendance[[#This Row],[R3 Pts]]=0,tbl_attendance[[#This Row],[R4 Pts]]=0),"YES", "NO")</f>
        <v>NO</v>
      </c>
    </row>
    <row r="198" spans="1:13" hidden="1" x14ac:dyDescent="0.4">
      <c r="A198" t="e">
        <f>_xlfn.TEXTBEFORE(#REF!," ",)</f>
        <v>#REF!</v>
      </c>
      <c r="B198" t="e">
        <f>_xlfn.TEXTAFTER(#REF!, " ", -1)</f>
        <v>#REF!</v>
      </c>
      <c r="C198" t="s">
        <v>23</v>
      </c>
      <c r="D198" t="s">
        <v>7</v>
      </c>
      <c r="E198" s="3">
        <v>816</v>
      </c>
      <c r="F198" s="3">
        <v>80</v>
      </c>
      <c r="G198" s="3">
        <v>100</v>
      </c>
      <c r="H198" s="3">
        <v>55</v>
      </c>
      <c r="I198" s="3">
        <v>95</v>
      </c>
      <c r="J198" s="3" t="str">
        <f>IF(AND(tbl_attendance[[#This Row],[R1 Pts]]&gt;0, tbl_attendance[[#This Row],[R2 Pts]]&gt;0,tbl_attendance[[#This Row],[R3 Pts]]&gt;0,tbl_attendance[[#This Row],[R4 Pts]]&gt;0),"YES", "NO")</f>
        <v>YES</v>
      </c>
      <c r="K198" s="3" t="str">
        <f>IF(AND(tbl_attendance[[#This Row],[R2 Pts]]&gt;0, tbl_attendance[[#This Row],[R4 Pts]]&gt;0), "YES", "NO")</f>
        <v>YES</v>
      </c>
      <c r="L198" s="3" t="str">
        <f>IF(
(tbl_attendance[[#This Row],[R1 Pts]]&gt;0)+(tbl_attendance[[#This Row],[R2 Pts]]&gt;0)+(tbl_attendance[[#This Row],[R3 Pts]]&gt;0)+(tbl_attendance[[#This Row],[R4 Pts]]&gt;0)&gt;=3,"YES", "NO")</f>
        <v>YES</v>
      </c>
      <c r="M198" s="3" t="str">
        <f>IF(AND(tbl_attendance[[#This Row],[R1 Pts]]=0, tbl_attendance[[#This Row],[R2 Pts]]=0,tbl_attendance[[#This Row],[R3 Pts]]=0,tbl_attendance[[#This Row],[R4 Pts]]=0),"YES", "NO")</f>
        <v>NO</v>
      </c>
    </row>
    <row r="199" spans="1:13" hidden="1" x14ac:dyDescent="0.4">
      <c r="A199" t="e">
        <f>_xlfn.TEXTBEFORE(#REF!," ",)</f>
        <v>#REF!</v>
      </c>
      <c r="B199" t="e">
        <f>_xlfn.TEXTAFTER(#REF!, " ", -1)</f>
        <v>#REF!</v>
      </c>
      <c r="C199" t="s">
        <v>23</v>
      </c>
      <c r="D199" t="s">
        <v>7</v>
      </c>
      <c r="E199" s="3">
        <v>817</v>
      </c>
      <c r="F199" s="3">
        <v>47</v>
      </c>
      <c r="G199" s="3">
        <v>51</v>
      </c>
      <c r="H199" s="3">
        <v>70</v>
      </c>
      <c r="I199" s="3">
        <v>65</v>
      </c>
      <c r="J199" s="3" t="str">
        <f>IF(AND(tbl_attendance[[#This Row],[R1 Pts]]&gt;0, tbl_attendance[[#This Row],[R2 Pts]]&gt;0,tbl_attendance[[#This Row],[R3 Pts]]&gt;0,tbl_attendance[[#This Row],[R4 Pts]]&gt;0),"YES", "NO")</f>
        <v>YES</v>
      </c>
      <c r="K199" s="3" t="str">
        <f>IF(AND(tbl_attendance[[#This Row],[R2 Pts]]&gt;0, tbl_attendance[[#This Row],[R4 Pts]]&gt;0), "YES", "NO")</f>
        <v>YES</v>
      </c>
      <c r="L199" s="3" t="str">
        <f>IF(
(tbl_attendance[[#This Row],[R1 Pts]]&gt;0)+(tbl_attendance[[#This Row],[R2 Pts]]&gt;0)+(tbl_attendance[[#This Row],[R3 Pts]]&gt;0)+(tbl_attendance[[#This Row],[R4 Pts]]&gt;0)&gt;=3,"YES", "NO")</f>
        <v>YES</v>
      </c>
      <c r="M199" s="3" t="str">
        <f>IF(AND(tbl_attendance[[#This Row],[R1 Pts]]=0, tbl_attendance[[#This Row],[R2 Pts]]=0,tbl_attendance[[#This Row],[R3 Pts]]=0,tbl_attendance[[#This Row],[R4 Pts]]=0),"YES", "NO")</f>
        <v>NO</v>
      </c>
    </row>
    <row r="200" spans="1:13" hidden="1" x14ac:dyDescent="0.4">
      <c r="A200" t="e">
        <f>_xlfn.TEXTBEFORE(#REF!," ",)</f>
        <v>#REF!</v>
      </c>
      <c r="B200" t="e">
        <f>_xlfn.TEXTAFTER(#REF!, " ", -1)</f>
        <v>#REF!</v>
      </c>
      <c r="C200" t="s">
        <v>23</v>
      </c>
      <c r="D200" t="s">
        <v>8</v>
      </c>
      <c r="E200" s="3">
        <v>862</v>
      </c>
      <c r="F200" s="3">
        <v>95</v>
      </c>
      <c r="G200" s="3">
        <v>0</v>
      </c>
      <c r="H200" s="3">
        <v>90</v>
      </c>
      <c r="I200" s="3">
        <v>95</v>
      </c>
      <c r="J200" s="3" t="str">
        <f>IF(AND(tbl_attendance[[#This Row],[R1 Pts]]&gt;0, tbl_attendance[[#This Row],[R2 Pts]]&gt;0,tbl_attendance[[#This Row],[R3 Pts]]&gt;0,tbl_attendance[[#This Row],[R4 Pts]]&gt;0),"YES", "NO")</f>
        <v>NO</v>
      </c>
      <c r="K200" s="3" t="str">
        <f>IF(AND(tbl_attendance[[#This Row],[R2 Pts]]&gt;0, tbl_attendance[[#This Row],[R4 Pts]]&gt;0), "YES", "NO")</f>
        <v>NO</v>
      </c>
      <c r="L200" s="3" t="str">
        <f>IF(
(tbl_attendance[[#This Row],[R1 Pts]]&gt;0)+(tbl_attendance[[#This Row],[R2 Pts]]&gt;0)+(tbl_attendance[[#This Row],[R3 Pts]]&gt;0)+(tbl_attendance[[#This Row],[R4 Pts]]&gt;0)&gt;=3,"YES", "NO")</f>
        <v>YES</v>
      </c>
      <c r="M200" s="3" t="str">
        <f>IF(AND(tbl_attendance[[#This Row],[R1 Pts]]=0, tbl_attendance[[#This Row],[R2 Pts]]=0,tbl_attendance[[#This Row],[R3 Pts]]=0,tbl_attendance[[#This Row],[R4 Pts]]=0),"YES", "NO")</f>
        <v>NO</v>
      </c>
    </row>
    <row r="201" spans="1:13" hidden="1" x14ac:dyDescent="0.4">
      <c r="A201" t="e">
        <f>_xlfn.TEXTBEFORE(#REF!," ",)</f>
        <v>#REF!</v>
      </c>
      <c r="B201" t="e">
        <f>_xlfn.TEXTAFTER(#REF!, " ", -1)</f>
        <v>#REF!</v>
      </c>
      <c r="C201" t="s">
        <v>23</v>
      </c>
      <c r="D201" t="s">
        <v>8</v>
      </c>
      <c r="E201" s="3">
        <v>863</v>
      </c>
      <c r="F201" s="3">
        <v>85</v>
      </c>
      <c r="G201" s="3">
        <v>0</v>
      </c>
      <c r="H201" s="3">
        <v>75</v>
      </c>
      <c r="I201" s="3">
        <v>0</v>
      </c>
      <c r="J201" s="3" t="str">
        <f>IF(AND(tbl_attendance[[#This Row],[R1 Pts]]&gt;0, tbl_attendance[[#This Row],[R2 Pts]]&gt;0,tbl_attendance[[#This Row],[R3 Pts]]&gt;0,tbl_attendance[[#This Row],[R4 Pts]]&gt;0),"YES", "NO")</f>
        <v>NO</v>
      </c>
      <c r="K201" s="3" t="str">
        <f>IF(AND(tbl_attendance[[#This Row],[R2 Pts]]&gt;0, tbl_attendance[[#This Row],[R4 Pts]]&gt;0), "YES", "NO")</f>
        <v>NO</v>
      </c>
      <c r="L201" s="3" t="str">
        <f>IF(
(tbl_attendance[[#This Row],[R1 Pts]]&gt;0)+(tbl_attendance[[#This Row],[R2 Pts]]&gt;0)+(tbl_attendance[[#This Row],[R3 Pts]]&gt;0)+(tbl_attendance[[#This Row],[R4 Pts]]&gt;0)&gt;=3,"YES", "NO")</f>
        <v>NO</v>
      </c>
      <c r="M201" s="3" t="str">
        <f>IF(AND(tbl_attendance[[#This Row],[R1 Pts]]=0, tbl_attendance[[#This Row],[R2 Pts]]=0,tbl_attendance[[#This Row],[R3 Pts]]=0,tbl_attendance[[#This Row],[R4 Pts]]=0),"YES", "NO")</f>
        <v>NO</v>
      </c>
    </row>
    <row r="202" spans="1:13" hidden="1" x14ac:dyDescent="0.4">
      <c r="A202" t="e">
        <f>_xlfn.TEXTBEFORE(#REF!," ",)</f>
        <v>#REF!</v>
      </c>
      <c r="B202" t="e">
        <f>_xlfn.TEXTAFTER(#REF!, " ", -1)</f>
        <v>#REF!</v>
      </c>
      <c r="C202" t="s">
        <v>23</v>
      </c>
      <c r="D202" t="s">
        <v>8</v>
      </c>
      <c r="E202" s="3">
        <v>864</v>
      </c>
      <c r="F202" s="3">
        <v>0</v>
      </c>
      <c r="G202" s="3">
        <v>0</v>
      </c>
      <c r="H202" s="3">
        <v>0</v>
      </c>
      <c r="I202" s="3">
        <v>0</v>
      </c>
      <c r="J202" s="3" t="str">
        <f>IF(AND(tbl_attendance[[#This Row],[R1 Pts]]&gt;0, tbl_attendance[[#This Row],[R2 Pts]]&gt;0,tbl_attendance[[#This Row],[R3 Pts]]&gt;0,tbl_attendance[[#This Row],[R4 Pts]]&gt;0),"YES", "NO")</f>
        <v>NO</v>
      </c>
      <c r="K202" s="3" t="str">
        <f>IF(AND(tbl_attendance[[#This Row],[R2 Pts]]&gt;0, tbl_attendance[[#This Row],[R4 Pts]]&gt;0), "YES", "NO")</f>
        <v>NO</v>
      </c>
      <c r="L202" s="3" t="str">
        <f>IF(
(tbl_attendance[[#This Row],[R1 Pts]]&gt;0)+(tbl_attendance[[#This Row],[R2 Pts]]&gt;0)+(tbl_attendance[[#This Row],[R3 Pts]]&gt;0)+(tbl_attendance[[#This Row],[R4 Pts]]&gt;0)&gt;=3,"YES", "NO")</f>
        <v>NO</v>
      </c>
      <c r="M202" s="3" t="str">
        <f>IF(AND(tbl_attendance[[#This Row],[R1 Pts]]=0, tbl_attendance[[#This Row],[R2 Pts]]=0,tbl_attendance[[#This Row],[R3 Pts]]=0,tbl_attendance[[#This Row],[R4 Pts]]=0),"YES", "NO")</f>
        <v>YES</v>
      </c>
    </row>
    <row r="203" spans="1:13" hidden="1" x14ac:dyDescent="0.4">
      <c r="A203" t="e">
        <f>_xlfn.TEXTBEFORE(#REF!," ",)</f>
        <v>#REF!</v>
      </c>
      <c r="B203" t="e">
        <f>_xlfn.TEXTAFTER(#REF!, " ", -1)</f>
        <v>#REF!</v>
      </c>
      <c r="C203" t="s">
        <v>23</v>
      </c>
      <c r="D203" t="s">
        <v>5</v>
      </c>
      <c r="E203" s="3">
        <v>924</v>
      </c>
      <c r="F203" s="3">
        <v>55</v>
      </c>
      <c r="G203" s="3">
        <v>37</v>
      </c>
      <c r="H203" s="3">
        <v>40</v>
      </c>
      <c r="I203" s="3">
        <v>39</v>
      </c>
      <c r="J203" s="3" t="str">
        <f>IF(AND(tbl_attendance[[#This Row],[R1 Pts]]&gt;0, tbl_attendance[[#This Row],[R2 Pts]]&gt;0,tbl_attendance[[#This Row],[R3 Pts]]&gt;0,tbl_attendance[[#This Row],[R4 Pts]]&gt;0),"YES", "NO")</f>
        <v>YES</v>
      </c>
      <c r="K203" s="3" t="str">
        <f>IF(AND(tbl_attendance[[#This Row],[R2 Pts]]&gt;0, tbl_attendance[[#This Row],[R4 Pts]]&gt;0), "YES", "NO")</f>
        <v>YES</v>
      </c>
      <c r="L203" s="3" t="str">
        <f>IF(
(tbl_attendance[[#This Row],[R1 Pts]]&gt;0)+(tbl_attendance[[#This Row],[R2 Pts]]&gt;0)+(tbl_attendance[[#This Row],[R3 Pts]]&gt;0)+(tbl_attendance[[#This Row],[R4 Pts]]&gt;0)&gt;=3,"YES", "NO")</f>
        <v>YES</v>
      </c>
      <c r="M203" s="3" t="str">
        <f>IF(AND(tbl_attendance[[#This Row],[R1 Pts]]=0, tbl_attendance[[#This Row],[R2 Pts]]=0,tbl_attendance[[#This Row],[R3 Pts]]=0,tbl_attendance[[#This Row],[R4 Pts]]=0),"YES", "NO")</f>
        <v>NO</v>
      </c>
    </row>
    <row r="204" spans="1:13" hidden="1" x14ac:dyDescent="0.4">
      <c r="A204" t="e">
        <f>_xlfn.TEXTBEFORE(#REF!," ",)</f>
        <v>#REF!</v>
      </c>
      <c r="B204" t="e">
        <f>_xlfn.TEXTAFTER(#REF!, " ", -1)</f>
        <v>#REF!</v>
      </c>
      <c r="C204" t="s">
        <v>23</v>
      </c>
      <c r="D204" t="s">
        <v>5</v>
      </c>
      <c r="E204" s="3">
        <v>925</v>
      </c>
      <c r="F204" s="3">
        <v>0</v>
      </c>
      <c r="G204" s="3">
        <v>0</v>
      </c>
      <c r="H204" s="3">
        <v>0</v>
      </c>
      <c r="I204" s="3">
        <v>0</v>
      </c>
      <c r="J204" s="3" t="str">
        <f>IF(AND(tbl_attendance[[#This Row],[R1 Pts]]&gt;0, tbl_attendance[[#This Row],[R2 Pts]]&gt;0,tbl_attendance[[#This Row],[R3 Pts]]&gt;0,tbl_attendance[[#This Row],[R4 Pts]]&gt;0),"YES", "NO")</f>
        <v>NO</v>
      </c>
      <c r="K204" s="3" t="str">
        <f>IF(AND(tbl_attendance[[#This Row],[R2 Pts]]&gt;0, tbl_attendance[[#This Row],[R4 Pts]]&gt;0), "YES", "NO")</f>
        <v>NO</v>
      </c>
      <c r="L204" s="3" t="str">
        <f>IF(
(tbl_attendance[[#This Row],[R1 Pts]]&gt;0)+(tbl_attendance[[#This Row],[R2 Pts]]&gt;0)+(tbl_attendance[[#This Row],[R3 Pts]]&gt;0)+(tbl_attendance[[#This Row],[R4 Pts]]&gt;0)&gt;=3,"YES", "NO")</f>
        <v>NO</v>
      </c>
      <c r="M204" s="3" t="str">
        <f>IF(AND(tbl_attendance[[#This Row],[R1 Pts]]=0, tbl_attendance[[#This Row],[R2 Pts]]=0,tbl_attendance[[#This Row],[R3 Pts]]=0,tbl_attendance[[#This Row],[R4 Pts]]=0),"YES", "NO")</f>
        <v>YES</v>
      </c>
    </row>
    <row r="205" spans="1:13" hidden="1" x14ac:dyDescent="0.4">
      <c r="A205" t="e">
        <f>_xlfn.TEXTBEFORE(#REF!," ",)</f>
        <v>#REF!</v>
      </c>
      <c r="B205" t="e">
        <f>_xlfn.TEXTAFTER(#REF!, " ", -1)</f>
        <v>#REF!</v>
      </c>
      <c r="C205" t="s">
        <v>23</v>
      </c>
      <c r="D205" t="s">
        <v>5</v>
      </c>
      <c r="E205" s="3">
        <v>926</v>
      </c>
      <c r="F205" s="3">
        <v>0</v>
      </c>
      <c r="G205" s="3">
        <v>0</v>
      </c>
      <c r="H205" s="3">
        <v>0</v>
      </c>
      <c r="I205" s="3">
        <v>0</v>
      </c>
      <c r="J205" s="3" t="str">
        <f>IF(AND(tbl_attendance[[#This Row],[R1 Pts]]&gt;0, tbl_attendance[[#This Row],[R2 Pts]]&gt;0,tbl_attendance[[#This Row],[R3 Pts]]&gt;0,tbl_attendance[[#This Row],[R4 Pts]]&gt;0),"YES", "NO")</f>
        <v>NO</v>
      </c>
      <c r="K205" s="3" t="str">
        <f>IF(AND(tbl_attendance[[#This Row],[R2 Pts]]&gt;0, tbl_attendance[[#This Row],[R4 Pts]]&gt;0), "YES", "NO")</f>
        <v>NO</v>
      </c>
      <c r="L205" s="3" t="str">
        <f>IF(
(tbl_attendance[[#This Row],[R1 Pts]]&gt;0)+(tbl_attendance[[#This Row],[R2 Pts]]&gt;0)+(tbl_attendance[[#This Row],[R3 Pts]]&gt;0)+(tbl_attendance[[#This Row],[R4 Pts]]&gt;0)&gt;=3,"YES", "NO")</f>
        <v>NO</v>
      </c>
      <c r="M205" s="3" t="str">
        <f>IF(AND(tbl_attendance[[#This Row],[R1 Pts]]=0, tbl_attendance[[#This Row],[R2 Pts]]=0,tbl_attendance[[#This Row],[R3 Pts]]=0,tbl_attendance[[#This Row],[R4 Pts]]=0),"YES", "NO")</f>
        <v>YES</v>
      </c>
    </row>
    <row r="206" spans="1:13" hidden="1" x14ac:dyDescent="0.4">
      <c r="A206" t="e">
        <f>_xlfn.TEXTBEFORE(#REF!," ",)</f>
        <v>#REF!</v>
      </c>
      <c r="B206" t="e">
        <f>_xlfn.TEXTAFTER(#REF!, " ", -1)</f>
        <v>#REF!</v>
      </c>
      <c r="C206" t="s">
        <v>23</v>
      </c>
      <c r="D206" t="s">
        <v>5</v>
      </c>
      <c r="E206" s="3">
        <v>927</v>
      </c>
      <c r="F206" s="3">
        <v>0</v>
      </c>
      <c r="G206" s="3">
        <v>55</v>
      </c>
      <c r="H206" s="3">
        <v>0</v>
      </c>
      <c r="I206" s="3">
        <v>0</v>
      </c>
      <c r="J206" s="3" t="str">
        <f>IF(AND(tbl_attendance[[#This Row],[R1 Pts]]&gt;0, tbl_attendance[[#This Row],[R2 Pts]]&gt;0,tbl_attendance[[#This Row],[R3 Pts]]&gt;0,tbl_attendance[[#This Row],[R4 Pts]]&gt;0),"YES", "NO")</f>
        <v>NO</v>
      </c>
      <c r="K206" s="3" t="str">
        <f>IF(AND(tbl_attendance[[#This Row],[R2 Pts]]&gt;0, tbl_attendance[[#This Row],[R4 Pts]]&gt;0), "YES", "NO")</f>
        <v>NO</v>
      </c>
      <c r="L206" s="3" t="str">
        <f>IF(
(tbl_attendance[[#This Row],[R1 Pts]]&gt;0)+(tbl_attendance[[#This Row],[R2 Pts]]&gt;0)+(tbl_attendance[[#This Row],[R3 Pts]]&gt;0)+(tbl_attendance[[#This Row],[R4 Pts]]&gt;0)&gt;=3,"YES", "NO")</f>
        <v>NO</v>
      </c>
      <c r="M206" s="3" t="str">
        <f>IF(AND(tbl_attendance[[#This Row],[R1 Pts]]=0, tbl_attendance[[#This Row],[R2 Pts]]=0,tbl_attendance[[#This Row],[R3 Pts]]=0,tbl_attendance[[#This Row],[R4 Pts]]=0),"YES", "NO")</f>
        <v>NO</v>
      </c>
    </row>
    <row r="207" spans="1:13" hidden="1" x14ac:dyDescent="0.4">
      <c r="A207" t="e">
        <f>_xlfn.TEXTBEFORE(#REF!," ",)</f>
        <v>#REF!</v>
      </c>
      <c r="B207" t="e">
        <f>_xlfn.TEXTAFTER(#REF!, " ", -1)</f>
        <v>#REF!</v>
      </c>
      <c r="C207" t="s">
        <v>23</v>
      </c>
      <c r="D207" t="s">
        <v>5</v>
      </c>
      <c r="E207" s="3">
        <v>928</v>
      </c>
      <c r="F207" s="3">
        <v>0</v>
      </c>
      <c r="G207" s="3">
        <v>49</v>
      </c>
      <c r="H207" s="3">
        <v>0</v>
      </c>
      <c r="I207" s="3">
        <v>55</v>
      </c>
      <c r="J207" s="3" t="str">
        <f>IF(AND(tbl_attendance[[#This Row],[R1 Pts]]&gt;0, tbl_attendance[[#This Row],[R2 Pts]]&gt;0,tbl_attendance[[#This Row],[R3 Pts]]&gt;0,tbl_attendance[[#This Row],[R4 Pts]]&gt;0),"YES", "NO")</f>
        <v>NO</v>
      </c>
      <c r="K207" s="3" t="str">
        <f>IF(AND(tbl_attendance[[#This Row],[R2 Pts]]&gt;0, tbl_attendance[[#This Row],[R4 Pts]]&gt;0), "YES", "NO")</f>
        <v>YES</v>
      </c>
      <c r="L207" s="3" t="str">
        <f>IF(
(tbl_attendance[[#This Row],[R1 Pts]]&gt;0)+(tbl_attendance[[#This Row],[R2 Pts]]&gt;0)+(tbl_attendance[[#This Row],[R3 Pts]]&gt;0)+(tbl_attendance[[#This Row],[R4 Pts]]&gt;0)&gt;=3,"YES", "NO")</f>
        <v>NO</v>
      </c>
      <c r="M207" s="3" t="str">
        <f>IF(AND(tbl_attendance[[#This Row],[R1 Pts]]=0, tbl_attendance[[#This Row],[R2 Pts]]=0,tbl_attendance[[#This Row],[R3 Pts]]=0,tbl_attendance[[#This Row],[R4 Pts]]=0),"YES", "NO")</f>
        <v>NO</v>
      </c>
    </row>
    <row r="208" spans="1:13" hidden="1" x14ac:dyDescent="0.4">
      <c r="A208" t="e">
        <f>_xlfn.TEXTBEFORE(#REF!," ",)</f>
        <v>#REF!</v>
      </c>
      <c r="B208" t="e">
        <f>_xlfn.TEXTAFTER(#REF!, " ", -1)</f>
        <v>#REF!</v>
      </c>
      <c r="C208" t="s">
        <v>23</v>
      </c>
      <c r="D208" t="s">
        <v>4</v>
      </c>
      <c r="E208" s="3">
        <v>1036</v>
      </c>
      <c r="F208" s="3">
        <v>70</v>
      </c>
      <c r="G208" s="3">
        <v>95</v>
      </c>
      <c r="H208" s="3">
        <v>95</v>
      </c>
      <c r="I208" s="3">
        <v>95</v>
      </c>
      <c r="J208" s="3" t="str">
        <f>IF(AND(tbl_attendance[[#This Row],[R1 Pts]]&gt;0, tbl_attendance[[#This Row],[R2 Pts]]&gt;0,tbl_attendance[[#This Row],[R3 Pts]]&gt;0,tbl_attendance[[#This Row],[R4 Pts]]&gt;0),"YES", "NO")</f>
        <v>YES</v>
      </c>
      <c r="K208" s="3" t="str">
        <f>IF(AND(tbl_attendance[[#This Row],[R2 Pts]]&gt;0, tbl_attendance[[#This Row],[R4 Pts]]&gt;0), "YES", "NO")</f>
        <v>YES</v>
      </c>
      <c r="L208" s="3" t="str">
        <f>IF(
(tbl_attendance[[#This Row],[R1 Pts]]&gt;0)+(tbl_attendance[[#This Row],[R2 Pts]]&gt;0)+(tbl_attendance[[#This Row],[R3 Pts]]&gt;0)+(tbl_attendance[[#This Row],[R4 Pts]]&gt;0)&gt;=3,"YES", "NO")</f>
        <v>YES</v>
      </c>
      <c r="M208" s="3" t="str">
        <f>IF(AND(tbl_attendance[[#This Row],[R1 Pts]]=0, tbl_attendance[[#This Row],[R2 Pts]]=0,tbl_attendance[[#This Row],[R3 Pts]]=0,tbl_attendance[[#This Row],[R4 Pts]]=0),"YES", "NO")</f>
        <v>NO</v>
      </c>
    </row>
    <row r="209" spans="1:13" hidden="1" x14ac:dyDescent="0.4">
      <c r="A209" t="e">
        <f>_xlfn.TEXTBEFORE(#REF!," ",)</f>
        <v>#REF!</v>
      </c>
      <c r="B209" t="e">
        <f>_xlfn.TEXTAFTER(#REF!, " ", -1)</f>
        <v>#REF!</v>
      </c>
      <c r="C209" t="s">
        <v>23</v>
      </c>
      <c r="D209" t="s">
        <v>4</v>
      </c>
      <c r="E209" s="3">
        <v>1037</v>
      </c>
      <c r="F209" s="3">
        <v>75</v>
      </c>
      <c r="G209" s="3">
        <v>0</v>
      </c>
      <c r="H209" s="3">
        <v>0</v>
      </c>
      <c r="I209" s="3">
        <v>0</v>
      </c>
      <c r="J209" s="3" t="str">
        <f>IF(AND(tbl_attendance[[#This Row],[R1 Pts]]&gt;0, tbl_attendance[[#This Row],[R2 Pts]]&gt;0,tbl_attendance[[#This Row],[R3 Pts]]&gt;0,tbl_attendance[[#This Row],[R4 Pts]]&gt;0),"YES", "NO")</f>
        <v>NO</v>
      </c>
      <c r="K209" s="3" t="str">
        <f>IF(AND(tbl_attendance[[#This Row],[R2 Pts]]&gt;0, tbl_attendance[[#This Row],[R4 Pts]]&gt;0), "YES", "NO")</f>
        <v>NO</v>
      </c>
      <c r="L209" s="3" t="str">
        <f>IF(
(tbl_attendance[[#This Row],[R1 Pts]]&gt;0)+(tbl_attendance[[#This Row],[R2 Pts]]&gt;0)+(tbl_attendance[[#This Row],[R3 Pts]]&gt;0)+(tbl_attendance[[#This Row],[R4 Pts]]&gt;0)&gt;=3,"YES", "NO")</f>
        <v>NO</v>
      </c>
      <c r="M209" s="3" t="str">
        <f>IF(AND(tbl_attendance[[#This Row],[R1 Pts]]=0, tbl_attendance[[#This Row],[R2 Pts]]=0,tbl_attendance[[#This Row],[R3 Pts]]=0,tbl_attendance[[#This Row],[R4 Pts]]=0),"YES", "NO")</f>
        <v>NO</v>
      </c>
    </row>
    <row r="210" spans="1:13" hidden="1" x14ac:dyDescent="0.4">
      <c r="A210" t="e">
        <f>_xlfn.TEXTBEFORE(#REF!," ",)</f>
        <v>#REF!</v>
      </c>
      <c r="B210" t="e">
        <f>_xlfn.TEXTAFTER(#REF!, " ", -1)</f>
        <v>#REF!</v>
      </c>
      <c r="C210" t="s">
        <v>23</v>
      </c>
      <c r="D210" t="s">
        <v>4</v>
      </c>
      <c r="E210" s="3">
        <v>1038</v>
      </c>
      <c r="F210" s="3">
        <v>0</v>
      </c>
      <c r="G210" s="3">
        <v>47</v>
      </c>
      <c r="H210" s="3">
        <v>0</v>
      </c>
      <c r="I210" s="3">
        <v>51</v>
      </c>
      <c r="J210" s="3" t="str">
        <f>IF(AND(tbl_attendance[[#This Row],[R1 Pts]]&gt;0, tbl_attendance[[#This Row],[R2 Pts]]&gt;0,tbl_attendance[[#This Row],[R3 Pts]]&gt;0,tbl_attendance[[#This Row],[R4 Pts]]&gt;0),"YES", "NO")</f>
        <v>NO</v>
      </c>
      <c r="K210" s="3" t="str">
        <f>IF(AND(tbl_attendance[[#This Row],[R2 Pts]]&gt;0, tbl_attendance[[#This Row],[R4 Pts]]&gt;0), "YES", "NO")</f>
        <v>YES</v>
      </c>
      <c r="L210" s="3" t="str">
        <f>IF(
(tbl_attendance[[#This Row],[R1 Pts]]&gt;0)+(tbl_attendance[[#This Row],[R2 Pts]]&gt;0)+(tbl_attendance[[#This Row],[R3 Pts]]&gt;0)+(tbl_attendance[[#This Row],[R4 Pts]]&gt;0)&gt;=3,"YES", "NO")</f>
        <v>NO</v>
      </c>
      <c r="M210" s="3" t="str">
        <f>IF(AND(tbl_attendance[[#This Row],[R1 Pts]]=0, tbl_attendance[[#This Row],[R2 Pts]]=0,tbl_attendance[[#This Row],[R3 Pts]]=0,tbl_attendance[[#This Row],[R4 Pts]]=0),"YES", "NO")</f>
        <v>NO</v>
      </c>
    </row>
    <row r="211" spans="1:13" hidden="1" x14ac:dyDescent="0.4">
      <c r="A211" t="e">
        <f>_xlfn.TEXTBEFORE(#REF!," ",)</f>
        <v>#REF!</v>
      </c>
      <c r="B211" t="e">
        <f>_xlfn.TEXTAFTER(#REF!, " ", -1)</f>
        <v>#REF!</v>
      </c>
      <c r="C211" t="s">
        <v>23</v>
      </c>
      <c r="D211" t="s">
        <v>4</v>
      </c>
      <c r="E211" s="3">
        <v>1039</v>
      </c>
      <c r="F211" s="3">
        <v>85</v>
      </c>
      <c r="G211" s="3">
        <v>0</v>
      </c>
      <c r="H211" s="3">
        <v>80</v>
      </c>
      <c r="I211" s="3">
        <v>85</v>
      </c>
      <c r="J211" s="3" t="str">
        <f>IF(AND(tbl_attendance[[#This Row],[R1 Pts]]&gt;0, tbl_attendance[[#This Row],[R2 Pts]]&gt;0,tbl_attendance[[#This Row],[R3 Pts]]&gt;0,tbl_attendance[[#This Row],[R4 Pts]]&gt;0),"YES", "NO")</f>
        <v>NO</v>
      </c>
      <c r="K211" s="3" t="str">
        <f>IF(AND(tbl_attendance[[#This Row],[R2 Pts]]&gt;0, tbl_attendance[[#This Row],[R4 Pts]]&gt;0), "YES", "NO")</f>
        <v>NO</v>
      </c>
      <c r="L211" s="3" t="str">
        <f>IF(
(tbl_attendance[[#This Row],[R1 Pts]]&gt;0)+(tbl_attendance[[#This Row],[R2 Pts]]&gt;0)+(tbl_attendance[[#This Row],[R3 Pts]]&gt;0)+(tbl_attendance[[#This Row],[R4 Pts]]&gt;0)&gt;=3,"YES", "NO")</f>
        <v>YES</v>
      </c>
      <c r="M211" s="3" t="str">
        <f>IF(AND(tbl_attendance[[#This Row],[R1 Pts]]=0, tbl_attendance[[#This Row],[R2 Pts]]=0,tbl_attendance[[#This Row],[R3 Pts]]=0,tbl_attendance[[#This Row],[R4 Pts]]=0),"YES", "NO")</f>
        <v>NO</v>
      </c>
    </row>
    <row r="212" spans="1:13" hidden="1" x14ac:dyDescent="0.4">
      <c r="A212" t="e">
        <f>_xlfn.TEXTBEFORE(#REF!," ",)</f>
        <v>#REF!</v>
      </c>
      <c r="B212" t="e">
        <f>_xlfn.TEXTAFTER(#REF!, " ", -1)</f>
        <v>#REF!</v>
      </c>
      <c r="C212" t="s">
        <v>23</v>
      </c>
      <c r="D212" t="s">
        <v>2</v>
      </c>
      <c r="E212" s="3">
        <v>1239</v>
      </c>
      <c r="F212" s="3">
        <v>0</v>
      </c>
      <c r="G212" s="3">
        <v>0</v>
      </c>
      <c r="H212" s="3">
        <v>0</v>
      </c>
      <c r="I212" s="3">
        <v>0</v>
      </c>
      <c r="J212" s="3" t="str">
        <f>IF(AND(tbl_attendance[[#This Row],[R1 Pts]]&gt;0, tbl_attendance[[#This Row],[R2 Pts]]&gt;0,tbl_attendance[[#This Row],[R3 Pts]]&gt;0,tbl_attendance[[#This Row],[R4 Pts]]&gt;0),"YES", "NO")</f>
        <v>NO</v>
      </c>
      <c r="K212" s="3" t="str">
        <f>IF(AND(tbl_attendance[[#This Row],[R2 Pts]]&gt;0, tbl_attendance[[#This Row],[R4 Pts]]&gt;0), "YES", "NO")</f>
        <v>NO</v>
      </c>
      <c r="L212" s="3" t="str">
        <f>IF(
(tbl_attendance[[#This Row],[R1 Pts]]&gt;0)+(tbl_attendance[[#This Row],[R2 Pts]]&gt;0)+(tbl_attendance[[#This Row],[R3 Pts]]&gt;0)+(tbl_attendance[[#This Row],[R4 Pts]]&gt;0)&gt;=3,"YES", "NO")</f>
        <v>NO</v>
      </c>
      <c r="M212" s="3" t="str">
        <f>IF(AND(tbl_attendance[[#This Row],[R1 Pts]]=0, tbl_attendance[[#This Row],[R2 Pts]]=0,tbl_attendance[[#This Row],[R3 Pts]]=0,tbl_attendance[[#This Row],[R4 Pts]]=0),"YES", "NO")</f>
        <v>YES</v>
      </c>
    </row>
    <row r="213" spans="1:13" hidden="1" x14ac:dyDescent="0.4">
      <c r="A213" t="e">
        <f>_xlfn.TEXTBEFORE(#REF!," ",)</f>
        <v>#REF!</v>
      </c>
      <c r="B213" t="e">
        <f>_xlfn.TEXTAFTER(#REF!, " ", -1)</f>
        <v>#REF!</v>
      </c>
      <c r="C213" t="s">
        <v>23</v>
      </c>
      <c r="D213" t="s">
        <v>2</v>
      </c>
      <c r="E213" s="3">
        <v>1240</v>
      </c>
      <c r="F213" s="3">
        <v>55</v>
      </c>
      <c r="G213" s="3">
        <v>70</v>
      </c>
      <c r="H213" s="3">
        <v>75</v>
      </c>
      <c r="I213" s="3">
        <v>65</v>
      </c>
      <c r="J213" s="3" t="str">
        <f>IF(AND(tbl_attendance[[#This Row],[R1 Pts]]&gt;0, tbl_attendance[[#This Row],[R2 Pts]]&gt;0,tbl_attendance[[#This Row],[R3 Pts]]&gt;0,tbl_attendance[[#This Row],[R4 Pts]]&gt;0),"YES", "NO")</f>
        <v>YES</v>
      </c>
      <c r="K213" s="3" t="str">
        <f>IF(AND(tbl_attendance[[#This Row],[R2 Pts]]&gt;0, tbl_attendance[[#This Row],[R4 Pts]]&gt;0), "YES", "NO")</f>
        <v>YES</v>
      </c>
      <c r="L213" s="3" t="str">
        <f>IF(
(tbl_attendance[[#This Row],[R1 Pts]]&gt;0)+(tbl_attendance[[#This Row],[R2 Pts]]&gt;0)+(tbl_attendance[[#This Row],[R3 Pts]]&gt;0)+(tbl_attendance[[#This Row],[R4 Pts]]&gt;0)&gt;=3,"YES", "NO")</f>
        <v>YES</v>
      </c>
      <c r="M213" s="3" t="str">
        <f>IF(AND(tbl_attendance[[#This Row],[R1 Pts]]=0, tbl_attendance[[#This Row],[R2 Pts]]=0,tbl_attendance[[#This Row],[R3 Pts]]=0,tbl_attendance[[#This Row],[R4 Pts]]=0),"YES", "NO")</f>
        <v>NO</v>
      </c>
    </row>
    <row r="214" spans="1:13" hidden="1" x14ac:dyDescent="0.4">
      <c r="A214" t="e">
        <f>_xlfn.TEXTBEFORE(#REF!," ",)</f>
        <v>#REF!</v>
      </c>
      <c r="B214" t="e">
        <f>_xlfn.TEXTAFTER(#REF!, " ", -1)</f>
        <v>#REF!</v>
      </c>
      <c r="C214" t="s">
        <v>23</v>
      </c>
      <c r="D214" t="s">
        <v>2</v>
      </c>
      <c r="E214" s="3">
        <v>1241</v>
      </c>
      <c r="F214" s="3">
        <v>65</v>
      </c>
      <c r="G214" s="3">
        <v>55</v>
      </c>
      <c r="H214" s="3">
        <v>70</v>
      </c>
      <c r="I214" s="3">
        <v>70</v>
      </c>
      <c r="J214" s="3" t="str">
        <f>IF(AND(tbl_attendance[[#This Row],[R1 Pts]]&gt;0, tbl_attendance[[#This Row],[R2 Pts]]&gt;0,tbl_attendance[[#This Row],[R3 Pts]]&gt;0,tbl_attendance[[#This Row],[R4 Pts]]&gt;0),"YES", "NO")</f>
        <v>YES</v>
      </c>
      <c r="K214" s="3" t="str">
        <f>IF(AND(tbl_attendance[[#This Row],[R2 Pts]]&gt;0, tbl_attendance[[#This Row],[R4 Pts]]&gt;0), "YES", "NO")</f>
        <v>YES</v>
      </c>
      <c r="L214" s="3" t="str">
        <f>IF(
(tbl_attendance[[#This Row],[R1 Pts]]&gt;0)+(tbl_attendance[[#This Row],[R2 Pts]]&gt;0)+(tbl_attendance[[#This Row],[R3 Pts]]&gt;0)+(tbl_attendance[[#This Row],[R4 Pts]]&gt;0)&gt;=3,"YES", "NO")</f>
        <v>YES</v>
      </c>
      <c r="M214" s="3" t="str">
        <f>IF(AND(tbl_attendance[[#This Row],[R1 Pts]]=0, tbl_attendance[[#This Row],[R2 Pts]]=0,tbl_attendance[[#This Row],[R3 Pts]]=0,tbl_attendance[[#This Row],[R4 Pts]]=0),"YES", "NO")</f>
        <v>NO</v>
      </c>
    </row>
    <row r="215" spans="1:13" hidden="1" x14ac:dyDescent="0.4">
      <c r="A215" t="e">
        <f>_xlfn.TEXTBEFORE(#REF!," ",)</f>
        <v>#REF!</v>
      </c>
      <c r="B215" t="e">
        <f>_xlfn.TEXTAFTER(#REF!, " ", -1)</f>
        <v>#REF!</v>
      </c>
      <c r="C215" t="s">
        <v>23</v>
      </c>
      <c r="D215" t="s">
        <v>2</v>
      </c>
      <c r="E215" s="3">
        <v>1242</v>
      </c>
      <c r="F215" s="3">
        <v>60</v>
      </c>
      <c r="G215" s="3">
        <v>90</v>
      </c>
      <c r="H215" s="3">
        <v>0</v>
      </c>
      <c r="I215" s="3">
        <v>0</v>
      </c>
      <c r="J215" s="3" t="str">
        <f>IF(AND(tbl_attendance[[#This Row],[R1 Pts]]&gt;0, tbl_attendance[[#This Row],[R2 Pts]]&gt;0,tbl_attendance[[#This Row],[R3 Pts]]&gt;0,tbl_attendance[[#This Row],[R4 Pts]]&gt;0),"YES", "NO")</f>
        <v>NO</v>
      </c>
      <c r="K215" s="3" t="str">
        <f>IF(AND(tbl_attendance[[#This Row],[R2 Pts]]&gt;0, tbl_attendance[[#This Row],[R4 Pts]]&gt;0), "YES", "NO")</f>
        <v>NO</v>
      </c>
      <c r="L215" s="3" t="str">
        <f>IF(
(tbl_attendance[[#This Row],[R1 Pts]]&gt;0)+(tbl_attendance[[#This Row],[R2 Pts]]&gt;0)+(tbl_attendance[[#This Row],[R3 Pts]]&gt;0)+(tbl_attendance[[#This Row],[R4 Pts]]&gt;0)&gt;=3,"YES", "NO")</f>
        <v>NO</v>
      </c>
      <c r="M215" s="3" t="str">
        <f>IF(AND(tbl_attendance[[#This Row],[R1 Pts]]=0, tbl_attendance[[#This Row],[R2 Pts]]=0,tbl_attendance[[#This Row],[R3 Pts]]=0,tbl_attendance[[#This Row],[R4 Pts]]=0),"YES", "NO")</f>
        <v>NO</v>
      </c>
    </row>
    <row r="216" spans="1:13" hidden="1" x14ac:dyDescent="0.4">
      <c r="A216" t="e">
        <f>_xlfn.TEXTBEFORE(#REF!," ",)</f>
        <v>#REF!</v>
      </c>
      <c r="B216" t="e">
        <f>_xlfn.TEXTAFTER(#REF!, " ", -1)</f>
        <v>#REF!</v>
      </c>
      <c r="C216" t="s">
        <v>23</v>
      </c>
      <c r="D216" t="s">
        <v>6</v>
      </c>
      <c r="E216" s="3">
        <v>9260</v>
      </c>
      <c r="F216" s="3">
        <v>0</v>
      </c>
      <c r="G216" s="3">
        <v>0</v>
      </c>
      <c r="H216" s="3">
        <v>1</v>
      </c>
      <c r="I216" s="3">
        <v>90</v>
      </c>
      <c r="J216" s="3" t="str">
        <f>IF(AND(tbl_attendance[[#This Row],[R1 Pts]]&gt;0, tbl_attendance[[#This Row],[R2 Pts]]&gt;0,tbl_attendance[[#This Row],[R3 Pts]]&gt;0,tbl_attendance[[#This Row],[R4 Pts]]&gt;0),"YES", "NO")</f>
        <v>NO</v>
      </c>
      <c r="K216" s="3" t="str">
        <f>IF(AND(tbl_attendance[[#This Row],[R2 Pts]]&gt;0, tbl_attendance[[#This Row],[R4 Pts]]&gt;0), "YES", "NO")</f>
        <v>NO</v>
      </c>
      <c r="L216" s="3" t="str">
        <f>IF(
(tbl_attendance[[#This Row],[R1 Pts]]&gt;0)+(tbl_attendance[[#This Row],[R2 Pts]]&gt;0)+(tbl_attendance[[#This Row],[R3 Pts]]&gt;0)+(tbl_attendance[[#This Row],[R4 Pts]]&gt;0)&gt;=3,"YES", "NO")</f>
        <v>NO</v>
      </c>
      <c r="M216" s="3" t="str">
        <f>IF(AND(tbl_attendance[[#This Row],[R1 Pts]]=0, tbl_attendance[[#This Row],[R2 Pts]]=0,tbl_attendance[[#This Row],[R3 Pts]]=0,tbl_attendance[[#This Row],[R4 Pts]]=0),"YES", "NO")</f>
        <v>NO</v>
      </c>
    </row>
    <row r="217" spans="1:13" hidden="1" x14ac:dyDescent="0.4">
      <c r="A217" t="e">
        <f>_xlfn.TEXTBEFORE(#REF!," ",)</f>
        <v>#REF!</v>
      </c>
      <c r="B217" t="e">
        <f>_xlfn.TEXTAFTER(#REF!, " ", -1)</f>
        <v>#REF!</v>
      </c>
      <c r="C217" t="s">
        <v>23</v>
      </c>
      <c r="D217" t="s">
        <v>6</v>
      </c>
      <c r="E217" s="3">
        <v>9270</v>
      </c>
      <c r="F217" s="3">
        <v>0</v>
      </c>
      <c r="G217" s="3">
        <v>0</v>
      </c>
      <c r="H217" s="3">
        <v>1</v>
      </c>
      <c r="I217" s="3">
        <v>0</v>
      </c>
      <c r="J217" s="3" t="str">
        <f>IF(AND(tbl_attendance[[#This Row],[R1 Pts]]&gt;0, tbl_attendance[[#This Row],[R2 Pts]]&gt;0,tbl_attendance[[#This Row],[R3 Pts]]&gt;0,tbl_attendance[[#This Row],[R4 Pts]]&gt;0),"YES", "NO")</f>
        <v>NO</v>
      </c>
      <c r="K217" s="3" t="str">
        <f>IF(AND(tbl_attendance[[#This Row],[R2 Pts]]&gt;0, tbl_attendance[[#This Row],[R4 Pts]]&gt;0), "YES", "NO")</f>
        <v>NO</v>
      </c>
      <c r="L217" s="3" t="str">
        <f>IF(
(tbl_attendance[[#This Row],[R1 Pts]]&gt;0)+(tbl_attendance[[#This Row],[R2 Pts]]&gt;0)+(tbl_attendance[[#This Row],[R3 Pts]]&gt;0)+(tbl_attendance[[#This Row],[R4 Pts]]&gt;0)&gt;=3,"YES", "NO")</f>
        <v>NO</v>
      </c>
      <c r="M217" s="3" t="str">
        <f>IF(AND(tbl_attendance[[#This Row],[R1 Pts]]=0, tbl_attendance[[#This Row],[R2 Pts]]=0,tbl_attendance[[#This Row],[R3 Pts]]=0,tbl_attendance[[#This Row],[R4 Pts]]=0),"YES", "NO")</f>
        <v>NO</v>
      </c>
    </row>
    <row r="218" spans="1:13" hidden="1" x14ac:dyDescent="0.4">
      <c r="A218" t="e">
        <f>_xlfn.TEXTBEFORE(#REF!," ",)</f>
        <v>#REF!</v>
      </c>
      <c r="B218" t="e">
        <f>_xlfn.TEXTAFTER(#REF!, " ", -1)</f>
        <v>#REF!</v>
      </c>
      <c r="C218" t="s">
        <v>23</v>
      </c>
      <c r="D218" t="s">
        <v>6</v>
      </c>
      <c r="E218" s="3">
        <v>9280</v>
      </c>
      <c r="F218" s="3">
        <v>55</v>
      </c>
      <c r="G218" s="3">
        <v>0</v>
      </c>
      <c r="H218" s="3">
        <v>0</v>
      </c>
      <c r="I218" s="3">
        <v>53</v>
      </c>
      <c r="J218" s="3" t="str">
        <f>IF(AND(tbl_attendance[[#This Row],[R1 Pts]]&gt;0, tbl_attendance[[#This Row],[R2 Pts]]&gt;0,tbl_attendance[[#This Row],[R3 Pts]]&gt;0,tbl_attendance[[#This Row],[R4 Pts]]&gt;0),"YES", "NO")</f>
        <v>NO</v>
      </c>
      <c r="K218" s="3" t="str">
        <f>IF(AND(tbl_attendance[[#This Row],[R2 Pts]]&gt;0, tbl_attendance[[#This Row],[R4 Pts]]&gt;0), "YES", "NO")</f>
        <v>NO</v>
      </c>
      <c r="L218" s="3" t="str">
        <f>IF(
(tbl_attendance[[#This Row],[R1 Pts]]&gt;0)+(tbl_attendance[[#This Row],[R2 Pts]]&gt;0)+(tbl_attendance[[#This Row],[R3 Pts]]&gt;0)+(tbl_attendance[[#This Row],[R4 Pts]]&gt;0)&gt;=3,"YES", "NO")</f>
        <v>NO</v>
      </c>
      <c r="M218" s="3" t="str">
        <f>IF(AND(tbl_attendance[[#This Row],[R1 Pts]]=0, tbl_attendance[[#This Row],[R2 Pts]]=0,tbl_attendance[[#This Row],[R3 Pts]]=0,tbl_attendance[[#This Row],[R4 Pts]]=0),"YES", "NO")</f>
        <v>NO</v>
      </c>
    </row>
    <row r="219" spans="1:13" hidden="1" x14ac:dyDescent="0.4">
      <c r="A219" t="e">
        <f>_xlfn.TEXTBEFORE(#REF!," ",)</f>
        <v>#REF!</v>
      </c>
      <c r="B219" t="e">
        <f>_xlfn.TEXTAFTER(#REF!, " ", -1)</f>
        <v>#REF!</v>
      </c>
      <c r="C219" t="s">
        <v>23</v>
      </c>
      <c r="D219" t="s">
        <v>3</v>
      </c>
      <c r="E219" s="3">
        <v>10181</v>
      </c>
      <c r="F219" s="3">
        <v>0</v>
      </c>
      <c r="G219" s="3">
        <v>90</v>
      </c>
      <c r="H219" s="3">
        <v>0</v>
      </c>
      <c r="I219" s="3">
        <v>95</v>
      </c>
      <c r="J219" s="3" t="str">
        <f>IF(AND(tbl_attendance[[#This Row],[R1 Pts]]&gt;0, tbl_attendance[[#This Row],[R2 Pts]]&gt;0,tbl_attendance[[#This Row],[R3 Pts]]&gt;0,tbl_attendance[[#This Row],[R4 Pts]]&gt;0),"YES", "NO")</f>
        <v>NO</v>
      </c>
      <c r="K219" s="3" t="str">
        <f>IF(AND(tbl_attendance[[#This Row],[R2 Pts]]&gt;0, tbl_attendance[[#This Row],[R4 Pts]]&gt;0), "YES", "NO")</f>
        <v>YES</v>
      </c>
      <c r="L219" s="3" t="str">
        <f>IF(
(tbl_attendance[[#This Row],[R1 Pts]]&gt;0)+(tbl_attendance[[#This Row],[R2 Pts]]&gt;0)+(tbl_attendance[[#This Row],[R3 Pts]]&gt;0)+(tbl_attendance[[#This Row],[R4 Pts]]&gt;0)&gt;=3,"YES", "NO")</f>
        <v>NO</v>
      </c>
      <c r="M219" s="3" t="str">
        <f>IF(AND(tbl_attendance[[#This Row],[R1 Pts]]=0, tbl_attendance[[#This Row],[R2 Pts]]=0,tbl_attendance[[#This Row],[R3 Pts]]=0,tbl_attendance[[#This Row],[R4 Pts]]=0),"YES", "NO")</f>
        <v>NO</v>
      </c>
    </row>
    <row r="220" spans="1:13" hidden="1" x14ac:dyDescent="0.4">
      <c r="A220" t="e">
        <f>_xlfn.TEXTBEFORE(#REF!," ",)</f>
        <v>#REF!</v>
      </c>
      <c r="B220" t="e">
        <f>_xlfn.TEXTAFTER(#REF!, " ", -1)</f>
        <v>#REF!</v>
      </c>
      <c r="C220" t="s">
        <v>23</v>
      </c>
      <c r="D220" t="s">
        <v>3</v>
      </c>
      <c r="E220" s="3">
        <v>10182</v>
      </c>
      <c r="F220" s="3">
        <v>0</v>
      </c>
      <c r="G220" s="3">
        <v>0</v>
      </c>
      <c r="H220" s="3">
        <v>0</v>
      </c>
      <c r="I220" s="3">
        <v>0</v>
      </c>
      <c r="J220" s="3" t="str">
        <f>IF(AND(tbl_attendance[[#This Row],[R1 Pts]]&gt;0, tbl_attendance[[#This Row],[R2 Pts]]&gt;0,tbl_attendance[[#This Row],[R3 Pts]]&gt;0,tbl_attendance[[#This Row],[R4 Pts]]&gt;0),"YES", "NO")</f>
        <v>NO</v>
      </c>
      <c r="K220" s="3" t="str">
        <f>IF(AND(tbl_attendance[[#This Row],[R2 Pts]]&gt;0, tbl_attendance[[#This Row],[R4 Pts]]&gt;0), "YES", "NO")</f>
        <v>NO</v>
      </c>
      <c r="L220" s="3" t="str">
        <f>IF(
(tbl_attendance[[#This Row],[R1 Pts]]&gt;0)+(tbl_attendance[[#This Row],[R2 Pts]]&gt;0)+(tbl_attendance[[#This Row],[R3 Pts]]&gt;0)+(tbl_attendance[[#This Row],[R4 Pts]]&gt;0)&gt;=3,"YES", "NO")</f>
        <v>NO</v>
      </c>
      <c r="M220" s="3" t="str">
        <f>IF(AND(tbl_attendance[[#This Row],[R1 Pts]]=0, tbl_attendance[[#This Row],[R2 Pts]]=0,tbl_attendance[[#This Row],[R3 Pts]]=0,tbl_attendance[[#This Row],[R4 Pts]]=0),"YES", "NO")</f>
        <v>YES</v>
      </c>
    </row>
    <row r="221" spans="1:13" hidden="1" x14ac:dyDescent="0.4">
      <c r="A221" t="e">
        <f>_xlfn.TEXTBEFORE(#REF!," ",)</f>
        <v>#REF!</v>
      </c>
      <c r="B221" t="e">
        <f>_xlfn.TEXTAFTER(#REF!, " ", -1)</f>
        <v>#REF!</v>
      </c>
      <c r="C221" t="s">
        <v>23</v>
      </c>
      <c r="D221" t="s">
        <v>3</v>
      </c>
      <c r="E221" s="3">
        <v>10183</v>
      </c>
      <c r="F221" s="3">
        <v>60</v>
      </c>
      <c r="G221" s="3">
        <v>80</v>
      </c>
      <c r="H221" s="3">
        <v>0</v>
      </c>
      <c r="I221" s="3">
        <v>75</v>
      </c>
      <c r="J221" s="3" t="str">
        <f>IF(AND(tbl_attendance[[#This Row],[R1 Pts]]&gt;0, tbl_attendance[[#This Row],[R2 Pts]]&gt;0,tbl_attendance[[#This Row],[R3 Pts]]&gt;0,tbl_attendance[[#This Row],[R4 Pts]]&gt;0),"YES", "NO")</f>
        <v>NO</v>
      </c>
      <c r="K221" s="3" t="str">
        <f>IF(AND(tbl_attendance[[#This Row],[R2 Pts]]&gt;0, tbl_attendance[[#This Row],[R4 Pts]]&gt;0), "YES", "NO")</f>
        <v>YES</v>
      </c>
      <c r="L221" s="3" t="str">
        <f>IF(
(tbl_attendance[[#This Row],[R1 Pts]]&gt;0)+(tbl_attendance[[#This Row],[R2 Pts]]&gt;0)+(tbl_attendance[[#This Row],[R3 Pts]]&gt;0)+(tbl_attendance[[#This Row],[R4 Pts]]&gt;0)&gt;=3,"YES", "NO")</f>
        <v>YES</v>
      </c>
      <c r="M221" s="3" t="str">
        <f>IF(AND(tbl_attendance[[#This Row],[R1 Pts]]=0, tbl_attendance[[#This Row],[R2 Pts]]=0,tbl_attendance[[#This Row],[R3 Pts]]=0,tbl_attendance[[#This Row],[R4 Pts]]=0),"YES", "NO")</f>
        <v>NO</v>
      </c>
    </row>
    <row r="222" spans="1:13" hidden="1" x14ac:dyDescent="0.4">
      <c r="A222" t="e">
        <f>_xlfn.TEXTBEFORE(#REF!," ",)</f>
        <v>#REF!</v>
      </c>
      <c r="B222" t="e">
        <f>_xlfn.TEXTAFTER(#REF!, " ", -1)</f>
        <v>#REF!</v>
      </c>
      <c r="C222" t="s">
        <v>23</v>
      </c>
      <c r="D222" t="s">
        <v>3</v>
      </c>
      <c r="E222" s="3">
        <v>10184</v>
      </c>
      <c r="F222" s="3">
        <v>23</v>
      </c>
      <c r="G222" s="3">
        <v>47</v>
      </c>
      <c r="H222" s="3">
        <v>29</v>
      </c>
      <c r="I222" s="3">
        <v>35</v>
      </c>
      <c r="J222" s="3" t="str">
        <f>IF(AND(tbl_attendance[[#This Row],[R1 Pts]]&gt;0, tbl_attendance[[#This Row],[R2 Pts]]&gt;0,tbl_attendance[[#This Row],[R3 Pts]]&gt;0,tbl_attendance[[#This Row],[R4 Pts]]&gt;0),"YES", "NO")</f>
        <v>YES</v>
      </c>
      <c r="K222" s="3" t="str">
        <f>IF(AND(tbl_attendance[[#This Row],[R2 Pts]]&gt;0, tbl_attendance[[#This Row],[R4 Pts]]&gt;0), "YES", "NO")</f>
        <v>YES</v>
      </c>
      <c r="L222" s="3" t="str">
        <f>IF(
(tbl_attendance[[#This Row],[R1 Pts]]&gt;0)+(tbl_attendance[[#This Row],[R2 Pts]]&gt;0)+(tbl_attendance[[#This Row],[R3 Pts]]&gt;0)+(tbl_attendance[[#This Row],[R4 Pts]]&gt;0)&gt;=3,"YES", "NO")</f>
        <v>YES</v>
      </c>
      <c r="M222" s="3" t="str">
        <f>IF(AND(tbl_attendance[[#This Row],[R1 Pts]]=0, tbl_attendance[[#This Row],[R2 Pts]]=0,tbl_attendance[[#This Row],[R3 Pts]]=0,tbl_attendance[[#This Row],[R4 Pts]]=0),"YES", "NO")</f>
        <v>NO</v>
      </c>
    </row>
    <row r="223" spans="1:13" hidden="1" x14ac:dyDescent="0.4">
      <c r="A223" t="e">
        <f>_xlfn.TEXTBEFORE(#REF!," ",)</f>
        <v>#REF!</v>
      </c>
      <c r="B223" t="e">
        <f>_xlfn.TEXTAFTER(#REF!, " ", -1)</f>
        <v>#REF!</v>
      </c>
      <c r="C223" t="s">
        <v>23</v>
      </c>
      <c r="D223" t="s">
        <v>3</v>
      </c>
      <c r="E223" s="3">
        <v>10185</v>
      </c>
      <c r="F223" s="3">
        <v>40</v>
      </c>
      <c r="G223" s="3">
        <v>53</v>
      </c>
      <c r="H223" s="3">
        <v>30</v>
      </c>
      <c r="I223" s="3">
        <v>42</v>
      </c>
      <c r="J223" s="3" t="str">
        <f>IF(AND(tbl_attendance[[#This Row],[R1 Pts]]&gt;0, tbl_attendance[[#This Row],[R2 Pts]]&gt;0,tbl_attendance[[#This Row],[R3 Pts]]&gt;0,tbl_attendance[[#This Row],[R4 Pts]]&gt;0),"YES", "NO")</f>
        <v>YES</v>
      </c>
      <c r="K223" s="3" t="str">
        <f>IF(AND(tbl_attendance[[#This Row],[R2 Pts]]&gt;0, tbl_attendance[[#This Row],[R4 Pts]]&gt;0), "YES", "NO")</f>
        <v>YES</v>
      </c>
      <c r="L223" s="3" t="str">
        <f>IF(
(tbl_attendance[[#This Row],[R1 Pts]]&gt;0)+(tbl_attendance[[#This Row],[R2 Pts]]&gt;0)+(tbl_attendance[[#This Row],[R3 Pts]]&gt;0)+(tbl_attendance[[#This Row],[R4 Pts]]&gt;0)&gt;=3,"YES", "NO")</f>
        <v>YES</v>
      </c>
      <c r="M223" s="3" t="str">
        <f>IF(AND(tbl_attendance[[#This Row],[R1 Pts]]=0, tbl_attendance[[#This Row],[R2 Pts]]=0,tbl_attendance[[#This Row],[R3 Pts]]=0,tbl_attendance[[#This Row],[R4 Pts]]=0),"YES", "NO")</f>
        <v>NO</v>
      </c>
    </row>
    <row r="224" spans="1:13" hidden="1" x14ac:dyDescent="0.4">
      <c r="A224" t="e">
        <f>_xlfn.TEXTBEFORE(#REF!," ",)</f>
        <v>#REF!</v>
      </c>
      <c r="B224" t="e">
        <f>_xlfn.TEXTAFTER(#REF!, " ", -1)</f>
        <v>#REF!</v>
      </c>
      <c r="C224" t="s">
        <v>23</v>
      </c>
      <c r="D224" t="s">
        <v>3</v>
      </c>
      <c r="E224" s="3">
        <v>10186</v>
      </c>
      <c r="F224" s="3">
        <v>38</v>
      </c>
      <c r="G224" s="3">
        <v>70</v>
      </c>
      <c r="H224" s="3">
        <v>31</v>
      </c>
      <c r="I224" s="3">
        <v>49</v>
      </c>
      <c r="J224" s="3" t="str">
        <f>IF(AND(tbl_attendance[[#This Row],[R1 Pts]]&gt;0, tbl_attendance[[#This Row],[R2 Pts]]&gt;0,tbl_attendance[[#This Row],[R3 Pts]]&gt;0,tbl_attendance[[#This Row],[R4 Pts]]&gt;0),"YES", "NO")</f>
        <v>YES</v>
      </c>
      <c r="K224" s="3" t="str">
        <f>IF(AND(tbl_attendance[[#This Row],[R2 Pts]]&gt;0, tbl_attendance[[#This Row],[R4 Pts]]&gt;0), "YES", "NO")</f>
        <v>YES</v>
      </c>
      <c r="L224" s="3" t="str">
        <f>IF(
(tbl_attendance[[#This Row],[R1 Pts]]&gt;0)+(tbl_attendance[[#This Row],[R2 Pts]]&gt;0)+(tbl_attendance[[#This Row],[R3 Pts]]&gt;0)+(tbl_attendance[[#This Row],[R4 Pts]]&gt;0)&gt;=3,"YES", "NO")</f>
        <v>YES</v>
      </c>
      <c r="M224" s="3" t="str">
        <f>IF(AND(tbl_attendance[[#This Row],[R1 Pts]]=0, tbl_attendance[[#This Row],[R2 Pts]]=0,tbl_attendance[[#This Row],[R3 Pts]]=0,tbl_attendance[[#This Row],[R4 Pts]]=0),"YES", "NO")</f>
        <v>NO</v>
      </c>
    </row>
    <row r="225" spans="1:13" hidden="1" x14ac:dyDescent="0.4">
      <c r="A225" t="e">
        <f>_xlfn.TEXTBEFORE(#REF!," ",)</f>
        <v>#REF!</v>
      </c>
      <c r="B225" t="e">
        <f>_xlfn.TEXTAFTER(#REF!, " ", -1)</f>
        <v>#REF!</v>
      </c>
      <c r="C225" t="s">
        <v>23</v>
      </c>
      <c r="D225" t="s">
        <v>1</v>
      </c>
      <c r="E225" s="3">
        <v>12061</v>
      </c>
      <c r="F225" s="3">
        <v>0</v>
      </c>
      <c r="G225" s="3">
        <v>42</v>
      </c>
      <c r="H225" s="3">
        <v>65</v>
      </c>
      <c r="I225" s="3">
        <v>55</v>
      </c>
      <c r="J225" s="3" t="str">
        <f>IF(AND(tbl_attendance[[#This Row],[R1 Pts]]&gt;0, tbl_attendance[[#This Row],[R2 Pts]]&gt;0,tbl_attendance[[#This Row],[R3 Pts]]&gt;0,tbl_attendance[[#This Row],[R4 Pts]]&gt;0),"YES", "NO")</f>
        <v>NO</v>
      </c>
      <c r="K225" s="3" t="str">
        <f>IF(AND(tbl_attendance[[#This Row],[R2 Pts]]&gt;0, tbl_attendance[[#This Row],[R4 Pts]]&gt;0), "YES", "NO")</f>
        <v>YES</v>
      </c>
      <c r="L225" s="3" t="str">
        <f>IF(
(tbl_attendance[[#This Row],[R1 Pts]]&gt;0)+(tbl_attendance[[#This Row],[R2 Pts]]&gt;0)+(tbl_attendance[[#This Row],[R3 Pts]]&gt;0)+(tbl_attendance[[#This Row],[R4 Pts]]&gt;0)&gt;=3,"YES", "NO")</f>
        <v>YES</v>
      </c>
      <c r="M225" s="3" t="str">
        <f>IF(AND(tbl_attendance[[#This Row],[R1 Pts]]=0, tbl_attendance[[#This Row],[R2 Pts]]=0,tbl_attendance[[#This Row],[R3 Pts]]=0,tbl_attendance[[#This Row],[R4 Pts]]=0),"YES", "NO")</f>
        <v>NO</v>
      </c>
    </row>
    <row r="226" spans="1:13" hidden="1" x14ac:dyDescent="0.4">
      <c r="A226" t="e">
        <f>_xlfn.TEXTBEFORE(#REF!," ",)</f>
        <v>#REF!</v>
      </c>
      <c r="B226" t="e">
        <f>_xlfn.TEXTAFTER(#REF!, " ", -1)</f>
        <v>#REF!</v>
      </c>
      <c r="C226" t="s">
        <v>23</v>
      </c>
      <c r="D226" t="s">
        <v>1</v>
      </c>
      <c r="E226" s="3">
        <v>12062</v>
      </c>
      <c r="F226" s="3">
        <v>0</v>
      </c>
      <c r="G226" s="3">
        <v>22</v>
      </c>
      <c r="H226" s="3">
        <v>11</v>
      </c>
      <c r="I226" s="3">
        <v>0</v>
      </c>
      <c r="J226" s="3" t="str">
        <f>IF(AND(tbl_attendance[[#This Row],[R1 Pts]]&gt;0, tbl_attendance[[#This Row],[R2 Pts]]&gt;0,tbl_attendance[[#This Row],[R3 Pts]]&gt;0,tbl_attendance[[#This Row],[R4 Pts]]&gt;0),"YES", "NO")</f>
        <v>NO</v>
      </c>
      <c r="K226" s="3" t="str">
        <f>IF(AND(tbl_attendance[[#This Row],[R2 Pts]]&gt;0, tbl_attendance[[#This Row],[R4 Pts]]&gt;0), "YES", "NO")</f>
        <v>NO</v>
      </c>
      <c r="L226" s="3" t="str">
        <f>IF(
(tbl_attendance[[#This Row],[R1 Pts]]&gt;0)+(tbl_attendance[[#This Row],[R2 Pts]]&gt;0)+(tbl_attendance[[#This Row],[R3 Pts]]&gt;0)+(tbl_attendance[[#This Row],[R4 Pts]]&gt;0)&gt;=3,"YES", "NO")</f>
        <v>NO</v>
      </c>
      <c r="M226" s="3" t="str">
        <f>IF(AND(tbl_attendance[[#This Row],[R1 Pts]]=0, tbl_attendance[[#This Row],[R2 Pts]]=0,tbl_attendance[[#This Row],[R3 Pts]]=0,tbl_attendance[[#This Row],[R4 Pts]]=0),"YES", "NO")</f>
        <v>NO</v>
      </c>
    </row>
    <row r="227" spans="1:13" hidden="1" x14ac:dyDescent="0.4">
      <c r="A227" t="e">
        <f>_xlfn.TEXTBEFORE(#REF!," ",)</f>
        <v>#REF!</v>
      </c>
      <c r="B227" t="e">
        <f>_xlfn.TEXTAFTER(#REF!, " ", -1)</f>
        <v>#REF!</v>
      </c>
      <c r="C227" t="s">
        <v>23</v>
      </c>
      <c r="D227" t="s">
        <v>1</v>
      </c>
      <c r="E227" s="3">
        <v>12063</v>
      </c>
      <c r="F227" s="3">
        <v>24</v>
      </c>
      <c r="G227" s="3">
        <v>18</v>
      </c>
      <c r="H227" s="3">
        <v>0</v>
      </c>
      <c r="I227" s="3">
        <v>24</v>
      </c>
      <c r="J227" s="3" t="str">
        <f>IF(AND(tbl_attendance[[#This Row],[R1 Pts]]&gt;0, tbl_attendance[[#This Row],[R2 Pts]]&gt;0,tbl_attendance[[#This Row],[R3 Pts]]&gt;0,tbl_attendance[[#This Row],[R4 Pts]]&gt;0),"YES", "NO")</f>
        <v>NO</v>
      </c>
      <c r="K227" s="3" t="str">
        <f>IF(AND(tbl_attendance[[#This Row],[R2 Pts]]&gt;0, tbl_attendance[[#This Row],[R4 Pts]]&gt;0), "YES", "NO")</f>
        <v>YES</v>
      </c>
      <c r="L227" s="3" t="str">
        <f>IF(
(tbl_attendance[[#This Row],[R1 Pts]]&gt;0)+(tbl_attendance[[#This Row],[R2 Pts]]&gt;0)+(tbl_attendance[[#This Row],[R3 Pts]]&gt;0)+(tbl_attendance[[#This Row],[R4 Pts]]&gt;0)&gt;=3,"YES", "NO")</f>
        <v>YES</v>
      </c>
      <c r="M227" s="3" t="str">
        <f>IF(AND(tbl_attendance[[#This Row],[R1 Pts]]=0, tbl_attendance[[#This Row],[R2 Pts]]=0,tbl_attendance[[#This Row],[R3 Pts]]=0,tbl_attendance[[#This Row],[R4 Pts]]=0),"YES", "NO")</f>
        <v>NO</v>
      </c>
    </row>
    <row r="228" spans="1:13" hidden="1" x14ac:dyDescent="0.4">
      <c r="A228" t="e">
        <f>_xlfn.TEXTBEFORE(#REF!," ",)</f>
        <v>#REF!</v>
      </c>
      <c r="B228" t="e">
        <f>_xlfn.TEXTAFTER(#REF!, " ", -1)</f>
        <v>#REF!</v>
      </c>
      <c r="C228" t="s">
        <v>23</v>
      </c>
      <c r="D228" t="s">
        <v>1</v>
      </c>
      <c r="E228" s="3">
        <v>12064</v>
      </c>
      <c r="F228" s="3">
        <v>36</v>
      </c>
      <c r="G228" s="3">
        <v>0</v>
      </c>
      <c r="H228" s="3">
        <v>0</v>
      </c>
      <c r="I228" s="3">
        <v>1</v>
      </c>
      <c r="J228" s="3" t="str">
        <f>IF(AND(tbl_attendance[[#This Row],[R1 Pts]]&gt;0, tbl_attendance[[#This Row],[R2 Pts]]&gt;0,tbl_attendance[[#This Row],[R3 Pts]]&gt;0,tbl_attendance[[#This Row],[R4 Pts]]&gt;0),"YES", "NO")</f>
        <v>NO</v>
      </c>
      <c r="K228" s="3" t="str">
        <f>IF(AND(tbl_attendance[[#This Row],[R2 Pts]]&gt;0, tbl_attendance[[#This Row],[R4 Pts]]&gt;0), "YES", "NO")</f>
        <v>NO</v>
      </c>
      <c r="L228" s="3" t="str">
        <f>IF(
(tbl_attendance[[#This Row],[R1 Pts]]&gt;0)+(tbl_attendance[[#This Row],[R2 Pts]]&gt;0)+(tbl_attendance[[#This Row],[R3 Pts]]&gt;0)+(tbl_attendance[[#This Row],[R4 Pts]]&gt;0)&gt;=3,"YES", "NO")</f>
        <v>NO</v>
      </c>
      <c r="M228" s="3" t="str">
        <f>IF(AND(tbl_attendance[[#This Row],[R1 Pts]]=0, tbl_attendance[[#This Row],[R2 Pts]]=0,tbl_attendance[[#This Row],[R3 Pts]]=0,tbl_attendance[[#This Row],[R4 Pts]]=0),"YES", "NO")</f>
        <v>NO</v>
      </c>
    </row>
    <row r="229" spans="1:13" hidden="1" x14ac:dyDescent="0.4">
      <c r="A229" t="e">
        <f>_xlfn.TEXTBEFORE(#REF!," ",)</f>
        <v>#REF!</v>
      </c>
      <c r="B229" t="e">
        <f>_xlfn.TEXTAFTER(#REF!, " ", -1)</f>
        <v>#REF!</v>
      </c>
      <c r="C229" t="s">
        <v>23</v>
      </c>
      <c r="D229" t="s">
        <v>1</v>
      </c>
      <c r="E229" s="3">
        <v>12065</v>
      </c>
      <c r="F229" s="3">
        <v>31</v>
      </c>
      <c r="G229" s="3">
        <v>31</v>
      </c>
      <c r="H229" s="3">
        <v>31</v>
      </c>
      <c r="I229" s="3">
        <v>0</v>
      </c>
      <c r="J229" s="3" t="str">
        <f>IF(AND(tbl_attendance[[#This Row],[R1 Pts]]&gt;0, tbl_attendance[[#This Row],[R2 Pts]]&gt;0,tbl_attendance[[#This Row],[R3 Pts]]&gt;0,tbl_attendance[[#This Row],[R4 Pts]]&gt;0),"YES", "NO")</f>
        <v>NO</v>
      </c>
      <c r="K229" s="3" t="str">
        <f>IF(AND(tbl_attendance[[#This Row],[R2 Pts]]&gt;0, tbl_attendance[[#This Row],[R4 Pts]]&gt;0), "YES", "NO")</f>
        <v>NO</v>
      </c>
      <c r="L229" s="3" t="str">
        <f>IF(
(tbl_attendance[[#This Row],[R1 Pts]]&gt;0)+(tbl_attendance[[#This Row],[R2 Pts]]&gt;0)+(tbl_attendance[[#This Row],[R3 Pts]]&gt;0)+(tbl_attendance[[#This Row],[R4 Pts]]&gt;0)&gt;=3,"YES", "NO")</f>
        <v>YES</v>
      </c>
      <c r="M229" s="3" t="str">
        <f>IF(AND(tbl_attendance[[#This Row],[R1 Pts]]=0, tbl_attendance[[#This Row],[R2 Pts]]=0,tbl_attendance[[#This Row],[R3 Pts]]=0,tbl_attendance[[#This Row],[R4 Pts]]=0),"YES", "NO")</f>
        <v>NO</v>
      </c>
    </row>
    <row r="230" spans="1:13" hidden="1" x14ac:dyDescent="0.4">
      <c r="A230" t="e">
        <f>_xlfn.TEXTBEFORE(#REF!," ",)</f>
        <v>#REF!</v>
      </c>
      <c r="B230" t="e">
        <f>_xlfn.TEXTAFTER(#REF!, " ", -1)</f>
        <v>#REF!</v>
      </c>
      <c r="C230" t="s">
        <v>23</v>
      </c>
      <c r="D230" t="s">
        <v>1</v>
      </c>
      <c r="E230" s="3">
        <v>12066</v>
      </c>
      <c r="F230" s="3">
        <v>1</v>
      </c>
      <c r="G230" s="3">
        <v>1</v>
      </c>
      <c r="H230" s="3">
        <v>0</v>
      </c>
      <c r="I230" s="3">
        <v>1</v>
      </c>
      <c r="J230" s="3" t="str">
        <f>IF(AND(tbl_attendance[[#This Row],[R1 Pts]]&gt;0, tbl_attendance[[#This Row],[R2 Pts]]&gt;0,tbl_attendance[[#This Row],[R3 Pts]]&gt;0,tbl_attendance[[#This Row],[R4 Pts]]&gt;0),"YES", "NO")</f>
        <v>NO</v>
      </c>
      <c r="K230" s="3" t="str">
        <f>IF(AND(tbl_attendance[[#This Row],[R2 Pts]]&gt;0, tbl_attendance[[#This Row],[R4 Pts]]&gt;0), "YES", "NO")</f>
        <v>YES</v>
      </c>
      <c r="L230" s="3" t="str">
        <f>IF(
(tbl_attendance[[#This Row],[R1 Pts]]&gt;0)+(tbl_attendance[[#This Row],[R2 Pts]]&gt;0)+(tbl_attendance[[#This Row],[R3 Pts]]&gt;0)+(tbl_attendance[[#This Row],[R4 Pts]]&gt;0)&gt;=3,"YES", "NO")</f>
        <v>YES</v>
      </c>
      <c r="M230" s="3" t="str">
        <f>IF(AND(tbl_attendance[[#This Row],[R1 Pts]]=0, tbl_attendance[[#This Row],[R2 Pts]]=0,tbl_attendance[[#This Row],[R3 Pts]]=0,tbl_attendance[[#This Row],[R4 Pts]]=0),"YES", "NO")</f>
        <v>NO</v>
      </c>
    </row>
    <row r="231" spans="1:13" hidden="1" x14ac:dyDescent="0.4">
      <c r="A231" t="e">
        <f>_xlfn.TEXTBEFORE(#REF!," ",)</f>
        <v>#REF!</v>
      </c>
      <c r="B231" t="e">
        <f>_xlfn.TEXTAFTER(#REF!, " ", -1)</f>
        <v>#REF!</v>
      </c>
      <c r="C231" t="s">
        <v>23</v>
      </c>
      <c r="D231" t="s">
        <v>1</v>
      </c>
      <c r="E231" s="3">
        <v>12067</v>
      </c>
      <c r="F231" s="3">
        <v>23</v>
      </c>
      <c r="G231" s="3">
        <v>21</v>
      </c>
      <c r="H231" s="3">
        <v>0</v>
      </c>
      <c r="I231" s="3">
        <v>0</v>
      </c>
      <c r="J231" s="3" t="str">
        <f>IF(AND(tbl_attendance[[#This Row],[R1 Pts]]&gt;0, tbl_attendance[[#This Row],[R2 Pts]]&gt;0,tbl_attendance[[#This Row],[R3 Pts]]&gt;0,tbl_attendance[[#This Row],[R4 Pts]]&gt;0),"YES", "NO")</f>
        <v>NO</v>
      </c>
      <c r="K231" s="3" t="str">
        <f>IF(AND(tbl_attendance[[#This Row],[R2 Pts]]&gt;0, tbl_attendance[[#This Row],[R4 Pts]]&gt;0), "YES", "NO")</f>
        <v>NO</v>
      </c>
      <c r="L231" s="3" t="str">
        <f>IF(
(tbl_attendance[[#This Row],[R1 Pts]]&gt;0)+(tbl_attendance[[#This Row],[R2 Pts]]&gt;0)+(tbl_attendance[[#This Row],[R3 Pts]]&gt;0)+(tbl_attendance[[#This Row],[R4 Pts]]&gt;0)&gt;=3,"YES", "NO")</f>
        <v>NO</v>
      </c>
      <c r="M231" s="3" t="str">
        <f>IF(AND(tbl_attendance[[#This Row],[R1 Pts]]=0, tbl_attendance[[#This Row],[R2 Pts]]=0,tbl_attendance[[#This Row],[R3 Pts]]=0,tbl_attendance[[#This Row],[R4 Pts]]=0),"YES", "NO")</f>
        <v>NO</v>
      </c>
    </row>
    <row r="232" spans="1:13" hidden="1" x14ac:dyDescent="0.4">
      <c r="A232" t="e">
        <f>_xlfn.TEXTBEFORE(#REF!," ",)</f>
        <v>#REF!</v>
      </c>
      <c r="B232" t="e">
        <f>_xlfn.TEXTAFTER(#REF!, " ", -1)</f>
        <v>#REF!</v>
      </c>
      <c r="C232" t="s">
        <v>23</v>
      </c>
      <c r="D232" t="s">
        <v>1</v>
      </c>
      <c r="E232" s="3">
        <v>12068</v>
      </c>
      <c r="F232" s="3">
        <v>49</v>
      </c>
      <c r="G232" s="3">
        <v>0</v>
      </c>
      <c r="H232" s="3">
        <v>40</v>
      </c>
      <c r="I232" s="3">
        <v>14</v>
      </c>
      <c r="J232" s="3" t="str">
        <f>IF(AND(tbl_attendance[[#This Row],[R1 Pts]]&gt;0, tbl_attendance[[#This Row],[R2 Pts]]&gt;0,tbl_attendance[[#This Row],[R3 Pts]]&gt;0,tbl_attendance[[#This Row],[R4 Pts]]&gt;0),"YES", "NO")</f>
        <v>NO</v>
      </c>
      <c r="K232" s="3" t="str">
        <f>IF(AND(tbl_attendance[[#This Row],[R2 Pts]]&gt;0, tbl_attendance[[#This Row],[R4 Pts]]&gt;0), "YES", "NO")</f>
        <v>NO</v>
      </c>
      <c r="L232" s="3" t="str">
        <f>IF(
(tbl_attendance[[#This Row],[R1 Pts]]&gt;0)+(tbl_attendance[[#This Row],[R2 Pts]]&gt;0)+(tbl_attendance[[#This Row],[R3 Pts]]&gt;0)+(tbl_attendance[[#This Row],[R4 Pts]]&gt;0)&gt;=3,"YES", "NO")</f>
        <v>YES</v>
      </c>
      <c r="M232" s="3" t="str">
        <f>IF(AND(tbl_attendance[[#This Row],[R1 Pts]]=0, tbl_attendance[[#This Row],[R2 Pts]]=0,tbl_attendance[[#This Row],[R3 Pts]]=0,tbl_attendance[[#This Row],[R4 Pts]]=0),"YES", "NO")</f>
        <v>NO</v>
      </c>
    </row>
    <row r="233" spans="1:13" hidden="1" x14ac:dyDescent="0.4">
      <c r="A233" t="e">
        <f>_xlfn.TEXTBEFORE(#REF!," ",)</f>
        <v>#REF!</v>
      </c>
      <c r="B233" t="e">
        <f>_xlfn.TEXTAFTER(#REF!, " ", -1)</f>
        <v>#REF!</v>
      </c>
      <c r="C233" t="s">
        <v>23</v>
      </c>
      <c r="D233" t="s">
        <v>1</v>
      </c>
      <c r="E233" s="3">
        <v>12069</v>
      </c>
      <c r="F233" s="3">
        <v>95</v>
      </c>
      <c r="G233" s="3">
        <v>65</v>
      </c>
      <c r="H233" s="3">
        <v>85</v>
      </c>
      <c r="I233" s="3">
        <v>1</v>
      </c>
      <c r="J233" s="3" t="str">
        <f>IF(AND(tbl_attendance[[#This Row],[R1 Pts]]&gt;0, tbl_attendance[[#This Row],[R2 Pts]]&gt;0,tbl_attendance[[#This Row],[R3 Pts]]&gt;0,tbl_attendance[[#This Row],[R4 Pts]]&gt;0),"YES", "NO")</f>
        <v>YES</v>
      </c>
      <c r="K233" s="3" t="str">
        <f>IF(AND(tbl_attendance[[#This Row],[R2 Pts]]&gt;0, tbl_attendance[[#This Row],[R4 Pts]]&gt;0), "YES", "NO")</f>
        <v>YES</v>
      </c>
      <c r="L233" s="3" t="str">
        <f>IF(
(tbl_attendance[[#This Row],[R1 Pts]]&gt;0)+(tbl_attendance[[#This Row],[R2 Pts]]&gt;0)+(tbl_attendance[[#This Row],[R3 Pts]]&gt;0)+(tbl_attendance[[#This Row],[R4 Pts]]&gt;0)&gt;=3,"YES", "NO")</f>
        <v>YES</v>
      </c>
      <c r="M233" s="3" t="str">
        <f>IF(AND(tbl_attendance[[#This Row],[R1 Pts]]=0, tbl_attendance[[#This Row],[R2 Pts]]=0,tbl_attendance[[#This Row],[R3 Pts]]=0,tbl_attendance[[#This Row],[R4 Pts]]=0),"YES", "NO")</f>
        <v>NO</v>
      </c>
    </row>
    <row r="234" spans="1:13" hidden="1" x14ac:dyDescent="0.4">
      <c r="A234" t="e">
        <f>_xlfn.TEXTBEFORE(#REF!," ",)</f>
        <v>#REF!</v>
      </c>
      <c r="B234" t="e">
        <f>_xlfn.TEXTAFTER(#REF!, " ", -1)</f>
        <v>#REF!</v>
      </c>
      <c r="C234" t="s">
        <v>23</v>
      </c>
      <c r="D234" t="s">
        <v>1</v>
      </c>
      <c r="E234" s="3">
        <v>12070</v>
      </c>
      <c r="F234" s="3">
        <v>53</v>
      </c>
      <c r="G234" s="3">
        <v>43</v>
      </c>
      <c r="H234" s="3">
        <v>53</v>
      </c>
      <c r="I234" s="3">
        <v>53</v>
      </c>
      <c r="J234" s="3" t="str">
        <f>IF(AND(tbl_attendance[[#This Row],[R1 Pts]]&gt;0, tbl_attendance[[#This Row],[R2 Pts]]&gt;0,tbl_attendance[[#This Row],[R3 Pts]]&gt;0,tbl_attendance[[#This Row],[R4 Pts]]&gt;0),"YES", "NO")</f>
        <v>YES</v>
      </c>
      <c r="K234" s="3" t="str">
        <f>IF(AND(tbl_attendance[[#This Row],[R2 Pts]]&gt;0, tbl_attendance[[#This Row],[R4 Pts]]&gt;0), "YES", "NO")</f>
        <v>YES</v>
      </c>
      <c r="L234" s="3" t="str">
        <f>IF(
(tbl_attendance[[#This Row],[R1 Pts]]&gt;0)+(tbl_attendance[[#This Row],[R2 Pts]]&gt;0)+(tbl_attendance[[#This Row],[R3 Pts]]&gt;0)+(tbl_attendance[[#This Row],[R4 Pts]]&gt;0)&gt;=3,"YES", "NO")</f>
        <v>YES</v>
      </c>
      <c r="M234" s="3" t="str">
        <f>IF(AND(tbl_attendance[[#This Row],[R1 Pts]]=0, tbl_attendance[[#This Row],[R2 Pts]]=0,tbl_attendance[[#This Row],[R3 Pts]]=0,tbl_attendance[[#This Row],[R4 Pts]]=0),"YES", "NO")</f>
        <v>NO</v>
      </c>
    </row>
    <row r="235" spans="1:13" hidden="1" x14ac:dyDescent="0.4">
      <c r="A235" t="e">
        <f>_xlfn.TEXTBEFORE(#REF!," ",)</f>
        <v>#REF!</v>
      </c>
      <c r="B235" t="e">
        <f>_xlfn.TEXTAFTER(#REF!, " ", -1)</f>
        <v>#REF!</v>
      </c>
      <c r="C235" t="s">
        <v>23</v>
      </c>
      <c r="D235" t="s">
        <v>1</v>
      </c>
      <c r="E235" s="3">
        <v>12071</v>
      </c>
      <c r="F235" s="3">
        <v>0</v>
      </c>
      <c r="G235" s="3">
        <v>27</v>
      </c>
      <c r="H235" s="3">
        <v>0</v>
      </c>
      <c r="I235" s="3">
        <v>0</v>
      </c>
      <c r="J235" s="3" t="str">
        <f>IF(AND(tbl_attendance[[#This Row],[R1 Pts]]&gt;0, tbl_attendance[[#This Row],[R2 Pts]]&gt;0,tbl_attendance[[#This Row],[R3 Pts]]&gt;0,tbl_attendance[[#This Row],[R4 Pts]]&gt;0),"YES", "NO")</f>
        <v>NO</v>
      </c>
      <c r="K235" s="3" t="str">
        <f>IF(AND(tbl_attendance[[#This Row],[R2 Pts]]&gt;0, tbl_attendance[[#This Row],[R4 Pts]]&gt;0), "YES", "NO")</f>
        <v>NO</v>
      </c>
      <c r="L235" s="3" t="str">
        <f>IF(
(tbl_attendance[[#This Row],[R1 Pts]]&gt;0)+(tbl_attendance[[#This Row],[R2 Pts]]&gt;0)+(tbl_attendance[[#This Row],[R3 Pts]]&gt;0)+(tbl_attendance[[#This Row],[R4 Pts]]&gt;0)&gt;=3,"YES", "NO")</f>
        <v>NO</v>
      </c>
      <c r="M235" s="3" t="str">
        <f>IF(AND(tbl_attendance[[#This Row],[R1 Pts]]=0, tbl_attendance[[#This Row],[R2 Pts]]=0,tbl_attendance[[#This Row],[R3 Pts]]=0,tbl_attendance[[#This Row],[R4 Pts]]=0),"YES", "NO")</f>
        <v>NO</v>
      </c>
    </row>
    <row r="236" spans="1:13" hidden="1" x14ac:dyDescent="0.4">
      <c r="A236" t="e">
        <f>_xlfn.TEXTBEFORE(#REF!," ",)</f>
        <v>#REF!</v>
      </c>
      <c r="B236" t="e">
        <f>_xlfn.TEXTAFTER(#REF!, " ", -1)</f>
        <v>#REF!</v>
      </c>
      <c r="C236" t="s">
        <v>24</v>
      </c>
      <c r="D236" t="s">
        <v>7</v>
      </c>
      <c r="E236" s="3">
        <v>818</v>
      </c>
      <c r="F236" s="3">
        <v>30</v>
      </c>
      <c r="G236" s="3">
        <v>0</v>
      </c>
      <c r="H236" s="3">
        <v>30</v>
      </c>
      <c r="I236" s="3">
        <v>24</v>
      </c>
      <c r="J236" s="3" t="str">
        <f>IF(AND(tbl_attendance[[#This Row],[R1 Pts]]&gt;0, tbl_attendance[[#This Row],[R2 Pts]]&gt;0,tbl_attendance[[#This Row],[R3 Pts]]&gt;0,tbl_attendance[[#This Row],[R4 Pts]]&gt;0),"YES", "NO")</f>
        <v>NO</v>
      </c>
      <c r="K236" s="3" t="str">
        <f>IF(AND(tbl_attendance[[#This Row],[R2 Pts]]&gt;0, tbl_attendance[[#This Row],[R4 Pts]]&gt;0), "YES", "NO")</f>
        <v>NO</v>
      </c>
      <c r="L236" s="3" t="str">
        <f>IF(
(tbl_attendance[[#This Row],[R1 Pts]]&gt;0)+(tbl_attendance[[#This Row],[R2 Pts]]&gt;0)+(tbl_attendance[[#This Row],[R3 Pts]]&gt;0)+(tbl_attendance[[#This Row],[R4 Pts]]&gt;0)&gt;=3,"YES", "NO")</f>
        <v>YES</v>
      </c>
      <c r="M236" s="3" t="str">
        <f>IF(AND(tbl_attendance[[#This Row],[R1 Pts]]=0, tbl_attendance[[#This Row],[R2 Pts]]=0,tbl_attendance[[#This Row],[R3 Pts]]=0,tbl_attendance[[#This Row],[R4 Pts]]=0),"YES", "NO")</f>
        <v>NO</v>
      </c>
    </row>
    <row r="237" spans="1:13" hidden="1" x14ac:dyDescent="0.4">
      <c r="A237" t="e">
        <f>_xlfn.TEXTBEFORE(#REF!," ",)</f>
        <v>#REF!</v>
      </c>
      <c r="B237" t="e">
        <f>_xlfn.TEXTAFTER(#REF!, " ", -1)</f>
        <v>#REF!</v>
      </c>
      <c r="C237" t="s">
        <v>24</v>
      </c>
      <c r="D237" t="s">
        <v>7</v>
      </c>
      <c r="E237" s="3">
        <v>819</v>
      </c>
      <c r="F237" s="3">
        <v>32</v>
      </c>
      <c r="G237" s="3">
        <v>45</v>
      </c>
      <c r="H237" s="3">
        <v>40</v>
      </c>
      <c r="I237" s="3">
        <v>45</v>
      </c>
      <c r="J237" s="3" t="str">
        <f>IF(AND(tbl_attendance[[#This Row],[R1 Pts]]&gt;0, tbl_attendance[[#This Row],[R2 Pts]]&gt;0,tbl_attendance[[#This Row],[R3 Pts]]&gt;0,tbl_attendance[[#This Row],[R4 Pts]]&gt;0),"YES", "NO")</f>
        <v>YES</v>
      </c>
      <c r="K237" s="3" t="str">
        <f>IF(AND(tbl_attendance[[#This Row],[R2 Pts]]&gt;0, tbl_attendance[[#This Row],[R4 Pts]]&gt;0), "YES", "NO")</f>
        <v>YES</v>
      </c>
      <c r="L237" s="3" t="str">
        <f>IF(
(tbl_attendance[[#This Row],[R1 Pts]]&gt;0)+(tbl_attendance[[#This Row],[R2 Pts]]&gt;0)+(tbl_attendance[[#This Row],[R3 Pts]]&gt;0)+(tbl_attendance[[#This Row],[R4 Pts]]&gt;0)&gt;=3,"YES", "NO")</f>
        <v>YES</v>
      </c>
      <c r="M237" s="3" t="str">
        <f>IF(AND(tbl_attendance[[#This Row],[R1 Pts]]=0, tbl_attendance[[#This Row],[R2 Pts]]=0,tbl_attendance[[#This Row],[R3 Pts]]=0,tbl_attendance[[#This Row],[R4 Pts]]=0),"YES", "NO")</f>
        <v>NO</v>
      </c>
    </row>
    <row r="238" spans="1:13" hidden="1" x14ac:dyDescent="0.4">
      <c r="A238" t="e">
        <f>_xlfn.TEXTBEFORE(#REF!," ",)</f>
        <v>#REF!</v>
      </c>
      <c r="B238" t="e">
        <f>_xlfn.TEXTAFTER(#REF!, " ", -1)</f>
        <v>#REF!</v>
      </c>
      <c r="C238" t="s">
        <v>24</v>
      </c>
      <c r="D238" t="s">
        <v>3</v>
      </c>
      <c r="E238" s="3">
        <v>10187</v>
      </c>
      <c r="F238" s="3">
        <v>24</v>
      </c>
      <c r="G238" s="3">
        <v>16</v>
      </c>
      <c r="H238" s="3">
        <v>25</v>
      </c>
      <c r="I238" s="3">
        <v>13</v>
      </c>
      <c r="J238" s="3" t="str">
        <f>IF(AND(tbl_attendance[[#This Row],[R1 Pts]]&gt;0, tbl_attendance[[#This Row],[R2 Pts]]&gt;0,tbl_attendance[[#This Row],[R3 Pts]]&gt;0,tbl_attendance[[#This Row],[R4 Pts]]&gt;0),"YES", "NO")</f>
        <v>YES</v>
      </c>
      <c r="K238" s="3" t="str">
        <f>IF(AND(tbl_attendance[[#This Row],[R2 Pts]]&gt;0, tbl_attendance[[#This Row],[R4 Pts]]&gt;0), "YES", "NO")</f>
        <v>YES</v>
      </c>
      <c r="L238" s="3" t="str">
        <f>IF(
(tbl_attendance[[#This Row],[R1 Pts]]&gt;0)+(tbl_attendance[[#This Row],[R2 Pts]]&gt;0)+(tbl_attendance[[#This Row],[R3 Pts]]&gt;0)+(tbl_attendance[[#This Row],[R4 Pts]]&gt;0)&gt;=3,"YES", "NO")</f>
        <v>YES</v>
      </c>
      <c r="M238" s="3" t="str">
        <f>IF(AND(tbl_attendance[[#This Row],[R1 Pts]]=0, tbl_attendance[[#This Row],[R2 Pts]]=0,tbl_attendance[[#This Row],[R3 Pts]]=0,tbl_attendance[[#This Row],[R4 Pts]]=0),"YES", "NO")</f>
        <v>NO</v>
      </c>
    </row>
    <row r="239" spans="1:13" hidden="1" x14ac:dyDescent="0.4">
      <c r="A239" t="e">
        <f>_xlfn.TEXTBEFORE(#REF!," ",)</f>
        <v>#REF!</v>
      </c>
      <c r="B239" t="e">
        <f>_xlfn.TEXTAFTER(#REF!, " ", -1)</f>
        <v>#REF!</v>
      </c>
      <c r="C239" t="s">
        <v>24</v>
      </c>
      <c r="D239" t="s">
        <v>1</v>
      </c>
      <c r="E239" s="3">
        <v>12072</v>
      </c>
      <c r="F239" s="3">
        <v>0</v>
      </c>
      <c r="G239" s="3">
        <v>0</v>
      </c>
      <c r="H239" s="3">
        <v>0</v>
      </c>
      <c r="I239" s="3">
        <v>0</v>
      </c>
      <c r="J239" s="3" t="str">
        <f>IF(AND(tbl_attendance[[#This Row],[R1 Pts]]&gt;0, tbl_attendance[[#This Row],[R2 Pts]]&gt;0,tbl_attendance[[#This Row],[R3 Pts]]&gt;0,tbl_attendance[[#This Row],[R4 Pts]]&gt;0),"YES", "NO")</f>
        <v>NO</v>
      </c>
      <c r="K239" s="3" t="str">
        <f>IF(AND(tbl_attendance[[#This Row],[R2 Pts]]&gt;0, tbl_attendance[[#This Row],[R4 Pts]]&gt;0), "YES", "NO")</f>
        <v>NO</v>
      </c>
      <c r="L239" s="3" t="str">
        <f>IF(
(tbl_attendance[[#This Row],[R1 Pts]]&gt;0)+(tbl_attendance[[#This Row],[R2 Pts]]&gt;0)+(tbl_attendance[[#This Row],[R3 Pts]]&gt;0)+(tbl_attendance[[#This Row],[R4 Pts]]&gt;0)&gt;=3,"YES", "NO")</f>
        <v>NO</v>
      </c>
      <c r="M239" s="3" t="str">
        <f>IF(AND(tbl_attendance[[#This Row],[R1 Pts]]=0, tbl_attendance[[#This Row],[R2 Pts]]=0,tbl_attendance[[#This Row],[R3 Pts]]=0,tbl_attendance[[#This Row],[R4 Pts]]=0),"YES", "NO")</f>
        <v>YES</v>
      </c>
    </row>
    <row r="240" spans="1:13" hidden="1" x14ac:dyDescent="0.4">
      <c r="A240" t="e">
        <f>_xlfn.TEXTBEFORE(#REF!," ",)</f>
        <v>#REF!</v>
      </c>
      <c r="B240" t="e">
        <f>_xlfn.TEXTAFTER(#REF!, " ", -1)</f>
        <v>#REF!</v>
      </c>
      <c r="C240" t="s">
        <v>24</v>
      </c>
      <c r="D240" t="s">
        <v>1</v>
      </c>
      <c r="E240" s="3">
        <v>12073</v>
      </c>
      <c r="F240" s="3">
        <v>0</v>
      </c>
      <c r="G240" s="3">
        <v>30</v>
      </c>
      <c r="H240" s="3">
        <v>0</v>
      </c>
      <c r="I240" s="3">
        <v>0</v>
      </c>
      <c r="J240" s="3" t="str">
        <f>IF(AND(tbl_attendance[[#This Row],[R1 Pts]]&gt;0, tbl_attendance[[#This Row],[R2 Pts]]&gt;0,tbl_attendance[[#This Row],[R3 Pts]]&gt;0,tbl_attendance[[#This Row],[R4 Pts]]&gt;0),"YES", "NO")</f>
        <v>NO</v>
      </c>
      <c r="K240" s="3" t="str">
        <f>IF(AND(tbl_attendance[[#This Row],[R2 Pts]]&gt;0, tbl_attendance[[#This Row],[R4 Pts]]&gt;0), "YES", "NO")</f>
        <v>NO</v>
      </c>
      <c r="L240" s="3" t="str">
        <f>IF(
(tbl_attendance[[#This Row],[R1 Pts]]&gt;0)+(tbl_attendance[[#This Row],[R2 Pts]]&gt;0)+(tbl_attendance[[#This Row],[R3 Pts]]&gt;0)+(tbl_attendance[[#This Row],[R4 Pts]]&gt;0)&gt;=3,"YES", "NO")</f>
        <v>NO</v>
      </c>
      <c r="M240" s="3" t="str">
        <f>IF(AND(tbl_attendance[[#This Row],[R1 Pts]]=0, tbl_attendance[[#This Row],[R2 Pts]]=0,tbl_attendance[[#This Row],[R3 Pts]]=0,tbl_attendance[[#This Row],[R4 Pts]]=0),"YES", "NO")</f>
        <v>NO</v>
      </c>
    </row>
    <row r="241" spans="1:13" hidden="1" x14ac:dyDescent="0.4">
      <c r="A241" t="e">
        <f>_xlfn.TEXTBEFORE(#REF!," ",)</f>
        <v>#REF!</v>
      </c>
      <c r="B241" t="e">
        <f>_xlfn.TEXTAFTER(#REF!, " ", -1)</f>
        <v>#REF!</v>
      </c>
      <c r="C241" t="s">
        <v>24</v>
      </c>
      <c r="D241" t="s">
        <v>1</v>
      </c>
      <c r="E241" s="3">
        <v>12074</v>
      </c>
      <c r="F241" s="3">
        <v>0</v>
      </c>
      <c r="G241" s="3">
        <v>0</v>
      </c>
      <c r="H241" s="3">
        <v>0</v>
      </c>
      <c r="I241" s="3">
        <v>1</v>
      </c>
      <c r="J241" s="3" t="str">
        <f>IF(AND(tbl_attendance[[#This Row],[R1 Pts]]&gt;0, tbl_attendance[[#This Row],[R2 Pts]]&gt;0,tbl_attendance[[#This Row],[R3 Pts]]&gt;0,tbl_attendance[[#This Row],[R4 Pts]]&gt;0),"YES", "NO")</f>
        <v>NO</v>
      </c>
      <c r="K241" s="3" t="str">
        <f>IF(AND(tbl_attendance[[#This Row],[R2 Pts]]&gt;0, tbl_attendance[[#This Row],[R4 Pts]]&gt;0), "YES", "NO")</f>
        <v>NO</v>
      </c>
      <c r="L241" s="3" t="str">
        <f>IF(
(tbl_attendance[[#This Row],[R1 Pts]]&gt;0)+(tbl_attendance[[#This Row],[R2 Pts]]&gt;0)+(tbl_attendance[[#This Row],[R3 Pts]]&gt;0)+(tbl_attendance[[#This Row],[R4 Pts]]&gt;0)&gt;=3,"YES", "NO")</f>
        <v>NO</v>
      </c>
      <c r="M241" s="3" t="str">
        <f>IF(AND(tbl_attendance[[#This Row],[R1 Pts]]=0, tbl_attendance[[#This Row],[R2 Pts]]=0,tbl_attendance[[#This Row],[R3 Pts]]=0,tbl_attendance[[#This Row],[R4 Pts]]=0),"YES", "NO")</f>
        <v>NO</v>
      </c>
    </row>
    <row r="242" spans="1:13" hidden="1" x14ac:dyDescent="0.4">
      <c r="A242" t="e">
        <f>_xlfn.TEXTBEFORE(#REF!," ",)</f>
        <v>#REF!</v>
      </c>
      <c r="B242" t="e">
        <f>_xlfn.TEXTAFTER(#REF!, " ", -1)</f>
        <v>#REF!</v>
      </c>
      <c r="C242" t="s">
        <v>25</v>
      </c>
      <c r="D242" t="s">
        <v>8</v>
      </c>
      <c r="E242" s="3">
        <v>865</v>
      </c>
      <c r="F242" s="3">
        <v>100</v>
      </c>
      <c r="G242" s="3">
        <v>0</v>
      </c>
      <c r="H242" s="3">
        <v>0</v>
      </c>
      <c r="I242" s="3">
        <v>0</v>
      </c>
      <c r="J242" s="3" t="str">
        <f>IF(AND(tbl_attendance[[#This Row],[R1 Pts]]&gt;0, tbl_attendance[[#This Row],[R2 Pts]]&gt;0,tbl_attendance[[#This Row],[R3 Pts]]&gt;0,tbl_attendance[[#This Row],[R4 Pts]]&gt;0),"YES", "NO")</f>
        <v>NO</v>
      </c>
      <c r="K242" s="3" t="str">
        <f>IF(AND(tbl_attendance[[#This Row],[R2 Pts]]&gt;0, tbl_attendance[[#This Row],[R4 Pts]]&gt;0), "YES", "NO")</f>
        <v>NO</v>
      </c>
      <c r="L242" s="3" t="str">
        <f>IF(
(tbl_attendance[[#This Row],[R1 Pts]]&gt;0)+(tbl_attendance[[#This Row],[R2 Pts]]&gt;0)+(tbl_attendance[[#This Row],[R3 Pts]]&gt;0)+(tbl_attendance[[#This Row],[R4 Pts]]&gt;0)&gt;=3,"YES", "NO")</f>
        <v>NO</v>
      </c>
      <c r="M242" s="3" t="str">
        <f>IF(AND(tbl_attendance[[#This Row],[R1 Pts]]=0, tbl_attendance[[#This Row],[R2 Pts]]=0,tbl_attendance[[#This Row],[R3 Pts]]=0,tbl_attendance[[#This Row],[R4 Pts]]=0),"YES", "NO")</f>
        <v>NO</v>
      </c>
    </row>
    <row r="243" spans="1:13" hidden="1" x14ac:dyDescent="0.4">
      <c r="A243" t="e">
        <f>_xlfn.TEXTBEFORE(#REF!," ",)</f>
        <v>#REF!</v>
      </c>
      <c r="B243" t="e">
        <f>_xlfn.TEXTAFTER(#REF!, " ", -1)</f>
        <v>#REF!</v>
      </c>
      <c r="C243" t="s">
        <v>25</v>
      </c>
      <c r="D243" t="s">
        <v>5</v>
      </c>
      <c r="E243" s="3">
        <v>929</v>
      </c>
      <c r="F243" s="3">
        <v>0</v>
      </c>
      <c r="G243" s="3">
        <v>29</v>
      </c>
      <c r="H243" s="3">
        <v>0</v>
      </c>
      <c r="I243" s="3">
        <v>32</v>
      </c>
      <c r="J243" s="3" t="str">
        <f>IF(AND(tbl_attendance[[#This Row],[R1 Pts]]&gt;0, tbl_attendance[[#This Row],[R2 Pts]]&gt;0,tbl_attendance[[#This Row],[R3 Pts]]&gt;0,tbl_attendance[[#This Row],[R4 Pts]]&gt;0),"YES", "NO")</f>
        <v>NO</v>
      </c>
      <c r="K243" s="3" t="str">
        <f>IF(AND(tbl_attendance[[#This Row],[R2 Pts]]&gt;0, tbl_attendance[[#This Row],[R4 Pts]]&gt;0), "YES", "NO")</f>
        <v>YES</v>
      </c>
      <c r="L243" s="3" t="str">
        <f>IF(
(tbl_attendance[[#This Row],[R1 Pts]]&gt;0)+(tbl_attendance[[#This Row],[R2 Pts]]&gt;0)+(tbl_attendance[[#This Row],[R3 Pts]]&gt;0)+(tbl_attendance[[#This Row],[R4 Pts]]&gt;0)&gt;=3,"YES", "NO")</f>
        <v>NO</v>
      </c>
      <c r="M243" s="3" t="str">
        <f>IF(AND(tbl_attendance[[#This Row],[R1 Pts]]=0, tbl_attendance[[#This Row],[R2 Pts]]=0,tbl_attendance[[#This Row],[R3 Pts]]=0,tbl_attendance[[#This Row],[R4 Pts]]=0),"YES", "NO")</f>
        <v>NO</v>
      </c>
    </row>
    <row r="244" spans="1:13" hidden="1" x14ac:dyDescent="0.4">
      <c r="A244" t="e">
        <f>_xlfn.TEXTBEFORE(#REF!," ",)</f>
        <v>#REF!</v>
      </c>
      <c r="B244" t="e">
        <f>_xlfn.TEXTAFTER(#REF!, " ", -1)</f>
        <v>#REF!</v>
      </c>
      <c r="C244" t="s">
        <v>25</v>
      </c>
      <c r="D244" t="s">
        <v>5</v>
      </c>
      <c r="E244" s="3">
        <v>930</v>
      </c>
      <c r="F244" s="3">
        <v>22</v>
      </c>
      <c r="G244" s="3">
        <v>23</v>
      </c>
      <c r="H244" s="3">
        <v>0</v>
      </c>
      <c r="I244" s="3">
        <v>17</v>
      </c>
      <c r="J244" s="3" t="str">
        <f>IF(AND(tbl_attendance[[#This Row],[R1 Pts]]&gt;0, tbl_attendance[[#This Row],[R2 Pts]]&gt;0,tbl_attendance[[#This Row],[R3 Pts]]&gt;0,tbl_attendance[[#This Row],[R4 Pts]]&gt;0),"YES", "NO")</f>
        <v>NO</v>
      </c>
      <c r="K244" s="3" t="str">
        <f>IF(AND(tbl_attendance[[#This Row],[R2 Pts]]&gt;0, tbl_attendance[[#This Row],[R4 Pts]]&gt;0), "YES", "NO")</f>
        <v>YES</v>
      </c>
      <c r="L244" s="3" t="str">
        <f>IF(
(tbl_attendance[[#This Row],[R1 Pts]]&gt;0)+(tbl_attendance[[#This Row],[R2 Pts]]&gt;0)+(tbl_attendance[[#This Row],[R3 Pts]]&gt;0)+(tbl_attendance[[#This Row],[R4 Pts]]&gt;0)&gt;=3,"YES", "NO")</f>
        <v>YES</v>
      </c>
      <c r="M244" s="3" t="str">
        <f>IF(AND(tbl_attendance[[#This Row],[R1 Pts]]=0, tbl_attendance[[#This Row],[R2 Pts]]=0,tbl_attendance[[#This Row],[R3 Pts]]=0,tbl_attendance[[#This Row],[R4 Pts]]=0),"YES", "NO")</f>
        <v>NO</v>
      </c>
    </row>
    <row r="245" spans="1:13" hidden="1" x14ac:dyDescent="0.4">
      <c r="A245" t="e">
        <f>_xlfn.TEXTBEFORE(#REF!," ",)</f>
        <v>#REF!</v>
      </c>
      <c r="B245" t="e">
        <f>_xlfn.TEXTAFTER(#REF!, " ", -1)</f>
        <v>#REF!</v>
      </c>
      <c r="C245" t="s">
        <v>25</v>
      </c>
      <c r="D245" t="s">
        <v>5</v>
      </c>
      <c r="E245" s="3">
        <v>931</v>
      </c>
      <c r="F245" s="3">
        <v>0</v>
      </c>
      <c r="G245" s="3">
        <v>33</v>
      </c>
      <c r="H245" s="3">
        <v>0</v>
      </c>
      <c r="I245" s="3">
        <v>31</v>
      </c>
      <c r="J245" s="3" t="str">
        <f>IF(AND(tbl_attendance[[#This Row],[R1 Pts]]&gt;0, tbl_attendance[[#This Row],[R2 Pts]]&gt;0,tbl_attendance[[#This Row],[R3 Pts]]&gt;0,tbl_attendance[[#This Row],[R4 Pts]]&gt;0),"YES", "NO")</f>
        <v>NO</v>
      </c>
      <c r="K245" s="3" t="str">
        <f>IF(AND(tbl_attendance[[#This Row],[R2 Pts]]&gt;0, tbl_attendance[[#This Row],[R4 Pts]]&gt;0), "YES", "NO")</f>
        <v>YES</v>
      </c>
      <c r="L245" s="3" t="str">
        <f>IF(
(tbl_attendance[[#This Row],[R1 Pts]]&gt;0)+(tbl_attendance[[#This Row],[R2 Pts]]&gt;0)+(tbl_attendance[[#This Row],[R3 Pts]]&gt;0)+(tbl_attendance[[#This Row],[R4 Pts]]&gt;0)&gt;=3,"YES", "NO")</f>
        <v>NO</v>
      </c>
      <c r="M245" s="3" t="str">
        <f>IF(AND(tbl_attendance[[#This Row],[R1 Pts]]=0, tbl_attendance[[#This Row],[R2 Pts]]=0,tbl_attendance[[#This Row],[R3 Pts]]=0,tbl_attendance[[#This Row],[R4 Pts]]=0),"YES", "NO")</f>
        <v>NO</v>
      </c>
    </row>
    <row r="246" spans="1:13" hidden="1" x14ac:dyDescent="0.4">
      <c r="A246" t="e">
        <f>_xlfn.TEXTBEFORE(#REF!," ",)</f>
        <v>#REF!</v>
      </c>
      <c r="B246" t="e">
        <f>_xlfn.TEXTAFTER(#REF!, " ", -1)</f>
        <v>#REF!</v>
      </c>
      <c r="C246" t="s">
        <v>25</v>
      </c>
      <c r="D246" t="s">
        <v>5</v>
      </c>
      <c r="E246" s="3">
        <v>932</v>
      </c>
      <c r="F246" s="3">
        <v>24</v>
      </c>
      <c r="G246" s="3">
        <v>31</v>
      </c>
      <c r="H246" s="3">
        <v>0</v>
      </c>
      <c r="I246" s="3">
        <v>27</v>
      </c>
      <c r="J246" s="3" t="str">
        <f>IF(AND(tbl_attendance[[#This Row],[R1 Pts]]&gt;0, tbl_attendance[[#This Row],[R2 Pts]]&gt;0,tbl_attendance[[#This Row],[R3 Pts]]&gt;0,tbl_attendance[[#This Row],[R4 Pts]]&gt;0),"YES", "NO")</f>
        <v>NO</v>
      </c>
      <c r="K246" s="3" t="str">
        <f>IF(AND(tbl_attendance[[#This Row],[R2 Pts]]&gt;0, tbl_attendance[[#This Row],[R4 Pts]]&gt;0), "YES", "NO")</f>
        <v>YES</v>
      </c>
      <c r="L246" s="3" t="str">
        <f>IF(
(tbl_attendance[[#This Row],[R1 Pts]]&gt;0)+(tbl_attendance[[#This Row],[R2 Pts]]&gt;0)+(tbl_attendance[[#This Row],[R3 Pts]]&gt;0)+(tbl_attendance[[#This Row],[R4 Pts]]&gt;0)&gt;=3,"YES", "NO")</f>
        <v>YES</v>
      </c>
      <c r="M246" s="3" t="str">
        <f>IF(AND(tbl_attendance[[#This Row],[R1 Pts]]=0, tbl_attendance[[#This Row],[R2 Pts]]=0,tbl_attendance[[#This Row],[R3 Pts]]=0,tbl_attendance[[#This Row],[R4 Pts]]=0),"YES", "NO")</f>
        <v>NO</v>
      </c>
    </row>
    <row r="247" spans="1:13" hidden="1" x14ac:dyDescent="0.4">
      <c r="A247" t="e">
        <f>_xlfn.TEXTBEFORE(#REF!," ",)</f>
        <v>#REF!</v>
      </c>
      <c r="B247" t="e">
        <f>_xlfn.TEXTAFTER(#REF!, " ", -1)</f>
        <v>#REF!</v>
      </c>
      <c r="C247" t="s">
        <v>25</v>
      </c>
      <c r="D247" t="s">
        <v>5</v>
      </c>
      <c r="E247" s="3">
        <v>933</v>
      </c>
      <c r="F247" s="3">
        <v>70</v>
      </c>
      <c r="G247" s="3">
        <v>70</v>
      </c>
      <c r="H247" s="3">
        <v>0</v>
      </c>
      <c r="I247" s="3">
        <v>42</v>
      </c>
      <c r="J247" s="3" t="str">
        <f>IF(AND(tbl_attendance[[#This Row],[R1 Pts]]&gt;0, tbl_attendance[[#This Row],[R2 Pts]]&gt;0,tbl_attendance[[#This Row],[R3 Pts]]&gt;0,tbl_attendance[[#This Row],[R4 Pts]]&gt;0),"YES", "NO")</f>
        <v>NO</v>
      </c>
      <c r="K247" s="3" t="str">
        <f>IF(AND(tbl_attendance[[#This Row],[R2 Pts]]&gt;0, tbl_attendance[[#This Row],[R4 Pts]]&gt;0), "YES", "NO")</f>
        <v>YES</v>
      </c>
      <c r="L247" s="3" t="str">
        <f>IF(
(tbl_attendance[[#This Row],[R1 Pts]]&gt;0)+(tbl_attendance[[#This Row],[R2 Pts]]&gt;0)+(tbl_attendance[[#This Row],[R3 Pts]]&gt;0)+(tbl_attendance[[#This Row],[R4 Pts]]&gt;0)&gt;=3,"YES", "NO")</f>
        <v>YES</v>
      </c>
      <c r="M247" s="3" t="str">
        <f>IF(AND(tbl_attendance[[#This Row],[R1 Pts]]=0, tbl_attendance[[#This Row],[R2 Pts]]=0,tbl_attendance[[#This Row],[R3 Pts]]=0,tbl_attendance[[#This Row],[R4 Pts]]=0),"YES", "NO")</f>
        <v>NO</v>
      </c>
    </row>
    <row r="248" spans="1:13" hidden="1" x14ac:dyDescent="0.4">
      <c r="A248" t="e">
        <f>_xlfn.TEXTBEFORE(#REF!," ",)</f>
        <v>#REF!</v>
      </c>
      <c r="B248" t="e">
        <f>_xlfn.TEXTAFTER(#REF!, " ", -1)</f>
        <v>#REF!</v>
      </c>
      <c r="C248" t="s">
        <v>25</v>
      </c>
      <c r="D248" t="s">
        <v>5</v>
      </c>
      <c r="E248" s="3">
        <v>934</v>
      </c>
      <c r="F248" s="3">
        <v>65</v>
      </c>
      <c r="G248" s="3">
        <v>85</v>
      </c>
      <c r="H248" s="3">
        <v>80</v>
      </c>
      <c r="I248" s="3">
        <v>75</v>
      </c>
      <c r="J248" s="3" t="str">
        <f>IF(AND(tbl_attendance[[#This Row],[R1 Pts]]&gt;0, tbl_attendance[[#This Row],[R2 Pts]]&gt;0,tbl_attendance[[#This Row],[R3 Pts]]&gt;0,tbl_attendance[[#This Row],[R4 Pts]]&gt;0),"YES", "NO")</f>
        <v>YES</v>
      </c>
      <c r="K248" s="3" t="str">
        <f>IF(AND(tbl_attendance[[#This Row],[R2 Pts]]&gt;0, tbl_attendance[[#This Row],[R4 Pts]]&gt;0), "YES", "NO")</f>
        <v>YES</v>
      </c>
      <c r="L248" s="3" t="str">
        <f>IF(
(tbl_attendance[[#This Row],[R1 Pts]]&gt;0)+(tbl_attendance[[#This Row],[R2 Pts]]&gt;0)+(tbl_attendance[[#This Row],[R3 Pts]]&gt;0)+(tbl_attendance[[#This Row],[R4 Pts]]&gt;0)&gt;=3,"YES", "NO")</f>
        <v>YES</v>
      </c>
      <c r="M248" s="3" t="str">
        <f>IF(AND(tbl_attendance[[#This Row],[R1 Pts]]=0, tbl_attendance[[#This Row],[R2 Pts]]=0,tbl_attendance[[#This Row],[R3 Pts]]=0,tbl_attendance[[#This Row],[R4 Pts]]=0),"YES", "NO")</f>
        <v>NO</v>
      </c>
    </row>
    <row r="249" spans="1:13" hidden="1" x14ac:dyDescent="0.4">
      <c r="A249" t="e">
        <f>_xlfn.TEXTBEFORE(#REF!," ",)</f>
        <v>#REF!</v>
      </c>
      <c r="B249" t="e">
        <f>_xlfn.TEXTAFTER(#REF!, " ", -1)</f>
        <v>#REF!</v>
      </c>
      <c r="C249" t="s">
        <v>25</v>
      </c>
      <c r="D249" t="s">
        <v>5</v>
      </c>
      <c r="E249" s="3">
        <v>935</v>
      </c>
      <c r="F249" s="3">
        <v>38</v>
      </c>
      <c r="G249" s="3">
        <v>40</v>
      </c>
      <c r="H249" s="3">
        <v>0</v>
      </c>
      <c r="I249" s="3">
        <v>40</v>
      </c>
      <c r="J249" s="3" t="str">
        <f>IF(AND(tbl_attendance[[#This Row],[R1 Pts]]&gt;0, tbl_attendance[[#This Row],[R2 Pts]]&gt;0,tbl_attendance[[#This Row],[R3 Pts]]&gt;0,tbl_attendance[[#This Row],[R4 Pts]]&gt;0),"YES", "NO")</f>
        <v>NO</v>
      </c>
      <c r="K249" s="3" t="str">
        <f>IF(AND(tbl_attendance[[#This Row],[R2 Pts]]&gt;0, tbl_attendance[[#This Row],[R4 Pts]]&gt;0), "YES", "NO")</f>
        <v>YES</v>
      </c>
      <c r="L249" s="3" t="str">
        <f>IF(
(tbl_attendance[[#This Row],[R1 Pts]]&gt;0)+(tbl_attendance[[#This Row],[R2 Pts]]&gt;0)+(tbl_attendance[[#This Row],[R3 Pts]]&gt;0)+(tbl_attendance[[#This Row],[R4 Pts]]&gt;0)&gt;=3,"YES", "NO")</f>
        <v>YES</v>
      </c>
      <c r="M249" s="3" t="str">
        <f>IF(AND(tbl_attendance[[#This Row],[R1 Pts]]=0, tbl_attendance[[#This Row],[R2 Pts]]=0,tbl_attendance[[#This Row],[R3 Pts]]=0,tbl_attendance[[#This Row],[R4 Pts]]=0),"YES", "NO")</f>
        <v>NO</v>
      </c>
    </row>
    <row r="250" spans="1:13" hidden="1" x14ac:dyDescent="0.4">
      <c r="A250" t="e">
        <f>_xlfn.TEXTBEFORE(#REF!," ",)</f>
        <v>#REF!</v>
      </c>
      <c r="B250" t="e">
        <f>_xlfn.TEXTAFTER(#REF!, " ", -1)</f>
        <v>#REF!</v>
      </c>
      <c r="C250" t="s">
        <v>25</v>
      </c>
      <c r="D250" t="s">
        <v>5</v>
      </c>
      <c r="E250" s="3">
        <v>936</v>
      </c>
      <c r="F250" s="3">
        <v>0</v>
      </c>
      <c r="G250" s="3">
        <v>0</v>
      </c>
      <c r="H250" s="3">
        <v>0</v>
      </c>
      <c r="I250" s="3">
        <v>0</v>
      </c>
      <c r="J250" s="3" t="str">
        <f>IF(AND(tbl_attendance[[#This Row],[R1 Pts]]&gt;0, tbl_attendance[[#This Row],[R2 Pts]]&gt;0,tbl_attendance[[#This Row],[R3 Pts]]&gt;0,tbl_attendance[[#This Row],[R4 Pts]]&gt;0),"YES", "NO")</f>
        <v>NO</v>
      </c>
      <c r="K250" s="3" t="str">
        <f>IF(AND(tbl_attendance[[#This Row],[R2 Pts]]&gt;0, tbl_attendance[[#This Row],[R4 Pts]]&gt;0), "YES", "NO")</f>
        <v>NO</v>
      </c>
      <c r="L250" s="3" t="str">
        <f>IF(
(tbl_attendance[[#This Row],[R1 Pts]]&gt;0)+(tbl_attendance[[#This Row],[R2 Pts]]&gt;0)+(tbl_attendance[[#This Row],[R3 Pts]]&gt;0)+(tbl_attendance[[#This Row],[R4 Pts]]&gt;0)&gt;=3,"YES", "NO")</f>
        <v>NO</v>
      </c>
      <c r="M250" s="3" t="str">
        <f>IF(AND(tbl_attendance[[#This Row],[R1 Pts]]=0, tbl_attendance[[#This Row],[R2 Pts]]=0,tbl_attendance[[#This Row],[R3 Pts]]=0,tbl_attendance[[#This Row],[R4 Pts]]=0),"YES", "NO")</f>
        <v>YES</v>
      </c>
    </row>
    <row r="251" spans="1:13" hidden="1" x14ac:dyDescent="0.4">
      <c r="A251" t="e">
        <f>_xlfn.TEXTBEFORE(#REF!," ",)</f>
        <v>#REF!</v>
      </c>
      <c r="B251" t="e">
        <f>_xlfn.TEXTAFTER(#REF!, " ", -1)</f>
        <v>#REF!</v>
      </c>
      <c r="C251" t="s">
        <v>25</v>
      </c>
      <c r="D251" t="s">
        <v>5</v>
      </c>
      <c r="E251" s="3">
        <v>937</v>
      </c>
      <c r="F251" s="3">
        <v>30</v>
      </c>
      <c r="G251" s="3">
        <v>36</v>
      </c>
      <c r="H251" s="3">
        <v>0</v>
      </c>
      <c r="I251" s="3">
        <v>33</v>
      </c>
      <c r="J251" s="3" t="str">
        <f>IF(AND(tbl_attendance[[#This Row],[R1 Pts]]&gt;0, tbl_attendance[[#This Row],[R2 Pts]]&gt;0,tbl_attendance[[#This Row],[R3 Pts]]&gt;0,tbl_attendance[[#This Row],[R4 Pts]]&gt;0),"YES", "NO")</f>
        <v>NO</v>
      </c>
      <c r="K251" s="3" t="str">
        <f>IF(AND(tbl_attendance[[#This Row],[R2 Pts]]&gt;0, tbl_attendance[[#This Row],[R4 Pts]]&gt;0), "YES", "NO")</f>
        <v>YES</v>
      </c>
      <c r="L251" s="3" t="str">
        <f>IF(
(tbl_attendance[[#This Row],[R1 Pts]]&gt;0)+(tbl_attendance[[#This Row],[R2 Pts]]&gt;0)+(tbl_attendance[[#This Row],[R3 Pts]]&gt;0)+(tbl_attendance[[#This Row],[R4 Pts]]&gt;0)&gt;=3,"YES", "NO")</f>
        <v>YES</v>
      </c>
      <c r="M251" s="3" t="str">
        <f>IF(AND(tbl_attendance[[#This Row],[R1 Pts]]=0, tbl_attendance[[#This Row],[R2 Pts]]=0,tbl_attendance[[#This Row],[R3 Pts]]=0,tbl_attendance[[#This Row],[R4 Pts]]=0),"YES", "NO")</f>
        <v>NO</v>
      </c>
    </row>
    <row r="252" spans="1:13" hidden="1" x14ac:dyDescent="0.4">
      <c r="A252" t="e">
        <f>_xlfn.TEXTBEFORE(#REF!," ",)</f>
        <v>#REF!</v>
      </c>
      <c r="B252" t="e">
        <f>_xlfn.TEXTAFTER(#REF!, " ", -1)</f>
        <v>#REF!</v>
      </c>
      <c r="C252" t="s">
        <v>25</v>
      </c>
      <c r="D252" t="s">
        <v>5</v>
      </c>
      <c r="E252" s="3">
        <v>938</v>
      </c>
      <c r="F252" s="3">
        <v>80</v>
      </c>
      <c r="G252" s="3">
        <v>51</v>
      </c>
      <c r="H252" s="3">
        <v>75</v>
      </c>
      <c r="I252" s="3">
        <v>44</v>
      </c>
      <c r="J252" s="3" t="str">
        <f>IF(AND(tbl_attendance[[#This Row],[R1 Pts]]&gt;0, tbl_attendance[[#This Row],[R2 Pts]]&gt;0,tbl_attendance[[#This Row],[R3 Pts]]&gt;0,tbl_attendance[[#This Row],[R4 Pts]]&gt;0),"YES", "NO")</f>
        <v>YES</v>
      </c>
      <c r="K252" s="3" t="str">
        <f>IF(AND(tbl_attendance[[#This Row],[R2 Pts]]&gt;0, tbl_attendance[[#This Row],[R4 Pts]]&gt;0), "YES", "NO")</f>
        <v>YES</v>
      </c>
      <c r="L252" s="3" t="str">
        <f>IF(
(tbl_attendance[[#This Row],[R1 Pts]]&gt;0)+(tbl_attendance[[#This Row],[R2 Pts]]&gt;0)+(tbl_attendance[[#This Row],[R3 Pts]]&gt;0)+(tbl_attendance[[#This Row],[R4 Pts]]&gt;0)&gt;=3,"YES", "NO")</f>
        <v>YES</v>
      </c>
      <c r="M252" s="3" t="str">
        <f>IF(AND(tbl_attendance[[#This Row],[R1 Pts]]=0, tbl_attendance[[#This Row],[R2 Pts]]=0,tbl_attendance[[#This Row],[R3 Pts]]=0,tbl_attendance[[#This Row],[R4 Pts]]=0),"YES", "NO")</f>
        <v>NO</v>
      </c>
    </row>
    <row r="253" spans="1:13" hidden="1" x14ac:dyDescent="0.4">
      <c r="A253" t="e">
        <f>_xlfn.TEXTBEFORE(#REF!," ",)</f>
        <v>#REF!</v>
      </c>
      <c r="B253" t="e">
        <f>_xlfn.TEXTAFTER(#REF!, " ", -1)</f>
        <v>#REF!</v>
      </c>
      <c r="C253" t="s">
        <v>25</v>
      </c>
      <c r="D253" t="s">
        <v>5</v>
      </c>
      <c r="E253" s="3">
        <v>941</v>
      </c>
      <c r="F253" s="3">
        <v>0</v>
      </c>
      <c r="G253" s="3">
        <v>20</v>
      </c>
      <c r="H253" s="3">
        <v>0</v>
      </c>
      <c r="I253" s="3">
        <v>13</v>
      </c>
      <c r="J253" s="3" t="str">
        <f>IF(AND(tbl_attendance[[#This Row],[R1 Pts]]&gt;0, tbl_attendance[[#This Row],[R2 Pts]]&gt;0,tbl_attendance[[#This Row],[R3 Pts]]&gt;0,tbl_attendance[[#This Row],[R4 Pts]]&gt;0),"YES", "NO")</f>
        <v>NO</v>
      </c>
      <c r="K253" s="3" t="str">
        <f>IF(AND(tbl_attendance[[#This Row],[R2 Pts]]&gt;0, tbl_attendance[[#This Row],[R4 Pts]]&gt;0), "YES", "NO")</f>
        <v>YES</v>
      </c>
      <c r="L253" s="3" t="str">
        <f>IF(
(tbl_attendance[[#This Row],[R1 Pts]]&gt;0)+(tbl_attendance[[#This Row],[R2 Pts]]&gt;0)+(tbl_attendance[[#This Row],[R3 Pts]]&gt;0)+(tbl_attendance[[#This Row],[R4 Pts]]&gt;0)&gt;=3,"YES", "NO")</f>
        <v>NO</v>
      </c>
      <c r="M253" s="3" t="str">
        <f>IF(AND(tbl_attendance[[#This Row],[R1 Pts]]=0, tbl_attendance[[#This Row],[R2 Pts]]=0,tbl_attendance[[#This Row],[R3 Pts]]=0,tbl_attendance[[#This Row],[R4 Pts]]=0),"YES", "NO")</f>
        <v>NO</v>
      </c>
    </row>
    <row r="254" spans="1:13" hidden="1" x14ac:dyDescent="0.4">
      <c r="A254" t="e">
        <f>_xlfn.TEXTBEFORE(#REF!," ",)</f>
        <v>#REF!</v>
      </c>
      <c r="B254" t="e">
        <f>_xlfn.TEXTAFTER(#REF!, " ", -1)</f>
        <v>#REF!</v>
      </c>
      <c r="C254" t="s">
        <v>25</v>
      </c>
      <c r="D254" t="s">
        <v>5</v>
      </c>
      <c r="E254" s="3">
        <v>958</v>
      </c>
      <c r="F254" s="3">
        <v>1</v>
      </c>
      <c r="G254" s="3">
        <v>26</v>
      </c>
      <c r="H254" s="3">
        <v>0</v>
      </c>
      <c r="I254" s="3">
        <v>0</v>
      </c>
      <c r="J254" s="3" t="str">
        <f>IF(AND(tbl_attendance[[#This Row],[R1 Pts]]&gt;0, tbl_attendance[[#This Row],[R2 Pts]]&gt;0,tbl_attendance[[#This Row],[R3 Pts]]&gt;0,tbl_attendance[[#This Row],[R4 Pts]]&gt;0),"YES", "NO")</f>
        <v>NO</v>
      </c>
      <c r="K254" s="3" t="str">
        <f>IF(AND(tbl_attendance[[#This Row],[R2 Pts]]&gt;0, tbl_attendance[[#This Row],[R4 Pts]]&gt;0), "YES", "NO")</f>
        <v>NO</v>
      </c>
      <c r="L254" s="3" t="str">
        <f>IF(
(tbl_attendance[[#This Row],[R1 Pts]]&gt;0)+(tbl_attendance[[#This Row],[R2 Pts]]&gt;0)+(tbl_attendance[[#This Row],[R3 Pts]]&gt;0)+(tbl_attendance[[#This Row],[R4 Pts]]&gt;0)&gt;=3,"YES", "NO")</f>
        <v>NO</v>
      </c>
      <c r="M254" s="3" t="str">
        <f>IF(AND(tbl_attendance[[#This Row],[R1 Pts]]=0, tbl_attendance[[#This Row],[R2 Pts]]=0,tbl_attendance[[#This Row],[R3 Pts]]=0,tbl_attendance[[#This Row],[R4 Pts]]=0),"YES", "NO")</f>
        <v>NO</v>
      </c>
    </row>
    <row r="255" spans="1:13" hidden="1" x14ac:dyDescent="0.4">
      <c r="A255" t="e">
        <f>_xlfn.TEXTBEFORE(#REF!," ",)</f>
        <v>#REF!</v>
      </c>
      <c r="B255" t="e">
        <f>_xlfn.TEXTAFTER(#REF!, " ", -1)</f>
        <v>#REF!</v>
      </c>
      <c r="C255" t="s">
        <v>25</v>
      </c>
      <c r="D255" t="s">
        <v>4</v>
      </c>
      <c r="E255" s="3">
        <v>1031</v>
      </c>
      <c r="F255" s="3">
        <v>100</v>
      </c>
      <c r="G255" s="3">
        <v>90</v>
      </c>
      <c r="H255" s="3">
        <v>100</v>
      </c>
      <c r="I255" s="3">
        <v>80</v>
      </c>
      <c r="J255" s="3" t="str">
        <f>IF(AND(tbl_attendance[[#This Row],[R1 Pts]]&gt;0, tbl_attendance[[#This Row],[R2 Pts]]&gt;0,tbl_attendance[[#This Row],[R3 Pts]]&gt;0,tbl_attendance[[#This Row],[R4 Pts]]&gt;0),"YES", "NO")</f>
        <v>YES</v>
      </c>
      <c r="K255" s="3" t="str">
        <f>IF(AND(tbl_attendance[[#This Row],[R2 Pts]]&gt;0, tbl_attendance[[#This Row],[R4 Pts]]&gt;0), "YES", "NO")</f>
        <v>YES</v>
      </c>
      <c r="L255" s="3" t="str">
        <f>IF(
(tbl_attendance[[#This Row],[R1 Pts]]&gt;0)+(tbl_attendance[[#This Row],[R2 Pts]]&gt;0)+(tbl_attendance[[#This Row],[R3 Pts]]&gt;0)+(tbl_attendance[[#This Row],[R4 Pts]]&gt;0)&gt;=3,"YES", "NO")</f>
        <v>YES</v>
      </c>
      <c r="M255" s="3" t="str">
        <f>IF(AND(tbl_attendance[[#This Row],[R1 Pts]]=0, tbl_attendance[[#This Row],[R2 Pts]]=0,tbl_attendance[[#This Row],[R3 Pts]]=0,tbl_attendance[[#This Row],[R4 Pts]]=0),"YES", "NO")</f>
        <v>NO</v>
      </c>
    </row>
    <row r="256" spans="1:13" hidden="1" x14ac:dyDescent="0.4">
      <c r="A256" t="e">
        <f>_xlfn.TEXTBEFORE(#REF!," ",)</f>
        <v>#REF!</v>
      </c>
      <c r="B256" t="e">
        <f>_xlfn.TEXTAFTER(#REF!, " ", -1)</f>
        <v>#REF!</v>
      </c>
      <c r="C256" t="s">
        <v>25</v>
      </c>
      <c r="D256" t="s">
        <v>6</v>
      </c>
      <c r="E256" s="3">
        <v>9300</v>
      </c>
      <c r="F256" s="3">
        <v>90</v>
      </c>
      <c r="G256" s="3">
        <v>60</v>
      </c>
      <c r="H256" s="3">
        <v>75</v>
      </c>
      <c r="I256" s="3">
        <v>85</v>
      </c>
      <c r="J256" s="3" t="str">
        <f>IF(AND(tbl_attendance[[#This Row],[R1 Pts]]&gt;0, tbl_attendance[[#This Row],[R2 Pts]]&gt;0,tbl_attendance[[#This Row],[R3 Pts]]&gt;0,tbl_attendance[[#This Row],[R4 Pts]]&gt;0),"YES", "NO")</f>
        <v>YES</v>
      </c>
      <c r="K256" s="3" t="str">
        <f>IF(AND(tbl_attendance[[#This Row],[R2 Pts]]&gt;0, tbl_attendance[[#This Row],[R4 Pts]]&gt;0), "YES", "NO")</f>
        <v>YES</v>
      </c>
      <c r="L256" s="3" t="str">
        <f>IF(
(tbl_attendance[[#This Row],[R1 Pts]]&gt;0)+(tbl_attendance[[#This Row],[R2 Pts]]&gt;0)+(tbl_attendance[[#This Row],[R3 Pts]]&gt;0)+(tbl_attendance[[#This Row],[R4 Pts]]&gt;0)&gt;=3,"YES", "NO")</f>
        <v>YES</v>
      </c>
      <c r="M256" s="3" t="str">
        <f>IF(AND(tbl_attendance[[#This Row],[R1 Pts]]=0, tbl_attendance[[#This Row],[R2 Pts]]=0,tbl_attendance[[#This Row],[R3 Pts]]=0,tbl_attendance[[#This Row],[R4 Pts]]=0),"YES", "NO")</f>
        <v>NO</v>
      </c>
    </row>
    <row r="257" spans="1:13" hidden="1" x14ac:dyDescent="0.4">
      <c r="A257" t="e">
        <f>_xlfn.TEXTBEFORE(#REF!," ",)</f>
        <v>#REF!</v>
      </c>
      <c r="B257" t="e">
        <f>_xlfn.TEXTAFTER(#REF!, " ", -1)</f>
        <v>#REF!</v>
      </c>
      <c r="C257" t="s">
        <v>25</v>
      </c>
      <c r="D257" t="s">
        <v>3</v>
      </c>
      <c r="E257" s="3">
        <v>10188</v>
      </c>
      <c r="F257" s="3">
        <v>36</v>
      </c>
      <c r="G257" s="3">
        <v>31</v>
      </c>
      <c r="H257" s="3">
        <v>0</v>
      </c>
      <c r="I257" s="3">
        <v>0</v>
      </c>
      <c r="J257" s="3" t="str">
        <f>IF(AND(tbl_attendance[[#This Row],[R1 Pts]]&gt;0, tbl_attendance[[#This Row],[R2 Pts]]&gt;0,tbl_attendance[[#This Row],[R3 Pts]]&gt;0,tbl_attendance[[#This Row],[R4 Pts]]&gt;0),"YES", "NO")</f>
        <v>NO</v>
      </c>
      <c r="K257" s="3" t="str">
        <f>IF(AND(tbl_attendance[[#This Row],[R2 Pts]]&gt;0, tbl_attendance[[#This Row],[R4 Pts]]&gt;0), "YES", "NO")</f>
        <v>NO</v>
      </c>
      <c r="L257" s="3" t="str">
        <f>IF(
(tbl_attendance[[#This Row],[R1 Pts]]&gt;0)+(tbl_attendance[[#This Row],[R2 Pts]]&gt;0)+(tbl_attendance[[#This Row],[R3 Pts]]&gt;0)+(tbl_attendance[[#This Row],[R4 Pts]]&gt;0)&gt;=3,"YES", "NO")</f>
        <v>NO</v>
      </c>
      <c r="M257" s="3" t="str">
        <f>IF(AND(tbl_attendance[[#This Row],[R1 Pts]]=0, tbl_attendance[[#This Row],[R2 Pts]]=0,tbl_attendance[[#This Row],[R3 Pts]]=0,tbl_attendance[[#This Row],[R4 Pts]]=0),"YES", "NO")</f>
        <v>NO</v>
      </c>
    </row>
    <row r="258" spans="1:13" hidden="1" x14ac:dyDescent="0.4">
      <c r="A258" t="e">
        <f>_xlfn.TEXTBEFORE(#REF!," ",)</f>
        <v>#REF!</v>
      </c>
      <c r="B258" t="e">
        <f>_xlfn.TEXTAFTER(#REF!, " ", -1)</f>
        <v>#REF!</v>
      </c>
      <c r="C258" t="s">
        <v>25</v>
      </c>
      <c r="D258" t="s">
        <v>3</v>
      </c>
      <c r="E258" s="3">
        <v>10189</v>
      </c>
      <c r="F258" s="3">
        <v>47</v>
      </c>
      <c r="G258" s="3">
        <v>33</v>
      </c>
      <c r="H258" s="3">
        <v>35</v>
      </c>
      <c r="I258" s="3">
        <v>0</v>
      </c>
      <c r="J258" s="3" t="str">
        <f>IF(AND(tbl_attendance[[#This Row],[R1 Pts]]&gt;0, tbl_attendance[[#This Row],[R2 Pts]]&gt;0,tbl_attendance[[#This Row],[R3 Pts]]&gt;0,tbl_attendance[[#This Row],[R4 Pts]]&gt;0),"YES", "NO")</f>
        <v>NO</v>
      </c>
      <c r="K258" s="3" t="str">
        <f>IF(AND(tbl_attendance[[#This Row],[R2 Pts]]&gt;0, tbl_attendance[[#This Row],[R4 Pts]]&gt;0), "YES", "NO")</f>
        <v>NO</v>
      </c>
      <c r="L258" s="3" t="str">
        <f>IF(
(tbl_attendance[[#This Row],[R1 Pts]]&gt;0)+(tbl_attendance[[#This Row],[R2 Pts]]&gt;0)+(tbl_attendance[[#This Row],[R3 Pts]]&gt;0)+(tbl_attendance[[#This Row],[R4 Pts]]&gt;0)&gt;=3,"YES", "NO")</f>
        <v>YES</v>
      </c>
      <c r="M258" s="3" t="str">
        <f>IF(AND(tbl_attendance[[#This Row],[R1 Pts]]=0, tbl_attendance[[#This Row],[R2 Pts]]=0,tbl_attendance[[#This Row],[R3 Pts]]=0,tbl_attendance[[#This Row],[R4 Pts]]=0),"YES", "NO")</f>
        <v>NO</v>
      </c>
    </row>
    <row r="259" spans="1:13" hidden="1" x14ac:dyDescent="0.4">
      <c r="A259" t="e">
        <f>_xlfn.TEXTBEFORE(#REF!," ",)</f>
        <v>#REF!</v>
      </c>
      <c r="B259" t="e">
        <f>_xlfn.TEXTAFTER(#REF!, " ", -1)</f>
        <v>#REF!</v>
      </c>
      <c r="C259" t="s">
        <v>25</v>
      </c>
      <c r="D259" t="s">
        <v>3</v>
      </c>
      <c r="E259" s="3">
        <v>10204</v>
      </c>
      <c r="F259" s="3">
        <v>45</v>
      </c>
      <c r="G259" s="3">
        <v>60</v>
      </c>
      <c r="H259" s="3">
        <v>43</v>
      </c>
      <c r="I259" s="3">
        <v>90</v>
      </c>
      <c r="J259" s="3" t="str">
        <f>IF(AND(tbl_attendance[[#This Row],[R1 Pts]]&gt;0, tbl_attendance[[#This Row],[R2 Pts]]&gt;0,tbl_attendance[[#This Row],[R3 Pts]]&gt;0,tbl_attendance[[#This Row],[R4 Pts]]&gt;0),"YES", "NO")</f>
        <v>YES</v>
      </c>
      <c r="K259" s="3" t="str">
        <f>IF(AND(tbl_attendance[[#This Row],[R2 Pts]]&gt;0, tbl_attendance[[#This Row],[R4 Pts]]&gt;0), "YES", "NO")</f>
        <v>YES</v>
      </c>
      <c r="L259" s="3" t="str">
        <f>IF(
(tbl_attendance[[#This Row],[R1 Pts]]&gt;0)+(tbl_attendance[[#This Row],[R2 Pts]]&gt;0)+(tbl_attendance[[#This Row],[R3 Pts]]&gt;0)+(tbl_attendance[[#This Row],[R4 Pts]]&gt;0)&gt;=3,"YES", "NO")</f>
        <v>YES</v>
      </c>
      <c r="M259" s="3" t="str">
        <f>IF(AND(tbl_attendance[[#This Row],[R1 Pts]]=0, tbl_attendance[[#This Row],[R2 Pts]]=0,tbl_attendance[[#This Row],[R3 Pts]]=0,tbl_attendance[[#This Row],[R4 Pts]]=0),"YES", "NO")</f>
        <v>NO</v>
      </c>
    </row>
    <row r="260" spans="1:13" hidden="1" x14ac:dyDescent="0.4">
      <c r="A260" t="e">
        <f>_xlfn.TEXTBEFORE(#REF!," ",)</f>
        <v>#REF!</v>
      </c>
      <c r="B260" t="e">
        <f>_xlfn.TEXTAFTER(#REF!, " ", -1)</f>
        <v>#REF!</v>
      </c>
      <c r="C260" t="s">
        <v>25</v>
      </c>
      <c r="D260" t="s">
        <v>1</v>
      </c>
      <c r="E260" s="3">
        <v>12075</v>
      </c>
      <c r="F260" s="3">
        <v>70</v>
      </c>
      <c r="G260" s="3">
        <v>0</v>
      </c>
      <c r="H260" s="3">
        <v>95</v>
      </c>
      <c r="I260" s="3">
        <v>80</v>
      </c>
      <c r="J260" s="3" t="str">
        <f>IF(AND(tbl_attendance[[#This Row],[R1 Pts]]&gt;0, tbl_attendance[[#This Row],[R2 Pts]]&gt;0,tbl_attendance[[#This Row],[R3 Pts]]&gt;0,tbl_attendance[[#This Row],[R4 Pts]]&gt;0),"YES", "NO")</f>
        <v>NO</v>
      </c>
      <c r="K260" s="3" t="str">
        <f>IF(AND(tbl_attendance[[#This Row],[R2 Pts]]&gt;0, tbl_attendance[[#This Row],[R4 Pts]]&gt;0), "YES", "NO")</f>
        <v>NO</v>
      </c>
      <c r="L260" s="3" t="str">
        <f>IF(
(tbl_attendance[[#This Row],[R1 Pts]]&gt;0)+(tbl_attendance[[#This Row],[R2 Pts]]&gt;0)+(tbl_attendance[[#This Row],[R3 Pts]]&gt;0)+(tbl_attendance[[#This Row],[R4 Pts]]&gt;0)&gt;=3,"YES", "NO")</f>
        <v>YES</v>
      </c>
      <c r="M260" s="3" t="str">
        <f>IF(AND(tbl_attendance[[#This Row],[R1 Pts]]=0, tbl_attendance[[#This Row],[R2 Pts]]=0,tbl_attendance[[#This Row],[R3 Pts]]=0,tbl_attendance[[#This Row],[R4 Pts]]=0),"YES", "NO")</f>
        <v>NO</v>
      </c>
    </row>
    <row r="261" spans="1:13" hidden="1" x14ac:dyDescent="0.4">
      <c r="A261" t="e">
        <f>_xlfn.TEXTBEFORE(#REF!," ",)</f>
        <v>#REF!</v>
      </c>
      <c r="B261" t="e">
        <f>_xlfn.TEXTAFTER(#REF!, " ", -1)</f>
        <v>#REF!</v>
      </c>
      <c r="C261" t="s">
        <v>25</v>
      </c>
      <c r="D261" t="s">
        <v>1</v>
      </c>
      <c r="E261" s="3">
        <v>12105</v>
      </c>
      <c r="F261" s="3">
        <v>0</v>
      </c>
      <c r="G261" s="3">
        <v>60</v>
      </c>
      <c r="H261" s="3">
        <v>0</v>
      </c>
      <c r="I261" s="3">
        <v>0</v>
      </c>
      <c r="J261" s="3" t="str">
        <f>IF(AND(tbl_attendance[[#This Row],[R1 Pts]]&gt;0, tbl_attendance[[#This Row],[R2 Pts]]&gt;0,tbl_attendance[[#This Row],[R3 Pts]]&gt;0,tbl_attendance[[#This Row],[R4 Pts]]&gt;0),"YES", "NO")</f>
        <v>NO</v>
      </c>
      <c r="K261" s="3" t="str">
        <f>IF(AND(tbl_attendance[[#This Row],[R2 Pts]]&gt;0, tbl_attendance[[#This Row],[R4 Pts]]&gt;0), "YES", "NO")</f>
        <v>NO</v>
      </c>
      <c r="L261" s="3" t="str">
        <f>IF(
(tbl_attendance[[#This Row],[R1 Pts]]&gt;0)+(tbl_attendance[[#This Row],[R2 Pts]]&gt;0)+(tbl_attendance[[#This Row],[R3 Pts]]&gt;0)+(tbl_attendance[[#This Row],[R4 Pts]]&gt;0)&gt;=3,"YES", "NO")</f>
        <v>NO</v>
      </c>
      <c r="M261" s="3" t="str">
        <f>IF(AND(tbl_attendance[[#This Row],[R1 Pts]]=0, tbl_attendance[[#This Row],[R2 Pts]]=0,tbl_attendance[[#This Row],[R3 Pts]]=0,tbl_attendance[[#This Row],[R4 Pts]]=0),"YES", "NO")</f>
        <v>NO</v>
      </c>
    </row>
    <row r="262" spans="1:13" hidden="1" x14ac:dyDescent="0.4">
      <c r="A262" t="e">
        <f>_xlfn.TEXTBEFORE(#REF!," ",)</f>
        <v>#REF!</v>
      </c>
      <c r="B262" t="e">
        <f>_xlfn.TEXTAFTER(#REF!, " ", -1)</f>
        <v>#REF!</v>
      </c>
      <c r="C262" t="s">
        <v>26</v>
      </c>
      <c r="D262" t="s">
        <v>7</v>
      </c>
      <c r="E262" s="3">
        <v>820</v>
      </c>
      <c r="F262" s="3">
        <v>40</v>
      </c>
      <c r="G262" s="3">
        <v>16</v>
      </c>
      <c r="H262" s="3">
        <v>0</v>
      </c>
      <c r="I262" s="3">
        <v>27</v>
      </c>
      <c r="J262" s="3" t="str">
        <f>IF(AND(tbl_attendance[[#This Row],[R1 Pts]]&gt;0, tbl_attendance[[#This Row],[R2 Pts]]&gt;0,tbl_attendance[[#This Row],[R3 Pts]]&gt;0,tbl_attendance[[#This Row],[R4 Pts]]&gt;0),"YES", "NO")</f>
        <v>NO</v>
      </c>
      <c r="K262" s="3" t="str">
        <f>IF(AND(tbl_attendance[[#This Row],[R2 Pts]]&gt;0, tbl_attendance[[#This Row],[R4 Pts]]&gt;0), "YES", "NO")</f>
        <v>YES</v>
      </c>
      <c r="L262" s="3" t="str">
        <f>IF(
(tbl_attendance[[#This Row],[R1 Pts]]&gt;0)+(tbl_attendance[[#This Row],[R2 Pts]]&gt;0)+(tbl_attendance[[#This Row],[R3 Pts]]&gt;0)+(tbl_attendance[[#This Row],[R4 Pts]]&gt;0)&gt;=3,"YES", "NO")</f>
        <v>YES</v>
      </c>
      <c r="M262" s="3" t="str">
        <f>IF(AND(tbl_attendance[[#This Row],[R1 Pts]]=0, tbl_attendance[[#This Row],[R2 Pts]]=0,tbl_attendance[[#This Row],[R3 Pts]]=0,tbl_attendance[[#This Row],[R4 Pts]]=0),"YES", "NO")</f>
        <v>NO</v>
      </c>
    </row>
    <row r="263" spans="1:13" hidden="1" x14ac:dyDescent="0.4">
      <c r="A263" t="e">
        <f>_xlfn.TEXTBEFORE(#REF!," ",)</f>
        <v>#REF!</v>
      </c>
      <c r="B263" t="e">
        <f>_xlfn.TEXTAFTER(#REF!, " ", -1)</f>
        <v>#REF!</v>
      </c>
      <c r="C263" t="s">
        <v>26</v>
      </c>
      <c r="D263" t="s">
        <v>7</v>
      </c>
      <c r="E263" s="3">
        <v>821</v>
      </c>
      <c r="F263" s="3">
        <v>36</v>
      </c>
      <c r="G263" s="3">
        <v>32</v>
      </c>
      <c r="H263" s="3">
        <v>37</v>
      </c>
      <c r="I263" s="3">
        <v>60</v>
      </c>
      <c r="J263" s="3" t="str">
        <f>IF(AND(tbl_attendance[[#This Row],[R1 Pts]]&gt;0, tbl_attendance[[#This Row],[R2 Pts]]&gt;0,tbl_attendance[[#This Row],[R3 Pts]]&gt;0,tbl_attendance[[#This Row],[R4 Pts]]&gt;0),"YES", "NO")</f>
        <v>YES</v>
      </c>
      <c r="K263" s="3" t="str">
        <f>IF(AND(tbl_attendance[[#This Row],[R2 Pts]]&gt;0, tbl_attendance[[#This Row],[R4 Pts]]&gt;0), "YES", "NO")</f>
        <v>YES</v>
      </c>
      <c r="L263" s="3" t="str">
        <f>IF(
(tbl_attendance[[#This Row],[R1 Pts]]&gt;0)+(tbl_attendance[[#This Row],[R2 Pts]]&gt;0)+(tbl_attendance[[#This Row],[R3 Pts]]&gt;0)+(tbl_attendance[[#This Row],[R4 Pts]]&gt;0)&gt;=3,"YES", "NO")</f>
        <v>YES</v>
      </c>
      <c r="M263" s="3" t="str">
        <f>IF(AND(tbl_attendance[[#This Row],[R1 Pts]]=0, tbl_attendance[[#This Row],[R2 Pts]]=0,tbl_attendance[[#This Row],[R3 Pts]]=0,tbl_attendance[[#This Row],[R4 Pts]]=0),"YES", "NO")</f>
        <v>NO</v>
      </c>
    </row>
    <row r="264" spans="1:13" hidden="1" x14ac:dyDescent="0.4">
      <c r="A264" t="e">
        <f>_xlfn.TEXTBEFORE(#REF!," ",)</f>
        <v>#REF!</v>
      </c>
      <c r="B264" t="e">
        <f>_xlfn.TEXTAFTER(#REF!, " ", -1)</f>
        <v>#REF!</v>
      </c>
      <c r="C264" t="s">
        <v>26</v>
      </c>
      <c r="D264" t="s">
        <v>7</v>
      </c>
      <c r="E264" s="3">
        <v>822</v>
      </c>
      <c r="F264" s="3">
        <v>33</v>
      </c>
      <c r="G264" s="3">
        <v>18</v>
      </c>
      <c r="H264" s="3">
        <v>34</v>
      </c>
      <c r="I264" s="3">
        <v>30</v>
      </c>
      <c r="J264" s="3" t="str">
        <f>IF(AND(tbl_attendance[[#This Row],[R1 Pts]]&gt;0, tbl_attendance[[#This Row],[R2 Pts]]&gt;0,tbl_attendance[[#This Row],[R3 Pts]]&gt;0,tbl_attendance[[#This Row],[R4 Pts]]&gt;0),"YES", "NO")</f>
        <v>YES</v>
      </c>
      <c r="K264" s="3" t="str">
        <f>IF(AND(tbl_attendance[[#This Row],[R2 Pts]]&gt;0, tbl_attendance[[#This Row],[R4 Pts]]&gt;0), "YES", "NO")</f>
        <v>YES</v>
      </c>
      <c r="L264" s="3" t="str">
        <f>IF(
(tbl_attendance[[#This Row],[R1 Pts]]&gt;0)+(tbl_attendance[[#This Row],[R2 Pts]]&gt;0)+(tbl_attendance[[#This Row],[R3 Pts]]&gt;0)+(tbl_attendance[[#This Row],[R4 Pts]]&gt;0)&gt;=3,"YES", "NO")</f>
        <v>YES</v>
      </c>
      <c r="M264" s="3" t="str">
        <f>IF(AND(tbl_attendance[[#This Row],[R1 Pts]]=0, tbl_attendance[[#This Row],[R2 Pts]]=0,tbl_attendance[[#This Row],[R3 Pts]]=0,tbl_attendance[[#This Row],[R4 Pts]]=0),"YES", "NO")</f>
        <v>NO</v>
      </c>
    </row>
    <row r="265" spans="1:13" hidden="1" x14ac:dyDescent="0.4">
      <c r="A265" t="e">
        <f>_xlfn.TEXTBEFORE(#REF!," ",)</f>
        <v>#REF!</v>
      </c>
      <c r="B265" t="e">
        <f>_xlfn.TEXTAFTER(#REF!, " ", -1)</f>
        <v>#REF!</v>
      </c>
      <c r="C265" t="s">
        <v>26</v>
      </c>
      <c r="D265" t="s">
        <v>7</v>
      </c>
      <c r="E265" s="3">
        <v>823</v>
      </c>
      <c r="F265" s="3">
        <v>51</v>
      </c>
      <c r="G265" s="3">
        <v>23</v>
      </c>
      <c r="H265" s="3">
        <v>51</v>
      </c>
      <c r="I265" s="3">
        <v>33</v>
      </c>
      <c r="J265" s="3" t="str">
        <f>IF(AND(tbl_attendance[[#This Row],[R1 Pts]]&gt;0, tbl_attendance[[#This Row],[R2 Pts]]&gt;0,tbl_attendance[[#This Row],[R3 Pts]]&gt;0,tbl_attendance[[#This Row],[R4 Pts]]&gt;0),"YES", "NO")</f>
        <v>YES</v>
      </c>
      <c r="K265" s="3" t="str">
        <f>IF(AND(tbl_attendance[[#This Row],[R2 Pts]]&gt;0, tbl_attendance[[#This Row],[R4 Pts]]&gt;0), "YES", "NO")</f>
        <v>YES</v>
      </c>
      <c r="L265" s="3" t="str">
        <f>IF(
(tbl_attendance[[#This Row],[R1 Pts]]&gt;0)+(tbl_attendance[[#This Row],[R2 Pts]]&gt;0)+(tbl_attendance[[#This Row],[R3 Pts]]&gt;0)+(tbl_attendance[[#This Row],[R4 Pts]]&gt;0)&gt;=3,"YES", "NO")</f>
        <v>YES</v>
      </c>
      <c r="M265" s="3" t="str">
        <f>IF(AND(tbl_attendance[[#This Row],[R1 Pts]]=0, tbl_attendance[[#This Row],[R2 Pts]]=0,tbl_attendance[[#This Row],[R3 Pts]]=0,tbl_attendance[[#This Row],[R4 Pts]]=0),"YES", "NO")</f>
        <v>NO</v>
      </c>
    </row>
    <row r="266" spans="1:13" hidden="1" x14ac:dyDescent="0.4">
      <c r="A266" t="e">
        <f>_xlfn.TEXTBEFORE(#REF!," ",)</f>
        <v>#REF!</v>
      </c>
      <c r="B266" t="e">
        <f>_xlfn.TEXTAFTER(#REF!, " ", -1)</f>
        <v>#REF!</v>
      </c>
      <c r="C266" t="s">
        <v>26</v>
      </c>
      <c r="D266" t="s">
        <v>5</v>
      </c>
      <c r="E266" s="3">
        <v>939</v>
      </c>
      <c r="F266" s="3">
        <v>0</v>
      </c>
      <c r="G266" s="3">
        <v>28</v>
      </c>
      <c r="H266" s="3">
        <v>34</v>
      </c>
      <c r="I266" s="3">
        <v>28</v>
      </c>
      <c r="J266" s="3" t="str">
        <f>IF(AND(tbl_attendance[[#This Row],[R1 Pts]]&gt;0, tbl_attendance[[#This Row],[R2 Pts]]&gt;0,tbl_attendance[[#This Row],[R3 Pts]]&gt;0,tbl_attendance[[#This Row],[R4 Pts]]&gt;0),"YES", "NO")</f>
        <v>NO</v>
      </c>
      <c r="K266" s="3" t="str">
        <f>IF(AND(tbl_attendance[[#This Row],[R2 Pts]]&gt;0, tbl_attendance[[#This Row],[R4 Pts]]&gt;0), "YES", "NO")</f>
        <v>YES</v>
      </c>
      <c r="L266" s="3" t="str">
        <f>IF(
(tbl_attendance[[#This Row],[R1 Pts]]&gt;0)+(tbl_attendance[[#This Row],[R2 Pts]]&gt;0)+(tbl_attendance[[#This Row],[R3 Pts]]&gt;0)+(tbl_attendance[[#This Row],[R4 Pts]]&gt;0)&gt;=3,"YES", "NO")</f>
        <v>YES</v>
      </c>
      <c r="M266" s="3" t="str">
        <f>IF(AND(tbl_attendance[[#This Row],[R1 Pts]]=0, tbl_attendance[[#This Row],[R2 Pts]]=0,tbl_attendance[[#This Row],[R3 Pts]]=0,tbl_attendance[[#This Row],[R4 Pts]]=0),"YES", "NO")</f>
        <v>NO</v>
      </c>
    </row>
    <row r="267" spans="1:13" hidden="1" x14ac:dyDescent="0.4">
      <c r="A267" t="e">
        <f>_xlfn.TEXTBEFORE(#REF!," ",)</f>
        <v>#REF!</v>
      </c>
      <c r="B267" t="e">
        <f>_xlfn.TEXTAFTER(#REF!, " ", -1)</f>
        <v>#REF!</v>
      </c>
      <c r="C267" t="s">
        <v>26</v>
      </c>
      <c r="D267" t="s">
        <v>5</v>
      </c>
      <c r="E267" s="3">
        <v>940</v>
      </c>
      <c r="F267" s="3">
        <v>23</v>
      </c>
      <c r="G267" s="3">
        <v>34</v>
      </c>
      <c r="H267" s="3">
        <v>0</v>
      </c>
      <c r="I267" s="3">
        <v>34</v>
      </c>
      <c r="J267" s="3" t="str">
        <f>IF(AND(tbl_attendance[[#This Row],[R1 Pts]]&gt;0, tbl_attendance[[#This Row],[R2 Pts]]&gt;0,tbl_attendance[[#This Row],[R3 Pts]]&gt;0,tbl_attendance[[#This Row],[R4 Pts]]&gt;0),"YES", "NO")</f>
        <v>NO</v>
      </c>
      <c r="K267" s="3" t="str">
        <f>IF(AND(tbl_attendance[[#This Row],[R2 Pts]]&gt;0, tbl_attendance[[#This Row],[R4 Pts]]&gt;0), "YES", "NO")</f>
        <v>YES</v>
      </c>
      <c r="L267" s="3" t="str">
        <f>IF(
(tbl_attendance[[#This Row],[R1 Pts]]&gt;0)+(tbl_attendance[[#This Row],[R2 Pts]]&gt;0)+(tbl_attendance[[#This Row],[R3 Pts]]&gt;0)+(tbl_attendance[[#This Row],[R4 Pts]]&gt;0)&gt;=3,"YES", "NO")</f>
        <v>YES</v>
      </c>
      <c r="M267" s="3" t="str">
        <f>IF(AND(tbl_attendance[[#This Row],[R1 Pts]]=0, tbl_attendance[[#This Row],[R2 Pts]]=0,tbl_attendance[[#This Row],[R3 Pts]]=0,tbl_attendance[[#This Row],[R4 Pts]]=0),"YES", "NO")</f>
        <v>NO</v>
      </c>
    </row>
    <row r="268" spans="1:13" hidden="1" x14ac:dyDescent="0.4">
      <c r="A268" t="e">
        <f>_xlfn.TEXTBEFORE(#REF!," ",)</f>
        <v>#REF!</v>
      </c>
      <c r="B268" t="e">
        <f>_xlfn.TEXTAFTER(#REF!, " ", -1)</f>
        <v>#REF!</v>
      </c>
      <c r="C268" t="s">
        <v>26</v>
      </c>
      <c r="D268" t="s">
        <v>3</v>
      </c>
      <c r="E268" s="3">
        <v>10190</v>
      </c>
      <c r="F268" s="3">
        <v>0</v>
      </c>
      <c r="G268" s="3">
        <v>0</v>
      </c>
      <c r="H268" s="3">
        <v>24</v>
      </c>
      <c r="I268" s="3">
        <v>18</v>
      </c>
      <c r="J268" s="3" t="str">
        <f>IF(AND(tbl_attendance[[#This Row],[R1 Pts]]&gt;0, tbl_attendance[[#This Row],[R2 Pts]]&gt;0,tbl_attendance[[#This Row],[R3 Pts]]&gt;0,tbl_attendance[[#This Row],[R4 Pts]]&gt;0),"YES", "NO")</f>
        <v>NO</v>
      </c>
      <c r="K268" s="3" t="str">
        <f>IF(AND(tbl_attendance[[#This Row],[R2 Pts]]&gt;0, tbl_attendance[[#This Row],[R4 Pts]]&gt;0), "YES", "NO")</f>
        <v>NO</v>
      </c>
      <c r="L268" s="3" t="str">
        <f>IF(
(tbl_attendance[[#This Row],[R1 Pts]]&gt;0)+(tbl_attendance[[#This Row],[R2 Pts]]&gt;0)+(tbl_attendance[[#This Row],[R3 Pts]]&gt;0)+(tbl_attendance[[#This Row],[R4 Pts]]&gt;0)&gt;=3,"YES", "NO")</f>
        <v>NO</v>
      </c>
      <c r="M268" s="3" t="str">
        <f>IF(AND(tbl_attendance[[#This Row],[R1 Pts]]=0, tbl_attendance[[#This Row],[R2 Pts]]=0,tbl_attendance[[#This Row],[R3 Pts]]=0,tbl_attendance[[#This Row],[R4 Pts]]=0),"YES", "NO")</f>
        <v>NO</v>
      </c>
    </row>
    <row r="269" spans="1:13" hidden="1" x14ac:dyDescent="0.4">
      <c r="A269" t="e">
        <f>_xlfn.TEXTBEFORE(#REF!," ",)</f>
        <v>#REF!</v>
      </c>
      <c r="B269" t="e">
        <f>_xlfn.TEXTAFTER(#REF!, " ", -1)</f>
        <v>#REF!</v>
      </c>
      <c r="C269" t="s">
        <v>26</v>
      </c>
      <c r="D269" t="s">
        <v>1</v>
      </c>
      <c r="E269" s="3">
        <v>12076</v>
      </c>
      <c r="F269" s="3">
        <v>0</v>
      </c>
      <c r="G269" s="3">
        <v>2</v>
      </c>
      <c r="H269" s="3">
        <v>9</v>
      </c>
      <c r="I269" s="3">
        <v>1</v>
      </c>
      <c r="J269" s="3" t="str">
        <f>IF(AND(tbl_attendance[[#This Row],[R1 Pts]]&gt;0, tbl_attendance[[#This Row],[R2 Pts]]&gt;0,tbl_attendance[[#This Row],[R3 Pts]]&gt;0,tbl_attendance[[#This Row],[R4 Pts]]&gt;0),"YES", "NO")</f>
        <v>NO</v>
      </c>
      <c r="K269" s="3" t="str">
        <f>IF(AND(tbl_attendance[[#This Row],[R2 Pts]]&gt;0, tbl_attendance[[#This Row],[R4 Pts]]&gt;0), "YES", "NO")</f>
        <v>YES</v>
      </c>
      <c r="L269" s="3" t="str">
        <f>IF(
(tbl_attendance[[#This Row],[R1 Pts]]&gt;0)+(tbl_attendance[[#This Row],[R2 Pts]]&gt;0)+(tbl_attendance[[#This Row],[R3 Pts]]&gt;0)+(tbl_attendance[[#This Row],[R4 Pts]]&gt;0)&gt;=3,"YES", "NO")</f>
        <v>YES</v>
      </c>
      <c r="M269" s="3" t="str">
        <f>IF(AND(tbl_attendance[[#This Row],[R1 Pts]]=0, tbl_attendance[[#This Row],[R2 Pts]]=0,tbl_attendance[[#This Row],[R3 Pts]]=0,tbl_attendance[[#This Row],[R4 Pts]]=0),"YES", "NO")</f>
        <v>NO</v>
      </c>
    </row>
    <row r="270" spans="1:13" hidden="1" x14ac:dyDescent="0.4">
      <c r="A270" t="e">
        <f>_xlfn.TEXTBEFORE(#REF!," ",)</f>
        <v>#REF!</v>
      </c>
      <c r="B270" t="e">
        <f>_xlfn.TEXTAFTER(#REF!, " ", -1)</f>
        <v>#REF!</v>
      </c>
      <c r="C270" t="s">
        <v>26</v>
      </c>
      <c r="D270" t="s">
        <v>1</v>
      </c>
      <c r="E270" s="3">
        <v>12077</v>
      </c>
      <c r="F270" s="3">
        <v>51</v>
      </c>
      <c r="G270" s="3">
        <v>6</v>
      </c>
      <c r="H270" s="3">
        <v>47</v>
      </c>
      <c r="I270" s="3">
        <v>8</v>
      </c>
      <c r="J270" s="3" t="str">
        <f>IF(AND(tbl_attendance[[#This Row],[R1 Pts]]&gt;0, tbl_attendance[[#This Row],[R2 Pts]]&gt;0,tbl_attendance[[#This Row],[R3 Pts]]&gt;0,tbl_attendance[[#This Row],[R4 Pts]]&gt;0),"YES", "NO")</f>
        <v>YES</v>
      </c>
      <c r="K270" s="3" t="str">
        <f>IF(AND(tbl_attendance[[#This Row],[R2 Pts]]&gt;0, tbl_attendance[[#This Row],[R4 Pts]]&gt;0), "YES", "NO")</f>
        <v>YES</v>
      </c>
      <c r="L270" s="3" t="str">
        <f>IF(
(tbl_attendance[[#This Row],[R1 Pts]]&gt;0)+(tbl_attendance[[#This Row],[R2 Pts]]&gt;0)+(tbl_attendance[[#This Row],[R3 Pts]]&gt;0)+(tbl_attendance[[#This Row],[R4 Pts]]&gt;0)&gt;=3,"YES", "NO")</f>
        <v>YES</v>
      </c>
      <c r="M270" s="3" t="str">
        <f>IF(AND(tbl_attendance[[#This Row],[R1 Pts]]=0, tbl_attendance[[#This Row],[R2 Pts]]=0,tbl_attendance[[#This Row],[R3 Pts]]=0,tbl_attendance[[#This Row],[R4 Pts]]=0),"YES", "NO")</f>
        <v>NO</v>
      </c>
    </row>
    <row r="271" spans="1:13" hidden="1" x14ac:dyDescent="0.4">
      <c r="A271" t="e">
        <f>_xlfn.TEXTBEFORE(#REF!," ",)</f>
        <v>#REF!</v>
      </c>
      <c r="B271" t="e">
        <f>_xlfn.TEXTAFTER(#REF!, " ", -1)</f>
        <v>#REF!</v>
      </c>
      <c r="C271" t="s">
        <v>26</v>
      </c>
      <c r="D271" t="s">
        <v>1</v>
      </c>
      <c r="E271" s="3">
        <v>12078</v>
      </c>
      <c r="F271" s="3">
        <v>0</v>
      </c>
      <c r="G271" s="3">
        <v>0</v>
      </c>
      <c r="H271" s="3">
        <v>0</v>
      </c>
      <c r="I271" s="3">
        <v>1</v>
      </c>
      <c r="J271" s="3" t="str">
        <f>IF(AND(tbl_attendance[[#This Row],[R1 Pts]]&gt;0, tbl_attendance[[#This Row],[R2 Pts]]&gt;0,tbl_attendance[[#This Row],[R3 Pts]]&gt;0,tbl_attendance[[#This Row],[R4 Pts]]&gt;0),"YES", "NO")</f>
        <v>NO</v>
      </c>
      <c r="K271" s="3" t="str">
        <f>IF(AND(tbl_attendance[[#This Row],[R2 Pts]]&gt;0, tbl_attendance[[#This Row],[R4 Pts]]&gt;0), "YES", "NO")</f>
        <v>NO</v>
      </c>
      <c r="L271" s="3" t="str">
        <f>IF(
(tbl_attendance[[#This Row],[R1 Pts]]&gt;0)+(tbl_attendance[[#This Row],[R2 Pts]]&gt;0)+(tbl_attendance[[#This Row],[R3 Pts]]&gt;0)+(tbl_attendance[[#This Row],[R4 Pts]]&gt;0)&gt;=3,"YES", "NO")</f>
        <v>NO</v>
      </c>
      <c r="M271" s="3" t="str">
        <f>IF(AND(tbl_attendance[[#This Row],[R1 Pts]]=0, tbl_attendance[[#This Row],[R2 Pts]]=0,tbl_attendance[[#This Row],[R3 Pts]]=0,tbl_attendance[[#This Row],[R4 Pts]]=0),"YES", "NO")</f>
        <v>NO</v>
      </c>
    </row>
    <row r="272" spans="1:13" hidden="1" x14ac:dyDescent="0.4">
      <c r="A272" t="e">
        <f>_xlfn.TEXTBEFORE(#REF!," ",)</f>
        <v>#REF!</v>
      </c>
      <c r="B272" t="e">
        <f>_xlfn.TEXTAFTER(#REF!, " ", -1)</f>
        <v>#REF!</v>
      </c>
      <c r="C272" t="s">
        <v>26</v>
      </c>
      <c r="D272" t="s">
        <v>1</v>
      </c>
      <c r="E272" s="3">
        <v>12079</v>
      </c>
      <c r="F272" s="3">
        <v>0</v>
      </c>
      <c r="G272" s="3">
        <v>10</v>
      </c>
      <c r="H272" s="3">
        <v>0</v>
      </c>
      <c r="I272" s="3">
        <v>9</v>
      </c>
      <c r="J272" s="3" t="str">
        <f>IF(AND(tbl_attendance[[#This Row],[R1 Pts]]&gt;0, tbl_attendance[[#This Row],[R2 Pts]]&gt;0,tbl_attendance[[#This Row],[R3 Pts]]&gt;0,tbl_attendance[[#This Row],[R4 Pts]]&gt;0),"YES", "NO")</f>
        <v>NO</v>
      </c>
      <c r="K272" s="3" t="str">
        <f>IF(AND(tbl_attendance[[#This Row],[R2 Pts]]&gt;0, tbl_attendance[[#This Row],[R4 Pts]]&gt;0), "YES", "NO")</f>
        <v>YES</v>
      </c>
      <c r="L272" s="3" t="str">
        <f>IF(
(tbl_attendance[[#This Row],[R1 Pts]]&gt;0)+(tbl_attendance[[#This Row],[R2 Pts]]&gt;0)+(tbl_attendance[[#This Row],[R3 Pts]]&gt;0)+(tbl_attendance[[#This Row],[R4 Pts]]&gt;0)&gt;=3,"YES", "NO")</f>
        <v>NO</v>
      </c>
      <c r="M272" s="3" t="str">
        <f>IF(AND(tbl_attendance[[#This Row],[R1 Pts]]=0, tbl_attendance[[#This Row],[R2 Pts]]=0,tbl_attendance[[#This Row],[R3 Pts]]=0,tbl_attendance[[#This Row],[R4 Pts]]=0),"YES", "NO")</f>
        <v>NO</v>
      </c>
    </row>
    <row r="273" spans="1:13" hidden="1" x14ac:dyDescent="0.4">
      <c r="A273" t="e">
        <f>_xlfn.TEXTBEFORE(#REF!," ",)</f>
        <v>#REF!</v>
      </c>
      <c r="B273" t="e">
        <f>_xlfn.TEXTAFTER(#REF!, " ", -1)</f>
        <v>#REF!</v>
      </c>
      <c r="C273" t="s">
        <v>27</v>
      </c>
      <c r="D273" t="s">
        <v>7</v>
      </c>
      <c r="E273" s="3">
        <v>824</v>
      </c>
      <c r="F273" s="3">
        <v>55</v>
      </c>
      <c r="G273" s="3">
        <v>37</v>
      </c>
      <c r="H273" s="3">
        <v>49</v>
      </c>
      <c r="I273" s="3">
        <v>47</v>
      </c>
      <c r="J273" s="3" t="str">
        <f>IF(AND(tbl_attendance[[#This Row],[R1 Pts]]&gt;0, tbl_attendance[[#This Row],[R2 Pts]]&gt;0,tbl_attendance[[#This Row],[R3 Pts]]&gt;0,tbl_attendance[[#This Row],[R4 Pts]]&gt;0),"YES", "NO")</f>
        <v>YES</v>
      </c>
      <c r="K273" s="3" t="str">
        <f>IF(AND(tbl_attendance[[#This Row],[R2 Pts]]&gt;0, tbl_attendance[[#This Row],[R4 Pts]]&gt;0), "YES", "NO")</f>
        <v>YES</v>
      </c>
      <c r="L273" s="3" t="str">
        <f>IF(
(tbl_attendance[[#This Row],[R1 Pts]]&gt;0)+(tbl_attendance[[#This Row],[R2 Pts]]&gt;0)+(tbl_attendance[[#This Row],[R3 Pts]]&gt;0)+(tbl_attendance[[#This Row],[R4 Pts]]&gt;0)&gt;=3,"YES", "NO")</f>
        <v>YES</v>
      </c>
      <c r="M273" s="3" t="str">
        <f>IF(AND(tbl_attendance[[#This Row],[R1 Pts]]=0, tbl_attendance[[#This Row],[R2 Pts]]=0,tbl_attendance[[#This Row],[R3 Pts]]=0,tbl_attendance[[#This Row],[R4 Pts]]=0),"YES", "NO")</f>
        <v>NO</v>
      </c>
    </row>
    <row r="274" spans="1:13" hidden="1" x14ac:dyDescent="0.4">
      <c r="A274" t="e">
        <f>_xlfn.TEXTBEFORE(#REF!," ",)</f>
        <v>#REF!</v>
      </c>
      <c r="B274" t="e">
        <f>_xlfn.TEXTAFTER(#REF!, " ", -1)</f>
        <v>#REF!</v>
      </c>
      <c r="C274" t="s">
        <v>27</v>
      </c>
      <c r="D274" t="s">
        <v>7</v>
      </c>
      <c r="E274" s="3">
        <v>825</v>
      </c>
      <c r="F274" s="3">
        <v>49</v>
      </c>
      <c r="G274" s="3">
        <v>43</v>
      </c>
      <c r="H274" s="3">
        <v>29</v>
      </c>
      <c r="I274" s="3">
        <v>25</v>
      </c>
      <c r="J274" s="3" t="str">
        <f>IF(AND(tbl_attendance[[#This Row],[R1 Pts]]&gt;0, tbl_attendance[[#This Row],[R2 Pts]]&gt;0,tbl_attendance[[#This Row],[R3 Pts]]&gt;0,tbl_attendance[[#This Row],[R4 Pts]]&gt;0),"YES", "NO")</f>
        <v>YES</v>
      </c>
      <c r="K274" s="3" t="str">
        <f>IF(AND(tbl_attendance[[#This Row],[R2 Pts]]&gt;0, tbl_attendance[[#This Row],[R4 Pts]]&gt;0), "YES", "NO")</f>
        <v>YES</v>
      </c>
      <c r="L274" s="3" t="str">
        <f>IF(
(tbl_attendance[[#This Row],[R1 Pts]]&gt;0)+(tbl_attendance[[#This Row],[R2 Pts]]&gt;0)+(tbl_attendance[[#This Row],[R3 Pts]]&gt;0)+(tbl_attendance[[#This Row],[R4 Pts]]&gt;0)&gt;=3,"YES", "NO")</f>
        <v>YES</v>
      </c>
      <c r="M274" s="3" t="str">
        <f>IF(AND(tbl_attendance[[#This Row],[R1 Pts]]=0, tbl_attendance[[#This Row],[R2 Pts]]=0,tbl_attendance[[#This Row],[R3 Pts]]=0,tbl_attendance[[#This Row],[R4 Pts]]=0),"YES", "NO")</f>
        <v>NO</v>
      </c>
    </row>
    <row r="275" spans="1:13" hidden="1" x14ac:dyDescent="0.4">
      <c r="A275" t="e">
        <f>_xlfn.TEXTBEFORE(#REF!," ",)</f>
        <v>#REF!</v>
      </c>
      <c r="B275" t="e">
        <f>_xlfn.TEXTAFTER(#REF!, " ", -1)</f>
        <v>#REF!</v>
      </c>
      <c r="C275" t="s">
        <v>27</v>
      </c>
      <c r="D275" t="s">
        <v>8</v>
      </c>
      <c r="E275" s="3">
        <v>866</v>
      </c>
      <c r="F275" s="3">
        <v>90</v>
      </c>
      <c r="G275" s="3">
        <v>0</v>
      </c>
      <c r="H275" s="3">
        <v>85</v>
      </c>
      <c r="I275" s="3">
        <v>85</v>
      </c>
      <c r="J275" s="3" t="str">
        <f>IF(AND(tbl_attendance[[#This Row],[R1 Pts]]&gt;0, tbl_attendance[[#This Row],[R2 Pts]]&gt;0,tbl_attendance[[#This Row],[R3 Pts]]&gt;0,tbl_attendance[[#This Row],[R4 Pts]]&gt;0),"YES", "NO")</f>
        <v>NO</v>
      </c>
      <c r="K275" s="3" t="str">
        <f>IF(AND(tbl_attendance[[#This Row],[R2 Pts]]&gt;0, tbl_attendance[[#This Row],[R4 Pts]]&gt;0), "YES", "NO")</f>
        <v>NO</v>
      </c>
      <c r="L275" s="3" t="str">
        <f>IF(
(tbl_attendance[[#This Row],[R1 Pts]]&gt;0)+(tbl_attendance[[#This Row],[R2 Pts]]&gt;0)+(tbl_attendance[[#This Row],[R3 Pts]]&gt;0)+(tbl_attendance[[#This Row],[R4 Pts]]&gt;0)&gt;=3,"YES", "NO")</f>
        <v>YES</v>
      </c>
      <c r="M275" s="3" t="str">
        <f>IF(AND(tbl_attendance[[#This Row],[R1 Pts]]=0, tbl_attendance[[#This Row],[R2 Pts]]=0,tbl_attendance[[#This Row],[R3 Pts]]=0,tbl_attendance[[#This Row],[R4 Pts]]=0),"YES", "NO")</f>
        <v>NO</v>
      </c>
    </row>
    <row r="276" spans="1:13" hidden="1" x14ac:dyDescent="0.4">
      <c r="A276" t="e">
        <f>_xlfn.TEXTBEFORE(#REF!," ",)</f>
        <v>#REF!</v>
      </c>
      <c r="B276" t="e">
        <f>_xlfn.TEXTAFTER(#REF!, " ", -1)</f>
        <v>#REF!</v>
      </c>
      <c r="C276" t="s">
        <v>27</v>
      </c>
      <c r="D276" t="s">
        <v>8</v>
      </c>
      <c r="E276" s="3">
        <v>867</v>
      </c>
      <c r="F276" s="3">
        <v>0</v>
      </c>
      <c r="G276" s="3">
        <v>100</v>
      </c>
      <c r="H276" s="3">
        <v>100</v>
      </c>
      <c r="I276" s="3">
        <v>100</v>
      </c>
      <c r="J276" s="3" t="str">
        <f>IF(AND(tbl_attendance[[#This Row],[R1 Pts]]&gt;0, tbl_attendance[[#This Row],[R2 Pts]]&gt;0,tbl_attendance[[#This Row],[R3 Pts]]&gt;0,tbl_attendance[[#This Row],[R4 Pts]]&gt;0),"YES", "NO")</f>
        <v>NO</v>
      </c>
      <c r="K276" s="3" t="str">
        <f>IF(AND(tbl_attendance[[#This Row],[R2 Pts]]&gt;0, tbl_attendance[[#This Row],[R4 Pts]]&gt;0), "YES", "NO")</f>
        <v>YES</v>
      </c>
      <c r="L276" s="3" t="str">
        <f>IF(
(tbl_attendance[[#This Row],[R1 Pts]]&gt;0)+(tbl_attendance[[#This Row],[R2 Pts]]&gt;0)+(tbl_attendance[[#This Row],[R3 Pts]]&gt;0)+(tbl_attendance[[#This Row],[R4 Pts]]&gt;0)&gt;=3,"YES", "NO")</f>
        <v>YES</v>
      </c>
      <c r="M276" s="3" t="str">
        <f>IF(AND(tbl_attendance[[#This Row],[R1 Pts]]=0, tbl_attendance[[#This Row],[R2 Pts]]=0,tbl_attendance[[#This Row],[R3 Pts]]=0,tbl_attendance[[#This Row],[R4 Pts]]=0),"YES", "NO")</f>
        <v>NO</v>
      </c>
    </row>
    <row r="277" spans="1:13" hidden="1" x14ac:dyDescent="0.4">
      <c r="A277" t="e">
        <f>_xlfn.TEXTBEFORE(#REF!," ",)</f>
        <v>#REF!</v>
      </c>
      <c r="B277" t="e">
        <f>_xlfn.TEXTAFTER(#REF!, " ", -1)</f>
        <v>#REF!</v>
      </c>
      <c r="C277" t="s">
        <v>27</v>
      </c>
      <c r="D277" t="s">
        <v>5</v>
      </c>
      <c r="E277" s="3">
        <v>942</v>
      </c>
      <c r="F277" s="3">
        <v>39</v>
      </c>
      <c r="G277" s="3">
        <v>22</v>
      </c>
      <c r="H277" s="3">
        <v>0</v>
      </c>
      <c r="I277" s="3">
        <v>25</v>
      </c>
      <c r="J277" s="3" t="str">
        <f>IF(AND(tbl_attendance[[#This Row],[R1 Pts]]&gt;0, tbl_attendance[[#This Row],[R2 Pts]]&gt;0,tbl_attendance[[#This Row],[R3 Pts]]&gt;0,tbl_attendance[[#This Row],[R4 Pts]]&gt;0),"YES", "NO")</f>
        <v>NO</v>
      </c>
      <c r="K277" s="3" t="str">
        <f>IF(AND(tbl_attendance[[#This Row],[R2 Pts]]&gt;0, tbl_attendance[[#This Row],[R4 Pts]]&gt;0), "YES", "NO")</f>
        <v>YES</v>
      </c>
      <c r="L277" s="3" t="str">
        <f>IF(
(tbl_attendance[[#This Row],[R1 Pts]]&gt;0)+(tbl_attendance[[#This Row],[R2 Pts]]&gt;0)+(tbl_attendance[[#This Row],[R3 Pts]]&gt;0)+(tbl_attendance[[#This Row],[R4 Pts]]&gt;0)&gt;=3,"YES", "NO")</f>
        <v>YES</v>
      </c>
      <c r="M277" s="3" t="str">
        <f>IF(AND(tbl_attendance[[#This Row],[R1 Pts]]=0, tbl_attendance[[#This Row],[R2 Pts]]=0,tbl_attendance[[#This Row],[R3 Pts]]=0,tbl_attendance[[#This Row],[R4 Pts]]=0),"YES", "NO")</f>
        <v>NO</v>
      </c>
    </row>
    <row r="278" spans="1:13" hidden="1" x14ac:dyDescent="0.4">
      <c r="A278" t="e">
        <f>_xlfn.TEXTBEFORE(#REF!," ",)</f>
        <v>#REF!</v>
      </c>
      <c r="B278" t="e">
        <f>_xlfn.TEXTAFTER(#REF!, " ", -1)</f>
        <v>#REF!</v>
      </c>
      <c r="C278" t="s">
        <v>27</v>
      </c>
      <c r="D278" t="s">
        <v>5</v>
      </c>
      <c r="E278" s="3">
        <v>944</v>
      </c>
      <c r="F278" s="3">
        <v>0</v>
      </c>
      <c r="G278" s="3">
        <v>0</v>
      </c>
      <c r="H278" s="3">
        <v>0</v>
      </c>
      <c r="I278" s="3">
        <v>45</v>
      </c>
      <c r="J278" s="3" t="str">
        <f>IF(AND(tbl_attendance[[#This Row],[R1 Pts]]&gt;0, tbl_attendance[[#This Row],[R2 Pts]]&gt;0,tbl_attendance[[#This Row],[R3 Pts]]&gt;0,tbl_attendance[[#This Row],[R4 Pts]]&gt;0),"YES", "NO")</f>
        <v>NO</v>
      </c>
      <c r="K278" s="3" t="str">
        <f>IF(AND(tbl_attendance[[#This Row],[R2 Pts]]&gt;0, tbl_attendance[[#This Row],[R4 Pts]]&gt;0), "YES", "NO")</f>
        <v>NO</v>
      </c>
      <c r="L278" s="3" t="str">
        <f>IF(
(tbl_attendance[[#This Row],[R1 Pts]]&gt;0)+(tbl_attendance[[#This Row],[R2 Pts]]&gt;0)+(tbl_attendance[[#This Row],[R3 Pts]]&gt;0)+(tbl_attendance[[#This Row],[R4 Pts]]&gt;0)&gt;=3,"YES", "NO")</f>
        <v>NO</v>
      </c>
      <c r="M278" s="3" t="str">
        <f>IF(AND(tbl_attendance[[#This Row],[R1 Pts]]=0, tbl_attendance[[#This Row],[R2 Pts]]=0,tbl_attendance[[#This Row],[R3 Pts]]=0,tbl_attendance[[#This Row],[R4 Pts]]=0),"YES", "NO")</f>
        <v>NO</v>
      </c>
    </row>
    <row r="279" spans="1:13" hidden="1" x14ac:dyDescent="0.4">
      <c r="A279" t="e">
        <f>_xlfn.TEXTBEFORE(#REF!," ",)</f>
        <v>#REF!</v>
      </c>
      <c r="B279" t="e">
        <f>_xlfn.TEXTAFTER(#REF!, " ", -1)</f>
        <v>#REF!</v>
      </c>
      <c r="C279" t="s">
        <v>27</v>
      </c>
      <c r="D279" t="s">
        <v>4</v>
      </c>
      <c r="E279" s="3">
        <v>1040</v>
      </c>
      <c r="F279" s="3">
        <v>0</v>
      </c>
      <c r="G279" s="3">
        <v>51</v>
      </c>
      <c r="H279" s="3">
        <v>0</v>
      </c>
      <c r="I279" s="3">
        <v>0</v>
      </c>
      <c r="J279" s="3" t="str">
        <f>IF(AND(tbl_attendance[[#This Row],[R1 Pts]]&gt;0, tbl_attendance[[#This Row],[R2 Pts]]&gt;0,tbl_attendance[[#This Row],[R3 Pts]]&gt;0,tbl_attendance[[#This Row],[R4 Pts]]&gt;0),"YES", "NO")</f>
        <v>NO</v>
      </c>
      <c r="K279" s="3" t="str">
        <f>IF(AND(tbl_attendance[[#This Row],[R2 Pts]]&gt;0, tbl_attendance[[#This Row],[R4 Pts]]&gt;0), "YES", "NO")</f>
        <v>NO</v>
      </c>
      <c r="L279" s="3" t="str">
        <f>IF(
(tbl_attendance[[#This Row],[R1 Pts]]&gt;0)+(tbl_attendance[[#This Row],[R2 Pts]]&gt;0)+(tbl_attendance[[#This Row],[R3 Pts]]&gt;0)+(tbl_attendance[[#This Row],[R4 Pts]]&gt;0)&gt;=3,"YES", "NO")</f>
        <v>NO</v>
      </c>
      <c r="M279" s="3" t="str">
        <f>IF(AND(tbl_attendance[[#This Row],[R1 Pts]]=0, tbl_attendance[[#This Row],[R2 Pts]]=0,tbl_attendance[[#This Row],[R3 Pts]]=0,tbl_attendance[[#This Row],[R4 Pts]]=0),"YES", "NO")</f>
        <v>NO</v>
      </c>
    </row>
    <row r="280" spans="1:13" hidden="1" x14ac:dyDescent="0.4">
      <c r="A280" t="e">
        <f>_xlfn.TEXTBEFORE(#REF!," ",)</f>
        <v>#REF!</v>
      </c>
      <c r="B280" t="e">
        <f>_xlfn.TEXTAFTER(#REF!, " ", -1)</f>
        <v>#REF!</v>
      </c>
      <c r="C280" t="s">
        <v>27</v>
      </c>
      <c r="D280" t="s">
        <v>2</v>
      </c>
      <c r="E280" s="3">
        <v>1243</v>
      </c>
      <c r="F280" s="3">
        <v>1</v>
      </c>
      <c r="G280" s="3">
        <v>0</v>
      </c>
      <c r="H280" s="3">
        <v>0</v>
      </c>
      <c r="I280" s="3">
        <v>0</v>
      </c>
      <c r="J280" s="3" t="str">
        <f>IF(AND(tbl_attendance[[#This Row],[R1 Pts]]&gt;0, tbl_attendance[[#This Row],[R2 Pts]]&gt;0,tbl_attendance[[#This Row],[R3 Pts]]&gt;0,tbl_attendance[[#This Row],[R4 Pts]]&gt;0),"YES", "NO")</f>
        <v>NO</v>
      </c>
      <c r="K280" s="3" t="str">
        <f>IF(AND(tbl_attendance[[#This Row],[R2 Pts]]&gt;0, tbl_attendance[[#This Row],[R4 Pts]]&gt;0), "YES", "NO")</f>
        <v>NO</v>
      </c>
      <c r="L280" s="3" t="str">
        <f>IF(
(tbl_attendance[[#This Row],[R1 Pts]]&gt;0)+(tbl_attendance[[#This Row],[R2 Pts]]&gt;0)+(tbl_attendance[[#This Row],[R3 Pts]]&gt;0)+(tbl_attendance[[#This Row],[R4 Pts]]&gt;0)&gt;=3,"YES", "NO")</f>
        <v>NO</v>
      </c>
      <c r="M280" s="3" t="str">
        <f>IF(AND(tbl_attendance[[#This Row],[R1 Pts]]=0, tbl_attendance[[#This Row],[R2 Pts]]=0,tbl_attendance[[#This Row],[R3 Pts]]=0,tbl_attendance[[#This Row],[R4 Pts]]=0),"YES", "NO")</f>
        <v>NO</v>
      </c>
    </row>
    <row r="281" spans="1:13" hidden="1" x14ac:dyDescent="0.4">
      <c r="A281" t="e">
        <f>_xlfn.TEXTBEFORE(#REF!," ",)</f>
        <v>#REF!</v>
      </c>
      <c r="B281" t="e">
        <f>_xlfn.TEXTAFTER(#REF!, " ", -1)</f>
        <v>#REF!</v>
      </c>
      <c r="C281" t="s">
        <v>27</v>
      </c>
      <c r="D281" t="s">
        <v>1</v>
      </c>
      <c r="E281" s="3">
        <v>12080</v>
      </c>
      <c r="F281" s="3">
        <v>28</v>
      </c>
      <c r="G281" s="3">
        <v>24</v>
      </c>
      <c r="H281" s="3">
        <v>20</v>
      </c>
      <c r="I281" s="3">
        <v>30</v>
      </c>
      <c r="J281" s="3" t="str">
        <f>IF(AND(tbl_attendance[[#This Row],[R1 Pts]]&gt;0, tbl_attendance[[#This Row],[R2 Pts]]&gt;0,tbl_attendance[[#This Row],[R3 Pts]]&gt;0,tbl_attendance[[#This Row],[R4 Pts]]&gt;0),"YES", "NO")</f>
        <v>YES</v>
      </c>
      <c r="K281" s="3" t="str">
        <f>IF(AND(tbl_attendance[[#This Row],[R2 Pts]]&gt;0, tbl_attendance[[#This Row],[R4 Pts]]&gt;0), "YES", "NO")</f>
        <v>YES</v>
      </c>
      <c r="L281" s="3" t="str">
        <f>IF(
(tbl_attendance[[#This Row],[R1 Pts]]&gt;0)+(tbl_attendance[[#This Row],[R2 Pts]]&gt;0)+(tbl_attendance[[#This Row],[R3 Pts]]&gt;0)+(tbl_attendance[[#This Row],[R4 Pts]]&gt;0)&gt;=3,"YES", "NO")</f>
        <v>YES</v>
      </c>
      <c r="M281" s="3" t="str">
        <f>IF(AND(tbl_attendance[[#This Row],[R1 Pts]]=0, tbl_attendance[[#This Row],[R2 Pts]]=0,tbl_attendance[[#This Row],[R3 Pts]]=0,tbl_attendance[[#This Row],[R4 Pts]]=0),"YES", "NO")</f>
        <v>NO</v>
      </c>
    </row>
    <row r="282" spans="1:13" hidden="1" x14ac:dyDescent="0.4">
      <c r="A282" t="e">
        <f>_xlfn.TEXTBEFORE(#REF!," ",)</f>
        <v>#REF!</v>
      </c>
      <c r="B282" t="e">
        <f>_xlfn.TEXTAFTER(#REF!, " ", -1)</f>
        <v>#REF!</v>
      </c>
      <c r="C282" t="s">
        <v>27</v>
      </c>
      <c r="D282" t="s">
        <v>1</v>
      </c>
      <c r="E282" s="3">
        <v>12081</v>
      </c>
      <c r="F282" s="3">
        <v>20</v>
      </c>
      <c r="G282" s="3">
        <v>1</v>
      </c>
      <c r="H282" s="3">
        <v>19</v>
      </c>
      <c r="I282" s="3">
        <v>4</v>
      </c>
      <c r="J282" s="3" t="str">
        <f>IF(AND(tbl_attendance[[#This Row],[R1 Pts]]&gt;0, tbl_attendance[[#This Row],[R2 Pts]]&gt;0,tbl_attendance[[#This Row],[R3 Pts]]&gt;0,tbl_attendance[[#This Row],[R4 Pts]]&gt;0),"YES", "NO")</f>
        <v>YES</v>
      </c>
      <c r="K282" s="3" t="str">
        <f>IF(AND(tbl_attendance[[#This Row],[R2 Pts]]&gt;0, tbl_attendance[[#This Row],[R4 Pts]]&gt;0), "YES", "NO")</f>
        <v>YES</v>
      </c>
      <c r="L282" s="3" t="str">
        <f>IF(
(tbl_attendance[[#This Row],[R1 Pts]]&gt;0)+(tbl_attendance[[#This Row],[R2 Pts]]&gt;0)+(tbl_attendance[[#This Row],[R3 Pts]]&gt;0)+(tbl_attendance[[#This Row],[R4 Pts]]&gt;0)&gt;=3,"YES", "NO")</f>
        <v>YES</v>
      </c>
      <c r="M282" s="3" t="str">
        <f>IF(AND(tbl_attendance[[#This Row],[R1 Pts]]=0, tbl_attendance[[#This Row],[R2 Pts]]=0,tbl_attendance[[#This Row],[R3 Pts]]=0,tbl_attendance[[#This Row],[R4 Pts]]=0),"YES", "NO")</f>
        <v>NO</v>
      </c>
    </row>
    <row r="283" spans="1:13" hidden="1" x14ac:dyDescent="0.4">
      <c r="A283" t="e">
        <f>_xlfn.TEXTBEFORE(#REF!," ",)</f>
        <v>#REF!</v>
      </c>
      <c r="B283" t="e">
        <f>_xlfn.TEXTAFTER(#REF!, " ", -1)</f>
        <v>#REF!</v>
      </c>
      <c r="C283" t="s">
        <v>27</v>
      </c>
      <c r="D283" t="s">
        <v>1</v>
      </c>
      <c r="E283" s="3">
        <v>12082</v>
      </c>
      <c r="F283" s="3">
        <v>22</v>
      </c>
      <c r="G283" s="3">
        <v>26</v>
      </c>
      <c r="H283" s="3">
        <v>21</v>
      </c>
      <c r="I283" s="3">
        <v>20</v>
      </c>
      <c r="J283" s="3" t="str">
        <f>IF(AND(tbl_attendance[[#This Row],[R1 Pts]]&gt;0, tbl_attendance[[#This Row],[R2 Pts]]&gt;0,tbl_attendance[[#This Row],[R3 Pts]]&gt;0,tbl_attendance[[#This Row],[R4 Pts]]&gt;0),"YES", "NO")</f>
        <v>YES</v>
      </c>
      <c r="K283" s="3" t="str">
        <f>IF(AND(tbl_attendance[[#This Row],[R2 Pts]]&gt;0, tbl_attendance[[#This Row],[R4 Pts]]&gt;0), "YES", "NO")</f>
        <v>YES</v>
      </c>
      <c r="L283" s="3" t="str">
        <f>IF(
(tbl_attendance[[#This Row],[R1 Pts]]&gt;0)+(tbl_attendance[[#This Row],[R2 Pts]]&gt;0)+(tbl_attendance[[#This Row],[R3 Pts]]&gt;0)+(tbl_attendance[[#This Row],[R4 Pts]]&gt;0)&gt;=3,"YES", "NO")</f>
        <v>YES</v>
      </c>
      <c r="M283" s="3" t="str">
        <f>IF(AND(tbl_attendance[[#This Row],[R1 Pts]]=0, tbl_attendance[[#This Row],[R2 Pts]]=0,tbl_attendance[[#This Row],[R3 Pts]]=0,tbl_attendance[[#This Row],[R4 Pts]]=0),"YES", "NO")</f>
        <v>NO</v>
      </c>
    </row>
    <row r="284" spans="1:13" hidden="1" x14ac:dyDescent="0.4">
      <c r="A284" t="e">
        <f>_xlfn.TEXTBEFORE(#REF!," ",)</f>
        <v>#REF!</v>
      </c>
      <c r="B284" t="e">
        <f>_xlfn.TEXTAFTER(#REF!, " ", -1)</f>
        <v>#REF!</v>
      </c>
      <c r="C284" t="s">
        <v>27</v>
      </c>
      <c r="D284" t="s">
        <v>1</v>
      </c>
      <c r="E284" s="3">
        <v>12083</v>
      </c>
      <c r="F284" s="3">
        <v>0</v>
      </c>
      <c r="G284" s="3">
        <v>1</v>
      </c>
      <c r="H284" s="3">
        <v>15</v>
      </c>
      <c r="I284" s="3">
        <v>16</v>
      </c>
      <c r="J284" s="3" t="str">
        <f>IF(AND(tbl_attendance[[#This Row],[R1 Pts]]&gt;0, tbl_attendance[[#This Row],[R2 Pts]]&gt;0,tbl_attendance[[#This Row],[R3 Pts]]&gt;0,tbl_attendance[[#This Row],[R4 Pts]]&gt;0),"YES", "NO")</f>
        <v>NO</v>
      </c>
      <c r="K284" s="3" t="str">
        <f>IF(AND(tbl_attendance[[#This Row],[R2 Pts]]&gt;0, tbl_attendance[[#This Row],[R4 Pts]]&gt;0), "YES", "NO")</f>
        <v>YES</v>
      </c>
      <c r="L284" s="3" t="str">
        <f>IF(
(tbl_attendance[[#This Row],[R1 Pts]]&gt;0)+(tbl_attendance[[#This Row],[R2 Pts]]&gt;0)+(tbl_attendance[[#This Row],[R3 Pts]]&gt;0)+(tbl_attendance[[#This Row],[R4 Pts]]&gt;0)&gt;=3,"YES", "NO")</f>
        <v>YES</v>
      </c>
      <c r="M284" s="3" t="str">
        <f>IF(AND(tbl_attendance[[#This Row],[R1 Pts]]=0, tbl_attendance[[#This Row],[R2 Pts]]=0,tbl_attendance[[#This Row],[R3 Pts]]=0,tbl_attendance[[#This Row],[R4 Pts]]=0),"YES", "NO")</f>
        <v>NO</v>
      </c>
    </row>
    <row r="285" spans="1:13" hidden="1" x14ac:dyDescent="0.4">
      <c r="A285" t="e">
        <f>_xlfn.TEXTBEFORE(#REF!," ",)</f>
        <v>#REF!</v>
      </c>
      <c r="B285" t="e">
        <f>_xlfn.TEXTAFTER(#REF!, " ", -1)</f>
        <v>#REF!</v>
      </c>
      <c r="C285" t="s">
        <v>27</v>
      </c>
      <c r="D285" t="s">
        <v>1</v>
      </c>
      <c r="E285" s="3">
        <v>12084</v>
      </c>
      <c r="F285" s="3">
        <v>34</v>
      </c>
      <c r="G285" s="3">
        <v>36</v>
      </c>
      <c r="H285" s="3">
        <v>30</v>
      </c>
      <c r="I285" s="3">
        <v>40</v>
      </c>
      <c r="J285" s="3" t="str">
        <f>IF(AND(tbl_attendance[[#This Row],[R1 Pts]]&gt;0, tbl_attendance[[#This Row],[R2 Pts]]&gt;0,tbl_attendance[[#This Row],[R3 Pts]]&gt;0,tbl_attendance[[#This Row],[R4 Pts]]&gt;0),"YES", "NO")</f>
        <v>YES</v>
      </c>
      <c r="K285" s="3" t="str">
        <f>IF(AND(tbl_attendance[[#This Row],[R2 Pts]]&gt;0, tbl_attendance[[#This Row],[R4 Pts]]&gt;0), "YES", "NO")</f>
        <v>YES</v>
      </c>
      <c r="L285" s="3" t="str">
        <f>IF(
(tbl_attendance[[#This Row],[R1 Pts]]&gt;0)+(tbl_attendance[[#This Row],[R2 Pts]]&gt;0)+(tbl_attendance[[#This Row],[R3 Pts]]&gt;0)+(tbl_attendance[[#This Row],[R4 Pts]]&gt;0)&gt;=3,"YES", "NO")</f>
        <v>YES</v>
      </c>
      <c r="M285" s="3" t="str">
        <f>IF(AND(tbl_attendance[[#This Row],[R1 Pts]]=0, tbl_attendance[[#This Row],[R2 Pts]]=0,tbl_attendance[[#This Row],[R3 Pts]]=0,tbl_attendance[[#This Row],[R4 Pts]]=0),"YES", "NO")</f>
        <v>NO</v>
      </c>
    </row>
    <row r="286" spans="1:13" hidden="1" x14ac:dyDescent="0.4">
      <c r="A286" t="e">
        <f>_xlfn.TEXTBEFORE(#REF!," ",)</f>
        <v>#REF!</v>
      </c>
      <c r="B286" t="e">
        <f>_xlfn.TEXTAFTER(#REF!, " ", -1)</f>
        <v>#REF!</v>
      </c>
      <c r="C286" t="s">
        <v>27</v>
      </c>
      <c r="D286" t="s">
        <v>1</v>
      </c>
      <c r="E286" s="3">
        <v>12085</v>
      </c>
      <c r="F286" s="3">
        <v>0</v>
      </c>
      <c r="G286" s="3">
        <v>41</v>
      </c>
      <c r="H286" s="3">
        <v>26</v>
      </c>
      <c r="I286" s="3">
        <v>43</v>
      </c>
      <c r="J286" s="3" t="str">
        <f>IF(AND(tbl_attendance[[#This Row],[R1 Pts]]&gt;0, tbl_attendance[[#This Row],[R2 Pts]]&gt;0,tbl_attendance[[#This Row],[R3 Pts]]&gt;0,tbl_attendance[[#This Row],[R4 Pts]]&gt;0),"YES", "NO")</f>
        <v>NO</v>
      </c>
      <c r="K286" s="3" t="str">
        <f>IF(AND(tbl_attendance[[#This Row],[R2 Pts]]&gt;0, tbl_attendance[[#This Row],[R4 Pts]]&gt;0), "YES", "NO")</f>
        <v>YES</v>
      </c>
      <c r="L286" s="3" t="str">
        <f>IF(
(tbl_attendance[[#This Row],[R1 Pts]]&gt;0)+(tbl_attendance[[#This Row],[R2 Pts]]&gt;0)+(tbl_attendance[[#This Row],[R3 Pts]]&gt;0)+(tbl_attendance[[#This Row],[R4 Pts]]&gt;0)&gt;=3,"YES", "NO")</f>
        <v>YES</v>
      </c>
      <c r="M286" s="3" t="str">
        <f>IF(AND(tbl_attendance[[#This Row],[R1 Pts]]=0, tbl_attendance[[#This Row],[R2 Pts]]=0,tbl_attendance[[#This Row],[R3 Pts]]=0,tbl_attendance[[#This Row],[R4 Pts]]=0),"YES", "NO")</f>
        <v>NO</v>
      </c>
    </row>
    <row r="287" spans="1:13" hidden="1" x14ac:dyDescent="0.4">
      <c r="A287" t="e">
        <f>_xlfn.TEXTBEFORE(#REF!," ",)</f>
        <v>#REF!</v>
      </c>
      <c r="B287" t="e">
        <f>_xlfn.TEXTAFTER(#REF!, " ", -1)</f>
        <v>#REF!</v>
      </c>
      <c r="C287" t="s">
        <v>27</v>
      </c>
      <c r="D287" t="s">
        <v>1</v>
      </c>
      <c r="E287" s="3">
        <v>12086</v>
      </c>
      <c r="F287" s="3">
        <v>0</v>
      </c>
      <c r="G287" s="3">
        <v>12</v>
      </c>
      <c r="H287" s="3">
        <v>27</v>
      </c>
      <c r="I287" s="3">
        <v>31</v>
      </c>
      <c r="J287" s="3" t="str">
        <f>IF(AND(tbl_attendance[[#This Row],[R1 Pts]]&gt;0, tbl_attendance[[#This Row],[R2 Pts]]&gt;0,tbl_attendance[[#This Row],[R3 Pts]]&gt;0,tbl_attendance[[#This Row],[R4 Pts]]&gt;0),"YES", "NO")</f>
        <v>NO</v>
      </c>
      <c r="K287" s="3" t="str">
        <f>IF(AND(tbl_attendance[[#This Row],[R2 Pts]]&gt;0, tbl_attendance[[#This Row],[R4 Pts]]&gt;0), "YES", "NO")</f>
        <v>YES</v>
      </c>
      <c r="L287" s="3" t="str">
        <f>IF(
(tbl_attendance[[#This Row],[R1 Pts]]&gt;0)+(tbl_attendance[[#This Row],[R2 Pts]]&gt;0)+(tbl_attendance[[#This Row],[R3 Pts]]&gt;0)+(tbl_attendance[[#This Row],[R4 Pts]]&gt;0)&gt;=3,"YES", "NO")</f>
        <v>YES</v>
      </c>
      <c r="M287" s="3" t="str">
        <f>IF(AND(tbl_attendance[[#This Row],[R1 Pts]]=0, tbl_attendance[[#This Row],[R2 Pts]]=0,tbl_attendance[[#This Row],[R3 Pts]]=0,tbl_attendance[[#This Row],[R4 Pts]]=0),"YES", "NO")</f>
        <v>NO</v>
      </c>
    </row>
    <row r="288" spans="1:13" hidden="1" x14ac:dyDescent="0.4">
      <c r="A288" t="e">
        <f>_xlfn.TEXTBEFORE(#REF!," ",)</f>
        <v>#REF!</v>
      </c>
      <c r="B288" t="e">
        <f>_xlfn.TEXTAFTER(#REF!, " ", -1)</f>
        <v>#REF!</v>
      </c>
      <c r="C288" t="s">
        <v>28</v>
      </c>
      <c r="D288" t="s">
        <v>7</v>
      </c>
      <c r="E288" s="3">
        <v>826</v>
      </c>
      <c r="F288" s="3">
        <v>44</v>
      </c>
      <c r="G288" s="3">
        <v>75</v>
      </c>
      <c r="H288" s="3">
        <v>47</v>
      </c>
      <c r="I288" s="3">
        <v>85</v>
      </c>
      <c r="J288" s="3" t="str">
        <f>IF(AND(tbl_attendance[[#This Row],[R1 Pts]]&gt;0, tbl_attendance[[#This Row],[R2 Pts]]&gt;0,tbl_attendance[[#This Row],[R3 Pts]]&gt;0,tbl_attendance[[#This Row],[R4 Pts]]&gt;0),"YES", "NO")</f>
        <v>YES</v>
      </c>
      <c r="K288" s="3" t="str">
        <f>IF(AND(tbl_attendance[[#This Row],[R2 Pts]]&gt;0, tbl_attendance[[#This Row],[R4 Pts]]&gt;0), "YES", "NO")</f>
        <v>YES</v>
      </c>
      <c r="L288" s="3" t="str">
        <f>IF(
(tbl_attendance[[#This Row],[R1 Pts]]&gt;0)+(tbl_attendance[[#This Row],[R2 Pts]]&gt;0)+(tbl_attendance[[#This Row],[R3 Pts]]&gt;0)+(tbl_attendance[[#This Row],[R4 Pts]]&gt;0)&gt;=3,"YES", "NO")</f>
        <v>YES</v>
      </c>
      <c r="M288" s="3" t="str">
        <f>IF(AND(tbl_attendance[[#This Row],[R1 Pts]]=0, tbl_attendance[[#This Row],[R2 Pts]]=0,tbl_attendance[[#This Row],[R3 Pts]]=0,tbl_attendance[[#This Row],[R4 Pts]]=0),"YES", "NO")</f>
        <v>NO</v>
      </c>
    </row>
    <row r="289" spans="1:16371" hidden="1" x14ac:dyDescent="0.4">
      <c r="A289" t="e">
        <f>_xlfn.TEXTBEFORE(#REF!," ",)</f>
        <v>#REF!</v>
      </c>
      <c r="B289" t="e">
        <f>_xlfn.TEXTAFTER(#REF!, " ", -1)</f>
        <v>#REF!</v>
      </c>
      <c r="C289" t="s">
        <v>28</v>
      </c>
      <c r="D289" t="s">
        <v>7</v>
      </c>
      <c r="E289" s="3">
        <v>827</v>
      </c>
      <c r="F289" s="3">
        <v>25</v>
      </c>
      <c r="G289" s="3">
        <v>0</v>
      </c>
      <c r="H289" s="3">
        <v>26</v>
      </c>
      <c r="I289" s="3">
        <v>0</v>
      </c>
      <c r="J289" s="3" t="str">
        <f>IF(AND(tbl_attendance[[#This Row],[R1 Pts]]&gt;0, tbl_attendance[[#This Row],[R2 Pts]]&gt;0,tbl_attendance[[#This Row],[R3 Pts]]&gt;0,tbl_attendance[[#This Row],[R4 Pts]]&gt;0),"YES", "NO")</f>
        <v>NO</v>
      </c>
      <c r="K289" s="3" t="str">
        <f>IF(AND(tbl_attendance[[#This Row],[R2 Pts]]&gt;0, tbl_attendance[[#This Row],[R4 Pts]]&gt;0), "YES", "NO")</f>
        <v>NO</v>
      </c>
      <c r="L289" s="3" t="str">
        <f>IF(
(tbl_attendance[[#This Row],[R1 Pts]]&gt;0)+(tbl_attendance[[#This Row],[R2 Pts]]&gt;0)+(tbl_attendance[[#This Row],[R3 Pts]]&gt;0)+(tbl_attendance[[#This Row],[R4 Pts]]&gt;0)&gt;=3,"YES", "NO")</f>
        <v>NO</v>
      </c>
      <c r="M289" s="3" t="str">
        <f>IF(AND(tbl_attendance[[#This Row],[R1 Pts]]=0, tbl_attendance[[#This Row],[R2 Pts]]=0,tbl_attendance[[#This Row],[R3 Pts]]=0,tbl_attendance[[#This Row],[R4 Pts]]=0),"YES", "NO")</f>
        <v>NO</v>
      </c>
    </row>
    <row r="290" spans="1:16371" hidden="1" x14ac:dyDescent="0.4">
      <c r="A290" t="e">
        <f>_xlfn.TEXTBEFORE(#REF!," ",)</f>
        <v>#REF!</v>
      </c>
      <c r="B290" t="e">
        <f>_xlfn.TEXTAFTER(#REF!, " ", -1)</f>
        <v>#REF!</v>
      </c>
      <c r="C290" t="s">
        <v>28</v>
      </c>
      <c r="D290" t="s">
        <v>7</v>
      </c>
      <c r="E290" s="3">
        <v>828</v>
      </c>
      <c r="F290" s="3">
        <v>24</v>
      </c>
      <c r="G290" s="3">
        <v>0</v>
      </c>
      <c r="H290" s="3">
        <v>24</v>
      </c>
      <c r="I290" s="3">
        <v>0</v>
      </c>
      <c r="J290" s="3" t="str">
        <f>IF(AND(tbl_attendance[[#This Row],[R1 Pts]]&gt;0, tbl_attendance[[#This Row],[R2 Pts]]&gt;0,tbl_attendance[[#This Row],[R3 Pts]]&gt;0,tbl_attendance[[#This Row],[R4 Pts]]&gt;0),"YES", "NO")</f>
        <v>NO</v>
      </c>
      <c r="K290" s="3" t="str">
        <f>IF(AND(tbl_attendance[[#This Row],[R2 Pts]]&gt;0, tbl_attendance[[#This Row],[R4 Pts]]&gt;0), "YES", "NO")</f>
        <v>NO</v>
      </c>
      <c r="L290" s="3" t="str">
        <f>IF(
(tbl_attendance[[#This Row],[R1 Pts]]&gt;0)+(tbl_attendance[[#This Row],[R2 Pts]]&gt;0)+(tbl_attendance[[#This Row],[R3 Pts]]&gt;0)+(tbl_attendance[[#This Row],[R4 Pts]]&gt;0)&gt;=3,"YES", "NO")</f>
        <v>NO</v>
      </c>
      <c r="M290" s="3" t="str">
        <f>IF(AND(tbl_attendance[[#This Row],[R1 Pts]]=0, tbl_attendance[[#This Row],[R2 Pts]]=0,tbl_attendance[[#This Row],[R3 Pts]]=0,tbl_attendance[[#This Row],[R4 Pts]]=0),"YES", "NO")</f>
        <v>NO</v>
      </c>
    </row>
    <row r="291" spans="1:16371" hidden="1" x14ac:dyDescent="0.4">
      <c r="A291" t="e">
        <f>_xlfn.TEXTBEFORE(#REF!," ",)</f>
        <v>#REF!</v>
      </c>
      <c r="B291" t="e">
        <f>_xlfn.TEXTAFTER(#REF!, " ", -1)</f>
        <v>#REF!</v>
      </c>
      <c r="C291" t="s">
        <v>28</v>
      </c>
      <c r="D291" t="s">
        <v>7</v>
      </c>
      <c r="E291" s="3">
        <v>829</v>
      </c>
      <c r="F291" s="3">
        <v>39</v>
      </c>
      <c r="G291" s="3">
        <v>39</v>
      </c>
      <c r="H291" s="3">
        <v>45</v>
      </c>
      <c r="I291" s="3">
        <v>42</v>
      </c>
      <c r="J291" s="3" t="str">
        <f>IF(AND(tbl_attendance[[#This Row],[R1 Pts]]&gt;0, tbl_attendance[[#This Row],[R2 Pts]]&gt;0,tbl_attendance[[#This Row],[R3 Pts]]&gt;0,tbl_attendance[[#This Row],[R4 Pts]]&gt;0),"YES", "NO")</f>
        <v>YES</v>
      </c>
      <c r="K291" s="3" t="str">
        <f>IF(AND(tbl_attendance[[#This Row],[R2 Pts]]&gt;0, tbl_attendance[[#This Row],[R4 Pts]]&gt;0), "YES", "NO")</f>
        <v>YES</v>
      </c>
      <c r="L291" s="3" t="str">
        <f>IF(
(tbl_attendance[[#This Row],[R1 Pts]]&gt;0)+(tbl_attendance[[#This Row],[R2 Pts]]&gt;0)+(tbl_attendance[[#This Row],[R3 Pts]]&gt;0)+(tbl_attendance[[#This Row],[R4 Pts]]&gt;0)&gt;=3,"YES", "NO")</f>
        <v>YES</v>
      </c>
      <c r="M291" s="3" t="str">
        <f>IF(AND(tbl_attendance[[#This Row],[R1 Pts]]=0, tbl_attendance[[#This Row],[R2 Pts]]=0,tbl_attendance[[#This Row],[R3 Pts]]=0,tbl_attendance[[#This Row],[R4 Pts]]=0),"YES", "NO")</f>
        <v>NO</v>
      </c>
    </row>
    <row r="292" spans="1:16371" hidden="1" x14ac:dyDescent="0.4">
      <c r="A292" t="e">
        <f>_xlfn.TEXTBEFORE(#REF!," ",)</f>
        <v>#REF!</v>
      </c>
      <c r="B292" t="e">
        <f>_xlfn.TEXTAFTER(#REF!, " ", -1)</f>
        <v>#REF!</v>
      </c>
      <c r="C292" t="s">
        <v>28</v>
      </c>
      <c r="D292" t="s">
        <v>5</v>
      </c>
      <c r="E292" s="3">
        <v>945</v>
      </c>
      <c r="F292" s="3">
        <v>0</v>
      </c>
      <c r="G292" s="3">
        <v>32</v>
      </c>
      <c r="H292" s="3">
        <v>36</v>
      </c>
      <c r="I292" s="3">
        <v>23</v>
      </c>
      <c r="J292" s="3" t="str">
        <f>IF(AND(tbl_attendance[[#This Row],[R1 Pts]]&gt;0, tbl_attendance[[#This Row],[R2 Pts]]&gt;0,tbl_attendance[[#This Row],[R3 Pts]]&gt;0,tbl_attendance[[#This Row],[R4 Pts]]&gt;0),"YES", "NO")</f>
        <v>NO</v>
      </c>
      <c r="K292" s="3" t="str">
        <f>IF(AND(tbl_attendance[[#This Row],[R2 Pts]]&gt;0, tbl_attendance[[#This Row],[R4 Pts]]&gt;0), "YES", "NO")</f>
        <v>YES</v>
      </c>
      <c r="L292" s="3" t="str">
        <f>IF(
(tbl_attendance[[#This Row],[R1 Pts]]&gt;0)+(tbl_attendance[[#This Row],[R2 Pts]]&gt;0)+(tbl_attendance[[#This Row],[R3 Pts]]&gt;0)+(tbl_attendance[[#This Row],[R4 Pts]]&gt;0)&gt;=3,"YES", "NO")</f>
        <v>YES</v>
      </c>
      <c r="M292" s="3" t="str">
        <f>IF(AND(tbl_attendance[[#This Row],[R1 Pts]]=0, tbl_attendance[[#This Row],[R2 Pts]]=0,tbl_attendance[[#This Row],[R3 Pts]]=0,tbl_attendance[[#This Row],[R4 Pts]]=0),"YES", "NO")</f>
        <v>NO</v>
      </c>
    </row>
    <row r="293" spans="1:16371" hidden="1" x14ac:dyDescent="0.4">
      <c r="A293" t="e">
        <f>_xlfn.TEXTBEFORE(#REF!," ",)</f>
        <v>#REF!</v>
      </c>
      <c r="B293" t="e">
        <f>_xlfn.TEXTAFTER(#REF!, " ", -1)</f>
        <v>#REF!</v>
      </c>
      <c r="C293" t="s">
        <v>28</v>
      </c>
      <c r="D293" t="s">
        <v>5</v>
      </c>
      <c r="E293" s="3">
        <v>946</v>
      </c>
      <c r="F293" s="3">
        <v>45</v>
      </c>
      <c r="G293" s="3">
        <v>1</v>
      </c>
      <c r="H293" s="3">
        <v>47</v>
      </c>
      <c r="I293" s="3">
        <v>24</v>
      </c>
      <c r="J293" s="3" t="str">
        <f>IF(AND(tbl_attendance[[#This Row],[R1 Pts]]&gt;0, tbl_attendance[[#This Row],[R2 Pts]]&gt;0,tbl_attendance[[#This Row],[R3 Pts]]&gt;0,tbl_attendance[[#This Row],[R4 Pts]]&gt;0),"YES", "NO")</f>
        <v>YES</v>
      </c>
      <c r="K293" s="3" t="str">
        <f>IF(AND(tbl_attendance[[#This Row],[R2 Pts]]&gt;0, tbl_attendance[[#This Row],[R4 Pts]]&gt;0), "YES", "NO")</f>
        <v>YES</v>
      </c>
      <c r="L293" s="3" t="str">
        <f>IF(
(tbl_attendance[[#This Row],[R1 Pts]]&gt;0)+(tbl_attendance[[#This Row],[R2 Pts]]&gt;0)+(tbl_attendance[[#This Row],[R3 Pts]]&gt;0)+(tbl_attendance[[#This Row],[R4 Pts]]&gt;0)&gt;=3,"YES", "NO")</f>
        <v>YES</v>
      </c>
      <c r="M293" s="3" t="str">
        <f>IF(AND(tbl_attendance[[#This Row],[R1 Pts]]=0, tbl_attendance[[#This Row],[R2 Pts]]=0,tbl_attendance[[#This Row],[R3 Pts]]=0,tbl_attendance[[#This Row],[R4 Pts]]=0),"YES", "NO")</f>
        <v>NO</v>
      </c>
    </row>
    <row r="294" spans="1:16371" hidden="1" x14ac:dyDescent="0.4">
      <c r="A294" t="e">
        <f>_xlfn.TEXTBEFORE(#REF!," ",)</f>
        <v>#REF!</v>
      </c>
      <c r="B294" t="e">
        <f>_xlfn.TEXTAFTER(#REF!, " ", -1)</f>
        <v>#REF!</v>
      </c>
      <c r="C294" t="s">
        <v>28</v>
      </c>
      <c r="D294" t="s">
        <v>5</v>
      </c>
      <c r="E294" s="3">
        <v>947</v>
      </c>
      <c r="F294" s="3">
        <v>37</v>
      </c>
      <c r="G294" s="3">
        <v>45</v>
      </c>
      <c r="H294" s="3">
        <v>45</v>
      </c>
      <c r="I294" s="3">
        <v>49</v>
      </c>
      <c r="J294" s="3" t="str">
        <f>IF(AND(tbl_attendance[[#This Row],[R1 Pts]]&gt;0, tbl_attendance[[#This Row],[R2 Pts]]&gt;0,tbl_attendance[[#This Row],[R3 Pts]]&gt;0,tbl_attendance[[#This Row],[R4 Pts]]&gt;0),"YES", "NO")</f>
        <v>YES</v>
      </c>
      <c r="K294" s="3" t="str">
        <f>IF(AND(tbl_attendance[[#This Row],[R2 Pts]]&gt;0, tbl_attendance[[#This Row],[R4 Pts]]&gt;0), "YES", "NO")</f>
        <v>YES</v>
      </c>
      <c r="L294" s="3" t="str">
        <f>IF(
(tbl_attendance[[#This Row],[R1 Pts]]&gt;0)+(tbl_attendance[[#This Row],[R2 Pts]]&gt;0)+(tbl_attendance[[#This Row],[R3 Pts]]&gt;0)+(tbl_attendance[[#This Row],[R4 Pts]]&gt;0)&gt;=3,"YES", "NO")</f>
        <v>YES</v>
      </c>
      <c r="M294" s="3" t="str">
        <f>IF(AND(tbl_attendance[[#This Row],[R1 Pts]]=0, tbl_attendance[[#This Row],[R2 Pts]]=0,tbl_attendance[[#This Row],[R3 Pts]]=0,tbl_attendance[[#This Row],[R4 Pts]]=0),"YES", "NO")</f>
        <v>NO</v>
      </c>
    </row>
    <row r="295" spans="1:16371" hidden="1" x14ac:dyDescent="0.4">
      <c r="A295" t="e">
        <f>_xlfn.TEXTBEFORE(#REF!," ",)</f>
        <v>#REF!</v>
      </c>
      <c r="B295" t="e">
        <f>_xlfn.TEXTAFTER(#REF!, " ", -1)</f>
        <v>#REF!</v>
      </c>
      <c r="C295" t="s">
        <v>28</v>
      </c>
      <c r="D295" t="s">
        <v>5</v>
      </c>
      <c r="E295" s="3">
        <v>948</v>
      </c>
      <c r="F295" s="3">
        <v>36</v>
      </c>
      <c r="G295" s="3">
        <v>41</v>
      </c>
      <c r="H295" s="3">
        <v>41</v>
      </c>
      <c r="I295" s="3">
        <v>53</v>
      </c>
      <c r="J295" s="3" t="str">
        <f>IF(AND(tbl_attendance[[#This Row],[R1 Pts]]&gt;0, tbl_attendance[[#This Row],[R2 Pts]]&gt;0,tbl_attendance[[#This Row],[R3 Pts]]&gt;0,tbl_attendance[[#This Row],[R4 Pts]]&gt;0),"YES", "NO")</f>
        <v>YES</v>
      </c>
      <c r="K295" s="3" t="str">
        <f>IF(AND(tbl_attendance[[#This Row],[R2 Pts]]&gt;0, tbl_attendance[[#This Row],[R4 Pts]]&gt;0), "YES", "NO")</f>
        <v>YES</v>
      </c>
      <c r="L295" s="3" t="str">
        <f>IF(
(tbl_attendance[[#This Row],[R1 Pts]]&gt;0)+(tbl_attendance[[#This Row],[R2 Pts]]&gt;0)+(tbl_attendance[[#This Row],[R3 Pts]]&gt;0)+(tbl_attendance[[#This Row],[R4 Pts]]&gt;0)&gt;=3,"YES", "NO")</f>
        <v>YES</v>
      </c>
      <c r="M295" s="3" t="str">
        <f>IF(AND(tbl_attendance[[#This Row],[R1 Pts]]=0, tbl_attendance[[#This Row],[R2 Pts]]=0,tbl_attendance[[#This Row],[R3 Pts]]=0,tbl_attendance[[#This Row],[R4 Pts]]=0),"YES", "NO")</f>
        <v>NO</v>
      </c>
    </row>
    <row r="296" spans="1:16371" hidden="1" x14ac:dyDescent="0.4">
      <c r="A296" t="e">
        <f>_xlfn.TEXTBEFORE(#REF!," ",)</f>
        <v>#REF!</v>
      </c>
      <c r="B296" t="e">
        <f>_xlfn.TEXTAFTER(#REF!, " ", -1)</f>
        <v>#REF!</v>
      </c>
      <c r="C296" t="s">
        <v>28</v>
      </c>
      <c r="D296" t="s">
        <v>5</v>
      </c>
      <c r="E296" s="3">
        <v>949</v>
      </c>
      <c r="F296" s="3">
        <v>26</v>
      </c>
      <c r="G296" s="3">
        <v>30</v>
      </c>
      <c r="H296" s="3">
        <v>0</v>
      </c>
      <c r="I296" s="3">
        <v>36</v>
      </c>
      <c r="J296" s="3" t="str">
        <f>IF(AND(tbl_attendance[[#This Row],[R1 Pts]]&gt;0, tbl_attendance[[#This Row],[R2 Pts]]&gt;0,tbl_attendance[[#This Row],[R3 Pts]]&gt;0,tbl_attendance[[#This Row],[R4 Pts]]&gt;0),"YES", "NO")</f>
        <v>NO</v>
      </c>
      <c r="K296" s="3" t="str">
        <f>IF(AND(tbl_attendance[[#This Row],[R2 Pts]]&gt;0, tbl_attendance[[#This Row],[R4 Pts]]&gt;0), "YES", "NO")</f>
        <v>YES</v>
      </c>
      <c r="L296" s="3" t="str">
        <f>IF(
(tbl_attendance[[#This Row],[R1 Pts]]&gt;0)+(tbl_attendance[[#This Row],[R2 Pts]]&gt;0)+(tbl_attendance[[#This Row],[R3 Pts]]&gt;0)+(tbl_attendance[[#This Row],[R4 Pts]]&gt;0)&gt;=3,"YES", "NO")</f>
        <v>YES</v>
      </c>
      <c r="M296" s="3" t="str">
        <f>IF(AND(tbl_attendance[[#This Row],[R1 Pts]]=0, tbl_attendance[[#This Row],[R2 Pts]]=0,tbl_attendance[[#This Row],[R3 Pts]]=0,tbl_attendance[[#This Row],[R4 Pts]]=0),"YES", "NO")</f>
        <v>NO</v>
      </c>
    </row>
    <row r="297" spans="1:16371" hidden="1" x14ac:dyDescent="0.4">
      <c r="A297" t="e">
        <f>_xlfn.TEXTBEFORE(#REF!," ",)</f>
        <v>#REF!</v>
      </c>
      <c r="B297" t="e">
        <f>_xlfn.TEXTAFTER(#REF!, " ", -1)</f>
        <v>#REF!</v>
      </c>
      <c r="C297" t="s">
        <v>28</v>
      </c>
      <c r="D297" t="s">
        <v>2</v>
      </c>
      <c r="E297" s="3">
        <v>1244</v>
      </c>
      <c r="F297" s="3">
        <v>0</v>
      </c>
      <c r="G297" s="3">
        <v>75</v>
      </c>
      <c r="H297" s="3">
        <v>0</v>
      </c>
      <c r="I297" s="3">
        <v>0</v>
      </c>
      <c r="J297" s="3" t="str">
        <f>IF(AND(tbl_attendance[[#This Row],[R1 Pts]]&gt;0, tbl_attendance[[#This Row],[R2 Pts]]&gt;0,tbl_attendance[[#This Row],[R3 Pts]]&gt;0,tbl_attendance[[#This Row],[R4 Pts]]&gt;0),"YES", "NO")</f>
        <v>NO</v>
      </c>
      <c r="K297" s="3" t="str">
        <f>IF(AND(tbl_attendance[[#This Row],[R2 Pts]]&gt;0, tbl_attendance[[#This Row],[R4 Pts]]&gt;0), "YES", "NO")</f>
        <v>NO</v>
      </c>
      <c r="L297" s="3" t="str">
        <f>IF(
(tbl_attendance[[#This Row],[R1 Pts]]&gt;0)+(tbl_attendance[[#This Row],[R2 Pts]]&gt;0)+(tbl_attendance[[#This Row],[R3 Pts]]&gt;0)+(tbl_attendance[[#This Row],[R4 Pts]]&gt;0)&gt;=3,"YES", "NO")</f>
        <v>NO</v>
      </c>
      <c r="M297" s="3" t="str">
        <f>IF(AND(tbl_attendance[[#This Row],[R1 Pts]]=0, tbl_attendance[[#This Row],[R2 Pts]]=0,tbl_attendance[[#This Row],[R3 Pts]]=0,tbl_attendance[[#This Row],[R4 Pts]]=0),"YES", "NO")</f>
        <v>NO</v>
      </c>
    </row>
    <row r="298" spans="1:16371" hidden="1" x14ac:dyDescent="0.4">
      <c r="A298" t="e">
        <f>_xlfn.TEXTBEFORE(#REF!," ",)</f>
        <v>#REF!</v>
      </c>
      <c r="B298" t="e">
        <f>_xlfn.TEXTAFTER(#REF!, " ", -1)</f>
        <v>#REF!</v>
      </c>
      <c r="C298" t="s">
        <v>28</v>
      </c>
      <c r="D298" t="s">
        <v>3</v>
      </c>
      <c r="E298" s="3">
        <v>10192</v>
      </c>
      <c r="F298" s="3">
        <v>0</v>
      </c>
      <c r="G298" s="3">
        <v>0</v>
      </c>
      <c r="H298" s="3">
        <v>0</v>
      </c>
      <c r="I298" s="3">
        <v>24</v>
      </c>
      <c r="J298" s="3" t="str">
        <f>IF(AND(tbl_attendance[[#This Row],[R1 Pts]]&gt;0, tbl_attendance[[#This Row],[R2 Pts]]&gt;0,tbl_attendance[[#This Row],[R3 Pts]]&gt;0,tbl_attendance[[#This Row],[R4 Pts]]&gt;0),"YES", "NO")</f>
        <v>NO</v>
      </c>
      <c r="K298" s="3" t="str">
        <f>IF(AND(tbl_attendance[[#This Row],[R2 Pts]]&gt;0, tbl_attendance[[#This Row],[R4 Pts]]&gt;0), "YES", "NO")</f>
        <v>NO</v>
      </c>
      <c r="L298" s="3" t="str">
        <f>IF(
(tbl_attendance[[#This Row],[R1 Pts]]&gt;0)+(tbl_attendance[[#This Row],[R2 Pts]]&gt;0)+(tbl_attendance[[#This Row],[R3 Pts]]&gt;0)+(tbl_attendance[[#This Row],[R4 Pts]]&gt;0)&gt;=3,"YES", "NO")</f>
        <v>NO</v>
      </c>
      <c r="M298" s="3" t="str">
        <f>IF(AND(tbl_attendance[[#This Row],[R1 Pts]]=0, tbl_attendance[[#This Row],[R2 Pts]]=0,tbl_attendance[[#This Row],[R3 Pts]]=0,tbl_attendance[[#This Row],[R4 Pts]]=0),"YES", "NO")</f>
        <v>NO</v>
      </c>
    </row>
    <row r="299" spans="1:16371" hidden="1" x14ac:dyDescent="0.4">
      <c r="A299" t="e">
        <f>_xlfn.TEXTBEFORE(#REF!," ",)</f>
        <v>#REF!</v>
      </c>
      <c r="B299" t="e">
        <f>_xlfn.TEXTAFTER(#REF!, " ", -1)</f>
        <v>#REF!</v>
      </c>
      <c r="C299" t="s">
        <v>28</v>
      </c>
      <c r="D299" t="s">
        <v>1</v>
      </c>
      <c r="E299" s="3">
        <v>12087</v>
      </c>
      <c r="F299" s="3">
        <v>26</v>
      </c>
      <c r="G299" s="3">
        <v>0</v>
      </c>
      <c r="H299" s="3">
        <v>22</v>
      </c>
      <c r="I299" s="3">
        <v>15</v>
      </c>
      <c r="J299" s="3" t="str">
        <f>IF(AND(tbl_attendance[[#This Row],[R1 Pts]]&gt;0, tbl_attendance[[#This Row],[R2 Pts]]&gt;0,tbl_attendance[[#This Row],[R3 Pts]]&gt;0,tbl_attendance[[#This Row],[R4 Pts]]&gt;0),"YES", "NO")</f>
        <v>NO</v>
      </c>
      <c r="K299" s="3" t="str">
        <f>IF(AND(tbl_attendance[[#This Row],[R2 Pts]]&gt;0, tbl_attendance[[#This Row],[R4 Pts]]&gt;0), "YES", "NO")</f>
        <v>NO</v>
      </c>
      <c r="L299" s="3" t="str">
        <f>IF(
(tbl_attendance[[#This Row],[R1 Pts]]&gt;0)+(tbl_attendance[[#This Row],[R2 Pts]]&gt;0)+(tbl_attendance[[#This Row],[R3 Pts]]&gt;0)+(tbl_attendance[[#This Row],[R4 Pts]]&gt;0)&gt;=3,"YES", "NO")</f>
        <v>YES</v>
      </c>
      <c r="M299" s="15" t="str">
        <f>IF(AND(tbl_attendance[[#This Row],[R1 Pts]]=0, tbl_attendance[[#This Row],[R2 Pts]]=0,tbl_attendance[[#This Row],[R3 Pts]]=0,tbl_attendance[[#This Row],[R4 Pts]]=0),"YES", "NO")</f>
        <v>NO</v>
      </c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  <c r="EF299" s="11"/>
      <c r="EG299" s="11"/>
      <c r="EH299" s="11"/>
      <c r="EI299" s="11"/>
      <c r="EJ299" s="11"/>
      <c r="EK299" s="11"/>
      <c r="EL299" s="11"/>
      <c r="EM299" s="11"/>
      <c r="EN299" s="11"/>
      <c r="EO299" s="11"/>
      <c r="EP299" s="11"/>
      <c r="EQ299" s="11"/>
      <c r="ER299" s="11"/>
      <c r="ES299" s="11"/>
      <c r="ET299" s="11"/>
      <c r="EU299" s="11"/>
      <c r="EV299" s="11"/>
      <c r="EW299" s="11"/>
      <c r="EX299" s="11"/>
      <c r="EY299" s="11"/>
      <c r="EZ299" s="11"/>
      <c r="FA299" s="11"/>
      <c r="FB299" s="11"/>
      <c r="FC299" s="11"/>
      <c r="FD299" s="11"/>
      <c r="FE299" s="11"/>
      <c r="FF299" s="11"/>
      <c r="FG299" s="11"/>
      <c r="FH299" s="11"/>
      <c r="FI299" s="11"/>
      <c r="FJ299" s="11"/>
      <c r="FK299" s="11"/>
      <c r="FL299" s="11"/>
      <c r="FM299" s="11"/>
      <c r="FN299" s="11"/>
      <c r="FO299" s="11"/>
      <c r="FP299" s="11"/>
      <c r="FQ299" s="11"/>
      <c r="FR299" s="11"/>
      <c r="FS299" s="11"/>
      <c r="FT299" s="11"/>
      <c r="FU299" s="11"/>
      <c r="FV299" s="11"/>
      <c r="FW299" s="11"/>
      <c r="FX299" s="11"/>
      <c r="FY299" s="11"/>
      <c r="FZ299" s="11"/>
      <c r="GA299" s="11"/>
      <c r="GB299" s="11"/>
      <c r="GC299" s="11"/>
      <c r="GD299" s="11"/>
      <c r="GE299" s="11"/>
      <c r="GF299" s="11"/>
      <c r="GG299" s="11"/>
      <c r="GH299" s="11"/>
      <c r="GI299" s="11"/>
      <c r="GJ299" s="11"/>
      <c r="GK299" s="11"/>
      <c r="GL299" s="11"/>
      <c r="GM299" s="11"/>
      <c r="GN299" s="11"/>
      <c r="GO299" s="11"/>
      <c r="GP299" s="11"/>
      <c r="GQ299" s="11"/>
      <c r="GR299" s="11"/>
      <c r="GS299" s="11"/>
      <c r="GT299" s="11"/>
      <c r="GU299" s="11"/>
      <c r="GV299" s="11"/>
      <c r="GW299" s="11"/>
      <c r="GX299" s="11"/>
      <c r="GY299" s="11"/>
      <c r="GZ299" s="11"/>
      <c r="HA299" s="11"/>
      <c r="HB299" s="11"/>
      <c r="HC299" s="11"/>
      <c r="HD299" s="11"/>
      <c r="HE299" s="11"/>
      <c r="HF299" s="11"/>
      <c r="HG299" s="11"/>
      <c r="HH299" s="11"/>
      <c r="HI299" s="11"/>
      <c r="HJ299" s="11"/>
      <c r="HK299" s="11"/>
      <c r="HL299" s="11"/>
      <c r="HM299" s="11"/>
      <c r="HN299" s="11"/>
      <c r="HO299" s="11"/>
      <c r="HP299" s="11"/>
      <c r="HQ299" s="11"/>
      <c r="HR299" s="11"/>
      <c r="HS299" s="11"/>
      <c r="HT299" s="11"/>
      <c r="HU299" s="11"/>
      <c r="HV299" s="11"/>
      <c r="HW299" s="11"/>
      <c r="HX299" s="11"/>
      <c r="HY299" s="11"/>
      <c r="HZ299" s="11"/>
      <c r="IA299" s="11"/>
      <c r="IB299" s="11"/>
      <c r="IC299" s="11"/>
      <c r="ID299" s="11"/>
      <c r="IE299" s="11"/>
      <c r="IF299" s="11"/>
      <c r="IG299" s="11"/>
      <c r="IH299" s="11"/>
      <c r="II299" s="11"/>
      <c r="IJ299" s="11"/>
      <c r="IK299" s="11"/>
      <c r="IL299" s="11"/>
      <c r="IM299" s="11"/>
      <c r="IN299" s="11"/>
      <c r="IO299" s="11"/>
      <c r="IP299" s="11"/>
      <c r="IQ299" s="11"/>
      <c r="IR299" s="11"/>
      <c r="IS299" s="11"/>
      <c r="IT299" s="11"/>
      <c r="IU299" s="11"/>
      <c r="IV299" s="11"/>
      <c r="IW299" s="11"/>
      <c r="IX299" s="11"/>
      <c r="IY299" s="11"/>
      <c r="IZ299" s="11"/>
      <c r="JA299" s="11"/>
      <c r="JB299" s="11"/>
      <c r="JC299" s="11"/>
      <c r="JD299" s="11"/>
      <c r="JE299" s="11"/>
      <c r="JF299" s="11"/>
      <c r="JG299" s="11"/>
      <c r="JH299" s="11"/>
      <c r="JI299" s="11"/>
      <c r="JJ299" s="11"/>
      <c r="JK299" s="11"/>
      <c r="JL299" s="11"/>
      <c r="JM299" s="11"/>
      <c r="JN299" s="11"/>
      <c r="JO299" s="11"/>
      <c r="JP299" s="11"/>
      <c r="JQ299" s="11"/>
      <c r="JR299" s="11"/>
      <c r="JS299" s="11"/>
      <c r="JT299" s="11"/>
      <c r="JU299" s="11"/>
      <c r="JV299" s="11"/>
      <c r="JW299" s="11"/>
      <c r="JX299" s="11"/>
      <c r="JY299" s="11"/>
      <c r="JZ299" s="11"/>
      <c r="KA299" s="11"/>
      <c r="KB299" s="11"/>
      <c r="KC299" s="11"/>
      <c r="KD299" s="11"/>
      <c r="KE299" s="11"/>
      <c r="KF299" s="11"/>
      <c r="KG299" s="11"/>
      <c r="KH299" s="11"/>
      <c r="KI299" s="11"/>
      <c r="KJ299" s="11"/>
      <c r="KK299" s="11"/>
      <c r="KL299" s="11"/>
      <c r="KM299" s="11"/>
      <c r="KN299" s="11"/>
      <c r="KO299" s="11"/>
      <c r="KP299" s="11"/>
      <c r="KQ299" s="11"/>
      <c r="KR299" s="11"/>
      <c r="KS299" s="11"/>
      <c r="KT299" s="11"/>
      <c r="KU299" s="11"/>
      <c r="KV299" s="11"/>
      <c r="KW299" s="11"/>
      <c r="KX299" s="11"/>
      <c r="KY299" s="11"/>
      <c r="KZ299" s="11"/>
      <c r="LA299" s="11"/>
      <c r="LB299" s="11"/>
      <c r="LC299" s="11"/>
      <c r="LD299" s="11"/>
      <c r="LE299" s="11"/>
      <c r="LF299" s="11"/>
      <c r="LG299" s="11"/>
      <c r="LH299" s="11"/>
      <c r="LI299" s="11"/>
      <c r="LJ299" s="11"/>
      <c r="LK299" s="11"/>
      <c r="LL299" s="11"/>
      <c r="LM299" s="11"/>
      <c r="LN299" s="11"/>
      <c r="LO299" s="11"/>
      <c r="LP299" s="11"/>
      <c r="LQ299" s="11"/>
      <c r="LR299" s="11"/>
      <c r="LS299" s="11"/>
      <c r="LT299" s="11"/>
      <c r="LU299" s="11"/>
      <c r="LV299" s="11"/>
      <c r="LW299" s="11"/>
      <c r="LX299" s="11"/>
      <c r="LY299" s="11"/>
      <c r="LZ299" s="11"/>
      <c r="MA299" s="11"/>
      <c r="MB299" s="11"/>
      <c r="MC299" s="11"/>
      <c r="MD299" s="11"/>
      <c r="ME299" s="11"/>
      <c r="MF299" s="11"/>
      <c r="MG299" s="11"/>
      <c r="MH299" s="11"/>
      <c r="MI299" s="11"/>
      <c r="MJ299" s="11"/>
      <c r="MK299" s="11"/>
      <c r="ML299" s="11"/>
      <c r="MM299" s="11"/>
      <c r="MN299" s="11"/>
      <c r="MO299" s="11"/>
      <c r="MP299" s="11"/>
      <c r="MQ299" s="11"/>
      <c r="MR299" s="11"/>
      <c r="MS299" s="11"/>
      <c r="MT299" s="11"/>
      <c r="MU299" s="11"/>
      <c r="MV299" s="11"/>
      <c r="MW299" s="11"/>
      <c r="MX299" s="11"/>
      <c r="MY299" s="11"/>
      <c r="MZ299" s="11"/>
      <c r="NA299" s="11"/>
      <c r="NB299" s="11"/>
      <c r="NC299" s="11"/>
      <c r="ND299" s="11"/>
      <c r="NE299" s="11"/>
      <c r="NF299" s="11"/>
      <c r="NG299" s="11"/>
      <c r="NH299" s="11"/>
      <c r="NI299" s="11"/>
      <c r="NJ299" s="11"/>
      <c r="NK299" s="11"/>
      <c r="NL299" s="11"/>
      <c r="NM299" s="11"/>
      <c r="NN299" s="11"/>
      <c r="NO299" s="11"/>
      <c r="NP299" s="11"/>
      <c r="NQ299" s="11"/>
      <c r="NR299" s="11"/>
      <c r="NS299" s="11"/>
      <c r="NT299" s="11"/>
      <c r="NU299" s="11"/>
      <c r="NV299" s="11"/>
      <c r="NW299" s="11"/>
      <c r="NX299" s="11"/>
      <c r="NY299" s="11"/>
      <c r="NZ299" s="11"/>
      <c r="OA299" s="11"/>
      <c r="OB299" s="11"/>
      <c r="OC299" s="11"/>
      <c r="OD299" s="11"/>
      <c r="OE299" s="11"/>
      <c r="OF299" s="11"/>
      <c r="OG299" s="11"/>
      <c r="OH299" s="11"/>
      <c r="OI299" s="11"/>
      <c r="OJ299" s="11"/>
      <c r="OK299" s="11"/>
      <c r="OL299" s="11"/>
      <c r="OM299" s="11"/>
      <c r="ON299" s="11"/>
      <c r="OO299" s="11"/>
      <c r="OP299" s="11"/>
      <c r="OQ299" s="11"/>
      <c r="OR299" s="11"/>
      <c r="OS299" s="11"/>
      <c r="OT299" s="11"/>
      <c r="OU299" s="11"/>
      <c r="OV299" s="11"/>
      <c r="OW299" s="11"/>
      <c r="OX299" s="11"/>
      <c r="OY299" s="11"/>
      <c r="OZ299" s="11"/>
      <c r="PA299" s="11"/>
      <c r="PB299" s="11"/>
      <c r="PC299" s="11"/>
      <c r="PD299" s="11"/>
      <c r="PE299" s="11"/>
      <c r="PF299" s="11"/>
      <c r="PG299" s="11"/>
      <c r="PH299" s="11"/>
      <c r="PI299" s="11"/>
      <c r="PJ299" s="11"/>
      <c r="PK299" s="11"/>
      <c r="PL299" s="11"/>
      <c r="PM299" s="11"/>
      <c r="PN299" s="11"/>
      <c r="PO299" s="11"/>
      <c r="PP299" s="11"/>
      <c r="PQ299" s="11"/>
      <c r="PR299" s="11"/>
      <c r="PS299" s="11"/>
      <c r="PT299" s="11"/>
      <c r="PU299" s="11"/>
      <c r="PV299" s="11"/>
      <c r="PW299" s="11"/>
      <c r="PX299" s="11"/>
      <c r="PY299" s="11"/>
      <c r="PZ299" s="11"/>
      <c r="QA299" s="11"/>
      <c r="QB299" s="11"/>
      <c r="QC299" s="11"/>
      <c r="QD299" s="11"/>
      <c r="QE299" s="11"/>
      <c r="QF299" s="11"/>
      <c r="QG299" s="11"/>
      <c r="QH299" s="11"/>
      <c r="QI299" s="11"/>
      <c r="QJ299" s="11"/>
      <c r="QK299" s="11"/>
      <c r="QL299" s="11"/>
      <c r="QM299" s="11"/>
      <c r="QN299" s="11"/>
      <c r="QO299" s="11"/>
      <c r="QP299" s="11"/>
      <c r="QQ299" s="11"/>
      <c r="QR299" s="11"/>
      <c r="QS299" s="11"/>
      <c r="QT299" s="11"/>
      <c r="QU299" s="11"/>
      <c r="QV299" s="11"/>
      <c r="QW299" s="11"/>
      <c r="QX299" s="11"/>
      <c r="QY299" s="11"/>
      <c r="QZ299" s="11"/>
      <c r="RA299" s="11"/>
      <c r="RB299" s="11"/>
      <c r="RC299" s="11"/>
      <c r="RD299" s="11"/>
      <c r="RE299" s="11"/>
      <c r="RF299" s="11"/>
      <c r="RG299" s="11"/>
      <c r="RH299" s="11"/>
      <c r="RI299" s="11"/>
      <c r="RJ299" s="11"/>
      <c r="RK299" s="11"/>
      <c r="RL299" s="11"/>
      <c r="RM299" s="11"/>
      <c r="RN299" s="11"/>
      <c r="RO299" s="11"/>
      <c r="RP299" s="11"/>
      <c r="RQ299" s="11"/>
      <c r="RR299" s="11"/>
      <c r="RS299" s="11"/>
      <c r="RT299" s="11"/>
      <c r="RU299" s="11"/>
      <c r="RV299" s="11"/>
      <c r="RW299" s="11"/>
      <c r="RX299" s="11"/>
      <c r="RY299" s="11"/>
      <c r="RZ299" s="11"/>
      <c r="SA299" s="11"/>
      <c r="SB299" s="11"/>
      <c r="SC299" s="11"/>
      <c r="SD299" s="11"/>
      <c r="SE299" s="11"/>
      <c r="SF299" s="11"/>
      <c r="SG299" s="11"/>
      <c r="SH299" s="11"/>
      <c r="SI299" s="11"/>
      <c r="SJ299" s="11"/>
      <c r="SK299" s="11"/>
      <c r="SL299" s="11"/>
      <c r="SM299" s="11"/>
      <c r="SN299" s="11"/>
      <c r="SO299" s="11"/>
      <c r="SP299" s="11"/>
      <c r="SQ299" s="11"/>
      <c r="SR299" s="11"/>
      <c r="SS299" s="11"/>
      <c r="ST299" s="11"/>
      <c r="SU299" s="11"/>
      <c r="SV299" s="11"/>
      <c r="SW299" s="11"/>
      <c r="SX299" s="11"/>
      <c r="SY299" s="11"/>
      <c r="SZ299" s="11"/>
      <c r="TA299" s="11"/>
      <c r="TB299" s="11"/>
      <c r="TC299" s="11"/>
      <c r="TD299" s="11"/>
      <c r="TE299" s="11"/>
      <c r="TF299" s="11"/>
      <c r="TG299" s="11"/>
      <c r="TH299" s="11"/>
      <c r="TI299" s="11"/>
      <c r="TJ299" s="11"/>
      <c r="TK299" s="11"/>
      <c r="TL299" s="11"/>
      <c r="TM299" s="11"/>
      <c r="TN299" s="11"/>
      <c r="TO299" s="11"/>
      <c r="TP299" s="11"/>
      <c r="TQ299" s="11"/>
      <c r="TR299" s="11"/>
      <c r="TS299" s="11"/>
      <c r="TT299" s="11"/>
      <c r="TU299" s="11"/>
      <c r="TV299" s="11"/>
      <c r="TW299" s="11"/>
      <c r="TX299" s="11"/>
      <c r="TY299" s="11"/>
      <c r="TZ299" s="11"/>
      <c r="UA299" s="11"/>
      <c r="UB299" s="11"/>
      <c r="UC299" s="11"/>
      <c r="UD299" s="11"/>
      <c r="UE299" s="11"/>
      <c r="UF299" s="11"/>
      <c r="UG299" s="11"/>
      <c r="UH299" s="11"/>
      <c r="UI299" s="11"/>
      <c r="UJ299" s="11"/>
      <c r="UK299" s="11"/>
      <c r="UL299" s="11"/>
      <c r="UM299" s="11"/>
      <c r="UN299" s="11"/>
      <c r="UO299" s="11"/>
      <c r="UP299" s="11"/>
      <c r="UQ299" s="11"/>
      <c r="UR299" s="11"/>
      <c r="US299" s="11"/>
      <c r="UT299" s="11"/>
      <c r="UU299" s="11"/>
      <c r="UV299" s="11"/>
      <c r="UW299" s="11"/>
      <c r="UX299" s="11"/>
      <c r="UY299" s="11"/>
      <c r="UZ299" s="11"/>
      <c r="VA299" s="11"/>
      <c r="VB299" s="11"/>
      <c r="VC299" s="11"/>
      <c r="VD299" s="11"/>
      <c r="VE299" s="11"/>
      <c r="VF299" s="11"/>
      <c r="VG299" s="11"/>
      <c r="VH299" s="11"/>
      <c r="VI299" s="11"/>
      <c r="VJ299" s="11"/>
      <c r="VK299" s="11"/>
      <c r="VL299" s="11"/>
      <c r="VM299" s="11"/>
      <c r="VN299" s="11"/>
      <c r="VO299" s="11"/>
      <c r="VP299" s="11"/>
      <c r="VQ299" s="11"/>
      <c r="VR299" s="11"/>
      <c r="VS299" s="11"/>
      <c r="VT299" s="11"/>
      <c r="VU299" s="11"/>
      <c r="VV299" s="11"/>
      <c r="VW299" s="11"/>
      <c r="VX299" s="11"/>
      <c r="VY299" s="11"/>
      <c r="VZ299" s="11"/>
      <c r="WA299" s="11"/>
      <c r="WB299" s="11"/>
      <c r="WC299" s="11"/>
      <c r="WD299" s="11"/>
      <c r="WE299" s="11"/>
      <c r="WF299" s="11"/>
      <c r="WG299" s="11"/>
      <c r="WH299" s="11"/>
      <c r="WI299" s="11"/>
      <c r="WJ299" s="11"/>
      <c r="WK299" s="11"/>
      <c r="WL299" s="11"/>
      <c r="WM299" s="11"/>
      <c r="WN299" s="11"/>
      <c r="WO299" s="11"/>
      <c r="WP299" s="11"/>
      <c r="WQ299" s="11"/>
      <c r="WR299" s="11"/>
      <c r="WS299" s="11"/>
      <c r="WT299" s="11"/>
      <c r="WU299" s="11"/>
      <c r="WV299" s="11"/>
      <c r="WW299" s="11"/>
      <c r="WX299" s="11"/>
      <c r="WY299" s="11"/>
      <c r="WZ299" s="11"/>
      <c r="XA299" s="11"/>
      <c r="XB299" s="11"/>
      <c r="XC299" s="11"/>
      <c r="XD299" s="11"/>
      <c r="XE299" s="11"/>
      <c r="XF299" s="11"/>
      <c r="XG299" s="11"/>
      <c r="XH299" s="11"/>
      <c r="XI299" s="11"/>
      <c r="XJ299" s="11"/>
      <c r="XK299" s="11"/>
      <c r="XL299" s="11"/>
      <c r="XM299" s="11"/>
      <c r="XN299" s="11"/>
      <c r="XO299" s="11"/>
      <c r="XP299" s="11"/>
      <c r="XQ299" s="11"/>
      <c r="XR299" s="11"/>
      <c r="XS299" s="11"/>
      <c r="XT299" s="11"/>
      <c r="XU299" s="11"/>
      <c r="XV299" s="11"/>
      <c r="XW299" s="11"/>
      <c r="XX299" s="11"/>
      <c r="XY299" s="11"/>
      <c r="XZ299" s="11"/>
      <c r="YA299" s="11"/>
      <c r="YB299" s="11"/>
      <c r="YC299" s="11"/>
      <c r="YD299" s="11"/>
      <c r="YE299" s="11"/>
      <c r="YF299" s="11"/>
      <c r="YG299" s="11"/>
      <c r="YH299" s="11"/>
      <c r="YI299" s="11"/>
      <c r="YJ299" s="11"/>
      <c r="YK299" s="11"/>
      <c r="YL299" s="11"/>
      <c r="YM299" s="11"/>
      <c r="YN299" s="11"/>
      <c r="YO299" s="11"/>
      <c r="YP299" s="11"/>
      <c r="YQ299" s="11"/>
      <c r="YR299" s="11"/>
      <c r="YS299" s="11"/>
      <c r="YT299" s="11"/>
      <c r="YU299" s="11"/>
      <c r="YV299" s="11"/>
      <c r="YW299" s="11"/>
      <c r="YX299" s="11"/>
      <c r="YY299" s="11"/>
      <c r="YZ299" s="11"/>
      <c r="ZA299" s="11"/>
      <c r="ZB299" s="11"/>
      <c r="ZC299" s="11"/>
      <c r="ZD299" s="11"/>
      <c r="ZE299" s="11"/>
      <c r="ZF299" s="11"/>
      <c r="ZG299" s="11"/>
      <c r="ZH299" s="11"/>
      <c r="ZI299" s="11"/>
      <c r="ZJ299" s="11"/>
      <c r="ZK299" s="11"/>
      <c r="ZL299" s="11"/>
      <c r="ZM299" s="11"/>
      <c r="ZN299" s="11"/>
      <c r="ZO299" s="11"/>
      <c r="ZP299" s="11"/>
      <c r="ZQ299" s="11"/>
      <c r="ZR299" s="11"/>
      <c r="ZS299" s="11"/>
      <c r="ZT299" s="11"/>
      <c r="ZU299" s="11"/>
      <c r="ZV299" s="11"/>
      <c r="ZW299" s="11"/>
      <c r="ZX299" s="11"/>
      <c r="ZY299" s="11"/>
      <c r="ZZ299" s="11"/>
      <c r="AAA299" s="11"/>
      <c r="AAB299" s="11"/>
      <c r="AAC299" s="11"/>
      <c r="AAD299" s="11"/>
      <c r="AAE299" s="11"/>
      <c r="AAF299" s="11"/>
      <c r="AAG299" s="11"/>
      <c r="AAH299" s="11"/>
      <c r="AAI299" s="11"/>
      <c r="AAJ299" s="11"/>
      <c r="AAK299" s="11"/>
      <c r="AAL299" s="11"/>
      <c r="AAM299" s="11"/>
      <c r="AAN299" s="11"/>
      <c r="AAO299" s="11"/>
      <c r="AAP299" s="11"/>
      <c r="AAQ299" s="11"/>
      <c r="AAR299" s="11"/>
      <c r="AAS299" s="11"/>
      <c r="AAT299" s="11"/>
      <c r="AAU299" s="11"/>
      <c r="AAV299" s="11"/>
      <c r="AAW299" s="11"/>
      <c r="AAX299" s="11"/>
      <c r="AAY299" s="11"/>
      <c r="AAZ299" s="11"/>
      <c r="ABA299" s="11"/>
      <c r="ABB299" s="11"/>
      <c r="ABC299" s="11"/>
      <c r="ABD299" s="11"/>
      <c r="ABE299" s="11"/>
      <c r="ABF299" s="11"/>
      <c r="ABG299" s="11"/>
      <c r="ABH299" s="11"/>
      <c r="ABI299" s="11"/>
      <c r="ABJ299" s="11"/>
      <c r="ABK299" s="11"/>
      <c r="ABL299" s="11"/>
      <c r="ABM299" s="11"/>
      <c r="ABN299" s="11"/>
      <c r="ABO299" s="11"/>
      <c r="ABP299" s="11"/>
      <c r="ABQ299" s="11"/>
      <c r="ABR299" s="11"/>
      <c r="ABS299" s="11"/>
      <c r="ABT299" s="11"/>
      <c r="ABU299" s="11"/>
      <c r="ABV299" s="11"/>
      <c r="ABW299" s="11"/>
      <c r="ABX299" s="11"/>
      <c r="ABY299" s="11"/>
      <c r="ABZ299" s="11"/>
      <c r="ACA299" s="11"/>
      <c r="ACB299" s="11"/>
      <c r="ACC299" s="11"/>
      <c r="ACD299" s="11"/>
      <c r="ACE299" s="11"/>
      <c r="ACF299" s="11"/>
      <c r="ACG299" s="11"/>
      <c r="ACH299" s="11"/>
      <c r="ACI299" s="11"/>
      <c r="ACJ299" s="11"/>
      <c r="ACK299" s="11"/>
      <c r="ACL299" s="11"/>
      <c r="ACM299" s="11"/>
      <c r="ACN299" s="11"/>
      <c r="ACO299" s="11"/>
      <c r="ACP299" s="11"/>
      <c r="ACQ299" s="11"/>
      <c r="ACR299" s="11"/>
      <c r="ACS299" s="11"/>
      <c r="ACT299" s="11"/>
      <c r="ACU299" s="11"/>
      <c r="ACV299" s="11"/>
      <c r="ACW299" s="11"/>
      <c r="ACX299" s="11"/>
      <c r="ACY299" s="11"/>
      <c r="ACZ299" s="11"/>
      <c r="ADA299" s="11"/>
      <c r="ADB299" s="11"/>
      <c r="ADC299" s="11"/>
      <c r="ADD299" s="11"/>
      <c r="ADE299" s="11"/>
      <c r="ADF299" s="11"/>
      <c r="ADG299" s="11"/>
      <c r="ADH299" s="11"/>
      <c r="ADI299" s="11"/>
      <c r="ADJ299" s="11"/>
      <c r="ADK299" s="11"/>
      <c r="ADL299" s="11"/>
      <c r="ADM299" s="11"/>
      <c r="ADN299" s="11"/>
      <c r="ADO299" s="11"/>
      <c r="ADP299" s="11"/>
      <c r="ADQ299" s="11"/>
      <c r="ADR299" s="11"/>
      <c r="ADS299" s="11"/>
      <c r="ADT299" s="11"/>
      <c r="ADU299" s="11"/>
      <c r="ADV299" s="11"/>
      <c r="ADW299" s="11"/>
      <c r="ADX299" s="11"/>
      <c r="ADY299" s="11"/>
      <c r="ADZ299" s="11"/>
      <c r="AEA299" s="11"/>
      <c r="AEB299" s="11"/>
      <c r="AEC299" s="11"/>
      <c r="AED299" s="11"/>
      <c r="AEE299" s="11"/>
      <c r="AEF299" s="11"/>
      <c r="AEG299" s="11"/>
      <c r="AEH299" s="11"/>
      <c r="AEI299" s="11"/>
      <c r="AEJ299" s="11"/>
      <c r="AEK299" s="11"/>
      <c r="AEL299" s="11"/>
      <c r="AEM299" s="11"/>
      <c r="AEN299" s="11"/>
      <c r="AEO299" s="11"/>
      <c r="AEP299" s="11"/>
      <c r="AEQ299" s="11"/>
      <c r="AER299" s="11"/>
      <c r="AES299" s="11"/>
      <c r="AET299" s="11"/>
      <c r="AEU299" s="11"/>
      <c r="AEV299" s="11"/>
      <c r="AEW299" s="11"/>
      <c r="AEX299" s="11"/>
      <c r="AEY299" s="11"/>
      <c r="AEZ299" s="11"/>
      <c r="AFA299" s="11"/>
      <c r="AFB299" s="11"/>
      <c r="AFC299" s="11"/>
      <c r="AFD299" s="11"/>
      <c r="AFE299" s="11"/>
      <c r="AFF299" s="11"/>
      <c r="AFG299" s="11"/>
      <c r="AFH299" s="11"/>
      <c r="AFI299" s="11"/>
      <c r="AFJ299" s="11"/>
      <c r="AFK299" s="11"/>
      <c r="AFL299" s="11"/>
      <c r="AFM299" s="11"/>
      <c r="AFN299" s="11"/>
      <c r="AFO299" s="11"/>
      <c r="AFP299" s="11"/>
      <c r="AFQ299" s="11"/>
      <c r="AFR299" s="11"/>
      <c r="AFS299" s="11"/>
      <c r="AFT299" s="11"/>
      <c r="AFU299" s="11"/>
      <c r="AFV299" s="11"/>
      <c r="AFW299" s="11"/>
      <c r="AFX299" s="11"/>
      <c r="AFY299" s="11"/>
      <c r="AFZ299" s="11"/>
      <c r="AGA299" s="11"/>
      <c r="AGB299" s="11"/>
      <c r="AGC299" s="11"/>
      <c r="AGD299" s="11"/>
      <c r="AGE299" s="11"/>
      <c r="AGF299" s="11"/>
      <c r="AGG299" s="11"/>
      <c r="AGH299" s="11"/>
      <c r="AGI299" s="11"/>
      <c r="AGJ299" s="11"/>
      <c r="AGK299" s="11"/>
      <c r="AGL299" s="11"/>
      <c r="AGM299" s="11"/>
      <c r="AGN299" s="11"/>
      <c r="AGO299" s="11"/>
      <c r="AGP299" s="11"/>
      <c r="AGQ299" s="11"/>
      <c r="AGR299" s="11"/>
      <c r="AGS299" s="11"/>
      <c r="AGT299" s="11"/>
      <c r="AGU299" s="11"/>
      <c r="AGV299" s="11"/>
      <c r="AGW299" s="11"/>
      <c r="AGX299" s="11"/>
      <c r="AGY299" s="11"/>
      <c r="AGZ299" s="11"/>
      <c r="AHA299" s="11"/>
      <c r="AHB299" s="11"/>
      <c r="AHC299" s="11"/>
      <c r="AHD299" s="11"/>
      <c r="AHE299" s="11"/>
      <c r="AHF299" s="11"/>
      <c r="AHG299" s="11"/>
      <c r="AHH299" s="11"/>
      <c r="AHI299" s="11"/>
      <c r="AHJ299" s="11"/>
      <c r="AHK299" s="11"/>
      <c r="AHL299" s="11"/>
      <c r="AHM299" s="11"/>
      <c r="AHN299" s="11"/>
      <c r="AHO299" s="11"/>
      <c r="AHP299" s="11"/>
      <c r="AHQ299" s="11"/>
      <c r="AHR299" s="11"/>
      <c r="AHS299" s="11"/>
      <c r="AHT299" s="11"/>
      <c r="AHU299" s="11"/>
      <c r="AHV299" s="11"/>
      <c r="AHW299" s="11"/>
      <c r="AHX299" s="11"/>
      <c r="AHY299" s="11"/>
      <c r="AHZ299" s="11"/>
      <c r="AIA299" s="11"/>
      <c r="AIB299" s="11"/>
      <c r="AIC299" s="11"/>
      <c r="AID299" s="11"/>
      <c r="AIE299" s="11"/>
      <c r="AIF299" s="11"/>
      <c r="AIG299" s="11"/>
      <c r="AIH299" s="11"/>
      <c r="AII299" s="11"/>
      <c r="AIJ299" s="11"/>
      <c r="AIK299" s="11"/>
      <c r="AIL299" s="11"/>
      <c r="AIM299" s="11"/>
      <c r="AIN299" s="11"/>
      <c r="AIO299" s="11"/>
      <c r="AIP299" s="11"/>
      <c r="AIQ299" s="11"/>
      <c r="AIR299" s="11"/>
      <c r="AIS299" s="11"/>
      <c r="AIT299" s="11"/>
      <c r="AIU299" s="11"/>
      <c r="AIV299" s="11"/>
      <c r="AIW299" s="11"/>
      <c r="AIX299" s="11"/>
      <c r="AIY299" s="11"/>
      <c r="AIZ299" s="11"/>
      <c r="AJA299" s="11"/>
      <c r="AJB299" s="11"/>
      <c r="AJC299" s="11"/>
      <c r="AJD299" s="11"/>
      <c r="AJE299" s="11"/>
      <c r="AJF299" s="11"/>
      <c r="AJG299" s="11"/>
      <c r="AJH299" s="11"/>
      <c r="AJI299" s="11"/>
      <c r="AJJ299" s="11"/>
      <c r="AJK299" s="11"/>
      <c r="AJL299" s="11"/>
      <c r="AJM299" s="11"/>
      <c r="AJN299" s="11"/>
      <c r="AJO299" s="11"/>
      <c r="AJP299" s="11"/>
      <c r="AJQ299" s="11"/>
      <c r="AJR299" s="11"/>
      <c r="AJS299" s="11"/>
      <c r="AJT299" s="11"/>
      <c r="AJU299" s="11"/>
      <c r="AJV299" s="11"/>
      <c r="AJW299" s="11"/>
      <c r="AJX299" s="11"/>
      <c r="AJY299" s="11"/>
      <c r="AJZ299" s="11"/>
      <c r="AKA299" s="11"/>
      <c r="AKB299" s="11"/>
      <c r="AKC299" s="11"/>
      <c r="AKD299" s="11"/>
      <c r="AKE299" s="11"/>
      <c r="AKF299" s="11"/>
      <c r="AKG299" s="11"/>
      <c r="AKH299" s="11"/>
      <c r="AKI299" s="11"/>
      <c r="AKJ299" s="11"/>
      <c r="AKK299" s="11"/>
      <c r="AKL299" s="11"/>
      <c r="AKM299" s="11"/>
      <c r="AKN299" s="11"/>
      <c r="AKO299" s="11"/>
      <c r="AKP299" s="11"/>
      <c r="AKQ299" s="11"/>
      <c r="AKR299" s="11"/>
      <c r="AKS299" s="11"/>
      <c r="AKT299" s="11"/>
      <c r="AKU299" s="11"/>
      <c r="AKV299" s="11"/>
      <c r="AKW299" s="11"/>
      <c r="AKX299" s="11"/>
      <c r="AKY299" s="11"/>
      <c r="AKZ299" s="11"/>
      <c r="ALA299" s="11"/>
      <c r="ALB299" s="11"/>
      <c r="ALC299" s="11"/>
      <c r="ALD299" s="11"/>
      <c r="ALE299" s="11"/>
      <c r="ALF299" s="11"/>
      <c r="ALG299" s="11"/>
      <c r="ALH299" s="11"/>
      <c r="ALI299" s="11"/>
      <c r="ALJ299" s="11"/>
      <c r="ALK299" s="11"/>
      <c r="ALL299" s="11"/>
      <c r="ALM299" s="11"/>
      <c r="ALN299" s="11"/>
      <c r="ALO299" s="11"/>
      <c r="ALP299" s="11"/>
      <c r="ALQ299" s="11"/>
      <c r="ALR299" s="11"/>
      <c r="ALS299" s="11"/>
      <c r="ALT299" s="11"/>
      <c r="ALU299" s="11"/>
      <c r="ALV299" s="11"/>
      <c r="ALW299" s="11"/>
      <c r="ALX299" s="11"/>
      <c r="ALY299" s="11"/>
      <c r="ALZ299" s="11"/>
      <c r="AMA299" s="11"/>
      <c r="AMB299" s="11"/>
      <c r="AMC299" s="11"/>
      <c r="AMD299" s="11"/>
      <c r="AME299" s="11"/>
      <c r="AMF299" s="11"/>
      <c r="AMG299" s="11"/>
      <c r="AMH299" s="11"/>
      <c r="AMI299" s="11"/>
      <c r="AMJ299" s="11"/>
      <c r="AMK299" s="11"/>
      <c r="AML299" s="11"/>
      <c r="AMM299" s="11"/>
      <c r="AMN299" s="11"/>
      <c r="AMO299" s="11"/>
      <c r="AMP299" s="11"/>
      <c r="AMQ299" s="11"/>
      <c r="AMR299" s="11"/>
      <c r="AMS299" s="11"/>
      <c r="AMT299" s="11"/>
      <c r="AMU299" s="11"/>
      <c r="AMV299" s="11"/>
      <c r="AMW299" s="11"/>
      <c r="AMX299" s="11"/>
      <c r="AMY299" s="11"/>
      <c r="AMZ299" s="11"/>
      <c r="ANA299" s="11"/>
      <c r="ANB299" s="11"/>
      <c r="ANC299" s="11"/>
      <c r="AND299" s="11"/>
      <c r="ANE299" s="11"/>
      <c r="ANF299" s="11"/>
      <c r="ANG299" s="11"/>
      <c r="ANH299" s="11"/>
      <c r="ANI299" s="11"/>
      <c r="ANJ299" s="11"/>
      <c r="ANK299" s="11"/>
      <c r="ANL299" s="11"/>
      <c r="ANM299" s="11"/>
      <c r="ANN299" s="11"/>
      <c r="ANO299" s="11"/>
      <c r="ANP299" s="11"/>
      <c r="ANQ299" s="11"/>
      <c r="ANR299" s="11"/>
      <c r="ANS299" s="11"/>
      <c r="ANT299" s="11"/>
      <c r="ANU299" s="11"/>
      <c r="ANV299" s="11"/>
      <c r="ANW299" s="11"/>
      <c r="ANX299" s="11"/>
      <c r="ANY299" s="11"/>
      <c r="ANZ299" s="11"/>
      <c r="AOA299" s="11"/>
      <c r="AOB299" s="11"/>
      <c r="AOC299" s="11"/>
      <c r="AOD299" s="11"/>
      <c r="AOE299" s="11"/>
      <c r="AOF299" s="11"/>
      <c r="AOG299" s="11"/>
      <c r="AOH299" s="11"/>
      <c r="AOI299" s="11"/>
      <c r="AOJ299" s="11"/>
      <c r="AOK299" s="11"/>
      <c r="AOL299" s="11"/>
      <c r="AOM299" s="11"/>
      <c r="AON299" s="11"/>
      <c r="AOO299" s="11"/>
      <c r="AOP299" s="11"/>
      <c r="AOQ299" s="11"/>
      <c r="AOR299" s="11"/>
      <c r="AOS299" s="11"/>
      <c r="AOT299" s="11"/>
      <c r="AOU299" s="11"/>
      <c r="AOV299" s="11"/>
      <c r="AOW299" s="11"/>
      <c r="AOX299" s="11"/>
      <c r="AOY299" s="11"/>
      <c r="AOZ299" s="11"/>
      <c r="APA299" s="11"/>
      <c r="APB299" s="11"/>
      <c r="APC299" s="11"/>
      <c r="APD299" s="11"/>
      <c r="APE299" s="11"/>
      <c r="APF299" s="11"/>
      <c r="APG299" s="11"/>
      <c r="APH299" s="11"/>
      <c r="API299" s="11"/>
      <c r="APJ299" s="11"/>
      <c r="APK299" s="11"/>
      <c r="APL299" s="11"/>
      <c r="APM299" s="11"/>
      <c r="APN299" s="11"/>
      <c r="APO299" s="11"/>
      <c r="APP299" s="11"/>
      <c r="APQ299" s="11"/>
      <c r="APR299" s="11"/>
      <c r="APS299" s="11"/>
      <c r="APT299" s="11"/>
      <c r="APU299" s="11"/>
      <c r="APV299" s="11"/>
      <c r="APW299" s="11"/>
      <c r="APX299" s="11"/>
      <c r="APY299" s="11"/>
      <c r="APZ299" s="11"/>
      <c r="AQA299" s="11"/>
      <c r="AQB299" s="11"/>
      <c r="AQC299" s="11"/>
      <c r="AQD299" s="11"/>
      <c r="AQE299" s="11"/>
      <c r="AQF299" s="11"/>
      <c r="AQG299" s="11"/>
      <c r="AQH299" s="11"/>
      <c r="AQI299" s="11"/>
      <c r="AQJ299" s="11"/>
      <c r="AQK299" s="11"/>
      <c r="AQL299" s="11"/>
      <c r="AQM299" s="11"/>
      <c r="AQN299" s="11"/>
      <c r="AQO299" s="11"/>
      <c r="AQP299" s="11"/>
      <c r="AQQ299" s="11"/>
      <c r="AQR299" s="11"/>
      <c r="AQS299" s="11"/>
      <c r="AQT299" s="11"/>
      <c r="AQU299" s="11"/>
      <c r="AQV299" s="11"/>
      <c r="AQW299" s="11"/>
      <c r="AQX299" s="11"/>
      <c r="AQY299" s="11"/>
      <c r="AQZ299" s="11"/>
      <c r="ARA299" s="11"/>
      <c r="ARB299" s="11"/>
      <c r="ARC299" s="11"/>
      <c r="ARD299" s="11"/>
      <c r="ARE299" s="11"/>
      <c r="ARF299" s="11"/>
      <c r="ARG299" s="11"/>
      <c r="ARH299" s="11"/>
      <c r="ARI299" s="11"/>
      <c r="ARJ299" s="11"/>
      <c r="ARK299" s="11"/>
      <c r="ARL299" s="11"/>
      <c r="ARM299" s="11"/>
      <c r="ARN299" s="11"/>
      <c r="ARO299" s="11"/>
      <c r="ARP299" s="11"/>
      <c r="ARQ299" s="11"/>
      <c r="ARR299" s="11"/>
      <c r="ARS299" s="11"/>
      <c r="ART299" s="11"/>
      <c r="ARU299" s="11"/>
      <c r="ARV299" s="11"/>
      <c r="ARW299" s="11"/>
      <c r="ARX299" s="11"/>
      <c r="ARY299" s="11"/>
      <c r="ARZ299" s="11"/>
      <c r="ASA299" s="11"/>
      <c r="ASB299" s="11"/>
      <c r="ASC299" s="11"/>
      <c r="ASD299" s="11"/>
      <c r="ASE299" s="11"/>
      <c r="ASF299" s="11"/>
      <c r="ASG299" s="11"/>
      <c r="ASH299" s="11"/>
      <c r="ASI299" s="11"/>
      <c r="ASJ299" s="11"/>
      <c r="ASK299" s="11"/>
      <c r="ASL299" s="11"/>
      <c r="ASM299" s="11"/>
      <c r="ASN299" s="11"/>
      <c r="ASO299" s="11"/>
      <c r="ASP299" s="11"/>
      <c r="ASQ299" s="11"/>
      <c r="ASR299" s="11"/>
      <c r="ASS299" s="11"/>
      <c r="AST299" s="11"/>
      <c r="ASU299" s="11"/>
      <c r="ASV299" s="11"/>
      <c r="ASW299" s="11"/>
      <c r="ASX299" s="11"/>
      <c r="ASY299" s="11"/>
      <c r="ASZ299" s="11"/>
      <c r="ATA299" s="11"/>
      <c r="ATB299" s="11"/>
      <c r="ATC299" s="11"/>
      <c r="ATD299" s="11"/>
      <c r="ATE299" s="11"/>
      <c r="ATF299" s="11"/>
      <c r="ATG299" s="11"/>
      <c r="ATH299" s="11"/>
      <c r="ATI299" s="11"/>
      <c r="ATJ299" s="11"/>
      <c r="ATK299" s="11"/>
      <c r="ATL299" s="11"/>
      <c r="ATM299" s="11"/>
      <c r="ATN299" s="11"/>
      <c r="ATO299" s="11"/>
      <c r="ATP299" s="11"/>
      <c r="ATQ299" s="11"/>
      <c r="ATR299" s="11"/>
      <c r="ATS299" s="11"/>
      <c r="ATT299" s="11"/>
      <c r="ATU299" s="11"/>
      <c r="ATV299" s="11"/>
      <c r="ATW299" s="11"/>
      <c r="ATX299" s="11"/>
      <c r="ATY299" s="11"/>
      <c r="ATZ299" s="11"/>
      <c r="AUA299" s="11"/>
      <c r="AUB299" s="11"/>
      <c r="AUC299" s="11"/>
      <c r="AUD299" s="11"/>
      <c r="AUE299" s="11"/>
      <c r="AUF299" s="11"/>
      <c r="AUG299" s="11"/>
      <c r="AUH299" s="11"/>
      <c r="AUI299" s="11"/>
      <c r="AUJ299" s="11"/>
      <c r="AUK299" s="11"/>
      <c r="AUL299" s="11"/>
      <c r="AUM299" s="11"/>
      <c r="AUN299" s="11"/>
      <c r="AUO299" s="11"/>
      <c r="AUP299" s="11"/>
      <c r="AUQ299" s="11"/>
      <c r="AUR299" s="11"/>
      <c r="AUS299" s="11"/>
      <c r="AUT299" s="11"/>
      <c r="AUU299" s="11"/>
      <c r="AUV299" s="11"/>
      <c r="AUW299" s="11"/>
      <c r="AUX299" s="11"/>
      <c r="AUY299" s="11"/>
      <c r="AUZ299" s="11"/>
      <c r="AVA299" s="11"/>
      <c r="AVB299" s="11"/>
      <c r="AVC299" s="11"/>
      <c r="AVD299" s="11"/>
      <c r="AVE299" s="11"/>
      <c r="AVF299" s="11"/>
      <c r="AVG299" s="11"/>
      <c r="AVH299" s="11"/>
      <c r="AVI299" s="11"/>
      <c r="AVJ299" s="11"/>
      <c r="AVK299" s="11"/>
      <c r="AVL299" s="11"/>
      <c r="AVM299" s="11"/>
      <c r="AVN299" s="11"/>
      <c r="AVO299" s="11"/>
      <c r="AVP299" s="11"/>
      <c r="AVQ299" s="11"/>
      <c r="AVR299" s="11"/>
      <c r="AVS299" s="11"/>
      <c r="AVT299" s="11"/>
      <c r="AVU299" s="11"/>
      <c r="AVV299" s="11"/>
      <c r="AVW299" s="11"/>
      <c r="AVX299" s="11"/>
      <c r="AVY299" s="11"/>
      <c r="AVZ299" s="11"/>
      <c r="AWA299" s="11"/>
      <c r="AWB299" s="11"/>
      <c r="AWC299" s="11"/>
      <c r="AWD299" s="11"/>
      <c r="AWE299" s="11"/>
      <c r="AWF299" s="11"/>
      <c r="AWG299" s="11"/>
      <c r="AWH299" s="11"/>
      <c r="AWI299" s="11"/>
      <c r="AWJ299" s="11"/>
      <c r="AWK299" s="11"/>
      <c r="AWL299" s="11"/>
      <c r="AWM299" s="11"/>
      <c r="AWN299" s="11"/>
      <c r="AWO299" s="11"/>
      <c r="AWP299" s="11"/>
      <c r="AWQ299" s="11"/>
      <c r="AWR299" s="11"/>
      <c r="AWS299" s="11"/>
      <c r="AWT299" s="11"/>
      <c r="AWU299" s="11"/>
      <c r="AWV299" s="11"/>
      <c r="AWW299" s="11"/>
      <c r="AWX299" s="11"/>
      <c r="AWY299" s="11"/>
      <c r="AWZ299" s="11"/>
      <c r="AXA299" s="11"/>
      <c r="AXB299" s="11"/>
      <c r="AXC299" s="11"/>
      <c r="AXD299" s="11"/>
      <c r="AXE299" s="11"/>
      <c r="AXF299" s="11"/>
      <c r="AXG299" s="11"/>
      <c r="AXH299" s="11"/>
      <c r="AXI299" s="11"/>
      <c r="AXJ299" s="11"/>
      <c r="AXK299" s="11"/>
      <c r="AXL299" s="11"/>
      <c r="AXM299" s="11"/>
      <c r="AXN299" s="11"/>
      <c r="AXO299" s="11"/>
      <c r="AXP299" s="11"/>
      <c r="AXQ299" s="11"/>
      <c r="AXR299" s="11"/>
      <c r="AXS299" s="11"/>
      <c r="AXT299" s="11"/>
      <c r="AXU299" s="11"/>
      <c r="AXV299" s="11"/>
      <c r="AXW299" s="11"/>
      <c r="AXX299" s="11"/>
      <c r="AXY299" s="11"/>
      <c r="AXZ299" s="11"/>
      <c r="AYA299" s="11"/>
      <c r="AYB299" s="11"/>
      <c r="AYC299" s="11"/>
      <c r="AYD299" s="11"/>
      <c r="AYE299" s="11"/>
      <c r="AYF299" s="11"/>
      <c r="AYG299" s="11"/>
      <c r="AYH299" s="11"/>
      <c r="AYI299" s="11"/>
      <c r="AYJ299" s="11"/>
      <c r="AYK299" s="11"/>
      <c r="AYL299" s="11"/>
      <c r="AYM299" s="11"/>
      <c r="AYN299" s="11"/>
      <c r="AYO299" s="11"/>
      <c r="AYP299" s="11"/>
      <c r="AYQ299" s="11"/>
      <c r="AYR299" s="11"/>
      <c r="AYS299" s="11"/>
      <c r="AYT299" s="11"/>
      <c r="AYU299" s="11"/>
      <c r="AYV299" s="11"/>
      <c r="AYW299" s="11"/>
      <c r="AYX299" s="11"/>
      <c r="AYY299" s="11"/>
      <c r="AYZ299" s="11"/>
      <c r="AZA299" s="11"/>
      <c r="AZB299" s="11"/>
      <c r="AZC299" s="11"/>
      <c r="AZD299" s="11"/>
      <c r="AZE299" s="11"/>
      <c r="AZF299" s="11"/>
      <c r="AZG299" s="11"/>
      <c r="AZH299" s="11"/>
      <c r="AZI299" s="11"/>
      <c r="AZJ299" s="11"/>
      <c r="AZK299" s="11"/>
      <c r="AZL299" s="11"/>
      <c r="AZM299" s="11"/>
      <c r="AZN299" s="11"/>
      <c r="AZO299" s="11"/>
      <c r="AZP299" s="11"/>
      <c r="AZQ299" s="11"/>
      <c r="AZR299" s="11"/>
      <c r="AZS299" s="11"/>
      <c r="AZT299" s="11"/>
      <c r="AZU299" s="11"/>
      <c r="AZV299" s="11"/>
      <c r="AZW299" s="11"/>
      <c r="AZX299" s="11"/>
      <c r="AZY299" s="11"/>
      <c r="AZZ299" s="11"/>
      <c r="BAA299" s="11"/>
      <c r="BAB299" s="11"/>
      <c r="BAC299" s="11"/>
      <c r="BAD299" s="11"/>
      <c r="BAE299" s="11"/>
      <c r="BAF299" s="11"/>
      <c r="BAG299" s="11"/>
      <c r="BAH299" s="11"/>
      <c r="BAI299" s="11"/>
      <c r="BAJ299" s="11"/>
      <c r="BAK299" s="11"/>
      <c r="BAL299" s="11"/>
      <c r="BAM299" s="11"/>
      <c r="BAN299" s="11"/>
      <c r="BAO299" s="11"/>
      <c r="BAP299" s="11"/>
      <c r="BAQ299" s="11"/>
      <c r="BAR299" s="11"/>
      <c r="BAS299" s="11"/>
      <c r="BAT299" s="11"/>
      <c r="BAU299" s="11"/>
      <c r="BAV299" s="11"/>
      <c r="BAW299" s="11"/>
      <c r="BAX299" s="11"/>
      <c r="BAY299" s="11"/>
      <c r="BAZ299" s="11"/>
      <c r="BBA299" s="11"/>
      <c r="BBB299" s="11"/>
      <c r="BBC299" s="11"/>
      <c r="BBD299" s="11"/>
      <c r="BBE299" s="11"/>
      <c r="BBF299" s="11"/>
      <c r="BBG299" s="11"/>
      <c r="BBH299" s="11"/>
      <c r="BBI299" s="11"/>
      <c r="BBJ299" s="11"/>
      <c r="BBK299" s="11"/>
      <c r="BBL299" s="11"/>
      <c r="BBM299" s="11"/>
      <c r="BBN299" s="11"/>
      <c r="BBO299" s="11"/>
      <c r="BBP299" s="11"/>
      <c r="BBQ299" s="11"/>
      <c r="BBR299" s="11"/>
      <c r="BBS299" s="11"/>
      <c r="BBT299" s="11"/>
      <c r="BBU299" s="11"/>
      <c r="BBV299" s="11"/>
      <c r="BBW299" s="11"/>
      <c r="BBX299" s="11"/>
      <c r="BBY299" s="11"/>
      <c r="BBZ299" s="11"/>
      <c r="BCA299" s="11"/>
      <c r="BCB299" s="11"/>
      <c r="BCC299" s="11"/>
      <c r="BCD299" s="11"/>
      <c r="BCE299" s="11"/>
      <c r="BCF299" s="11"/>
      <c r="BCG299" s="11"/>
      <c r="BCH299" s="11"/>
      <c r="BCI299" s="11"/>
      <c r="BCJ299" s="11"/>
      <c r="BCK299" s="11"/>
      <c r="BCL299" s="11"/>
      <c r="BCM299" s="11"/>
      <c r="BCN299" s="11"/>
      <c r="BCO299" s="11"/>
      <c r="BCP299" s="11"/>
      <c r="BCQ299" s="11"/>
      <c r="BCR299" s="11"/>
      <c r="BCS299" s="11"/>
      <c r="BCT299" s="11"/>
      <c r="BCU299" s="11"/>
      <c r="BCV299" s="11"/>
      <c r="BCW299" s="11"/>
      <c r="BCX299" s="11"/>
      <c r="BCY299" s="11"/>
      <c r="BCZ299" s="11"/>
      <c r="BDA299" s="11"/>
      <c r="BDB299" s="11"/>
      <c r="BDC299" s="11"/>
      <c r="BDD299" s="11"/>
      <c r="BDE299" s="11"/>
      <c r="BDF299" s="11"/>
      <c r="BDG299" s="11"/>
      <c r="BDH299" s="11"/>
      <c r="BDI299" s="11"/>
      <c r="BDJ299" s="11"/>
      <c r="BDK299" s="11"/>
      <c r="BDL299" s="11"/>
      <c r="BDM299" s="11"/>
      <c r="BDN299" s="11"/>
      <c r="BDO299" s="11"/>
      <c r="BDP299" s="11"/>
      <c r="BDQ299" s="11"/>
      <c r="BDR299" s="11"/>
      <c r="BDS299" s="11"/>
      <c r="BDT299" s="11"/>
      <c r="BDU299" s="11"/>
      <c r="BDV299" s="11"/>
      <c r="BDW299" s="11"/>
      <c r="BDX299" s="11"/>
      <c r="BDY299" s="11"/>
      <c r="BDZ299" s="11"/>
      <c r="BEA299" s="11"/>
      <c r="BEB299" s="11"/>
      <c r="BEC299" s="11"/>
      <c r="BED299" s="11"/>
      <c r="BEE299" s="11"/>
      <c r="BEF299" s="11"/>
      <c r="BEG299" s="11"/>
      <c r="BEH299" s="11"/>
      <c r="BEI299" s="11"/>
      <c r="BEJ299" s="11"/>
      <c r="BEK299" s="11"/>
      <c r="BEL299" s="11"/>
      <c r="BEM299" s="11"/>
      <c r="BEN299" s="11"/>
      <c r="BEO299" s="11"/>
      <c r="BEP299" s="11"/>
      <c r="BEQ299" s="11"/>
      <c r="BER299" s="11"/>
      <c r="BES299" s="11"/>
      <c r="BET299" s="11"/>
      <c r="BEU299" s="11"/>
      <c r="BEV299" s="11"/>
      <c r="BEW299" s="11"/>
      <c r="BEX299" s="11"/>
      <c r="BEY299" s="11"/>
      <c r="BEZ299" s="11"/>
      <c r="BFA299" s="11"/>
      <c r="BFB299" s="11"/>
      <c r="BFC299" s="11"/>
      <c r="BFD299" s="11"/>
      <c r="BFE299" s="11"/>
      <c r="BFF299" s="11"/>
      <c r="BFG299" s="11"/>
      <c r="BFH299" s="11"/>
      <c r="BFI299" s="11"/>
      <c r="BFJ299" s="11"/>
      <c r="BFK299" s="11"/>
      <c r="BFL299" s="11"/>
      <c r="BFM299" s="11"/>
      <c r="BFN299" s="11"/>
      <c r="BFO299" s="11"/>
      <c r="BFP299" s="11"/>
      <c r="BFQ299" s="11"/>
      <c r="BFR299" s="11"/>
      <c r="BFS299" s="11"/>
      <c r="BFT299" s="11"/>
      <c r="BFU299" s="11"/>
      <c r="BFV299" s="11"/>
      <c r="BFW299" s="11"/>
      <c r="BFX299" s="11"/>
      <c r="BFY299" s="11"/>
      <c r="BFZ299" s="11"/>
      <c r="BGA299" s="11"/>
      <c r="BGB299" s="11"/>
      <c r="BGC299" s="11"/>
      <c r="BGD299" s="11"/>
      <c r="BGE299" s="11"/>
      <c r="BGF299" s="11"/>
      <c r="BGG299" s="11"/>
      <c r="BGH299" s="11"/>
      <c r="BGI299" s="11"/>
      <c r="BGJ299" s="11"/>
      <c r="BGK299" s="11"/>
      <c r="BGL299" s="11"/>
      <c r="BGM299" s="11"/>
      <c r="BGN299" s="11"/>
      <c r="BGO299" s="11"/>
      <c r="BGP299" s="11"/>
      <c r="BGQ299" s="11"/>
      <c r="BGR299" s="11"/>
      <c r="BGS299" s="11"/>
      <c r="BGT299" s="11"/>
      <c r="BGU299" s="11"/>
      <c r="BGV299" s="11"/>
      <c r="BGW299" s="11"/>
      <c r="BGX299" s="11"/>
      <c r="BGY299" s="11"/>
      <c r="BGZ299" s="11"/>
      <c r="BHA299" s="11"/>
      <c r="BHB299" s="11"/>
      <c r="BHC299" s="11"/>
      <c r="BHD299" s="11"/>
      <c r="BHE299" s="11"/>
      <c r="BHF299" s="11"/>
      <c r="BHG299" s="11"/>
      <c r="BHH299" s="11"/>
      <c r="BHI299" s="11"/>
      <c r="BHJ299" s="11"/>
      <c r="BHK299" s="11"/>
      <c r="BHL299" s="11"/>
      <c r="BHM299" s="11"/>
      <c r="BHN299" s="11"/>
      <c r="BHO299" s="11"/>
      <c r="BHP299" s="11"/>
      <c r="BHQ299" s="11"/>
      <c r="BHR299" s="11"/>
      <c r="BHS299" s="11"/>
      <c r="BHT299" s="11"/>
      <c r="BHU299" s="11"/>
      <c r="BHV299" s="11"/>
      <c r="BHW299" s="11"/>
      <c r="BHX299" s="11"/>
      <c r="BHY299" s="11"/>
      <c r="BHZ299" s="11"/>
      <c r="BIA299" s="11"/>
      <c r="BIB299" s="11"/>
      <c r="BIC299" s="11"/>
      <c r="BID299" s="11"/>
      <c r="BIE299" s="11"/>
      <c r="BIF299" s="11"/>
      <c r="BIG299" s="11"/>
      <c r="BIH299" s="11"/>
      <c r="BII299" s="11"/>
      <c r="BIJ299" s="11"/>
      <c r="BIK299" s="11"/>
      <c r="BIL299" s="11"/>
      <c r="BIM299" s="11"/>
      <c r="BIN299" s="11"/>
      <c r="BIO299" s="11"/>
      <c r="BIP299" s="11"/>
      <c r="BIQ299" s="11"/>
      <c r="BIR299" s="11"/>
      <c r="BIS299" s="11"/>
      <c r="BIT299" s="11"/>
      <c r="BIU299" s="11"/>
      <c r="BIV299" s="11"/>
      <c r="BIW299" s="11"/>
      <c r="BIX299" s="11"/>
      <c r="BIY299" s="11"/>
      <c r="BIZ299" s="11"/>
      <c r="BJA299" s="11"/>
      <c r="BJB299" s="11"/>
      <c r="BJC299" s="11"/>
      <c r="BJD299" s="11"/>
      <c r="BJE299" s="11"/>
      <c r="BJF299" s="11"/>
      <c r="BJG299" s="11"/>
      <c r="BJH299" s="11"/>
      <c r="BJI299" s="11"/>
      <c r="BJJ299" s="11"/>
      <c r="BJK299" s="11"/>
      <c r="BJL299" s="11"/>
      <c r="BJM299" s="11"/>
      <c r="BJN299" s="11"/>
      <c r="BJO299" s="11"/>
      <c r="BJP299" s="11"/>
      <c r="BJQ299" s="11"/>
      <c r="BJR299" s="11"/>
      <c r="BJS299" s="11"/>
      <c r="BJT299" s="11"/>
      <c r="BJU299" s="11"/>
      <c r="BJV299" s="11"/>
      <c r="BJW299" s="11"/>
      <c r="BJX299" s="11"/>
      <c r="BJY299" s="11"/>
      <c r="BJZ299" s="11"/>
      <c r="BKA299" s="11"/>
      <c r="BKB299" s="11"/>
      <c r="BKC299" s="11"/>
      <c r="BKD299" s="11"/>
      <c r="BKE299" s="11"/>
      <c r="BKF299" s="11"/>
      <c r="BKG299" s="11"/>
      <c r="BKH299" s="11"/>
      <c r="BKI299" s="11"/>
      <c r="BKJ299" s="11"/>
      <c r="BKK299" s="11"/>
      <c r="BKL299" s="11"/>
      <c r="BKM299" s="11"/>
      <c r="BKN299" s="11"/>
      <c r="BKO299" s="11"/>
      <c r="BKP299" s="11"/>
      <c r="BKQ299" s="11"/>
      <c r="BKR299" s="11"/>
      <c r="BKS299" s="11"/>
      <c r="BKT299" s="11"/>
      <c r="BKU299" s="11"/>
      <c r="BKV299" s="11"/>
      <c r="BKW299" s="11"/>
      <c r="BKX299" s="11"/>
      <c r="BKY299" s="11"/>
      <c r="BKZ299" s="11"/>
      <c r="BLA299" s="11"/>
      <c r="BLB299" s="11"/>
      <c r="BLC299" s="11"/>
      <c r="BLD299" s="11"/>
      <c r="BLE299" s="11"/>
      <c r="BLF299" s="11"/>
      <c r="BLG299" s="11"/>
      <c r="BLH299" s="11"/>
      <c r="BLI299" s="11"/>
      <c r="BLJ299" s="11"/>
      <c r="BLK299" s="11"/>
      <c r="BLL299" s="11"/>
      <c r="BLM299" s="11"/>
      <c r="BLN299" s="11"/>
      <c r="BLO299" s="11"/>
      <c r="BLP299" s="11"/>
      <c r="BLQ299" s="11"/>
      <c r="BLR299" s="11"/>
      <c r="BLS299" s="11"/>
      <c r="BLT299" s="11"/>
      <c r="BLU299" s="11"/>
      <c r="BLV299" s="11"/>
      <c r="BLW299" s="11"/>
      <c r="BLX299" s="11"/>
      <c r="BLY299" s="11"/>
      <c r="BLZ299" s="11"/>
      <c r="BMA299" s="11"/>
      <c r="BMB299" s="11"/>
      <c r="BMC299" s="11"/>
      <c r="BMD299" s="11"/>
      <c r="BME299" s="11"/>
      <c r="BMF299" s="11"/>
      <c r="BMG299" s="11"/>
      <c r="BMH299" s="11"/>
      <c r="BMI299" s="11"/>
      <c r="BMJ299" s="11"/>
      <c r="BMK299" s="11"/>
      <c r="BML299" s="11"/>
      <c r="BMM299" s="11"/>
      <c r="BMN299" s="11"/>
      <c r="BMO299" s="11"/>
      <c r="BMP299" s="11"/>
      <c r="BMQ299" s="11"/>
      <c r="BMR299" s="11"/>
      <c r="BMS299" s="11"/>
      <c r="BMT299" s="11"/>
      <c r="BMU299" s="11"/>
      <c r="BMV299" s="11"/>
      <c r="BMW299" s="11"/>
      <c r="BMX299" s="11"/>
      <c r="BMY299" s="11"/>
      <c r="BMZ299" s="11"/>
      <c r="BNA299" s="11"/>
      <c r="BNB299" s="11"/>
      <c r="BNC299" s="11"/>
      <c r="BND299" s="11"/>
      <c r="BNE299" s="11"/>
      <c r="BNF299" s="11"/>
      <c r="BNG299" s="11"/>
      <c r="BNH299" s="11"/>
      <c r="BNI299" s="11"/>
      <c r="BNJ299" s="11"/>
      <c r="BNK299" s="11"/>
      <c r="BNL299" s="11"/>
      <c r="BNM299" s="11"/>
      <c r="BNN299" s="11"/>
      <c r="BNO299" s="11"/>
      <c r="BNP299" s="11"/>
      <c r="BNQ299" s="11"/>
      <c r="BNR299" s="11"/>
      <c r="BNS299" s="11"/>
      <c r="BNT299" s="11"/>
      <c r="BNU299" s="11"/>
      <c r="BNV299" s="11"/>
      <c r="BNW299" s="11"/>
      <c r="BNX299" s="11"/>
      <c r="BNY299" s="11"/>
      <c r="BNZ299" s="11"/>
      <c r="BOA299" s="11"/>
      <c r="BOB299" s="11"/>
      <c r="BOC299" s="11"/>
      <c r="BOD299" s="11"/>
      <c r="BOE299" s="11"/>
      <c r="BOF299" s="11"/>
      <c r="BOG299" s="11"/>
      <c r="BOH299" s="11"/>
      <c r="BOI299" s="11"/>
      <c r="BOJ299" s="11"/>
      <c r="BOK299" s="11"/>
      <c r="BOL299" s="11"/>
      <c r="BOM299" s="11"/>
      <c r="BON299" s="11"/>
      <c r="BOO299" s="11"/>
      <c r="BOP299" s="11"/>
      <c r="BOQ299" s="11"/>
      <c r="BOR299" s="11"/>
      <c r="BOS299" s="11"/>
      <c r="BOT299" s="11"/>
      <c r="BOU299" s="11"/>
      <c r="BOV299" s="11"/>
      <c r="BOW299" s="11"/>
      <c r="BOX299" s="11"/>
      <c r="BOY299" s="11"/>
      <c r="BOZ299" s="11"/>
      <c r="BPA299" s="11"/>
      <c r="BPB299" s="11"/>
      <c r="BPC299" s="11"/>
      <c r="BPD299" s="11"/>
      <c r="BPE299" s="11"/>
      <c r="BPF299" s="11"/>
      <c r="BPG299" s="11"/>
      <c r="BPH299" s="11"/>
      <c r="BPI299" s="11"/>
      <c r="BPJ299" s="11"/>
      <c r="BPK299" s="11"/>
      <c r="BPL299" s="11"/>
      <c r="BPM299" s="11"/>
      <c r="BPN299" s="11"/>
      <c r="BPO299" s="11"/>
      <c r="BPP299" s="11"/>
      <c r="BPQ299" s="11"/>
      <c r="BPR299" s="11"/>
      <c r="BPS299" s="11"/>
      <c r="BPT299" s="11"/>
      <c r="BPU299" s="11"/>
      <c r="BPV299" s="11"/>
      <c r="BPW299" s="11"/>
      <c r="BPX299" s="11"/>
      <c r="BPY299" s="11"/>
      <c r="BPZ299" s="11"/>
      <c r="BQA299" s="11"/>
      <c r="BQB299" s="11"/>
      <c r="BQC299" s="11"/>
      <c r="BQD299" s="11"/>
      <c r="BQE299" s="11"/>
      <c r="BQF299" s="11"/>
      <c r="BQG299" s="11"/>
      <c r="BQH299" s="11"/>
      <c r="BQI299" s="11"/>
      <c r="BQJ299" s="11"/>
      <c r="BQK299" s="11"/>
      <c r="BQL299" s="11"/>
      <c r="BQM299" s="11"/>
      <c r="BQN299" s="11"/>
      <c r="BQO299" s="11"/>
      <c r="BQP299" s="11"/>
      <c r="BQQ299" s="11"/>
      <c r="BQR299" s="11"/>
      <c r="BQS299" s="11"/>
      <c r="BQT299" s="11"/>
      <c r="BQU299" s="11"/>
      <c r="BQV299" s="11"/>
      <c r="BQW299" s="11"/>
      <c r="BQX299" s="11"/>
      <c r="BQY299" s="11"/>
      <c r="BQZ299" s="11"/>
      <c r="BRA299" s="11"/>
      <c r="BRB299" s="11"/>
      <c r="BRC299" s="11"/>
      <c r="BRD299" s="11"/>
      <c r="BRE299" s="11"/>
      <c r="BRF299" s="11"/>
      <c r="BRG299" s="11"/>
      <c r="BRH299" s="11"/>
      <c r="BRI299" s="11"/>
      <c r="BRJ299" s="11"/>
      <c r="BRK299" s="11"/>
      <c r="BRL299" s="11"/>
      <c r="BRM299" s="11"/>
      <c r="BRN299" s="11"/>
      <c r="BRO299" s="11"/>
      <c r="BRP299" s="11"/>
      <c r="BRQ299" s="11"/>
      <c r="BRR299" s="11"/>
      <c r="BRS299" s="11"/>
      <c r="BRT299" s="11"/>
      <c r="BRU299" s="11"/>
      <c r="BRV299" s="11"/>
      <c r="BRW299" s="11"/>
      <c r="BRX299" s="11"/>
      <c r="BRY299" s="11"/>
      <c r="BRZ299" s="11"/>
      <c r="BSA299" s="11"/>
      <c r="BSB299" s="11"/>
      <c r="BSC299" s="11"/>
      <c r="BSD299" s="11"/>
      <c r="BSE299" s="11"/>
      <c r="BSF299" s="11"/>
      <c r="BSG299" s="11"/>
      <c r="BSH299" s="11"/>
      <c r="BSI299" s="11"/>
      <c r="BSJ299" s="11"/>
      <c r="BSK299" s="11"/>
      <c r="BSL299" s="11"/>
      <c r="BSM299" s="11"/>
      <c r="BSN299" s="11"/>
      <c r="BSO299" s="11"/>
      <c r="BSP299" s="11"/>
      <c r="BSQ299" s="11"/>
      <c r="BSR299" s="11"/>
      <c r="BSS299" s="11"/>
      <c r="BST299" s="11"/>
      <c r="BSU299" s="11"/>
      <c r="BSV299" s="11"/>
      <c r="BSW299" s="11"/>
      <c r="BSX299" s="11"/>
      <c r="BSY299" s="11"/>
      <c r="BSZ299" s="11"/>
      <c r="BTA299" s="11"/>
      <c r="BTB299" s="11"/>
      <c r="BTC299" s="11"/>
      <c r="BTD299" s="11"/>
      <c r="BTE299" s="11"/>
      <c r="BTF299" s="11"/>
      <c r="BTG299" s="11"/>
      <c r="BTH299" s="11"/>
      <c r="BTI299" s="11"/>
      <c r="BTJ299" s="11"/>
      <c r="BTK299" s="11"/>
      <c r="BTL299" s="11"/>
      <c r="BTM299" s="11"/>
      <c r="BTN299" s="11"/>
      <c r="BTO299" s="11"/>
      <c r="BTP299" s="11"/>
      <c r="BTQ299" s="11"/>
      <c r="BTR299" s="11"/>
      <c r="BTS299" s="11"/>
      <c r="BTT299" s="11"/>
      <c r="BTU299" s="11"/>
      <c r="BTV299" s="11"/>
      <c r="BTW299" s="11"/>
      <c r="BTX299" s="11"/>
      <c r="BTY299" s="11"/>
      <c r="BTZ299" s="11"/>
      <c r="BUA299" s="11"/>
      <c r="BUB299" s="11"/>
      <c r="BUC299" s="11"/>
      <c r="BUD299" s="11"/>
      <c r="BUE299" s="11"/>
      <c r="BUF299" s="11"/>
      <c r="BUG299" s="11"/>
      <c r="BUH299" s="11"/>
      <c r="BUI299" s="11"/>
      <c r="BUJ299" s="11"/>
      <c r="BUK299" s="11"/>
      <c r="BUL299" s="11"/>
      <c r="BUM299" s="11"/>
      <c r="BUN299" s="11"/>
      <c r="BUO299" s="11"/>
      <c r="BUP299" s="11"/>
      <c r="BUQ299" s="11"/>
      <c r="BUR299" s="11"/>
      <c r="BUS299" s="11"/>
      <c r="BUT299" s="11"/>
      <c r="BUU299" s="11"/>
      <c r="BUV299" s="11"/>
      <c r="BUW299" s="11"/>
      <c r="BUX299" s="11"/>
      <c r="BUY299" s="11"/>
      <c r="BUZ299" s="11"/>
      <c r="BVA299" s="11"/>
      <c r="BVB299" s="11"/>
      <c r="BVC299" s="11"/>
      <c r="BVD299" s="11"/>
      <c r="BVE299" s="11"/>
      <c r="BVF299" s="11"/>
      <c r="BVG299" s="11"/>
      <c r="BVH299" s="11"/>
      <c r="BVI299" s="11"/>
      <c r="BVJ299" s="11"/>
      <c r="BVK299" s="11"/>
      <c r="BVL299" s="11"/>
      <c r="BVM299" s="11"/>
      <c r="BVN299" s="11"/>
      <c r="BVO299" s="11"/>
      <c r="BVP299" s="11"/>
      <c r="BVQ299" s="11"/>
      <c r="BVR299" s="11"/>
      <c r="BVS299" s="11"/>
      <c r="BVT299" s="11"/>
      <c r="BVU299" s="11"/>
      <c r="BVV299" s="11"/>
      <c r="BVW299" s="11"/>
      <c r="BVX299" s="11"/>
      <c r="BVY299" s="11"/>
      <c r="BVZ299" s="11"/>
      <c r="BWA299" s="11"/>
      <c r="BWB299" s="11"/>
      <c r="BWC299" s="11"/>
      <c r="BWD299" s="11"/>
      <c r="BWE299" s="11"/>
      <c r="BWF299" s="11"/>
      <c r="BWG299" s="11"/>
      <c r="BWH299" s="11"/>
      <c r="BWI299" s="11"/>
      <c r="BWJ299" s="11"/>
      <c r="BWK299" s="11"/>
      <c r="BWL299" s="11"/>
      <c r="BWM299" s="11"/>
      <c r="BWN299" s="11"/>
      <c r="BWO299" s="11"/>
      <c r="BWP299" s="11"/>
      <c r="BWQ299" s="11"/>
      <c r="BWR299" s="11"/>
      <c r="BWS299" s="11"/>
      <c r="BWT299" s="11"/>
      <c r="BWU299" s="11"/>
      <c r="BWV299" s="11"/>
      <c r="BWW299" s="11"/>
      <c r="BWX299" s="11"/>
      <c r="BWY299" s="11"/>
      <c r="BWZ299" s="11"/>
      <c r="BXA299" s="11"/>
      <c r="BXB299" s="11"/>
      <c r="BXC299" s="11"/>
      <c r="BXD299" s="11"/>
      <c r="BXE299" s="11"/>
      <c r="BXF299" s="11"/>
      <c r="BXG299" s="11"/>
      <c r="BXH299" s="11"/>
      <c r="BXI299" s="11"/>
      <c r="BXJ299" s="11"/>
      <c r="BXK299" s="11"/>
      <c r="BXL299" s="11"/>
      <c r="BXM299" s="11"/>
      <c r="BXN299" s="11"/>
      <c r="BXO299" s="11"/>
      <c r="BXP299" s="11"/>
      <c r="BXQ299" s="11"/>
      <c r="BXR299" s="11"/>
      <c r="BXS299" s="11"/>
      <c r="BXT299" s="11"/>
      <c r="BXU299" s="11"/>
      <c r="BXV299" s="11"/>
      <c r="BXW299" s="11"/>
      <c r="BXX299" s="11"/>
      <c r="BXY299" s="11"/>
      <c r="BXZ299" s="11"/>
      <c r="BYA299" s="11"/>
      <c r="BYB299" s="11"/>
      <c r="BYC299" s="11"/>
      <c r="BYD299" s="11"/>
      <c r="BYE299" s="11"/>
      <c r="BYF299" s="11"/>
      <c r="BYG299" s="11"/>
      <c r="BYH299" s="11"/>
      <c r="BYI299" s="11"/>
      <c r="BYJ299" s="11"/>
      <c r="BYK299" s="11"/>
      <c r="BYL299" s="11"/>
      <c r="BYM299" s="11"/>
      <c r="BYN299" s="11"/>
      <c r="BYO299" s="11"/>
      <c r="BYP299" s="11"/>
      <c r="BYQ299" s="11"/>
      <c r="BYR299" s="11"/>
      <c r="BYS299" s="11"/>
      <c r="BYT299" s="11"/>
      <c r="BYU299" s="11"/>
      <c r="BYV299" s="11"/>
      <c r="BYW299" s="11"/>
      <c r="BYX299" s="11"/>
      <c r="BYY299" s="11"/>
      <c r="BYZ299" s="11"/>
      <c r="BZA299" s="11"/>
      <c r="BZB299" s="11"/>
      <c r="BZC299" s="11"/>
      <c r="BZD299" s="11"/>
      <c r="BZE299" s="11"/>
      <c r="BZF299" s="11"/>
      <c r="BZG299" s="11"/>
      <c r="BZH299" s="11"/>
      <c r="BZI299" s="11"/>
      <c r="BZJ299" s="11"/>
      <c r="BZK299" s="11"/>
      <c r="BZL299" s="11"/>
      <c r="BZM299" s="11"/>
      <c r="BZN299" s="11"/>
      <c r="BZO299" s="11"/>
      <c r="BZP299" s="11"/>
      <c r="BZQ299" s="11"/>
      <c r="BZR299" s="11"/>
      <c r="BZS299" s="11"/>
      <c r="BZT299" s="11"/>
      <c r="BZU299" s="11"/>
      <c r="BZV299" s="11"/>
      <c r="BZW299" s="11"/>
      <c r="BZX299" s="11"/>
      <c r="BZY299" s="11"/>
      <c r="BZZ299" s="11"/>
      <c r="CAA299" s="11"/>
      <c r="CAB299" s="11"/>
      <c r="CAC299" s="11"/>
      <c r="CAD299" s="11"/>
      <c r="CAE299" s="11"/>
      <c r="CAF299" s="11"/>
      <c r="CAG299" s="11"/>
      <c r="CAH299" s="11"/>
      <c r="CAI299" s="11"/>
      <c r="CAJ299" s="11"/>
      <c r="CAK299" s="11"/>
      <c r="CAL299" s="11"/>
      <c r="CAM299" s="11"/>
      <c r="CAN299" s="11"/>
      <c r="CAO299" s="11"/>
      <c r="CAP299" s="11"/>
      <c r="CAQ299" s="11"/>
      <c r="CAR299" s="11"/>
      <c r="CAS299" s="11"/>
      <c r="CAT299" s="11"/>
      <c r="CAU299" s="11"/>
      <c r="CAV299" s="11"/>
      <c r="CAW299" s="11"/>
      <c r="CAX299" s="11"/>
      <c r="CAY299" s="11"/>
      <c r="CAZ299" s="11"/>
      <c r="CBA299" s="11"/>
      <c r="CBB299" s="11"/>
      <c r="CBC299" s="11"/>
      <c r="CBD299" s="11"/>
      <c r="CBE299" s="11"/>
      <c r="CBF299" s="11"/>
      <c r="CBG299" s="11"/>
      <c r="CBH299" s="11"/>
      <c r="CBI299" s="11"/>
      <c r="CBJ299" s="11"/>
      <c r="CBK299" s="11"/>
      <c r="CBL299" s="11"/>
      <c r="CBM299" s="11"/>
      <c r="CBN299" s="11"/>
      <c r="CBO299" s="11"/>
      <c r="CBP299" s="11"/>
      <c r="CBQ299" s="11"/>
      <c r="CBR299" s="11"/>
      <c r="CBS299" s="11"/>
      <c r="CBT299" s="11"/>
      <c r="CBU299" s="11"/>
      <c r="CBV299" s="11"/>
      <c r="CBW299" s="11"/>
      <c r="CBX299" s="11"/>
      <c r="CBY299" s="11"/>
      <c r="CBZ299" s="11"/>
      <c r="CCA299" s="11"/>
      <c r="CCB299" s="11"/>
      <c r="CCC299" s="11"/>
      <c r="CCD299" s="11"/>
      <c r="CCE299" s="11"/>
      <c r="CCF299" s="11"/>
      <c r="CCG299" s="11"/>
      <c r="CCH299" s="11"/>
      <c r="CCI299" s="11"/>
      <c r="CCJ299" s="11"/>
      <c r="CCK299" s="11"/>
      <c r="CCL299" s="11"/>
      <c r="CCM299" s="11"/>
      <c r="CCN299" s="11"/>
      <c r="CCO299" s="11"/>
      <c r="CCP299" s="11"/>
      <c r="CCQ299" s="11"/>
      <c r="CCR299" s="11"/>
      <c r="CCS299" s="11"/>
      <c r="CCT299" s="11"/>
      <c r="CCU299" s="11"/>
      <c r="CCV299" s="11"/>
      <c r="CCW299" s="11"/>
      <c r="CCX299" s="11"/>
      <c r="CCY299" s="11"/>
      <c r="CCZ299" s="11"/>
      <c r="CDA299" s="11"/>
      <c r="CDB299" s="11"/>
      <c r="CDC299" s="11"/>
      <c r="CDD299" s="11"/>
      <c r="CDE299" s="11"/>
      <c r="CDF299" s="11"/>
      <c r="CDG299" s="11"/>
      <c r="CDH299" s="11"/>
      <c r="CDI299" s="11"/>
      <c r="CDJ299" s="11"/>
      <c r="CDK299" s="11"/>
      <c r="CDL299" s="11"/>
      <c r="CDM299" s="11"/>
      <c r="CDN299" s="11"/>
      <c r="CDO299" s="11"/>
      <c r="CDP299" s="11"/>
      <c r="CDQ299" s="11"/>
      <c r="CDR299" s="11"/>
      <c r="CDS299" s="11"/>
      <c r="CDT299" s="11"/>
      <c r="CDU299" s="11"/>
      <c r="CDV299" s="11"/>
      <c r="CDW299" s="11"/>
      <c r="CDX299" s="11"/>
      <c r="CDY299" s="11"/>
      <c r="CDZ299" s="11"/>
      <c r="CEA299" s="11"/>
      <c r="CEB299" s="11"/>
      <c r="CEC299" s="11"/>
      <c r="CED299" s="11"/>
      <c r="CEE299" s="11"/>
      <c r="CEF299" s="11"/>
      <c r="CEG299" s="11"/>
      <c r="CEH299" s="11"/>
      <c r="CEI299" s="11"/>
      <c r="CEJ299" s="11"/>
      <c r="CEK299" s="11"/>
      <c r="CEL299" s="11"/>
      <c r="CEM299" s="11"/>
      <c r="CEN299" s="11"/>
      <c r="CEO299" s="11"/>
      <c r="CEP299" s="11"/>
      <c r="CEQ299" s="11"/>
      <c r="CER299" s="11"/>
      <c r="CES299" s="11"/>
      <c r="CET299" s="11"/>
      <c r="CEU299" s="11"/>
      <c r="CEV299" s="11"/>
      <c r="CEW299" s="11"/>
      <c r="CEX299" s="11"/>
      <c r="CEY299" s="11"/>
      <c r="CEZ299" s="11"/>
      <c r="CFA299" s="11"/>
      <c r="CFB299" s="11"/>
      <c r="CFC299" s="11"/>
      <c r="CFD299" s="11"/>
      <c r="CFE299" s="11"/>
      <c r="CFF299" s="11"/>
      <c r="CFG299" s="11"/>
      <c r="CFH299" s="11"/>
      <c r="CFI299" s="11"/>
      <c r="CFJ299" s="11"/>
      <c r="CFK299" s="11"/>
      <c r="CFL299" s="11"/>
      <c r="CFM299" s="11"/>
      <c r="CFN299" s="11"/>
      <c r="CFO299" s="11"/>
      <c r="CFP299" s="11"/>
      <c r="CFQ299" s="11"/>
      <c r="CFR299" s="11"/>
      <c r="CFS299" s="11"/>
      <c r="CFT299" s="11"/>
      <c r="CFU299" s="11"/>
      <c r="CFV299" s="11"/>
      <c r="CFW299" s="11"/>
      <c r="CFX299" s="11"/>
      <c r="CFY299" s="11"/>
      <c r="CFZ299" s="11"/>
      <c r="CGA299" s="11"/>
      <c r="CGB299" s="11"/>
      <c r="CGC299" s="11"/>
      <c r="CGD299" s="11"/>
      <c r="CGE299" s="11"/>
      <c r="CGF299" s="11"/>
      <c r="CGG299" s="11"/>
      <c r="CGH299" s="11"/>
      <c r="CGI299" s="11"/>
      <c r="CGJ299" s="11"/>
      <c r="CGK299" s="11"/>
      <c r="CGL299" s="11"/>
      <c r="CGM299" s="11"/>
      <c r="CGN299" s="11"/>
      <c r="CGO299" s="11"/>
      <c r="CGP299" s="11"/>
      <c r="CGQ299" s="11"/>
      <c r="CGR299" s="11"/>
      <c r="CGS299" s="11"/>
      <c r="CGT299" s="11"/>
      <c r="CGU299" s="11"/>
      <c r="CGV299" s="11"/>
      <c r="CGW299" s="11"/>
      <c r="CGX299" s="11"/>
      <c r="CGY299" s="11"/>
      <c r="CGZ299" s="11"/>
      <c r="CHA299" s="11"/>
      <c r="CHB299" s="11"/>
      <c r="CHC299" s="11"/>
      <c r="CHD299" s="11"/>
      <c r="CHE299" s="11"/>
      <c r="CHF299" s="11"/>
      <c r="CHG299" s="11"/>
      <c r="CHH299" s="11"/>
      <c r="CHI299" s="11"/>
      <c r="CHJ299" s="11"/>
      <c r="CHK299" s="11"/>
      <c r="CHL299" s="11"/>
      <c r="CHM299" s="11"/>
      <c r="CHN299" s="11"/>
      <c r="CHO299" s="11"/>
      <c r="CHP299" s="11"/>
      <c r="CHQ299" s="11"/>
      <c r="CHR299" s="11"/>
      <c r="CHS299" s="11"/>
      <c r="CHT299" s="11"/>
      <c r="CHU299" s="11"/>
      <c r="CHV299" s="11"/>
      <c r="CHW299" s="11"/>
      <c r="CHX299" s="11"/>
      <c r="CHY299" s="11"/>
      <c r="CHZ299" s="11"/>
      <c r="CIA299" s="11"/>
      <c r="CIB299" s="11"/>
      <c r="CIC299" s="11"/>
      <c r="CID299" s="11"/>
      <c r="CIE299" s="11"/>
      <c r="CIF299" s="11"/>
      <c r="CIG299" s="11"/>
      <c r="CIH299" s="11"/>
      <c r="CII299" s="11"/>
      <c r="CIJ299" s="11"/>
      <c r="CIK299" s="11"/>
      <c r="CIL299" s="11"/>
      <c r="CIM299" s="11"/>
      <c r="CIN299" s="11"/>
      <c r="CIO299" s="11"/>
      <c r="CIP299" s="11"/>
      <c r="CIQ299" s="11"/>
      <c r="CIR299" s="11"/>
      <c r="CIS299" s="11"/>
      <c r="CIT299" s="11"/>
      <c r="CIU299" s="11"/>
      <c r="CIV299" s="11"/>
      <c r="CIW299" s="11"/>
      <c r="CIX299" s="11"/>
      <c r="CIY299" s="11"/>
      <c r="CIZ299" s="11"/>
      <c r="CJA299" s="11"/>
      <c r="CJB299" s="11"/>
      <c r="CJC299" s="11"/>
      <c r="CJD299" s="11"/>
      <c r="CJE299" s="11"/>
      <c r="CJF299" s="11"/>
      <c r="CJG299" s="11"/>
      <c r="CJH299" s="11"/>
      <c r="CJI299" s="11"/>
      <c r="CJJ299" s="11"/>
      <c r="CJK299" s="11"/>
      <c r="CJL299" s="11"/>
      <c r="CJM299" s="11"/>
      <c r="CJN299" s="11"/>
      <c r="CJO299" s="11"/>
      <c r="CJP299" s="11"/>
      <c r="CJQ299" s="11"/>
      <c r="CJR299" s="11"/>
      <c r="CJS299" s="11"/>
      <c r="CJT299" s="11"/>
      <c r="CJU299" s="11"/>
      <c r="CJV299" s="11"/>
      <c r="CJW299" s="11"/>
      <c r="CJX299" s="11"/>
      <c r="CJY299" s="11"/>
      <c r="CJZ299" s="11"/>
      <c r="CKA299" s="11"/>
      <c r="CKB299" s="11"/>
      <c r="CKC299" s="11"/>
      <c r="CKD299" s="11"/>
      <c r="CKE299" s="11"/>
      <c r="CKF299" s="11"/>
      <c r="CKG299" s="11"/>
      <c r="CKH299" s="11"/>
      <c r="CKI299" s="11"/>
      <c r="CKJ299" s="11"/>
      <c r="CKK299" s="11"/>
      <c r="CKL299" s="11"/>
      <c r="CKM299" s="11"/>
      <c r="CKN299" s="11"/>
      <c r="CKO299" s="11"/>
      <c r="CKP299" s="11"/>
      <c r="CKQ299" s="11"/>
      <c r="CKR299" s="11"/>
      <c r="CKS299" s="11"/>
      <c r="CKT299" s="11"/>
      <c r="CKU299" s="11"/>
      <c r="CKV299" s="11"/>
      <c r="CKW299" s="11"/>
      <c r="CKX299" s="11"/>
      <c r="CKY299" s="11"/>
      <c r="CKZ299" s="11"/>
      <c r="CLA299" s="11"/>
      <c r="CLB299" s="11"/>
      <c r="CLC299" s="11"/>
      <c r="CLD299" s="11"/>
      <c r="CLE299" s="11"/>
      <c r="CLF299" s="11"/>
      <c r="CLG299" s="11"/>
      <c r="CLH299" s="11"/>
      <c r="CLI299" s="11"/>
      <c r="CLJ299" s="11"/>
      <c r="CLK299" s="11"/>
      <c r="CLL299" s="11"/>
      <c r="CLM299" s="11"/>
      <c r="CLN299" s="11"/>
      <c r="CLO299" s="11"/>
      <c r="CLP299" s="11"/>
      <c r="CLQ299" s="11"/>
      <c r="CLR299" s="11"/>
      <c r="CLS299" s="11"/>
      <c r="CLT299" s="11"/>
      <c r="CLU299" s="11"/>
      <c r="CLV299" s="11"/>
      <c r="CLW299" s="11"/>
      <c r="CLX299" s="11"/>
      <c r="CLY299" s="11"/>
      <c r="CLZ299" s="11"/>
      <c r="CMA299" s="11"/>
      <c r="CMB299" s="11"/>
      <c r="CMC299" s="11"/>
      <c r="CMD299" s="11"/>
      <c r="CME299" s="11"/>
      <c r="CMF299" s="11"/>
      <c r="CMG299" s="11"/>
      <c r="CMH299" s="11"/>
      <c r="CMI299" s="11"/>
      <c r="CMJ299" s="11"/>
      <c r="CMK299" s="11"/>
      <c r="CML299" s="11"/>
      <c r="CMM299" s="11"/>
      <c r="CMN299" s="11"/>
      <c r="CMO299" s="11"/>
      <c r="CMP299" s="11"/>
      <c r="CMQ299" s="11"/>
      <c r="CMR299" s="11"/>
      <c r="CMS299" s="11"/>
      <c r="CMT299" s="11"/>
      <c r="CMU299" s="11"/>
      <c r="CMV299" s="11"/>
      <c r="CMW299" s="11"/>
      <c r="CMX299" s="11"/>
      <c r="CMY299" s="11"/>
      <c r="CMZ299" s="11"/>
      <c r="CNA299" s="11"/>
      <c r="CNB299" s="11"/>
      <c r="CNC299" s="11"/>
      <c r="CND299" s="11"/>
      <c r="CNE299" s="11"/>
      <c r="CNF299" s="11"/>
      <c r="CNG299" s="11"/>
      <c r="CNH299" s="11"/>
      <c r="CNI299" s="11"/>
      <c r="CNJ299" s="11"/>
      <c r="CNK299" s="11"/>
      <c r="CNL299" s="11"/>
      <c r="CNM299" s="11"/>
      <c r="CNN299" s="11"/>
      <c r="CNO299" s="11"/>
      <c r="CNP299" s="11"/>
      <c r="CNQ299" s="11"/>
      <c r="CNR299" s="11"/>
      <c r="CNS299" s="11"/>
      <c r="CNT299" s="11"/>
      <c r="CNU299" s="11"/>
      <c r="CNV299" s="11"/>
      <c r="CNW299" s="11"/>
      <c r="CNX299" s="11"/>
      <c r="CNY299" s="11"/>
      <c r="CNZ299" s="11"/>
      <c r="COA299" s="11"/>
      <c r="COB299" s="11"/>
      <c r="COC299" s="11"/>
      <c r="COD299" s="11"/>
      <c r="COE299" s="11"/>
      <c r="COF299" s="11"/>
      <c r="COG299" s="11"/>
      <c r="COH299" s="11"/>
      <c r="COI299" s="11"/>
      <c r="COJ299" s="11"/>
      <c r="COK299" s="11"/>
      <c r="COL299" s="11"/>
      <c r="COM299" s="11"/>
      <c r="CON299" s="11"/>
      <c r="COO299" s="11"/>
      <c r="COP299" s="11"/>
      <c r="COQ299" s="11"/>
      <c r="COR299" s="11"/>
      <c r="COS299" s="11"/>
      <c r="COT299" s="11"/>
      <c r="COU299" s="11"/>
      <c r="COV299" s="11"/>
      <c r="COW299" s="11"/>
      <c r="COX299" s="11"/>
      <c r="COY299" s="11"/>
      <c r="COZ299" s="11"/>
      <c r="CPA299" s="11"/>
      <c r="CPB299" s="11"/>
      <c r="CPC299" s="11"/>
      <c r="CPD299" s="11"/>
      <c r="CPE299" s="11"/>
      <c r="CPF299" s="11"/>
      <c r="CPG299" s="11"/>
      <c r="CPH299" s="11"/>
      <c r="CPI299" s="11"/>
      <c r="CPJ299" s="11"/>
      <c r="CPK299" s="11"/>
      <c r="CPL299" s="11"/>
      <c r="CPM299" s="11"/>
      <c r="CPN299" s="11"/>
      <c r="CPO299" s="11"/>
      <c r="CPP299" s="11"/>
      <c r="CPQ299" s="11"/>
      <c r="CPR299" s="11"/>
      <c r="CPS299" s="11"/>
      <c r="CPT299" s="11"/>
      <c r="CPU299" s="11"/>
      <c r="CPV299" s="11"/>
      <c r="CPW299" s="11"/>
      <c r="CPX299" s="11"/>
      <c r="CPY299" s="11"/>
      <c r="CPZ299" s="11"/>
      <c r="CQA299" s="11"/>
      <c r="CQB299" s="11"/>
      <c r="CQC299" s="11"/>
      <c r="CQD299" s="11"/>
      <c r="CQE299" s="11"/>
      <c r="CQF299" s="11"/>
      <c r="CQG299" s="11"/>
      <c r="CQH299" s="11"/>
      <c r="CQI299" s="11"/>
      <c r="CQJ299" s="11"/>
      <c r="CQK299" s="11"/>
      <c r="CQL299" s="11"/>
      <c r="CQM299" s="11"/>
      <c r="CQN299" s="11"/>
      <c r="CQO299" s="11"/>
      <c r="CQP299" s="11"/>
      <c r="CQQ299" s="11"/>
      <c r="CQR299" s="11"/>
      <c r="CQS299" s="11"/>
      <c r="CQT299" s="11"/>
      <c r="CQU299" s="11"/>
      <c r="CQV299" s="11"/>
      <c r="CQW299" s="11"/>
      <c r="CQX299" s="11"/>
      <c r="CQY299" s="11"/>
      <c r="CQZ299" s="11"/>
      <c r="CRA299" s="11"/>
      <c r="CRB299" s="11"/>
      <c r="CRC299" s="11"/>
      <c r="CRD299" s="11"/>
      <c r="CRE299" s="11"/>
      <c r="CRF299" s="11"/>
      <c r="CRG299" s="11"/>
      <c r="CRH299" s="11"/>
      <c r="CRI299" s="11"/>
      <c r="CRJ299" s="11"/>
      <c r="CRK299" s="11"/>
      <c r="CRL299" s="11"/>
      <c r="CRM299" s="11"/>
      <c r="CRN299" s="11"/>
      <c r="CRO299" s="11"/>
      <c r="CRP299" s="11"/>
      <c r="CRQ299" s="11"/>
      <c r="CRR299" s="11"/>
      <c r="CRS299" s="11"/>
      <c r="CRT299" s="11"/>
      <c r="CRU299" s="11"/>
      <c r="CRV299" s="11"/>
      <c r="CRW299" s="11"/>
      <c r="CRX299" s="11"/>
      <c r="CRY299" s="11"/>
      <c r="CRZ299" s="11"/>
      <c r="CSA299" s="11"/>
      <c r="CSB299" s="11"/>
      <c r="CSC299" s="11"/>
      <c r="CSD299" s="11"/>
      <c r="CSE299" s="11"/>
      <c r="CSF299" s="11"/>
      <c r="CSG299" s="11"/>
      <c r="CSH299" s="11"/>
      <c r="CSI299" s="11"/>
      <c r="CSJ299" s="11"/>
      <c r="CSK299" s="11"/>
      <c r="CSL299" s="11"/>
      <c r="CSM299" s="11"/>
      <c r="CSN299" s="11"/>
      <c r="CSO299" s="11"/>
      <c r="CSP299" s="11"/>
      <c r="CSQ299" s="11"/>
      <c r="CSR299" s="11"/>
      <c r="CSS299" s="11"/>
      <c r="CST299" s="11"/>
      <c r="CSU299" s="11"/>
      <c r="CSV299" s="11"/>
      <c r="CSW299" s="11"/>
      <c r="CSX299" s="11"/>
      <c r="CSY299" s="11"/>
      <c r="CSZ299" s="11"/>
      <c r="CTA299" s="11"/>
      <c r="CTB299" s="11"/>
      <c r="CTC299" s="11"/>
      <c r="CTD299" s="11"/>
      <c r="CTE299" s="11"/>
      <c r="CTF299" s="11"/>
      <c r="CTG299" s="11"/>
      <c r="CTH299" s="11"/>
      <c r="CTI299" s="11"/>
      <c r="CTJ299" s="11"/>
      <c r="CTK299" s="11"/>
      <c r="CTL299" s="11"/>
      <c r="CTM299" s="11"/>
      <c r="CTN299" s="11"/>
      <c r="CTO299" s="11"/>
      <c r="CTP299" s="11"/>
      <c r="CTQ299" s="11"/>
      <c r="CTR299" s="11"/>
      <c r="CTS299" s="11"/>
      <c r="CTT299" s="11"/>
      <c r="CTU299" s="11"/>
      <c r="CTV299" s="11"/>
      <c r="CTW299" s="11"/>
      <c r="CTX299" s="11"/>
      <c r="CTY299" s="11"/>
      <c r="CTZ299" s="11"/>
      <c r="CUA299" s="11"/>
      <c r="CUB299" s="11"/>
      <c r="CUC299" s="11"/>
      <c r="CUD299" s="11"/>
      <c r="CUE299" s="11"/>
      <c r="CUF299" s="11"/>
      <c r="CUG299" s="11"/>
      <c r="CUH299" s="11"/>
      <c r="CUI299" s="11"/>
      <c r="CUJ299" s="11"/>
      <c r="CUK299" s="11"/>
      <c r="CUL299" s="11"/>
      <c r="CUM299" s="11"/>
      <c r="CUN299" s="11"/>
      <c r="CUO299" s="11"/>
      <c r="CUP299" s="11"/>
      <c r="CUQ299" s="11"/>
      <c r="CUR299" s="11"/>
      <c r="CUS299" s="11"/>
      <c r="CUT299" s="11"/>
      <c r="CUU299" s="11"/>
      <c r="CUV299" s="11"/>
      <c r="CUW299" s="11"/>
      <c r="CUX299" s="11"/>
      <c r="CUY299" s="11"/>
      <c r="CUZ299" s="11"/>
      <c r="CVA299" s="11"/>
      <c r="CVB299" s="11"/>
      <c r="CVC299" s="11"/>
      <c r="CVD299" s="11"/>
      <c r="CVE299" s="11"/>
      <c r="CVF299" s="11"/>
      <c r="CVG299" s="11"/>
      <c r="CVH299" s="11"/>
      <c r="CVI299" s="11"/>
      <c r="CVJ299" s="11"/>
      <c r="CVK299" s="11"/>
      <c r="CVL299" s="11"/>
      <c r="CVM299" s="11"/>
      <c r="CVN299" s="11"/>
      <c r="CVO299" s="11"/>
      <c r="CVP299" s="11"/>
      <c r="CVQ299" s="11"/>
      <c r="CVR299" s="11"/>
      <c r="CVS299" s="11"/>
      <c r="CVT299" s="11"/>
      <c r="CVU299" s="11"/>
      <c r="CVV299" s="11"/>
      <c r="CVW299" s="11"/>
      <c r="CVX299" s="11"/>
      <c r="CVY299" s="11"/>
      <c r="CVZ299" s="11"/>
      <c r="CWA299" s="11"/>
      <c r="CWB299" s="11"/>
      <c r="CWC299" s="11"/>
      <c r="CWD299" s="11"/>
      <c r="CWE299" s="11"/>
      <c r="CWF299" s="11"/>
      <c r="CWG299" s="11"/>
      <c r="CWH299" s="11"/>
      <c r="CWI299" s="11"/>
      <c r="CWJ299" s="11"/>
      <c r="CWK299" s="11"/>
      <c r="CWL299" s="11"/>
      <c r="CWM299" s="11"/>
      <c r="CWN299" s="11"/>
      <c r="CWO299" s="11"/>
      <c r="CWP299" s="11"/>
      <c r="CWQ299" s="11"/>
      <c r="CWR299" s="11"/>
      <c r="CWS299" s="11"/>
      <c r="CWT299" s="11"/>
      <c r="CWU299" s="11"/>
      <c r="CWV299" s="11"/>
      <c r="CWW299" s="11"/>
      <c r="CWX299" s="11"/>
      <c r="CWY299" s="11"/>
      <c r="CWZ299" s="11"/>
      <c r="CXA299" s="11"/>
      <c r="CXB299" s="11"/>
      <c r="CXC299" s="11"/>
      <c r="CXD299" s="11"/>
      <c r="CXE299" s="11"/>
      <c r="CXF299" s="11"/>
      <c r="CXG299" s="11"/>
      <c r="CXH299" s="11"/>
      <c r="CXI299" s="11"/>
      <c r="CXJ299" s="11"/>
      <c r="CXK299" s="11"/>
      <c r="CXL299" s="11"/>
      <c r="CXM299" s="11"/>
      <c r="CXN299" s="11"/>
      <c r="CXO299" s="11"/>
      <c r="CXP299" s="11"/>
      <c r="CXQ299" s="11"/>
      <c r="CXR299" s="11"/>
      <c r="CXS299" s="11"/>
      <c r="CXT299" s="11"/>
      <c r="CXU299" s="11"/>
      <c r="CXV299" s="11"/>
      <c r="CXW299" s="11"/>
      <c r="CXX299" s="11"/>
      <c r="CXY299" s="11"/>
      <c r="CXZ299" s="11"/>
      <c r="CYA299" s="11"/>
      <c r="CYB299" s="11"/>
      <c r="CYC299" s="11"/>
      <c r="CYD299" s="11"/>
      <c r="CYE299" s="11"/>
      <c r="CYF299" s="11"/>
      <c r="CYG299" s="11"/>
      <c r="CYH299" s="11"/>
      <c r="CYI299" s="11"/>
      <c r="CYJ299" s="11"/>
      <c r="CYK299" s="11"/>
      <c r="CYL299" s="11"/>
      <c r="CYM299" s="11"/>
      <c r="CYN299" s="11"/>
      <c r="CYO299" s="11"/>
      <c r="CYP299" s="11"/>
      <c r="CYQ299" s="11"/>
      <c r="CYR299" s="11"/>
      <c r="CYS299" s="11"/>
      <c r="CYT299" s="11"/>
      <c r="CYU299" s="11"/>
      <c r="CYV299" s="11"/>
      <c r="CYW299" s="11"/>
      <c r="CYX299" s="11"/>
      <c r="CYY299" s="11"/>
      <c r="CYZ299" s="11"/>
      <c r="CZA299" s="11"/>
      <c r="CZB299" s="11"/>
      <c r="CZC299" s="11"/>
      <c r="CZD299" s="11"/>
      <c r="CZE299" s="11"/>
      <c r="CZF299" s="11"/>
      <c r="CZG299" s="11"/>
      <c r="CZH299" s="11"/>
      <c r="CZI299" s="11"/>
      <c r="CZJ299" s="11"/>
      <c r="CZK299" s="11"/>
      <c r="CZL299" s="11"/>
      <c r="CZM299" s="11"/>
      <c r="CZN299" s="11"/>
      <c r="CZO299" s="11"/>
      <c r="CZP299" s="11"/>
      <c r="CZQ299" s="11"/>
      <c r="CZR299" s="11"/>
      <c r="CZS299" s="11"/>
      <c r="CZT299" s="11"/>
      <c r="CZU299" s="11"/>
      <c r="CZV299" s="11"/>
      <c r="CZW299" s="11"/>
      <c r="CZX299" s="11"/>
      <c r="CZY299" s="11"/>
      <c r="CZZ299" s="11"/>
      <c r="DAA299" s="11"/>
      <c r="DAB299" s="11"/>
      <c r="DAC299" s="11"/>
      <c r="DAD299" s="11"/>
      <c r="DAE299" s="11"/>
      <c r="DAF299" s="11"/>
      <c r="DAG299" s="11"/>
      <c r="DAH299" s="11"/>
      <c r="DAI299" s="11"/>
      <c r="DAJ299" s="11"/>
      <c r="DAK299" s="11"/>
      <c r="DAL299" s="11"/>
      <c r="DAM299" s="11"/>
      <c r="DAN299" s="11"/>
      <c r="DAO299" s="11"/>
      <c r="DAP299" s="11"/>
      <c r="DAQ299" s="11"/>
      <c r="DAR299" s="11"/>
      <c r="DAS299" s="11"/>
      <c r="DAT299" s="11"/>
      <c r="DAU299" s="11"/>
      <c r="DAV299" s="11"/>
      <c r="DAW299" s="11"/>
      <c r="DAX299" s="11"/>
      <c r="DAY299" s="11"/>
      <c r="DAZ299" s="11"/>
      <c r="DBA299" s="11"/>
      <c r="DBB299" s="11"/>
      <c r="DBC299" s="11"/>
      <c r="DBD299" s="11"/>
      <c r="DBE299" s="11"/>
      <c r="DBF299" s="11"/>
      <c r="DBG299" s="11"/>
      <c r="DBH299" s="11"/>
      <c r="DBI299" s="11"/>
      <c r="DBJ299" s="11"/>
      <c r="DBK299" s="11"/>
      <c r="DBL299" s="11"/>
      <c r="DBM299" s="11"/>
      <c r="DBN299" s="11"/>
      <c r="DBO299" s="11"/>
      <c r="DBP299" s="11"/>
      <c r="DBQ299" s="11"/>
      <c r="DBR299" s="11"/>
      <c r="DBS299" s="11"/>
      <c r="DBT299" s="11"/>
      <c r="DBU299" s="11"/>
      <c r="DBV299" s="11"/>
      <c r="DBW299" s="11"/>
      <c r="DBX299" s="11"/>
      <c r="DBY299" s="11"/>
      <c r="DBZ299" s="11"/>
      <c r="DCA299" s="11"/>
      <c r="DCB299" s="11"/>
      <c r="DCC299" s="11"/>
      <c r="DCD299" s="11"/>
      <c r="DCE299" s="11"/>
      <c r="DCF299" s="11"/>
      <c r="DCG299" s="11"/>
      <c r="DCH299" s="11"/>
      <c r="DCI299" s="11"/>
      <c r="DCJ299" s="11"/>
      <c r="DCK299" s="11"/>
      <c r="DCL299" s="11"/>
      <c r="DCM299" s="11"/>
      <c r="DCN299" s="11"/>
      <c r="DCO299" s="11"/>
      <c r="DCP299" s="11"/>
      <c r="DCQ299" s="11"/>
      <c r="DCR299" s="11"/>
      <c r="DCS299" s="11"/>
      <c r="DCT299" s="11"/>
      <c r="DCU299" s="11"/>
      <c r="DCV299" s="11"/>
      <c r="DCW299" s="11"/>
      <c r="DCX299" s="11"/>
      <c r="DCY299" s="11"/>
      <c r="DCZ299" s="11"/>
      <c r="DDA299" s="11"/>
      <c r="DDB299" s="11"/>
      <c r="DDC299" s="11"/>
      <c r="DDD299" s="11"/>
      <c r="DDE299" s="11"/>
      <c r="DDF299" s="11"/>
      <c r="DDG299" s="11"/>
      <c r="DDH299" s="11"/>
      <c r="DDI299" s="11"/>
      <c r="DDJ299" s="11"/>
      <c r="DDK299" s="11"/>
      <c r="DDL299" s="11"/>
      <c r="DDM299" s="11"/>
      <c r="DDN299" s="11"/>
      <c r="DDO299" s="11"/>
      <c r="DDP299" s="11"/>
      <c r="DDQ299" s="11"/>
      <c r="DDR299" s="11"/>
      <c r="DDS299" s="11"/>
      <c r="DDT299" s="11"/>
      <c r="DDU299" s="11"/>
      <c r="DDV299" s="11"/>
      <c r="DDW299" s="11"/>
      <c r="DDX299" s="11"/>
      <c r="DDY299" s="11"/>
      <c r="DDZ299" s="11"/>
      <c r="DEA299" s="11"/>
      <c r="DEB299" s="11"/>
      <c r="DEC299" s="11"/>
      <c r="DED299" s="11"/>
      <c r="DEE299" s="11"/>
      <c r="DEF299" s="11"/>
      <c r="DEG299" s="11"/>
      <c r="DEH299" s="11"/>
      <c r="DEI299" s="11"/>
      <c r="DEJ299" s="11"/>
      <c r="DEK299" s="11"/>
      <c r="DEL299" s="11"/>
      <c r="DEM299" s="11"/>
      <c r="DEN299" s="11"/>
      <c r="DEO299" s="11"/>
      <c r="DEP299" s="11"/>
      <c r="DEQ299" s="11"/>
      <c r="DER299" s="11"/>
      <c r="DES299" s="11"/>
      <c r="DET299" s="11"/>
      <c r="DEU299" s="11"/>
      <c r="DEV299" s="11"/>
      <c r="DEW299" s="11"/>
      <c r="DEX299" s="11"/>
      <c r="DEY299" s="11"/>
      <c r="DEZ299" s="11"/>
      <c r="DFA299" s="11"/>
      <c r="DFB299" s="11"/>
      <c r="DFC299" s="11"/>
      <c r="DFD299" s="11"/>
      <c r="DFE299" s="11"/>
      <c r="DFF299" s="11"/>
      <c r="DFG299" s="11"/>
      <c r="DFH299" s="11"/>
      <c r="DFI299" s="11"/>
      <c r="DFJ299" s="11"/>
      <c r="DFK299" s="11"/>
      <c r="DFL299" s="11"/>
      <c r="DFM299" s="11"/>
      <c r="DFN299" s="11"/>
      <c r="DFO299" s="11"/>
      <c r="DFP299" s="11"/>
      <c r="DFQ299" s="11"/>
      <c r="DFR299" s="11"/>
      <c r="DFS299" s="11"/>
      <c r="DFT299" s="11"/>
      <c r="DFU299" s="11"/>
      <c r="DFV299" s="11"/>
      <c r="DFW299" s="11"/>
      <c r="DFX299" s="11"/>
      <c r="DFY299" s="11"/>
      <c r="DFZ299" s="11"/>
      <c r="DGA299" s="11"/>
      <c r="DGB299" s="11"/>
      <c r="DGC299" s="11"/>
      <c r="DGD299" s="11"/>
      <c r="DGE299" s="11"/>
      <c r="DGF299" s="11"/>
      <c r="DGG299" s="11"/>
      <c r="DGH299" s="11"/>
      <c r="DGI299" s="11"/>
      <c r="DGJ299" s="11"/>
      <c r="DGK299" s="11"/>
      <c r="DGL299" s="11"/>
      <c r="DGM299" s="11"/>
      <c r="DGN299" s="11"/>
      <c r="DGO299" s="11"/>
      <c r="DGP299" s="11"/>
      <c r="DGQ299" s="11"/>
      <c r="DGR299" s="11"/>
      <c r="DGS299" s="11"/>
      <c r="DGT299" s="11"/>
      <c r="DGU299" s="11"/>
      <c r="DGV299" s="11"/>
      <c r="DGW299" s="11"/>
      <c r="DGX299" s="11"/>
      <c r="DGY299" s="11"/>
      <c r="DGZ299" s="11"/>
      <c r="DHA299" s="11"/>
      <c r="DHB299" s="11"/>
      <c r="DHC299" s="11"/>
      <c r="DHD299" s="11"/>
      <c r="DHE299" s="11"/>
      <c r="DHF299" s="11"/>
      <c r="DHG299" s="11"/>
      <c r="DHH299" s="11"/>
      <c r="DHI299" s="11"/>
      <c r="DHJ299" s="11"/>
      <c r="DHK299" s="11"/>
      <c r="DHL299" s="11"/>
      <c r="DHM299" s="11"/>
      <c r="DHN299" s="11"/>
      <c r="DHO299" s="11"/>
      <c r="DHP299" s="11"/>
      <c r="DHQ299" s="11"/>
      <c r="DHR299" s="11"/>
      <c r="DHS299" s="11"/>
      <c r="DHT299" s="11"/>
      <c r="DHU299" s="11"/>
      <c r="DHV299" s="11"/>
      <c r="DHW299" s="11"/>
      <c r="DHX299" s="11"/>
      <c r="DHY299" s="11"/>
      <c r="DHZ299" s="11"/>
      <c r="DIA299" s="11"/>
      <c r="DIB299" s="11"/>
      <c r="DIC299" s="11"/>
      <c r="DID299" s="11"/>
      <c r="DIE299" s="11"/>
      <c r="DIF299" s="11"/>
      <c r="DIG299" s="11"/>
      <c r="DIH299" s="11"/>
      <c r="DII299" s="11"/>
      <c r="DIJ299" s="11"/>
      <c r="DIK299" s="11"/>
      <c r="DIL299" s="11"/>
      <c r="DIM299" s="11"/>
      <c r="DIN299" s="11"/>
      <c r="DIO299" s="11"/>
      <c r="DIP299" s="11"/>
      <c r="DIQ299" s="11"/>
      <c r="DIR299" s="11"/>
      <c r="DIS299" s="11"/>
      <c r="DIT299" s="11"/>
      <c r="DIU299" s="11"/>
      <c r="DIV299" s="11"/>
      <c r="DIW299" s="11"/>
      <c r="DIX299" s="11"/>
      <c r="DIY299" s="11"/>
      <c r="DIZ299" s="11"/>
      <c r="DJA299" s="11"/>
      <c r="DJB299" s="11"/>
      <c r="DJC299" s="11"/>
      <c r="DJD299" s="11"/>
      <c r="DJE299" s="11"/>
      <c r="DJF299" s="11"/>
      <c r="DJG299" s="11"/>
      <c r="DJH299" s="11"/>
      <c r="DJI299" s="11"/>
      <c r="DJJ299" s="11"/>
      <c r="DJK299" s="11"/>
      <c r="DJL299" s="11"/>
      <c r="DJM299" s="11"/>
      <c r="DJN299" s="11"/>
      <c r="DJO299" s="11"/>
      <c r="DJP299" s="11"/>
      <c r="DJQ299" s="11"/>
      <c r="DJR299" s="11"/>
      <c r="DJS299" s="11"/>
      <c r="DJT299" s="11"/>
      <c r="DJU299" s="11"/>
      <c r="DJV299" s="11"/>
      <c r="DJW299" s="11"/>
      <c r="DJX299" s="11"/>
      <c r="DJY299" s="11"/>
      <c r="DJZ299" s="11"/>
      <c r="DKA299" s="11"/>
      <c r="DKB299" s="11"/>
      <c r="DKC299" s="11"/>
      <c r="DKD299" s="11"/>
      <c r="DKE299" s="11"/>
      <c r="DKF299" s="11"/>
      <c r="DKG299" s="11"/>
      <c r="DKH299" s="11"/>
      <c r="DKI299" s="11"/>
      <c r="DKJ299" s="11"/>
      <c r="DKK299" s="11"/>
      <c r="DKL299" s="11"/>
      <c r="DKM299" s="11"/>
      <c r="DKN299" s="11"/>
      <c r="DKO299" s="11"/>
      <c r="DKP299" s="11"/>
      <c r="DKQ299" s="11"/>
      <c r="DKR299" s="11"/>
      <c r="DKS299" s="11"/>
      <c r="DKT299" s="11"/>
      <c r="DKU299" s="11"/>
      <c r="DKV299" s="11"/>
      <c r="DKW299" s="11"/>
      <c r="DKX299" s="11"/>
      <c r="DKY299" s="11"/>
      <c r="DKZ299" s="11"/>
      <c r="DLA299" s="11"/>
      <c r="DLB299" s="11"/>
      <c r="DLC299" s="11"/>
      <c r="DLD299" s="11"/>
      <c r="DLE299" s="11"/>
      <c r="DLF299" s="11"/>
      <c r="DLG299" s="11"/>
      <c r="DLH299" s="11"/>
      <c r="DLI299" s="11"/>
      <c r="DLJ299" s="11"/>
      <c r="DLK299" s="11"/>
      <c r="DLL299" s="11"/>
      <c r="DLM299" s="11"/>
      <c r="DLN299" s="11"/>
      <c r="DLO299" s="11"/>
      <c r="DLP299" s="11"/>
      <c r="DLQ299" s="11"/>
      <c r="DLR299" s="11"/>
      <c r="DLS299" s="11"/>
      <c r="DLT299" s="11"/>
      <c r="DLU299" s="11"/>
      <c r="DLV299" s="11"/>
      <c r="DLW299" s="11"/>
      <c r="DLX299" s="11"/>
      <c r="DLY299" s="11"/>
      <c r="DLZ299" s="11"/>
      <c r="DMA299" s="11"/>
      <c r="DMB299" s="11"/>
      <c r="DMC299" s="11"/>
      <c r="DMD299" s="11"/>
      <c r="DME299" s="11"/>
      <c r="DMF299" s="11"/>
      <c r="DMG299" s="11"/>
      <c r="DMH299" s="11"/>
      <c r="DMI299" s="11"/>
      <c r="DMJ299" s="11"/>
      <c r="DMK299" s="11"/>
      <c r="DML299" s="11"/>
      <c r="DMM299" s="11"/>
      <c r="DMN299" s="11"/>
      <c r="DMO299" s="11"/>
      <c r="DMP299" s="11"/>
      <c r="DMQ299" s="11"/>
      <c r="DMR299" s="11"/>
      <c r="DMS299" s="11"/>
      <c r="DMT299" s="11"/>
      <c r="DMU299" s="11"/>
      <c r="DMV299" s="11"/>
      <c r="DMW299" s="11"/>
      <c r="DMX299" s="11"/>
      <c r="DMY299" s="11"/>
      <c r="DMZ299" s="11"/>
      <c r="DNA299" s="11"/>
      <c r="DNB299" s="11"/>
      <c r="DNC299" s="11"/>
      <c r="DND299" s="11"/>
      <c r="DNE299" s="11"/>
      <c r="DNF299" s="11"/>
      <c r="DNG299" s="11"/>
      <c r="DNH299" s="11"/>
      <c r="DNI299" s="11"/>
      <c r="DNJ299" s="11"/>
      <c r="DNK299" s="11"/>
      <c r="DNL299" s="11"/>
      <c r="DNM299" s="11"/>
      <c r="DNN299" s="11"/>
      <c r="DNO299" s="11"/>
      <c r="DNP299" s="11"/>
      <c r="DNQ299" s="11"/>
      <c r="DNR299" s="11"/>
      <c r="DNS299" s="11"/>
      <c r="DNT299" s="11"/>
      <c r="DNU299" s="11"/>
      <c r="DNV299" s="11"/>
      <c r="DNW299" s="11"/>
      <c r="DNX299" s="11"/>
      <c r="DNY299" s="11"/>
      <c r="DNZ299" s="11"/>
      <c r="DOA299" s="11"/>
      <c r="DOB299" s="11"/>
      <c r="DOC299" s="11"/>
      <c r="DOD299" s="11"/>
      <c r="DOE299" s="11"/>
      <c r="DOF299" s="11"/>
      <c r="DOG299" s="11"/>
      <c r="DOH299" s="11"/>
      <c r="DOI299" s="11"/>
      <c r="DOJ299" s="11"/>
      <c r="DOK299" s="11"/>
      <c r="DOL299" s="11"/>
      <c r="DOM299" s="11"/>
      <c r="DON299" s="11"/>
      <c r="DOO299" s="11"/>
      <c r="DOP299" s="11"/>
      <c r="DOQ299" s="11"/>
      <c r="DOR299" s="11"/>
      <c r="DOS299" s="11"/>
      <c r="DOT299" s="11"/>
      <c r="DOU299" s="11"/>
      <c r="DOV299" s="11"/>
      <c r="DOW299" s="11"/>
      <c r="DOX299" s="11"/>
      <c r="DOY299" s="11"/>
      <c r="DOZ299" s="11"/>
      <c r="DPA299" s="11"/>
      <c r="DPB299" s="11"/>
      <c r="DPC299" s="11"/>
      <c r="DPD299" s="11"/>
      <c r="DPE299" s="11"/>
      <c r="DPF299" s="11"/>
      <c r="DPG299" s="11"/>
      <c r="DPH299" s="11"/>
      <c r="DPI299" s="11"/>
      <c r="DPJ299" s="11"/>
      <c r="DPK299" s="11"/>
      <c r="DPL299" s="11"/>
      <c r="DPM299" s="11"/>
      <c r="DPN299" s="11"/>
      <c r="DPO299" s="11"/>
      <c r="DPP299" s="11"/>
      <c r="DPQ299" s="11"/>
      <c r="DPR299" s="11"/>
      <c r="DPS299" s="11"/>
      <c r="DPT299" s="11"/>
      <c r="DPU299" s="11"/>
      <c r="DPV299" s="11"/>
      <c r="DPW299" s="11"/>
      <c r="DPX299" s="11"/>
      <c r="DPY299" s="11"/>
      <c r="DPZ299" s="11"/>
      <c r="DQA299" s="11"/>
      <c r="DQB299" s="11"/>
      <c r="DQC299" s="11"/>
      <c r="DQD299" s="11"/>
      <c r="DQE299" s="11"/>
      <c r="DQF299" s="11"/>
      <c r="DQG299" s="11"/>
      <c r="DQH299" s="11"/>
      <c r="DQI299" s="11"/>
      <c r="DQJ299" s="11"/>
      <c r="DQK299" s="11"/>
      <c r="DQL299" s="11"/>
      <c r="DQM299" s="11"/>
      <c r="DQN299" s="11"/>
      <c r="DQO299" s="11"/>
      <c r="DQP299" s="11"/>
      <c r="DQQ299" s="11"/>
      <c r="DQR299" s="11"/>
      <c r="DQS299" s="11"/>
      <c r="DQT299" s="11"/>
      <c r="DQU299" s="11"/>
      <c r="DQV299" s="11"/>
      <c r="DQW299" s="11"/>
      <c r="DQX299" s="11"/>
      <c r="DQY299" s="11"/>
      <c r="DQZ299" s="11"/>
      <c r="DRA299" s="11"/>
      <c r="DRB299" s="11"/>
      <c r="DRC299" s="11"/>
      <c r="DRD299" s="11"/>
      <c r="DRE299" s="11"/>
      <c r="DRF299" s="11"/>
      <c r="DRG299" s="11"/>
      <c r="DRH299" s="11"/>
      <c r="DRI299" s="11"/>
      <c r="DRJ299" s="11"/>
      <c r="DRK299" s="11"/>
      <c r="DRL299" s="11"/>
      <c r="DRM299" s="11"/>
      <c r="DRN299" s="11"/>
      <c r="DRO299" s="11"/>
      <c r="DRP299" s="11"/>
      <c r="DRQ299" s="11"/>
      <c r="DRR299" s="11"/>
      <c r="DRS299" s="11"/>
      <c r="DRT299" s="11"/>
      <c r="DRU299" s="11"/>
      <c r="DRV299" s="11"/>
      <c r="DRW299" s="11"/>
      <c r="DRX299" s="11"/>
      <c r="DRY299" s="11"/>
      <c r="DRZ299" s="11"/>
      <c r="DSA299" s="11"/>
      <c r="DSB299" s="11"/>
      <c r="DSC299" s="11"/>
      <c r="DSD299" s="11"/>
      <c r="DSE299" s="11"/>
      <c r="DSF299" s="11"/>
      <c r="DSG299" s="11"/>
      <c r="DSH299" s="11"/>
      <c r="DSI299" s="11"/>
      <c r="DSJ299" s="11"/>
      <c r="DSK299" s="11"/>
      <c r="DSL299" s="11"/>
      <c r="DSM299" s="11"/>
      <c r="DSN299" s="11"/>
      <c r="DSO299" s="11"/>
      <c r="DSP299" s="11"/>
      <c r="DSQ299" s="11"/>
      <c r="DSR299" s="11"/>
      <c r="DSS299" s="11"/>
      <c r="DST299" s="11"/>
      <c r="DSU299" s="11"/>
      <c r="DSV299" s="11"/>
      <c r="DSW299" s="11"/>
      <c r="DSX299" s="11"/>
      <c r="DSY299" s="11"/>
      <c r="DSZ299" s="11"/>
      <c r="DTA299" s="11"/>
      <c r="DTB299" s="11"/>
      <c r="DTC299" s="11"/>
      <c r="DTD299" s="11"/>
      <c r="DTE299" s="11"/>
      <c r="DTF299" s="11"/>
      <c r="DTG299" s="11"/>
      <c r="DTH299" s="11"/>
      <c r="DTI299" s="11"/>
      <c r="DTJ299" s="11"/>
      <c r="DTK299" s="11"/>
      <c r="DTL299" s="11"/>
      <c r="DTM299" s="11"/>
      <c r="DTN299" s="11"/>
      <c r="DTO299" s="11"/>
      <c r="DTP299" s="11"/>
      <c r="DTQ299" s="11"/>
      <c r="DTR299" s="11"/>
      <c r="DTS299" s="11"/>
      <c r="DTT299" s="11"/>
      <c r="DTU299" s="11"/>
      <c r="DTV299" s="11"/>
      <c r="DTW299" s="11"/>
      <c r="DTX299" s="11"/>
      <c r="DTY299" s="11"/>
      <c r="DTZ299" s="11"/>
      <c r="DUA299" s="11"/>
      <c r="DUB299" s="11"/>
      <c r="DUC299" s="11"/>
      <c r="DUD299" s="11"/>
      <c r="DUE299" s="11"/>
      <c r="DUF299" s="11"/>
      <c r="DUG299" s="11"/>
      <c r="DUH299" s="11"/>
      <c r="DUI299" s="11"/>
      <c r="DUJ299" s="11"/>
      <c r="DUK299" s="11"/>
      <c r="DUL299" s="11"/>
      <c r="DUM299" s="11"/>
      <c r="DUN299" s="11"/>
      <c r="DUO299" s="11"/>
      <c r="DUP299" s="11"/>
      <c r="DUQ299" s="11"/>
      <c r="DUR299" s="11"/>
      <c r="DUS299" s="11"/>
      <c r="DUT299" s="11"/>
      <c r="DUU299" s="11"/>
      <c r="DUV299" s="11"/>
      <c r="DUW299" s="11"/>
      <c r="DUX299" s="11"/>
      <c r="DUY299" s="11"/>
      <c r="DUZ299" s="11"/>
      <c r="DVA299" s="11"/>
      <c r="DVB299" s="11"/>
      <c r="DVC299" s="11"/>
      <c r="DVD299" s="11"/>
      <c r="DVE299" s="11"/>
      <c r="DVF299" s="11"/>
      <c r="DVG299" s="11"/>
      <c r="DVH299" s="11"/>
      <c r="DVI299" s="11"/>
      <c r="DVJ299" s="11"/>
      <c r="DVK299" s="11"/>
      <c r="DVL299" s="11"/>
      <c r="DVM299" s="11"/>
      <c r="DVN299" s="11"/>
      <c r="DVO299" s="11"/>
      <c r="DVP299" s="11"/>
      <c r="DVQ299" s="11"/>
      <c r="DVR299" s="11"/>
      <c r="DVS299" s="11"/>
      <c r="DVT299" s="11"/>
      <c r="DVU299" s="11"/>
      <c r="DVV299" s="11"/>
      <c r="DVW299" s="11"/>
      <c r="DVX299" s="11"/>
      <c r="DVY299" s="11"/>
      <c r="DVZ299" s="11"/>
      <c r="DWA299" s="11"/>
      <c r="DWB299" s="11"/>
      <c r="DWC299" s="11"/>
      <c r="DWD299" s="11"/>
      <c r="DWE299" s="11"/>
      <c r="DWF299" s="11"/>
      <c r="DWG299" s="11"/>
      <c r="DWH299" s="11"/>
      <c r="DWI299" s="11"/>
      <c r="DWJ299" s="11"/>
      <c r="DWK299" s="11"/>
      <c r="DWL299" s="11"/>
      <c r="DWM299" s="11"/>
      <c r="DWN299" s="11"/>
      <c r="DWO299" s="11"/>
      <c r="DWP299" s="11"/>
      <c r="DWQ299" s="11"/>
      <c r="DWR299" s="11"/>
      <c r="DWS299" s="11"/>
      <c r="DWT299" s="11"/>
      <c r="DWU299" s="11"/>
      <c r="DWV299" s="11"/>
      <c r="DWW299" s="11"/>
      <c r="DWX299" s="11"/>
      <c r="DWY299" s="11"/>
      <c r="DWZ299" s="11"/>
      <c r="DXA299" s="11"/>
      <c r="DXB299" s="11"/>
      <c r="DXC299" s="11"/>
      <c r="DXD299" s="11"/>
      <c r="DXE299" s="11"/>
      <c r="DXF299" s="11"/>
      <c r="DXG299" s="11"/>
      <c r="DXH299" s="11"/>
      <c r="DXI299" s="11"/>
      <c r="DXJ299" s="11"/>
      <c r="DXK299" s="11"/>
      <c r="DXL299" s="11"/>
      <c r="DXM299" s="11"/>
      <c r="DXN299" s="11"/>
      <c r="DXO299" s="11"/>
      <c r="DXP299" s="11"/>
      <c r="DXQ299" s="11"/>
      <c r="DXR299" s="11"/>
      <c r="DXS299" s="11"/>
      <c r="DXT299" s="11"/>
      <c r="DXU299" s="11"/>
      <c r="DXV299" s="11"/>
      <c r="DXW299" s="11"/>
      <c r="DXX299" s="11"/>
      <c r="DXY299" s="11"/>
      <c r="DXZ299" s="11"/>
      <c r="DYA299" s="11"/>
      <c r="DYB299" s="11"/>
      <c r="DYC299" s="11"/>
      <c r="DYD299" s="11"/>
      <c r="DYE299" s="11"/>
      <c r="DYF299" s="11"/>
      <c r="DYG299" s="11"/>
      <c r="DYH299" s="11"/>
      <c r="DYI299" s="11"/>
      <c r="DYJ299" s="11"/>
      <c r="DYK299" s="11"/>
      <c r="DYL299" s="11"/>
      <c r="DYM299" s="11"/>
      <c r="DYN299" s="11"/>
      <c r="DYO299" s="11"/>
      <c r="DYP299" s="11"/>
      <c r="DYQ299" s="11"/>
      <c r="DYR299" s="11"/>
      <c r="DYS299" s="11"/>
      <c r="DYT299" s="11"/>
      <c r="DYU299" s="11"/>
      <c r="DYV299" s="11"/>
      <c r="DYW299" s="11"/>
      <c r="DYX299" s="11"/>
      <c r="DYY299" s="11"/>
      <c r="DYZ299" s="11"/>
      <c r="DZA299" s="11"/>
      <c r="DZB299" s="11"/>
      <c r="DZC299" s="11"/>
      <c r="DZD299" s="11"/>
      <c r="DZE299" s="11"/>
      <c r="DZF299" s="11"/>
      <c r="DZG299" s="11"/>
      <c r="DZH299" s="11"/>
      <c r="DZI299" s="11"/>
      <c r="DZJ299" s="11"/>
      <c r="DZK299" s="11"/>
      <c r="DZL299" s="11"/>
      <c r="DZM299" s="11"/>
      <c r="DZN299" s="11"/>
      <c r="DZO299" s="11"/>
      <c r="DZP299" s="11"/>
      <c r="DZQ299" s="11"/>
      <c r="DZR299" s="11"/>
      <c r="DZS299" s="11"/>
      <c r="DZT299" s="11"/>
      <c r="DZU299" s="11"/>
      <c r="DZV299" s="11"/>
      <c r="DZW299" s="11"/>
      <c r="DZX299" s="11"/>
      <c r="DZY299" s="11"/>
      <c r="DZZ299" s="11"/>
      <c r="EAA299" s="11"/>
      <c r="EAB299" s="11"/>
      <c r="EAC299" s="11"/>
      <c r="EAD299" s="11"/>
      <c r="EAE299" s="11"/>
      <c r="EAF299" s="11"/>
      <c r="EAG299" s="11"/>
      <c r="EAH299" s="11"/>
      <c r="EAI299" s="11"/>
      <c r="EAJ299" s="11"/>
      <c r="EAK299" s="11"/>
      <c r="EAL299" s="11"/>
      <c r="EAM299" s="11"/>
      <c r="EAN299" s="11"/>
      <c r="EAO299" s="11"/>
      <c r="EAP299" s="11"/>
      <c r="EAQ299" s="11"/>
      <c r="EAR299" s="11"/>
      <c r="EAS299" s="11"/>
      <c r="EAT299" s="11"/>
      <c r="EAU299" s="11"/>
      <c r="EAV299" s="11"/>
      <c r="EAW299" s="11"/>
      <c r="EAX299" s="11"/>
      <c r="EAY299" s="11"/>
      <c r="EAZ299" s="11"/>
      <c r="EBA299" s="11"/>
      <c r="EBB299" s="11"/>
      <c r="EBC299" s="11"/>
      <c r="EBD299" s="11"/>
      <c r="EBE299" s="11"/>
      <c r="EBF299" s="11"/>
      <c r="EBG299" s="11"/>
      <c r="EBH299" s="11"/>
      <c r="EBI299" s="11"/>
      <c r="EBJ299" s="11"/>
      <c r="EBK299" s="11"/>
      <c r="EBL299" s="11"/>
      <c r="EBM299" s="11"/>
      <c r="EBN299" s="11"/>
      <c r="EBO299" s="11"/>
      <c r="EBP299" s="11"/>
      <c r="EBQ299" s="11"/>
      <c r="EBR299" s="11"/>
      <c r="EBS299" s="11"/>
      <c r="EBT299" s="11"/>
      <c r="EBU299" s="11"/>
      <c r="EBV299" s="11"/>
      <c r="EBW299" s="11"/>
      <c r="EBX299" s="11"/>
      <c r="EBY299" s="11"/>
      <c r="EBZ299" s="11"/>
      <c r="ECA299" s="11"/>
      <c r="ECB299" s="11"/>
      <c r="ECC299" s="11"/>
      <c r="ECD299" s="11"/>
      <c r="ECE299" s="11"/>
      <c r="ECF299" s="11"/>
      <c r="ECG299" s="11"/>
      <c r="ECH299" s="11"/>
      <c r="ECI299" s="11"/>
      <c r="ECJ299" s="11"/>
      <c r="ECK299" s="11"/>
      <c r="ECL299" s="11"/>
      <c r="ECM299" s="11"/>
      <c r="ECN299" s="11"/>
      <c r="ECO299" s="11"/>
      <c r="ECP299" s="11"/>
      <c r="ECQ299" s="11"/>
      <c r="ECR299" s="11"/>
      <c r="ECS299" s="11"/>
      <c r="ECT299" s="11"/>
      <c r="ECU299" s="11"/>
      <c r="ECV299" s="11"/>
      <c r="ECW299" s="11"/>
      <c r="ECX299" s="11"/>
      <c r="ECY299" s="11"/>
      <c r="ECZ299" s="11"/>
      <c r="EDA299" s="11"/>
      <c r="EDB299" s="11"/>
      <c r="EDC299" s="11"/>
      <c r="EDD299" s="11"/>
      <c r="EDE299" s="11"/>
      <c r="EDF299" s="11"/>
      <c r="EDG299" s="11"/>
      <c r="EDH299" s="11"/>
      <c r="EDI299" s="11"/>
      <c r="EDJ299" s="11"/>
      <c r="EDK299" s="11"/>
      <c r="EDL299" s="11"/>
      <c r="EDM299" s="11"/>
      <c r="EDN299" s="11"/>
      <c r="EDO299" s="11"/>
      <c r="EDP299" s="11"/>
      <c r="EDQ299" s="11"/>
      <c r="EDR299" s="11"/>
      <c r="EDS299" s="11"/>
      <c r="EDT299" s="11"/>
      <c r="EDU299" s="11"/>
      <c r="EDV299" s="11"/>
      <c r="EDW299" s="11"/>
      <c r="EDX299" s="11"/>
      <c r="EDY299" s="11"/>
      <c r="EDZ299" s="11"/>
      <c r="EEA299" s="11"/>
      <c r="EEB299" s="11"/>
      <c r="EEC299" s="11"/>
      <c r="EED299" s="11"/>
      <c r="EEE299" s="11"/>
      <c r="EEF299" s="11"/>
      <c r="EEG299" s="11"/>
      <c r="EEH299" s="11"/>
      <c r="EEI299" s="11"/>
      <c r="EEJ299" s="11"/>
      <c r="EEK299" s="11"/>
      <c r="EEL299" s="11"/>
      <c r="EEM299" s="11"/>
      <c r="EEN299" s="11"/>
      <c r="EEO299" s="11"/>
      <c r="EEP299" s="11"/>
      <c r="EEQ299" s="11"/>
      <c r="EER299" s="11"/>
      <c r="EES299" s="11"/>
      <c r="EET299" s="11"/>
      <c r="EEU299" s="11"/>
      <c r="EEV299" s="11"/>
      <c r="EEW299" s="11"/>
      <c r="EEX299" s="11"/>
      <c r="EEY299" s="11"/>
      <c r="EEZ299" s="11"/>
      <c r="EFA299" s="11"/>
      <c r="EFB299" s="11"/>
      <c r="EFC299" s="11"/>
      <c r="EFD299" s="11"/>
      <c r="EFE299" s="11"/>
      <c r="EFF299" s="11"/>
      <c r="EFG299" s="11"/>
      <c r="EFH299" s="11"/>
      <c r="EFI299" s="11"/>
      <c r="EFJ299" s="11"/>
      <c r="EFK299" s="11"/>
      <c r="EFL299" s="11"/>
      <c r="EFM299" s="11"/>
      <c r="EFN299" s="11"/>
      <c r="EFO299" s="11"/>
      <c r="EFP299" s="11"/>
      <c r="EFQ299" s="11"/>
      <c r="EFR299" s="11"/>
      <c r="EFS299" s="11"/>
      <c r="EFT299" s="11"/>
      <c r="EFU299" s="11"/>
      <c r="EFV299" s="11"/>
      <c r="EFW299" s="11"/>
      <c r="EFX299" s="11"/>
      <c r="EFY299" s="11"/>
      <c r="EFZ299" s="11"/>
      <c r="EGA299" s="11"/>
      <c r="EGB299" s="11"/>
      <c r="EGC299" s="11"/>
      <c r="EGD299" s="11"/>
      <c r="EGE299" s="11"/>
      <c r="EGF299" s="11"/>
      <c r="EGG299" s="11"/>
      <c r="EGH299" s="11"/>
      <c r="EGI299" s="11"/>
      <c r="EGJ299" s="11"/>
      <c r="EGK299" s="11"/>
      <c r="EGL299" s="11"/>
      <c r="EGM299" s="11"/>
      <c r="EGN299" s="11"/>
      <c r="EGO299" s="11"/>
      <c r="EGP299" s="11"/>
      <c r="EGQ299" s="11"/>
      <c r="EGR299" s="11"/>
      <c r="EGS299" s="11"/>
      <c r="EGT299" s="11"/>
      <c r="EGU299" s="11"/>
      <c r="EGV299" s="11"/>
      <c r="EGW299" s="11"/>
      <c r="EGX299" s="11"/>
      <c r="EGY299" s="11"/>
      <c r="EGZ299" s="11"/>
      <c r="EHA299" s="11"/>
      <c r="EHB299" s="11"/>
      <c r="EHC299" s="11"/>
      <c r="EHD299" s="11"/>
      <c r="EHE299" s="11"/>
      <c r="EHF299" s="11"/>
      <c r="EHG299" s="11"/>
      <c r="EHH299" s="11"/>
      <c r="EHI299" s="11"/>
      <c r="EHJ299" s="11"/>
      <c r="EHK299" s="11"/>
      <c r="EHL299" s="11"/>
      <c r="EHM299" s="11"/>
      <c r="EHN299" s="11"/>
      <c r="EHO299" s="11"/>
      <c r="EHP299" s="11"/>
      <c r="EHQ299" s="11"/>
      <c r="EHR299" s="11"/>
      <c r="EHS299" s="11"/>
      <c r="EHT299" s="11"/>
      <c r="EHU299" s="11"/>
      <c r="EHV299" s="11"/>
      <c r="EHW299" s="11"/>
      <c r="EHX299" s="11"/>
      <c r="EHY299" s="11"/>
      <c r="EHZ299" s="11"/>
      <c r="EIA299" s="11"/>
      <c r="EIB299" s="11"/>
      <c r="EIC299" s="11"/>
      <c r="EID299" s="11"/>
      <c r="EIE299" s="11"/>
      <c r="EIF299" s="11"/>
      <c r="EIG299" s="11"/>
      <c r="EIH299" s="11"/>
      <c r="EII299" s="11"/>
      <c r="EIJ299" s="11"/>
      <c r="EIK299" s="11"/>
      <c r="EIL299" s="11"/>
      <c r="EIM299" s="11"/>
      <c r="EIN299" s="11"/>
      <c r="EIO299" s="11"/>
      <c r="EIP299" s="11"/>
      <c r="EIQ299" s="11"/>
      <c r="EIR299" s="11"/>
      <c r="EIS299" s="11"/>
      <c r="EIT299" s="11"/>
      <c r="EIU299" s="11"/>
      <c r="EIV299" s="11"/>
      <c r="EIW299" s="11"/>
      <c r="EIX299" s="11"/>
      <c r="EIY299" s="11"/>
      <c r="EIZ299" s="11"/>
      <c r="EJA299" s="11"/>
      <c r="EJB299" s="11"/>
      <c r="EJC299" s="11"/>
      <c r="EJD299" s="11"/>
      <c r="EJE299" s="11"/>
      <c r="EJF299" s="11"/>
      <c r="EJG299" s="11"/>
      <c r="EJH299" s="11"/>
      <c r="EJI299" s="11"/>
      <c r="EJJ299" s="11"/>
      <c r="EJK299" s="11"/>
      <c r="EJL299" s="11"/>
      <c r="EJM299" s="11"/>
      <c r="EJN299" s="11"/>
      <c r="EJO299" s="11"/>
      <c r="EJP299" s="11"/>
      <c r="EJQ299" s="11"/>
      <c r="EJR299" s="11"/>
      <c r="EJS299" s="11"/>
      <c r="EJT299" s="11"/>
      <c r="EJU299" s="11"/>
      <c r="EJV299" s="11"/>
      <c r="EJW299" s="11"/>
      <c r="EJX299" s="11"/>
      <c r="EJY299" s="11"/>
      <c r="EJZ299" s="11"/>
      <c r="EKA299" s="11"/>
      <c r="EKB299" s="11"/>
      <c r="EKC299" s="11"/>
      <c r="EKD299" s="11"/>
      <c r="EKE299" s="11"/>
      <c r="EKF299" s="11"/>
      <c r="EKG299" s="11"/>
      <c r="EKH299" s="11"/>
      <c r="EKI299" s="11"/>
      <c r="EKJ299" s="11"/>
      <c r="EKK299" s="11"/>
      <c r="EKL299" s="11"/>
      <c r="EKM299" s="11"/>
      <c r="EKN299" s="11"/>
      <c r="EKO299" s="11"/>
      <c r="EKP299" s="11"/>
      <c r="EKQ299" s="11"/>
      <c r="EKR299" s="11"/>
      <c r="EKS299" s="11"/>
      <c r="EKT299" s="11"/>
      <c r="EKU299" s="11"/>
      <c r="EKV299" s="11"/>
      <c r="EKW299" s="11"/>
      <c r="EKX299" s="11"/>
      <c r="EKY299" s="11"/>
      <c r="EKZ299" s="11"/>
      <c r="ELA299" s="11"/>
      <c r="ELB299" s="11"/>
      <c r="ELC299" s="11"/>
      <c r="ELD299" s="11"/>
      <c r="ELE299" s="11"/>
      <c r="ELF299" s="11"/>
      <c r="ELG299" s="11"/>
      <c r="ELH299" s="11"/>
      <c r="ELI299" s="11"/>
      <c r="ELJ299" s="11"/>
      <c r="ELK299" s="11"/>
      <c r="ELL299" s="11"/>
      <c r="ELM299" s="11"/>
      <c r="ELN299" s="11"/>
      <c r="ELO299" s="11"/>
      <c r="ELP299" s="11"/>
      <c r="ELQ299" s="11"/>
      <c r="ELR299" s="11"/>
      <c r="ELS299" s="11"/>
      <c r="ELT299" s="11"/>
      <c r="ELU299" s="11"/>
      <c r="ELV299" s="11"/>
      <c r="ELW299" s="11"/>
      <c r="ELX299" s="11"/>
      <c r="ELY299" s="11"/>
      <c r="ELZ299" s="11"/>
      <c r="EMA299" s="11"/>
      <c r="EMB299" s="11"/>
      <c r="EMC299" s="11"/>
      <c r="EMD299" s="11"/>
      <c r="EME299" s="11"/>
      <c r="EMF299" s="11"/>
      <c r="EMG299" s="11"/>
      <c r="EMH299" s="11"/>
      <c r="EMI299" s="11"/>
      <c r="EMJ299" s="11"/>
      <c r="EMK299" s="11"/>
      <c r="EML299" s="11"/>
      <c r="EMM299" s="11"/>
      <c r="EMN299" s="11"/>
      <c r="EMO299" s="11"/>
      <c r="EMP299" s="11"/>
      <c r="EMQ299" s="11"/>
      <c r="EMR299" s="11"/>
      <c r="EMS299" s="11"/>
      <c r="EMT299" s="11"/>
      <c r="EMU299" s="11"/>
      <c r="EMV299" s="11"/>
      <c r="EMW299" s="11"/>
      <c r="EMX299" s="11"/>
      <c r="EMY299" s="11"/>
      <c r="EMZ299" s="11"/>
      <c r="ENA299" s="11"/>
      <c r="ENB299" s="11"/>
      <c r="ENC299" s="11"/>
      <c r="END299" s="11"/>
      <c r="ENE299" s="11"/>
      <c r="ENF299" s="11"/>
      <c r="ENG299" s="11"/>
      <c r="ENH299" s="11"/>
      <c r="ENI299" s="11"/>
      <c r="ENJ299" s="11"/>
      <c r="ENK299" s="11"/>
      <c r="ENL299" s="11"/>
      <c r="ENM299" s="11"/>
      <c r="ENN299" s="11"/>
      <c r="ENO299" s="11"/>
      <c r="ENP299" s="11"/>
      <c r="ENQ299" s="11"/>
      <c r="ENR299" s="11"/>
      <c r="ENS299" s="11"/>
      <c r="ENT299" s="11"/>
      <c r="ENU299" s="11"/>
      <c r="ENV299" s="11"/>
      <c r="ENW299" s="11"/>
      <c r="ENX299" s="11"/>
      <c r="ENY299" s="11"/>
      <c r="ENZ299" s="11"/>
      <c r="EOA299" s="11"/>
      <c r="EOB299" s="11"/>
      <c r="EOC299" s="11"/>
      <c r="EOD299" s="11"/>
      <c r="EOE299" s="11"/>
      <c r="EOF299" s="11"/>
      <c r="EOG299" s="11"/>
      <c r="EOH299" s="11"/>
      <c r="EOI299" s="11"/>
      <c r="EOJ299" s="11"/>
      <c r="EOK299" s="11"/>
      <c r="EOL299" s="11"/>
      <c r="EOM299" s="11"/>
      <c r="EON299" s="11"/>
      <c r="EOO299" s="11"/>
      <c r="EOP299" s="11"/>
      <c r="EOQ299" s="11"/>
      <c r="EOR299" s="11"/>
      <c r="EOS299" s="11"/>
      <c r="EOT299" s="11"/>
      <c r="EOU299" s="11"/>
      <c r="EOV299" s="11"/>
      <c r="EOW299" s="11"/>
      <c r="EOX299" s="11"/>
      <c r="EOY299" s="11"/>
      <c r="EOZ299" s="11"/>
      <c r="EPA299" s="11"/>
      <c r="EPB299" s="11"/>
      <c r="EPC299" s="11"/>
      <c r="EPD299" s="11"/>
      <c r="EPE299" s="11"/>
      <c r="EPF299" s="11"/>
      <c r="EPG299" s="11"/>
      <c r="EPH299" s="11"/>
      <c r="EPI299" s="11"/>
      <c r="EPJ299" s="11"/>
      <c r="EPK299" s="11"/>
      <c r="EPL299" s="11"/>
      <c r="EPM299" s="11"/>
      <c r="EPN299" s="11"/>
      <c r="EPO299" s="11"/>
      <c r="EPP299" s="11"/>
      <c r="EPQ299" s="11"/>
      <c r="EPR299" s="11"/>
      <c r="EPS299" s="11"/>
      <c r="EPT299" s="11"/>
      <c r="EPU299" s="11"/>
      <c r="EPV299" s="11"/>
      <c r="EPW299" s="11"/>
      <c r="EPX299" s="11"/>
      <c r="EPY299" s="11"/>
      <c r="EPZ299" s="11"/>
      <c r="EQA299" s="11"/>
      <c r="EQB299" s="11"/>
      <c r="EQC299" s="11"/>
      <c r="EQD299" s="11"/>
      <c r="EQE299" s="11"/>
      <c r="EQF299" s="11"/>
      <c r="EQG299" s="11"/>
      <c r="EQH299" s="11"/>
      <c r="EQI299" s="11"/>
      <c r="EQJ299" s="11"/>
      <c r="EQK299" s="11"/>
      <c r="EQL299" s="11"/>
      <c r="EQM299" s="11"/>
      <c r="EQN299" s="11"/>
      <c r="EQO299" s="11"/>
      <c r="EQP299" s="11"/>
      <c r="EQQ299" s="11"/>
      <c r="EQR299" s="11"/>
      <c r="EQS299" s="11"/>
      <c r="EQT299" s="11"/>
      <c r="EQU299" s="11"/>
      <c r="EQV299" s="11"/>
      <c r="EQW299" s="11"/>
      <c r="EQX299" s="11"/>
      <c r="EQY299" s="11"/>
      <c r="EQZ299" s="11"/>
      <c r="ERA299" s="11"/>
      <c r="ERB299" s="11"/>
      <c r="ERC299" s="11"/>
      <c r="ERD299" s="11"/>
      <c r="ERE299" s="11"/>
      <c r="ERF299" s="11"/>
      <c r="ERG299" s="11"/>
      <c r="ERH299" s="11"/>
      <c r="ERI299" s="11"/>
      <c r="ERJ299" s="11"/>
      <c r="ERK299" s="11"/>
      <c r="ERL299" s="11"/>
      <c r="ERM299" s="11"/>
      <c r="ERN299" s="11"/>
      <c r="ERO299" s="11"/>
      <c r="ERP299" s="11"/>
      <c r="ERQ299" s="11"/>
      <c r="ERR299" s="11"/>
      <c r="ERS299" s="11"/>
      <c r="ERT299" s="11"/>
      <c r="ERU299" s="11"/>
      <c r="ERV299" s="11"/>
      <c r="ERW299" s="11"/>
      <c r="ERX299" s="11"/>
      <c r="ERY299" s="11"/>
      <c r="ERZ299" s="11"/>
      <c r="ESA299" s="11"/>
      <c r="ESB299" s="11"/>
      <c r="ESC299" s="11"/>
      <c r="ESD299" s="11"/>
      <c r="ESE299" s="11"/>
      <c r="ESF299" s="11"/>
      <c r="ESG299" s="11"/>
      <c r="ESH299" s="11"/>
      <c r="ESI299" s="11"/>
      <c r="ESJ299" s="11"/>
      <c r="ESK299" s="11"/>
      <c r="ESL299" s="11"/>
      <c r="ESM299" s="11"/>
      <c r="ESN299" s="11"/>
      <c r="ESO299" s="11"/>
      <c r="ESP299" s="11"/>
      <c r="ESQ299" s="11"/>
      <c r="ESR299" s="11"/>
      <c r="ESS299" s="11"/>
      <c r="EST299" s="11"/>
      <c r="ESU299" s="11"/>
      <c r="ESV299" s="11"/>
      <c r="ESW299" s="11"/>
      <c r="ESX299" s="11"/>
      <c r="ESY299" s="11"/>
      <c r="ESZ299" s="11"/>
      <c r="ETA299" s="11"/>
      <c r="ETB299" s="11"/>
      <c r="ETC299" s="11"/>
      <c r="ETD299" s="11"/>
      <c r="ETE299" s="11"/>
      <c r="ETF299" s="11"/>
      <c r="ETG299" s="11"/>
      <c r="ETH299" s="11"/>
      <c r="ETI299" s="11"/>
      <c r="ETJ299" s="11"/>
      <c r="ETK299" s="11"/>
      <c r="ETL299" s="11"/>
      <c r="ETM299" s="11"/>
      <c r="ETN299" s="11"/>
      <c r="ETO299" s="11"/>
      <c r="ETP299" s="11"/>
      <c r="ETQ299" s="11"/>
      <c r="ETR299" s="11"/>
      <c r="ETS299" s="11"/>
      <c r="ETT299" s="11"/>
      <c r="ETU299" s="11"/>
      <c r="ETV299" s="11"/>
      <c r="ETW299" s="11"/>
      <c r="ETX299" s="11"/>
      <c r="ETY299" s="11"/>
      <c r="ETZ299" s="11"/>
      <c r="EUA299" s="11"/>
      <c r="EUB299" s="11"/>
      <c r="EUC299" s="11"/>
      <c r="EUD299" s="11"/>
      <c r="EUE299" s="11"/>
      <c r="EUF299" s="11"/>
      <c r="EUG299" s="11"/>
      <c r="EUH299" s="11"/>
      <c r="EUI299" s="11"/>
      <c r="EUJ299" s="11"/>
      <c r="EUK299" s="11"/>
      <c r="EUL299" s="11"/>
      <c r="EUM299" s="11"/>
      <c r="EUN299" s="11"/>
      <c r="EUO299" s="11"/>
      <c r="EUP299" s="11"/>
      <c r="EUQ299" s="11"/>
      <c r="EUR299" s="11"/>
      <c r="EUS299" s="11"/>
      <c r="EUT299" s="11"/>
      <c r="EUU299" s="11"/>
      <c r="EUV299" s="11"/>
      <c r="EUW299" s="11"/>
      <c r="EUX299" s="11"/>
      <c r="EUY299" s="11"/>
      <c r="EUZ299" s="11"/>
      <c r="EVA299" s="11"/>
      <c r="EVB299" s="11"/>
      <c r="EVC299" s="11"/>
      <c r="EVD299" s="11"/>
      <c r="EVE299" s="11"/>
      <c r="EVF299" s="11"/>
      <c r="EVG299" s="11"/>
      <c r="EVH299" s="11"/>
      <c r="EVI299" s="11"/>
      <c r="EVJ299" s="11"/>
      <c r="EVK299" s="11"/>
      <c r="EVL299" s="11"/>
      <c r="EVM299" s="11"/>
      <c r="EVN299" s="11"/>
      <c r="EVO299" s="11"/>
      <c r="EVP299" s="11"/>
      <c r="EVQ299" s="11"/>
      <c r="EVR299" s="11"/>
      <c r="EVS299" s="11"/>
      <c r="EVT299" s="11"/>
      <c r="EVU299" s="11"/>
      <c r="EVV299" s="11"/>
      <c r="EVW299" s="11"/>
      <c r="EVX299" s="11"/>
      <c r="EVY299" s="11"/>
      <c r="EVZ299" s="11"/>
      <c r="EWA299" s="11"/>
      <c r="EWB299" s="11"/>
      <c r="EWC299" s="11"/>
      <c r="EWD299" s="11"/>
      <c r="EWE299" s="11"/>
      <c r="EWF299" s="11"/>
      <c r="EWG299" s="11"/>
      <c r="EWH299" s="11"/>
      <c r="EWI299" s="11"/>
      <c r="EWJ299" s="11"/>
      <c r="EWK299" s="11"/>
      <c r="EWL299" s="11"/>
      <c r="EWM299" s="11"/>
      <c r="EWN299" s="11"/>
      <c r="EWO299" s="11"/>
      <c r="EWP299" s="11"/>
      <c r="EWQ299" s="11"/>
      <c r="EWR299" s="11"/>
      <c r="EWS299" s="11"/>
      <c r="EWT299" s="11"/>
      <c r="EWU299" s="11"/>
      <c r="EWV299" s="11"/>
      <c r="EWW299" s="11"/>
      <c r="EWX299" s="11"/>
      <c r="EWY299" s="11"/>
      <c r="EWZ299" s="11"/>
      <c r="EXA299" s="11"/>
      <c r="EXB299" s="11"/>
      <c r="EXC299" s="11"/>
      <c r="EXD299" s="11"/>
      <c r="EXE299" s="11"/>
      <c r="EXF299" s="11"/>
      <c r="EXG299" s="11"/>
      <c r="EXH299" s="11"/>
      <c r="EXI299" s="11"/>
      <c r="EXJ299" s="11"/>
      <c r="EXK299" s="11"/>
      <c r="EXL299" s="11"/>
      <c r="EXM299" s="11"/>
      <c r="EXN299" s="11"/>
      <c r="EXO299" s="11"/>
      <c r="EXP299" s="11"/>
      <c r="EXQ299" s="11"/>
      <c r="EXR299" s="11"/>
      <c r="EXS299" s="11"/>
      <c r="EXT299" s="11"/>
      <c r="EXU299" s="11"/>
      <c r="EXV299" s="11"/>
      <c r="EXW299" s="11"/>
      <c r="EXX299" s="11"/>
      <c r="EXY299" s="11"/>
      <c r="EXZ299" s="11"/>
      <c r="EYA299" s="11"/>
      <c r="EYB299" s="11"/>
      <c r="EYC299" s="11"/>
      <c r="EYD299" s="11"/>
      <c r="EYE299" s="11"/>
      <c r="EYF299" s="11"/>
      <c r="EYG299" s="11"/>
      <c r="EYH299" s="11"/>
      <c r="EYI299" s="11"/>
      <c r="EYJ299" s="11"/>
      <c r="EYK299" s="11"/>
      <c r="EYL299" s="11"/>
      <c r="EYM299" s="11"/>
      <c r="EYN299" s="11"/>
      <c r="EYO299" s="11"/>
      <c r="EYP299" s="11"/>
      <c r="EYQ299" s="11"/>
      <c r="EYR299" s="11"/>
      <c r="EYS299" s="11"/>
      <c r="EYT299" s="11"/>
      <c r="EYU299" s="11"/>
      <c r="EYV299" s="11"/>
      <c r="EYW299" s="11"/>
      <c r="EYX299" s="11"/>
      <c r="EYY299" s="11"/>
      <c r="EYZ299" s="11"/>
      <c r="EZA299" s="11"/>
      <c r="EZB299" s="11"/>
      <c r="EZC299" s="11"/>
      <c r="EZD299" s="11"/>
      <c r="EZE299" s="11"/>
      <c r="EZF299" s="11"/>
      <c r="EZG299" s="11"/>
      <c r="EZH299" s="11"/>
      <c r="EZI299" s="11"/>
      <c r="EZJ299" s="11"/>
      <c r="EZK299" s="11"/>
      <c r="EZL299" s="11"/>
      <c r="EZM299" s="11"/>
      <c r="EZN299" s="11"/>
      <c r="EZO299" s="11"/>
      <c r="EZP299" s="11"/>
      <c r="EZQ299" s="11"/>
      <c r="EZR299" s="11"/>
      <c r="EZS299" s="11"/>
      <c r="EZT299" s="11"/>
      <c r="EZU299" s="11"/>
      <c r="EZV299" s="11"/>
      <c r="EZW299" s="11"/>
      <c r="EZX299" s="11"/>
      <c r="EZY299" s="11"/>
      <c r="EZZ299" s="11"/>
      <c r="FAA299" s="11"/>
      <c r="FAB299" s="11"/>
      <c r="FAC299" s="11"/>
      <c r="FAD299" s="11"/>
      <c r="FAE299" s="11"/>
      <c r="FAF299" s="11"/>
      <c r="FAG299" s="11"/>
      <c r="FAH299" s="11"/>
      <c r="FAI299" s="11"/>
      <c r="FAJ299" s="11"/>
      <c r="FAK299" s="11"/>
      <c r="FAL299" s="11"/>
      <c r="FAM299" s="11"/>
      <c r="FAN299" s="11"/>
      <c r="FAO299" s="11"/>
      <c r="FAP299" s="11"/>
      <c r="FAQ299" s="11"/>
      <c r="FAR299" s="11"/>
      <c r="FAS299" s="11"/>
      <c r="FAT299" s="11"/>
      <c r="FAU299" s="11"/>
      <c r="FAV299" s="11"/>
      <c r="FAW299" s="11"/>
      <c r="FAX299" s="11"/>
      <c r="FAY299" s="11"/>
      <c r="FAZ299" s="11"/>
      <c r="FBA299" s="11"/>
      <c r="FBB299" s="11"/>
      <c r="FBC299" s="11"/>
      <c r="FBD299" s="11"/>
      <c r="FBE299" s="11"/>
      <c r="FBF299" s="11"/>
      <c r="FBG299" s="11"/>
      <c r="FBH299" s="11"/>
      <c r="FBI299" s="11"/>
      <c r="FBJ299" s="11"/>
      <c r="FBK299" s="11"/>
      <c r="FBL299" s="11"/>
      <c r="FBM299" s="11"/>
      <c r="FBN299" s="11"/>
      <c r="FBO299" s="11"/>
      <c r="FBP299" s="11"/>
      <c r="FBQ299" s="11"/>
      <c r="FBR299" s="11"/>
      <c r="FBS299" s="11"/>
      <c r="FBT299" s="11"/>
      <c r="FBU299" s="11"/>
      <c r="FBV299" s="11"/>
      <c r="FBW299" s="11"/>
      <c r="FBX299" s="11"/>
      <c r="FBY299" s="11"/>
      <c r="FBZ299" s="11"/>
      <c r="FCA299" s="11"/>
      <c r="FCB299" s="11"/>
      <c r="FCC299" s="11"/>
      <c r="FCD299" s="11"/>
      <c r="FCE299" s="11"/>
      <c r="FCF299" s="11"/>
      <c r="FCG299" s="11"/>
      <c r="FCH299" s="11"/>
      <c r="FCI299" s="11"/>
      <c r="FCJ299" s="11"/>
      <c r="FCK299" s="11"/>
      <c r="FCL299" s="11"/>
      <c r="FCM299" s="11"/>
      <c r="FCN299" s="11"/>
      <c r="FCO299" s="11"/>
      <c r="FCP299" s="11"/>
      <c r="FCQ299" s="11"/>
      <c r="FCR299" s="11"/>
      <c r="FCS299" s="11"/>
      <c r="FCT299" s="11"/>
      <c r="FCU299" s="11"/>
      <c r="FCV299" s="11"/>
      <c r="FCW299" s="11"/>
      <c r="FCX299" s="11"/>
      <c r="FCY299" s="11"/>
      <c r="FCZ299" s="11"/>
      <c r="FDA299" s="11"/>
      <c r="FDB299" s="11"/>
      <c r="FDC299" s="11"/>
      <c r="FDD299" s="11"/>
      <c r="FDE299" s="11"/>
      <c r="FDF299" s="11"/>
      <c r="FDG299" s="11"/>
      <c r="FDH299" s="11"/>
      <c r="FDI299" s="11"/>
      <c r="FDJ299" s="11"/>
      <c r="FDK299" s="11"/>
      <c r="FDL299" s="11"/>
      <c r="FDM299" s="11"/>
      <c r="FDN299" s="11"/>
      <c r="FDO299" s="11"/>
      <c r="FDP299" s="11"/>
      <c r="FDQ299" s="11"/>
      <c r="FDR299" s="11"/>
      <c r="FDS299" s="11"/>
      <c r="FDT299" s="11"/>
      <c r="FDU299" s="11"/>
      <c r="FDV299" s="11"/>
      <c r="FDW299" s="11"/>
      <c r="FDX299" s="11"/>
      <c r="FDY299" s="11"/>
      <c r="FDZ299" s="11"/>
      <c r="FEA299" s="11"/>
      <c r="FEB299" s="11"/>
      <c r="FEC299" s="11"/>
      <c r="FED299" s="11"/>
      <c r="FEE299" s="11"/>
      <c r="FEF299" s="11"/>
      <c r="FEG299" s="11"/>
      <c r="FEH299" s="11"/>
      <c r="FEI299" s="11"/>
      <c r="FEJ299" s="11"/>
      <c r="FEK299" s="11"/>
      <c r="FEL299" s="11"/>
      <c r="FEM299" s="11"/>
      <c r="FEN299" s="11"/>
      <c r="FEO299" s="11"/>
      <c r="FEP299" s="11"/>
      <c r="FEQ299" s="11"/>
      <c r="FER299" s="11"/>
      <c r="FES299" s="11"/>
      <c r="FET299" s="11"/>
      <c r="FEU299" s="11"/>
      <c r="FEV299" s="11"/>
      <c r="FEW299" s="11"/>
      <c r="FEX299" s="11"/>
      <c r="FEY299" s="11"/>
      <c r="FEZ299" s="11"/>
      <c r="FFA299" s="11"/>
      <c r="FFB299" s="11"/>
      <c r="FFC299" s="11"/>
      <c r="FFD299" s="11"/>
      <c r="FFE299" s="11"/>
      <c r="FFF299" s="11"/>
      <c r="FFG299" s="11"/>
      <c r="FFH299" s="11"/>
      <c r="FFI299" s="11"/>
      <c r="FFJ299" s="11"/>
      <c r="FFK299" s="11"/>
      <c r="FFL299" s="11"/>
      <c r="FFM299" s="11"/>
      <c r="FFN299" s="11"/>
      <c r="FFO299" s="11"/>
      <c r="FFP299" s="11"/>
      <c r="FFQ299" s="11"/>
      <c r="FFR299" s="11"/>
      <c r="FFS299" s="11"/>
      <c r="FFT299" s="11"/>
      <c r="FFU299" s="11"/>
      <c r="FFV299" s="11"/>
      <c r="FFW299" s="11"/>
      <c r="FFX299" s="11"/>
      <c r="FFY299" s="11"/>
      <c r="FFZ299" s="11"/>
      <c r="FGA299" s="11"/>
      <c r="FGB299" s="11"/>
      <c r="FGC299" s="11"/>
      <c r="FGD299" s="11"/>
      <c r="FGE299" s="11"/>
      <c r="FGF299" s="11"/>
      <c r="FGG299" s="11"/>
      <c r="FGH299" s="11"/>
      <c r="FGI299" s="11"/>
      <c r="FGJ299" s="11"/>
      <c r="FGK299" s="11"/>
      <c r="FGL299" s="11"/>
      <c r="FGM299" s="11"/>
      <c r="FGN299" s="11"/>
      <c r="FGO299" s="11"/>
      <c r="FGP299" s="11"/>
      <c r="FGQ299" s="11"/>
      <c r="FGR299" s="11"/>
      <c r="FGS299" s="11"/>
      <c r="FGT299" s="11"/>
      <c r="FGU299" s="11"/>
      <c r="FGV299" s="11"/>
      <c r="FGW299" s="11"/>
      <c r="FGX299" s="11"/>
      <c r="FGY299" s="11"/>
      <c r="FGZ299" s="11"/>
      <c r="FHA299" s="11"/>
      <c r="FHB299" s="11"/>
      <c r="FHC299" s="11"/>
      <c r="FHD299" s="11"/>
      <c r="FHE299" s="11"/>
      <c r="FHF299" s="11"/>
      <c r="FHG299" s="11"/>
      <c r="FHH299" s="11"/>
      <c r="FHI299" s="11"/>
      <c r="FHJ299" s="11"/>
      <c r="FHK299" s="11"/>
      <c r="FHL299" s="11"/>
      <c r="FHM299" s="11"/>
      <c r="FHN299" s="11"/>
      <c r="FHO299" s="11"/>
      <c r="FHP299" s="11"/>
      <c r="FHQ299" s="11"/>
      <c r="FHR299" s="11"/>
      <c r="FHS299" s="11"/>
      <c r="FHT299" s="11"/>
      <c r="FHU299" s="11"/>
      <c r="FHV299" s="11"/>
      <c r="FHW299" s="11"/>
      <c r="FHX299" s="11"/>
      <c r="FHY299" s="11"/>
      <c r="FHZ299" s="11"/>
      <c r="FIA299" s="11"/>
      <c r="FIB299" s="11"/>
      <c r="FIC299" s="11"/>
      <c r="FID299" s="11"/>
      <c r="FIE299" s="11"/>
      <c r="FIF299" s="11"/>
      <c r="FIG299" s="11"/>
      <c r="FIH299" s="11"/>
      <c r="FII299" s="11"/>
      <c r="FIJ299" s="11"/>
      <c r="FIK299" s="11"/>
      <c r="FIL299" s="11"/>
      <c r="FIM299" s="11"/>
      <c r="FIN299" s="11"/>
      <c r="FIO299" s="11"/>
      <c r="FIP299" s="11"/>
      <c r="FIQ299" s="11"/>
      <c r="FIR299" s="11"/>
      <c r="FIS299" s="11"/>
      <c r="FIT299" s="11"/>
      <c r="FIU299" s="11"/>
      <c r="FIV299" s="11"/>
      <c r="FIW299" s="11"/>
      <c r="FIX299" s="11"/>
      <c r="FIY299" s="11"/>
      <c r="FIZ299" s="11"/>
      <c r="FJA299" s="11"/>
      <c r="FJB299" s="11"/>
      <c r="FJC299" s="11"/>
      <c r="FJD299" s="11"/>
      <c r="FJE299" s="11"/>
      <c r="FJF299" s="11"/>
      <c r="FJG299" s="11"/>
      <c r="FJH299" s="11"/>
      <c r="FJI299" s="11"/>
      <c r="FJJ299" s="11"/>
      <c r="FJK299" s="11"/>
      <c r="FJL299" s="11"/>
      <c r="FJM299" s="11"/>
      <c r="FJN299" s="11"/>
      <c r="FJO299" s="11"/>
      <c r="FJP299" s="11"/>
      <c r="FJQ299" s="11"/>
      <c r="FJR299" s="11"/>
      <c r="FJS299" s="11"/>
      <c r="FJT299" s="11"/>
      <c r="FJU299" s="11"/>
      <c r="FJV299" s="11"/>
      <c r="FJW299" s="11"/>
      <c r="FJX299" s="11"/>
      <c r="FJY299" s="11"/>
      <c r="FJZ299" s="11"/>
      <c r="FKA299" s="11"/>
      <c r="FKB299" s="11"/>
      <c r="FKC299" s="11"/>
      <c r="FKD299" s="11"/>
      <c r="FKE299" s="11"/>
      <c r="FKF299" s="11"/>
      <c r="FKG299" s="11"/>
      <c r="FKH299" s="11"/>
      <c r="FKI299" s="11"/>
      <c r="FKJ299" s="11"/>
      <c r="FKK299" s="11"/>
      <c r="FKL299" s="11"/>
      <c r="FKM299" s="11"/>
      <c r="FKN299" s="11"/>
      <c r="FKO299" s="11"/>
      <c r="FKP299" s="11"/>
      <c r="FKQ299" s="11"/>
      <c r="FKR299" s="11"/>
      <c r="FKS299" s="11"/>
      <c r="FKT299" s="11"/>
      <c r="FKU299" s="11"/>
      <c r="FKV299" s="11"/>
      <c r="FKW299" s="11"/>
      <c r="FKX299" s="11"/>
      <c r="FKY299" s="11"/>
      <c r="FKZ299" s="11"/>
      <c r="FLA299" s="11"/>
      <c r="FLB299" s="11"/>
      <c r="FLC299" s="11"/>
      <c r="FLD299" s="11"/>
      <c r="FLE299" s="11"/>
      <c r="FLF299" s="11"/>
      <c r="FLG299" s="11"/>
      <c r="FLH299" s="11"/>
      <c r="FLI299" s="11"/>
      <c r="FLJ299" s="11"/>
      <c r="FLK299" s="11"/>
      <c r="FLL299" s="11"/>
      <c r="FLM299" s="11"/>
      <c r="FLN299" s="11"/>
      <c r="FLO299" s="11"/>
      <c r="FLP299" s="11"/>
      <c r="FLQ299" s="11"/>
      <c r="FLR299" s="11"/>
      <c r="FLS299" s="11"/>
      <c r="FLT299" s="11"/>
      <c r="FLU299" s="11"/>
      <c r="FLV299" s="11"/>
      <c r="FLW299" s="11"/>
      <c r="FLX299" s="11"/>
      <c r="FLY299" s="11"/>
      <c r="FLZ299" s="11"/>
      <c r="FMA299" s="11"/>
      <c r="FMB299" s="11"/>
      <c r="FMC299" s="11"/>
      <c r="FMD299" s="11"/>
      <c r="FME299" s="11"/>
      <c r="FMF299" s="11"/>
      <c r="FMG299" s="11"/>
      <c r="FMH299" s="11"/>
      <c r="FMI299" s="11"/>
      <c r="FMJ299" s="11"/>
      <c r="FMK299" s="11"/>
      <c r="FML299" s="11"/>
      <c r="FMM299" s="11"/>
      <c r="FMN299" s="11"/>
      <c r="FMO299" s="11"/>
      <c r="FMP299" s="11"/>
      <c r="FMQ299" s="11"/>
      <c r="FMR299" s="11"/>
      <c r="FMS299" s="11"/>
      <c r="FMT299" s="11"/>
      <c r="FMU299" s="11"/>
      <c r="FMV299" s="11"/>
      <c r="FMW299" s="11"/>
      <c r="FMX299" s="11"/>
      <c r="FMY299" s="11"/>
      <c r="FMZ299" s="11"/>
      <c r="FNA299" s="11"/>
      <c r="FNB299" s="11"/>
      <c r="FNC299" s="11"/>
      <c r="FND299" s="11"/>
      <c r="FNE299" s="11"/>
      <c r="FNF299" s="11"/>
      <c r="FNG299" s="11"/>
      <c r="FNH299" s="11"/>
      <c r="FNI299" s="11"/>
      <c r="FNJ299" s="11"/>
      <c r="FNK299" s="11"/>
      <c r="FNL299" s="11"/>
      <c r="FNM299" s="11"/>
      <c r="FNN299" s="11"/>
      <c r="FNO299" s="11"/>
      <c r="FNP299" s="11"/>
      <c r="FNQ299" s="11"/>
      <c r="FNR299" s="11"/>
      <c r="FNS299" s="11"/>
      <c r="FNT299" s="11"/>
      <c r="FNU299" s="11"/>
      <c r="FNV299" s="11"/>
      <c r="FNW299" s="11"/>
      <c r="FNX299" s="11"/>
      <c r="FNY299" s="11"/>
      <c r="FNZ299" s="11"/>
      <c r="FOA299" s="11"/>
      <c r="FOB299" s="11"/>
      <c r="FOC299" s="11"/>
      <c r="FOD299" s="11"/>
      <c r="FOE299" s="11"/>
      <c r="FOF299" s="11"/>
      <c r="FOG299" s="11"/>
      <c r="FOH299" s="11"/>
      <c r="FOI299" s="11"/>
      <c r="FOJ299" s="11"/>
      <c r="FOK299" s="11"/>
      <c r="FOL299" s="11"/>
      <c r="FOM299" s="11"/>
      <c r="FON299" s="11"/>
      <c r="FOO299" s="11"/>
      <c r="FOP299" s="11"/>
      <c r="FOQ299" s="11"/>
      <c r="FOR299" s="11"/>
      <c r="FOS299" s="11"/>
      <c r="FOT299" s="11"/>
      <c r="FOU299" s="11"/>
      <c r="FOV299" s="11"/>
      <c r="FOW299" s="11"/>
      <c r="FOX299" s="11"/>
      <c r="FOY299" s="11"/>
      <c r="FOZ299" s="11"/>
      <c r="FPA299" s="11"/>
      <c r="FPB299" s="11"/>
      <c r="FPC299" s="11"/>
      <c r="FPD299" s="11"/>
      <c r="FPE299" s="11"/>
      <c r="FPF299" s="11"/>
      <c r="FPG299" s="11"/>
      <c r="FPH299" s="11"/>
      <c r="FPI299" s="11"/>
      <c r="FPJ299" s="11"/>
      <c r="FPK299" s="11"/>
      <c r="FPL299" s="11"/>
      <c r="FPM299" s="11"/>
      <c r="FPN299" s="11"/>
      <c r="FPO299" s="11"/>
      <c r="FPP299" s="11"/>
      <c r="FPQ299" s="11"/>
      <c r="FPR299" s="11"/>
      <c r="FPS299" s="11"/>
      <c r="FPT299" s="11"/>
      <c r="FPU299" s="11"/>
      <c r="FPV299" s="11"/>
      <c r="FPW299" s="11"/>
      <c r="FPX299" s="11"/>
      <c r="FPY299" s="11"/>
      <c r="FPZ299" s="11"/>
      <c r="FQA299" s="11"/>
      <c r="FQB299" s="11"/>
      <c r="FQC299" s="11"/>
      <c r="FQD299" s="11"/>
      <c r="FQE299" s="11"/>
      <c r="FQF299" s="11"/>
      <c r="FQG299" s="11"/>
      <c r="FQH299" s="11"/>
      <c r="FQI299" s="11"/>
      <c r="FQJ299" s="11"/>
      <c r="FQK299" s="11"/>
      <c r="FQL299" s="11"/>
      <c r="FQM299" s="11"/>
      <c r="FQN299" s="11"/>
      <c r="FQO299" s="11"/>
      <c r="FQP299" s="11"/>
      <c r="FQQ299" s="11"/>
      <c r="FQR299" s="11"/>
      <c r="FQS299" s="11"/>
      <c r="FQT299" s="11"/>
      <c r="FQU299" s="11"/>
      <c r="FQV299" s="11"/>
      <c r="FQW299" s="11"/>
      <c r="FQX299" s="11"/>
      <c r="FQY299" s="11"/>
      <c r="FQZ299" s="11"/>
      <c r="FRA299" s="11"/>
      <c r="FRB299" s="11"/>
      <c r="FRC299" s="11"/>
      <c r="FRD299" s="11"/>
      <c r="FRE299" s="11"/>
      <c r="FRF299" s="11"/>
      <c r="FRG299" s="11"/>
      <c r="FRH299" s="11"/>
      <c r="FRI299" s="11"/>
      <c r="FRJ299" s="11"/>
      <c r="FRK299" s="11"/>
      <c r="FRL299" s="11"/>
      <c r="FRM299" s="11"/>
      <c r="FRN299" s="11"/>
      <c r="FRO299" s="11"/>
      <c r="FRP299" s="11"/>
      <c r="FRQ299" s="11"/>
      <c r="FRR299" s="11"/>
      <c r="FRS299" s="11"/>
      <c r="FRT299" s="11"/>
      <c r="FRU299" s="11"/>
      <c r="FRV299" s="11"/>
      <c r="FRW299" s="11"/>
      <c r="FRX299" s="11"/>
      <c r="FRY299" s="11"/>
      <c r="FRZ299" s="11"/>
      <c r="FSA299" s="11"/>
      <c r="FSB299" s="11"/>
      <c r="FSC299" s="11"/>
      <c r="FSD299" s="11"/>
      <c r="FSE299" s="11"/>
      <c r="FSF299" s="11"/>
      <c r="FSG299" s="11"/>
      <c r="FSH299" s="11"/>
      <c r="FSI299" s="11"/>
      <c r="FSJ299" s="11"/>
      <c r="FSK299" s="11"/>
      <c r="FSL299" s="11"/>
      <c r="FSM299" s="11"/>
      <c r="FSN299" s="11"/>
      <c r="FSO299" s="11"/>
      <c r="FSP299" s="11"/>
      <c r="FSQ299" s="11"/>
      <c r="FSR299" s="11"/>
      <c r="FSS299" s="11"/>
      <c r="FST299" s="11"/>
      <c r="FSU299" s="11"/>
      <c r="FSV299" s="11"/>
      <c r="FSW299" s="11"/>
      <c r="FSX299" s="11"/>
      <c r="FSY299" s="11"/>
      <c r="FSZ299" s="11"/>
      <c r="FTA299" s="11"/>
      <c r="FTB299" s="11"/>
      <c r="FTC299" s="11"/>
      <c r="FTD299" s="11"/>
      <c r="FTE299" s="11"/>
      <c r="FTF299" s="11"/>
      <c r="FTG299" s="11"/>
      <c r="FTH299" s="11"/>
      <c r="FTI299" s="11"/>
      <c r="FTJ299" s="11"/>
      <c r="FTK299" s="11"/>
      <c r="FTL299" s="11"/>
      <c r="FTM299" s="11"/>
      <c r="FTN299" s="11"/>
      <c r="FTO299" s="11"/>
      <c r="FTP299" s="11"/>
      <c r="FTQ299" s="11"/>
      <c r="FTR299" s="11"/>
      <c r="FTS299" s="11"/>
      <c r="FTT299" s="11"/>
      <c r="FTU299" s="11"/>
      <c r="FTV299" s="11"/>
      <c r="FTW299" s="11"/>
      <c r="FTX299" s="11"/>
      <c r="FTY299" s="11"/>
      <c r="FTZ299" s="11"/>
      <c r="FUA299" s="11"/>
      <c r="FUB299" s="11"/>
      <c r="FUC299" s="11"/>
      <c r="FUD299" s="11"/>
      <c r="FUE299" s="11"/>
      <c r="FUF299" s="11"/>
      <c r="FUG299" s="11"/>
      <c r="FUH299" s="11"/>
      <c r="FUI299" s="11"/>
      <c r="FUJ299" s="11"/>
      <c r="FUK299" s="11"/>
      <c r="FUL299" s="11"/>
      <c r="FUM299" s="11"/>
      <c r="FUN299" s="11"/>
      <c r="FUO299" s="11"/>
      <c r="FUP299" s="11"/>
      <c r="FUQ299" s="11"/>
      <c r="FUR299" s="11"/>
      <c r="FUS299" s="11"/>
      <c r="FUT299" s="11"/>
      <c r="FUU299" s="11"/>
      <c r="FUV299" s="11"/>
      <c r="FUW299" s="11"/>
      <c r="FUX299" s="11"/>
      <c r="FUY299" s="11"/>
      <c r="FUZ299" s="11"/>
      <c r="FVA299" s="11"/>
      <c r="FVB299" s="11"/>
      <c r="FVC299" s="11"/>
      <c r="FVD299" s="11"/>
      <c r="FVE299" s="11"/>
      <c r="FVF299" s="11"/>
      <c r="FVG299" s="11"/>
      <c r="FVH299" s="11"/>
      <c r="FVI299" s="11"/>
      <c r="FVJ299" s="11"/>
      <c r="FVK299" s="11"/>
      <c r="FVL299" s="11"/>
      <c r="FVM299" s="11"/>
      <c r="FVN299" s="11"/>
      <c r="FVO299" s="11"/>
      <c r="FVP299" s="11"/>
      <c r="FVQ299" s="11"/>
      <c r="FVR299" s="11"/>
      <c r="FVS299" s="11"/>
      <c r="FVT299" s="11"/>
      <c r="FVU299" s="11"/>
      <c r="FVV299" s="11"/>
      <c r="FVW299" s="11"/>
      <c r="FVX299" s="11"/>
      <c r="FVY299" s="11"/>
      <c r="FVZ299" s="11"/>
      <c r="FWA299" s="11"/>
      <c r="FWB299" s="11"/>
      <c r="FWC299" s="11"/>
      <c r="FWD299" s="11"/>
      <c r="FWE299" s="11"/>
      <c r="FWF299" s="11"/>
      <c r="FWG299" s="11"/>
      <c r="FWH299" s="11"/>
      <c r="FWI299" s="11"/>
      <c r="FWJ299" s="11"/>
      <c r="FWK299" s="11"/>
      <c r="FWL299" s="11"/>
      <c r="FWM299" s="11"/>
      <c r="FWN299" s="11"/>
      <c r="FWO299" s="11"/>
      <c r="FWP299" s="11"/>
      <c r="FWQ299" s="11"/>
      <c r="FWR299" s="11"/>
      <c r="FWS299" s="11"/>
      <c r="FWT299" s="11"/>
      <c r="FWU299" s="11"/>
      <c r="FWV299" s="11"/>
      <c r="FWW299" s="11"/>
      <c r="FWX299" s="11"/>
      <c r="FWY299" s="11"/>
      <c r="FWZ299" s="11"/>
      <c r="FXA299" s="11"/>
      <c r="FXB299" s="11"/>
      <c r="FXC299" s="11"/>
      <c r="FXD299" s="11"/>
      <c r="FXE299" s="11"/>
      <c r="FXF299" s="11"/>
      <c r="FXG299" s="11"/>
      <c r="FXH299" s="11"/>
      <c r="FXI299" s="11"/>
      <c r="FXJ299" s="11"/>
      <c r="FXK299" s="11"/>
      <c r="FXL299" s="11"/>
      <c r="FXM299" s="11"/>
      <c r="FXN299" s="11"/>
      <c r="FXO299" s="11"/>
      <c r="FXP299" s="11"/>
      <c r="FXQ299" s="11"/>
      <c r="FXR299" s="11"/>
      <c r="FXS299" s="11"/>
      <c r="FXT299" s="11"/>
      <c r="FXU299" s="11"/>
      <c r="FXV299" s="11"/>
      <c r="FXW299" s="11"/>
      <c r="FXX299" s="11"/>
      <c r="FXY299" s="11"/>
      <c r="FXZ299" s="11"/>
      <c r="FYA299" s="11"/>
      <c r="FYB299" s="11"/>
      <c r="FYC299" s="11"/>
      <c r="FYD299" s="11"/>
      <c r="FYE299" s="11"/>
      <c r="FYF299" s="11"/>
      <c r="FYG299" s="11"/>
      <c r="FYH299" s="11"/>
      <c r="FYI299" s="11"/>
      <c r="FYJ299" s="11"/>
      <c r="FYK299" s="11"/>
      <c r="FYL299" s="11"/>
      <c r="FYM299" s="11"/>
      <c r="FYN299" s="11"/>
      <c r="FYO299" s="11"/>
      <c r="FYP299" s="11"/>
      <c r="FYQ299" s="11"/>
      <c r="FYR299" s="11"/>
      <c r="FYS299" s="11"/>
      <c r="FYT299" s="11"/>
      <c r="FYU299" s="11"/>
      <c r="FYV299" s="11"/>
      <c r="FYW299" s="11"/>
      <c r="FYX299" s="11"/>
      <c r="FYY299" s="11"/>
      <c r="FYZ299" s="11"/>
      <c r="FZA299" s="11"/>
      <c r="FZB299" s="11"/>
      <c r="FZC299" s="11"/>
      <c r="FZD299" s="11"/>
      <c r="FZE299" s="11"/>
      <c r="FZF299" s="11"/>
      <c r="FZG299" s="11"/>
      <c r="FZH299" s="11"/>
      <c r="FZI299" s="11"/>
      <c r="FZJ299" s="11"/>
      <c r="FZK299" s="11"/>
      <c r="FZL299" s="11"/>
      <c r="FZM299" s="11"/>
      <c r="FZN299" s="11"/>
      <c r="FZO299" s="11"/>
      <c r="FZP299" s="11"/>
      <c r="FZQ299" s="11"/>
      <c r="FZR299" s="11"/>
      <c r="FZS299" s="11"/>
      <c r="FZT299" s="11"/>
      <c r="FZU299" s="11"/>
      <c r="FZV299" s="11"/>
      <c r="FZW299" s="11"/>
      <c r="FZX299" s="11"/>
      <c r="FZY299" s="11"/>
      <c r="FZZ299" s="11"/>
      <c r="GAA299" s="11"/>
      <c r="GAB299" s="11"/>
      <c r="GAC299" s="11"/>
      <c r="GAD299" s="11"/>
      <c r="GAE299" s="11"/>
      <c r="GAF299" s="11"/>
      <c r="GAG299" s="11"/>
      <c r="GAH299" s="11"/>
      <c r="GAI299" s="11"/>
      <c r="GAJ299" s="11"/>
      <c r="GAK299" s="11"/>
      <c r="GAL299" s="11"/>
      <c r="GAM299" s="11"/>
      <c r="GAN299" s="11"/>
      <c r="GAO299" s="11"/>
      <c r="GAP299" s="11"/>
      <c r="GAQ299" s="11"/>
      <c r="GAR299" s="11"/>
      <c r="GAS299" s="11"/>
      <c r="GAT299" s="11"/>
      <c r="GAU299" s="11"/>
      <c r="GAV299" s="11"/>
      <c r="GAW299" s="11"/>
      <c r="GAX299" s="11"/>
      <c r="GAY299" s="11"/>
      <c r="GAZ299" s="11"/>
      <c r="GBA299" s="11"/>
      <c r="GBB299" s="11"/>
      <c r="GBC299" s="11"/>
      <c r="GBD299" s="11"/>
      <c r="GBE299" s="11"/>
      <c r="GBF299" s="11"/>
      <c r="GBG299" s="11"/>
      <c r="GBH299" s="11"/>
      <c r="GBI299" s="11"/>
      <c r="GBJ299" s="11"/>
      <c r="GBK299" s="11"/>
      <c r="GBL299" s="11"/>
      <c r="GBM299" s="11"/>
      <c r="GBN299" s="11"/>
      <c r="GBO299" s="11"/>
      <c r="GBP299" s="11"/>
      <c r="GBQ299" s="11"/>
      <c r="GBR299" s="11"/>
      <c r="GBS299" s="11"/>
      <c r="GBT299" s="11"/>
      <c r="GBU299" s="11"/>
      <c r="GBV299" s="11"/>
      <c r="GBW299" s="11"/>
      <c r="GBX299" s="11"/>
      <c r="GBY299" s="11"/>
      <c r="GBZ299" s="11"/>
      <c r="GCA299" s="11"/>
      <c r="GCB299" s="11"/>
      <c r="GCC299" s="11"/>
      <c r="GCD299" s="11"/>
      <c r="GCE299" s="11"/>
      <c r="GCF299" s="11"/>
      <c r="GCG299" s="11"/>
      <c r="GCH299" s="11"/>
      <c r="GCI299" s="11"/>
      <c r="GCJ299" s="11"/>
      <c r="GCK299" s="11"/>
      <c r="GCL299" s="11"/>
      <c r="GCM299" s="11"/>
      <c r="GCN299" s="11"/>
      <c r="GCO299" s="11"/>
      <c r="GCP299" s="11"/>
      <c r="GCQ299" s="11"/>
      <c r="GCR299" s="11"/>
      <c r="GCS299" s="11"/>
      <c r="GCT299" s="11"/>
      <c r="GCU299" s="11"/>
      <c r="GCV299" s="11"/>
      <c r="GCW299" s="11"/>
      <c r="GCX299" s="11"/>
      <c r="GCY299" s="11"/>
      <c r="GCZ299" s="11"/>
      <c r="GDA299" s="11"/>
      <c r="GDB299" s="11"/>
      <c r="GDC299" s="11"/>
      <c r="GDD299" s="11"/>
      <c r="GDE299" s="11"/>
      <c r="GDF299" s="11"/>
      <c r="GDG299" s="11"/>
      <c r="GDH299" s="11"/>
      <c r="GDI299" s="11"/>
      <c r="GDJ299" s="11"/>
      <c r="GDK299" s="11"/>
      <c r="GDL299" s="11"/>
      <c r="GDM299" s="11"/>
      <c r="GDN299" s="11"/>
      <c r="GDO299" s="11"/>
      <c r="GDP299" s="11"/>
      <c r="GDQ299" s="11"/>
      <c r="GDR299" s="11"/>
      <c r="GDS299" s="11"/>
      <c r="GDT299" s="11"/>
      <c r="GDU299" s="11"/>
      <c r="GDV299" s="11"/>
      <c r="GDW299" s="11"/>
      <c r="GDX299" s="11"/>
      <c r="GDY299" s="11"/>
      <c r="GDZ299" s="11"/>
      <c r="GEA299" s="11"/>
      <c r="GEB299" s="11"/>
      <c r="GEC299" s="11"/>
      <c r="GED299" s="11"/>
      <c r="GEE299" s="11"/>
      <c r="GEF299" s="11"/>
      <c r="GEG299" s="11"/>
      <c r="GEH299" s="11"/>
      <c r="GEI299" s="11"/>
      <c r="GEJ299" s="11"/>
      <c r="GEK299" s="11"/>
      <c r="GEL299" s="11"/>
      <c r="GEM299" s="11"/>
      <c r="GEN299" s="11"/>
      <c r="GEO299" s="11"/>
      <c r="GEP299" s="11"/>
      <c r="GEQ299" s="11"/>
      <c r="GER299" s="11"/>
      <c r="GES299" s="11"/>
      <c r="GET299" s="11"/>
      <c r="GEU299" s="11"/>
      <c r="GEV299" s="11"/>
      <c r="GEW299" s="11"/>
      <c r="GEX299" s="11"/>
      <c r="GEY299" s="11"/>
      <c r="GEZ299" s="11"/>
      <c r="GFA299" s="11"/>
      <c r="GFB299" s="11"/>
      <c r="GFC299" s="11"/>
      <c r="GFD299" s="11"/>
      <c r="GFE299" s="11"/>
      <c r="GFF299" s="11"/>
      <c r="GFG299" s="11"/>
      <c r="GFH299" s="11"/>
      <c r="GFI299" s="11"/>
      <c r="GFJ299" s="11"/>
      <c r="GFK299" s="11"/>
      <c r="GFL299" s="11"/>
      <c r="GFM299" s="11"/>
      <c r="GFN299" s="11"/>
      <c r="GFO299" s="11"/>
      <c r="GFP299" s="11"/>
      <c r="GFQ299" s="11"/>
      <c r="GFR299" s="11"/>
      <c r="GFS299" s="11"/>
      <c r="GFT299" s="11"/>
      <c r="GFU299" s="11"/>
      <c r="GFV299" s="11"/>
      <c r="GFW299" s="11"/>
      <c r="GFX299" s="11"/>
      <c r="GFY299" s="11"/>
      <c r="GFZ299" s="11"/>
      <c r="GGA299" s="11"/>
      <c r="GGB299" s="11"/>
      <c r="GGC299" s="11"/>
      <c r="GGD299" s="11"/>
      <c r="GGE299" s="11"/>
      <c r="GGF299" s="11"/>
      <c r="GGG299" s="11"/>
      <c r="GGH299" s="11"/>
      <c r="GGI299" s="11"/>
      <c r="GGJ299" s="11"/>
      <c r="GGK299" s="11"/>
      <c r="GGL299" s="11"/>
      <c r="GGM299" s="11"/>
      <c r="GGN299" s="11"/>
      <c r="GGO299" s="11"/>
      <c r="GGP299" s="11"/>
      <c r="GGQ299" s="11"/>
      <c r="GGR299" s="11"/>
      <c r="GGS299" s="11"/>
      <c r="GGT299" s="11"/>
      <c r="GGU299" s="11"/>
      <c r="GGV299" s="11"/>
      <c r="GGW299" s="11"/>
      <c r="GGX299" s="11"/>
      <c r="GGY299" s="11"/>
      <c r="GGZ299" s="11"/>
      <c r="GHA299" s="11"/>
      <c r="GHB299" s="11"/>
      <c r="GHC299" s="11"/>
      <c r="GHD299" s="11"/>
      <c r="GHE299" s="11"/>
      <c r="GHF299" s="11"/>
      <c r="GHG299" s="11"/>
      <c r="GHH299" s="11"/>
      <c r="GHI299" s="11"/>
      <c r="GHJ299" s="11"/>
      <c r="GHK299" s="11"/>
      <c r="GHL299" s="11"/>
      <c r="GHM299" s="11"/>
      <c r="GHN299" s="11"/>
      <c r="GHO299" s="11"/>
      <c r="GHP299" s="11"/>
      <c r="GHQ299" s="11"/>
      <c r="GHR299" s="11"/>
      <c r="GHS299" s="11"/>
      <c r="GHT299" s="11"/>
      <c r="GHU299" s="11"/>
      <c r="GHV299" s="11"/>
      <c r="GHW299" s="11"/>
      <c r="GHX299" s="11"/>
      <c r="GHY299" s="11"/>
      <c r="GHZ299" s="11"/>
      <c r="GIA299" s="11"/>
      <c r="GIB299" s="11"/>
      <c r="GIC299" s="11"/>
      <c r="GID299" s="11"/>
      <c r="GIE299" s="11"/>
      <c r="GIF299" s="11"/>
      <c r="GIG299" s="11"/>
      <c r="GIH299" s="11"/>
      <c r="GII299" s="11"/>
      <c r="GIJ299" s="11"/>
      <c r="GIK299" s="11"/>
      <c r="GIL299" s="11"/>
      <c r="GIM299" s="11"/>
      <c r="GIN299" s="11"/>
      <c r="GIO299" s="11"/>
      <c r="GIP299" s="11"/>
      <c r="GIQ299" s="11"/>
      <c r="GIR299" s="11"/>
      <c r="GIS299" s="11"/>
      <c r="GIT299" s="11"/>
      <c r="GIU299" s="11"/>
      <c r="GIV299" s="11"/>
      <c r="GIW299" s="11"/>
      <c r="GIX299" s="11"/>
      <c r="GIY299" s="11"/>
      <c r="GIZ299" s="11"/>
      <c r="GJA299" s="11"/>
      <c r="GJB299" s="11"/>
      <c r="GJC299" s="11"/>
      <c r="GJD299" s="11"/>
      <c r="GJE299" s="11"/>
      <c r="GJF299" s="11"/>
      <c r="GJG299" s="11"/>
      <c r="GJH299" s="11"/>
      <c r="GJI299" s="11"/>
      <c r="GJJ299" s="11"/>
      <c r="GJK299" s="11"/>
      <c r="GJL299" s="11"/>
      <c r="GJM299" s="11"/>
      <c r="GJN299" s="11"/>
      <c r="GJO299" s="11"/>
      <c r="GJP299" s="11"/>
      <c r="GJQ299" s="11"/>
      <c r="GJR299" s="11"/>
      <c r="GJS299" s="11"/>
      <c r="GJT299" s="11"/>
      <c r="GJU299" s="11"/>
      <c r="GJV299" s="11"/>
      <c r="GJW299" s="11"/>
      <c r="GJX299" s="11"/>
      <c r="GJY299" s="11"/>
      <c r="GJZ299" s="11"/>
      <c r="GKA299" s="11"/>
      <c r="GKB299" s="11"/>
      <c r="GKC299" s="11"/>
      <c r="GKD299" s="11"/>
      <c r="GKE299" s="11"/>
      <c r="GKF299" s="11"/>
      <c r="GKG299" s="11"/>
      <c r="GKH299" s="11"/>
      <c r="GKI299" s="11"/>
      <c r="GKJ299" s="11"/>
      <c r="GKK299" s="11"/>
      <c r="GKL299" s="11"/>
      <c r="GKM299" s="11"/>
      <c r="GKN299" s="11"/>
      <c r="GKO299" s="11"/>
      <c r="GKP299" s="11"/>
      <c r="GKQ299" s="11"/>
      <c r="GKR299" s="11"/>
      <c r="GKS299" s="11"/>
      <c r="GKT299" s="11"/>
      <c r="GKU299" s="11"/>
      <c r="GKV299" s="11"/>
      <c r="GKW299" s="11"/>
      <c r="GKX299" s="11"/>
      <c r="GKY299" s="11"/>
      <c r="GKZ299" s="11"/>
      <c r="GLA299" s="11"/>
      <c r="GLB299" s="11"/>
      <c r="GLC299" s="11"/>
      <c r="GLD299" s="11"/>
      <c r="GLE299" s="11"/>
      <c r="GLF299" s="11"/>
      <c r="GLG299" s="11"/>
      <c r="GLH299" s="11"/>
      <c r="GLI299" s="11"/>
      <c r="GLJ299" s="11"/>
      <c r="GLK299" s="11"/>
      <c r="GLL299" s="11"/>
      <c r="GLM299" s="11"/>
      <c r="GLN299" s="11"/>
      <c r="GLO299" s="11"/>
      <c r="GLP299" s="11"/>
      <c r="GLQ299" s="11"/>
      <c r="GLR299" s="11"/>
      <c r="GLS299" s="11"/>
      <c r="GLT299" s="11"/>
      <c r="GLU299" s="11"/>
      <c r="GLV299" s="11"/>
      <c r="GLW299" s="11"/>
      <c r="GLX299" s="11"/>
      <c r="GLY299" s="11"/>
      <c r="GLZ299" s="11"/>
      <c r="GMA299" s="11"/>
      <c r="GMB299" s="11"/>
      <c r="GMC299" s="11"/>
      <c r="GMD299" s="11"/>
      <c r="GME299" s="11"/>
      <c r="GMF299" s="11"/>
      <c r="GMG299" s="11"/>
      <c r="GMH299" s="11"/>
      <c r="GMI299" s="11"/>
      <c r="GMJ299" s="11"/>
      <c r="GMK299" s="11"/>
      <c r="GML299" s="11"/>
      <c r="GMM299" s="11"/>
      <c r="GMN299" s="11"/>
      <c r="GMO299" s="11"/>
      <c r="GMP299" s="11"/>
      <c r="GMQ299" s="11"/>
      <c r="GMR299" s="11"/>
      <c r="GMS299" s="11"/>
      <c r="GMT299" s="11"/>
      <c r="GMU299" s="11"/>
      <c r="GMV299" s="11"/>
      <c r="GMW299" s="11"/>
      <c r="GMX299" s="11"/>
      <c r="GMY299" s="11"/>
      <c r="GMZ299" s="11"/>
      <c r="GNA299" s="11"/>
      <c r="GNB299" s="11"/>
      <c r="GNC299" s="11"/>
      <c r="GND299" s="11"/>
      <c r="GNE299" s="11"/>
      <c r="GNF299" s="11"/>
      <c r="GNG299" s="11"/>
      <c r="GNH299" s="11"/>
      <c r="GNI299" s="11"/>
      <c r="GNJ299" s="11"/>
      <c r="GNK299" s="11"/>
      <c r="GNL299" s="11"/>
      <c r="GNM299" s="11"/>
      <c r="GNN299" s="11"/>
      <c r="GNO299" s="11"/>
      <c r="GNP299" s="11"/>
      <c r="GNQ299" s="11"/>
      <c r="GNR299" s="11"/>
      <c r="GNS299" s="11"/>
      <c r="GNT299" s="11"/>
      <c r="GNU299" s="11"/>
      <c r="GNV299" s="11"/>
      <c r="GNW299" s="11"/>
      <c r="GNX299" s="11"/>
      <c r="GNY299" s="11"/>
      <c r="GNZ299" s="11"/>
      <c r="GOA299" s="11"/>
      <c r="GOB299" s="11"/>
      <c r="GOC299" s="11"/>
      <c r="GOD299" s="11"/>
      <c r="GOE299" s="11"/>
      <c r="GOF299" s="11"/>
      <c r="GOG299" s="11"/>
      <c r="GOH299" s="11"/>
      <c r="GOI299" s="11"/>
      <c r="GOJ299" s="11"/>
      <c r="GOK299" s="11"/>
      <c r="GOL299" s="11"/>
      <c r="GOM299" s="11"/>
      <c r="GON299" s="11"/>
      <c r="GOO299" s="11"/>
      <c r="GOP299" s="11"/>
      <c r="GOQ299" s="11"/>
      <c r="GOR299" s="11"/>
      <c r="GOS299" s="11"/>
      <c r="GOT299" s="11"/>
      <c r="GOU299" s="11"/>
      <c r="GOV299" s="11"/>
      <c r="GOW299" s="11"/>
      <c r="GOX299" s="11"/>
      <c r="GOY299" s="11"/>
      <c r="GOZ299" s="11"/>
      <c r="GPA299" s="11"/>
      <c r="GPB299" s="11"/>
      <c r="GPC299" s="11"/>
      <c r="GPD299" s="11"/>
      <c r="GPE299" s="11"/>
      <c r="GPF299" s="11"/>
      <c r="GPG299" s="11"/>
      <c r="GPH299" s="11"/>
      <c r="GPI299" s="11"/>
      <c r="GPJ299" s="11"/>
      <c r="GPK299" s="11"/>
      <c r="GPL299" s="11"/>
      <c r="GPM299" s="11"/>
      <c r="GPN299" s="11"/>
      <c r="GPO299" s="11"/>
      <c r="GPP299" s="11"/>
      <c r="GPQ299" s="11"/>
      <c r="GPR299" s="11"/>
      <c r="GPS299" s="11"/>
      <c r="GPT299" s="11"/>
      <c r="GPU299" s="11"/>
      <c r="GPV299" s="11"/>
      <c r="GPW299" s="11"/>
      <c r="GPX299" s="11"/>
      <c r="GPY299" s="11"/>
      <c r="GPZ299" s="11"/>
      <c r="GQA299" s="11"/>
      <c r="GQB299" s="11"/>
      <c r="GQC299" s="11"/>
      <c r="GQD299" s="11"/>
      <c r="GQE299" s="11"/>
      <c r="GQF299" s="11"/>
      <c r="GQG299" s="11"/>
      <c r="GQH299" s="11"/>
      <c r="GQI299" s="11"/>
      <c r="GQJ299" s="11"/>
      <c r="GQK299" s="11"/>
      <c r="GQL299" s="11"/>
      <c r="GQM299" s="11"/>
      <c r="GQN299" s="11"/>
      <c r="GQO299" s="11"/>
      <c r="GQP299" s="11"/>
      <c r="GQQ299" s="11"/>
      <c r="GQR299" s="11"/>
      <c r="GQS299" s="11"/>
      <c r="GQT299" s="11"/>
      <c r="GQU299" s="11"/>
      <c r="GQV299" s="11"/>
      <c r="GQW299" s="11"/>
      <c r="GQX299" s="11"/>
      <c r="GQY299" s="11"/>
      <c r="GQZ299" s="11"/>
      <c r="GRA299" s="11"/>
      <c r="GRB299" s="11"/>
      <c r="GRC299" s="11"/>
      <c r="GRD299" s="11"/>
      <c r="GRE299" s="11"/>
      <c r="GRF299" s="11"/>
      <c r="GRG299" s="11"/>
      <c r="GRH299" s="11"/>
      <c r="GRI299" s="11"/>
      <c r="GRJ299" s="11"/>
      <c r="GRK299" s="11"/>
      <c r="GRL299" s="11"/>
      <c r="GRM299" s="11"/>
      <c r="GRN299" s="11"/>
      <c r="GRO299" s="11"/>
      <c r="GRP299" s="11"/>
      <c r="GRQ299" s="11"/>
      <c r="GRR299" s="11"/>
      <c r="GRS299" s="11"/>
      <c r="GRT299" s="11"/>
      <c r="GRU299" s="11"/>
      <c r="GRV299" s="11"/>
      <c r="GRW299" s="11"/>
      <c r="GRX299" s="11"/>
      <c r="GRY299" s="11"/>
      <c r="GRZ299" s="11"/>
      <c r="GSA299" s="11"/>
      <c r="GSB299" s="11"/>
      <c r="GSC299" s="11"/>
      <c r="GSD299" s="11"/>
      <c r="GSE299" s="11"/>
      <c r="GSF299" s="11"/>
      <c r="GSG299" s="11"/>
      <c r="GSH299" s="11"/>
      <c r="GSI299" s="11"/>
      <c r="GSJ299" s="11"/>
      <c r="GSK299" s="11"/>
      <c r="GSL299" s="11"/>
      <c r="GSM299" s="11"/>
      <c r="GSN299" s="11"/>
      <c r="GSO299" s="11"/>
      <c r="GSP299" s="11"/>
      <c r="GSQ299" s="11"/>
      <c r="GSR299" s="11"/>
      <c r="GSS299" s="11"/>
      <c r="GST299" s="11"/>
      <c r="GSU299" s="11"/>
      <c r="GSV299" s="11"/>
      <c r="GSW299" s="11"/>
      <c r="GSX299" s="11"/>
      <c r="GSY299" s="11"/>
      <c r="GSZ299" s="11"/>
      <c r="GTA299" s="11"/>
      <c r="GTB299" s="11"/>
      <c r="GTC299" s="11"/>
      <c r="GTD299" s="11"/>
      <c r="GTE299" s="11"/>
      <c r="GTF299" s="11"/>
      <c r="GTG299" s="11"/>
      <c r="GTH299" s="11"/>
      <c r="GTI299" s="11"/>
      <c r="GTJ299" s="11"/>
      <c r="GTK299" s="11"/>
      <c r="GTL299" s="11"/>
      <c r="GTM299" s="11"/>
      <c r="GTN299" s="11"/>
      <c r="GTO299" s="11"/>
      <c r="GTP299" s="11"/>
      <c r="GTQ299" s="11"/>
      <c r="GTR299" s="11"/>
      <c r="GTS299" s="11"/>
      <c r="GTT299" s="11"/>
      <c r="GTU299" s="11"/>
      <c r="GTV299" s="11"/>
      <c r="GTW299" s="11"/>
      <c r="GTX299" s="11"/>
      <c r="GTY299" s="11"/>
      <c r="GTZ299" s="11"/>
      <c r="GUA299" s="11"/>
      <c r="GUB299" s="11"/>
      <c r="GUC299" s="11"/>
      <c r="GUD299" s="11"/>
      <c r="GUE299" s="11"/>
      <c r="GUF299" s="11"/>
      <c r="GUG299" s="11"/>
      <c r="GUH299" s="11"/>
      <c r="GUI299" s="11"/>
      <c r="GUJ299" s="11"/>
      <c r="GUK299" s="11"/>
      <c r="GUL299" s="11"/>
      <c r="GUM299" s="11"/>
      <c r="GUN299" s="11"/>
      <c r="GUO299" s="11"/>
      <c r="GUP299" s="11"/>
      <c r="GUQ299" s="11"/>
      <c r="GUR299" s="11"/>
      <c r="GUS299" s="11"/>
      <c r="GUT299" s="11"/>
      <c r="GUU299" s="11"/>
      <c r="GUV299" s="11"/>
      <c r="GUW299" s="11"/>
      <c r="GUX299" s="11"/>
      <c r="GUY299" s="11"/>
      <c r="GUZ299" s="11"/>
      <c r="GVA299" s="11"/>
      <c r="GVB299" s="11"/>
      <c r="GVC299" s="11"/>
      <c r="GVD299" s="11"/>
      <c r="GVE299" s="11"/>
      <c r="GVF299" s="11"/>
      <c r="GVG299" s="11"/>
      <c r="GVH299" s="11"/>
      <c r="GVI299" s="11"/>
      <c r="GVJ299" s="11"/>
      <c r="GVK299" s="11"/>
      <c r="GVL299" s="11"/>
      <c r="GVM299" s="11"/>
      <c r="GVN299" s="11"/>
      <c r="GVO299" s="11"/>
      <c r="GVP299" s="11"/>
      <c r="GVQ299" s="11"/>
      <c r="GVR299" s="11"/>
      <c r="GVS299" s="11"/>
      <c r="GVT299" s="11"/>
      <c r="GVU299" s="11"/>
      <c r="GVV299" s="11"/>
      <c r="GVW299" s="11"/>
      <c r="GVX299" s="11"/>
      <c r="GVY299" s="11"/>
      <c r="GVZ299" s="11"/>
      <c r="GWA299" s="11"/>
      <c r="GWB299" s="11"/>
      <c r="GWC299" s="11"/>
      <c r="GWD299" s="11"/>
      <c r="GWE299" s="11"/>
      <c r="GWF299" s="11"/>
      <c r="GWG299" s="11"/>
      <c r="GWH299" s="11"/>
      <c r="GWI299" s="11"/>
      <c r="GWJ299" s="11"/>
      <c r="GWK299" s="11"/>
      <c r="GWL299" s="11"/>
      <c r="GWM299" s="11"/>
      <c r="GWN299" s="11"/>
      <c r="GWO299" s="11"/>
      <c r="GWP299" s="11"/>
      <c r="GWQ299" s="11"/>
      <c r="GWR299" s="11"/>
      <c r="GWS299" s="11"/>
      <c r="GWT299" s="11"/>
      <c r="GWU299" s="11"/>
      <c r="GWV299" s="11"/>
      <c r="GWW299" s="11"/>
      <c r="GWX299" s="11"/>
      <c r="GWY299" s="11"/>
      <c r="GWZ299" s="11"/>
      <c r="GXA299" s="11"/>
      <c r="GXB299" s="11"/>
      <c r="GXC299" s="11"/>
      <c r="GXD299" s="11"/>
      <c r="GXE299" s="11"/>
      <c r="GXF299" s="11"/>
      <c r="GXG299" s="11"/>
      <c r="GXH299" s="11"/>
      <c r="GXI299" s="11"/>
      <c r="GXJ299" s="11"/>
      <c r="GXK299" s="11"/>
      <c r="GXL299" s="11"/>
      <c r="GXM299" s="11"/>
      <c r="GXN299" s="11"/>
      <c r="GXO299" s="11"/>
      <c r="GXP299" s="11"/>
      <c r="GXQ299" s="11"/>
      <c r="GXR299" s="11"/>
      <c r="GXS299" s="11"/>
      <c r="GXT299" s="11"/>
      <c r="GXU299" s="11"/>
      <c r="GXV299" s="11"/>
      <c r="GXW299" s="11"/>
      <c r="GXX299" s="11"/>
      <c r="GXY299" s="11"/>
      <c r="GXZ299" s="11"/>
      <c r="GYA299" s="11"/>
      <c r="GYB299" s="11"/>
      <c r="GYC299" s="11"/>
      <c r="GYD299" s="11"/>
      <c r="GYE299" s="11"/>
      <c r="GYF299" s="11"/>
      <c r="GYG299" s="11"/>
      <c r="GYH299" s="11"/>
      <c r="GYI299" s="11"/>
      <c r="GYJ299" s="11"/>
      <c r="GYK299" s="11"/>
      <c r="GYL299" s="11"/>
      <c r="GYM299" s="11"/>
      <c r="GYN299" s="11"/>
      <c r="GYO299" s="11"/>
      <c r="GYP299" s="11"/>
      <c r="GYQ299" s="11"/>
      <c r="GYR299" s="11"/>
      <c r="GYS299" s="11"/>
      <c r="GYT299" s="11"/>
      <c r="GYU299" s="11"/>
      <c r="GYV299" s="11"/>
      <c r="GYW299" s="11"/>
      <c r="GYX299" s="11"/>
      <c r="GYY299" s="11"/>
      <c r="GYZ299" s="11"/>
      <c r="GZA299" s="11"/>
      <c r="GZB299" s="11"/>
      <c r="GZC299" s="11"/>
      <c r="GZD299" s="11"/>
      <c r="GZE299" s="11"/>
      <c r="GZF299" s="11"/>
      <c r="GZG299" s="11"/>
      <c r="GZH299" s="11"/>
      <c r="GZI299" s="11"/>
      <c r="GZJ299" s="11"/>
      <c r="GZK299" s="11"/>
      <c r="GZL299" s="11"/>
      <c r="GZM299" s="11"/>
      <c r="GZN299" s="11"/>
      <c r="GZO299" s="11"/>
      <c r="GZP299" s="11"/>
      <c r="GZQ299" s="11"/>
      <c r="GZR299" s="11"/>
      <c r="GZS299" s="11"/>
      <c r="GZT299" s="11"/>
      <c r="GZU299" s="11"/>
      <c r="GZV299" s="11"/>
      <c r="GZW299" s="11"/>
      <c r="GZX299" s="11"/>
      <c r="GZY299" s="11"/>
      <c r="GZZ299" s="11"/>
      <c r="HAA299" s="11"/>
      <c r="HAB299" s="11"/>
      <c r="HAC299" s="11"/>
      <c r="HAD299" s="11"/>
      <c r="HAE299" s="11"/>
      <c r="HAF299" s="11"/>
      <c r="HAG299" s="11"/>
      <c r="HAH299" s="11"/>
      <c r="HAI299" s="11"/>
      <c r="HAJ299" s="11"/>
      <c r="HAK299" s="11"/>
      <c r="HAL299" s="11"/>
      <c r="HAM299" s="11"/>
      <c r="HAN299" s="11"/>
      <c r="HAO299" s="11"/>
      <c r="HAP299" s="11"/>
      <c r="HAQ299" s="11"/>
      <c r="HAR299" s="11"/>
      <c r="HAS299" s="11"/>
      <c r="HAT299" s="11"/>
      <c r="HAU299" s="11"/>
      <c r="HAV299" s="11"/>
      <c r="HAW299" s="11"/>
      <c r="HAX299" s="11"/>
      <c r="HAY299" s="11"/>
      <c r="HAZ299" s="11"/>
      <c r="HBA299" s="11"/>
      <c r="HBB299" s="11"/>
      <c r="HBC299" s="11"/>
      <c r="HBD299" s="11"/>
      <c r="HBE299" s="11"/>
      <c r="HBF299" s="11"/>
      <c r="HBG299" s="11"/>
      <c r="HBH299" s="11"/>
      <c r="HBI299" s="11"/>
      <c r="HBJ299" s="11"/>
      <c r="HBK299" s="11"/>
      <c r="HBL299" s="11"/>
      <c r="HBM299" s="11"/>
      <c r="HBN299" s="11"/>
      <c r="HBO299" s="11"/>
      <c r="HBP299" s="11"/>
      <c r="HBQ299" s="11"/>
      <c r="HBR299" s="11"/>
      <c r="HBS299" s="11"/>
      <c r="HBT299" s="11"/>
      <c r="HBU299" s="11"/>
      <c r="HBV299" s="11"/>
      <c r="HBW299" s="11"/>
      <c r="HBX299" s="11"/>
      <c r="HBY299" s="11"/>
      <c r="HBZ299" s="11"/>
      <c r="HCA299" s="11"/>
      <c r="HCB299" s="11"/>
      <c r="HCC299" s="11"/>
      <c r="HCD299" s="11"/>
      <c r="HCE299" s="11"/>
      <c r="HCF299" s="11"/>
      <c r="HCG299" s="11"/>
      <c r="HCH299" s="11"/>
      <c r="HCI299" s="11"/>
      <c r="HCJ299" s="11"/>
      <c r="HCK299" s="11"/>
      <c r="HCL299" s="11"/>
      <c r="HCM299" s="11"/>
      <c r="HCN299" s="11"/>
      <c r="HCO299" s="11"/>
      <c r="HCP299" s="11"/>
      <c r="HCQ299" s="11"/>
      <c r="HCR299" s="11"/>
      <c r="HCS299" s="11"/>
      <c r="HCT299" s="11"/>
      <c r="HCU299" s="11"/>
      <c r="HCV299" s="11"/>
      <c r="HCW299" s="11"/>
      <c r="HCX299" s="11"/>
      <c r="HCY299" s="11"/>
      <c r="HCZ299" s="11"/>
      <c r="HDA299" s="11"/>
      <c r="HDB299" s="11"/>
      <c r="HDC299" s="11"/>
      <c r="HDD299" s="11"/>
      <c r="HDE299" s="11"/>
      <c r="HDF299" s="11"/>
      <c r="HDG299" s="11"/>
      <c r="HDH299" s="11"/>
      <c r="HDI299" s="11"/>
      <c r="HDJ299" s="11"/>
      <c r="HDK299" s="11"/>
      <c r="HDL299" s="11"/>
      <c r="HDM299" s="11"/>
      <c r="HDN299" s="11"/>
      <c r="HDO299" s="11"/>
      <c r="HDP299" s="11"/>
      <c r="HDQ299" s="11"/>
      <c r="HDR299" s="11"/>
      <c r="HDS299" s="11"/>
      <c r="HDT299" s="11"/>
      <c r="HDU299" s="11"/>
      <c r="HDV299" s="11"/>
      <c r="HDW299" s="11"/>
      <c r="HDX299" s="11"/>
      <c r="HDY299" s="11"/>
      <c r="HDZ299" s="11"/>
      <c r="HEA299" s="11"/>
      <c r="HEB299" s="11"/>
      <c r="HEC299" s="11"/>
      <c r="HED299" s="11"/>
      <c r="HEE299" s="11"/>
      <c r="HEF299" s="11"/>
      <c r="HEG299" s="11"/>
      <c r="HEH299" s="11"/>
      <c r="HEI299" s="11"/>
      <c r="HEJ299" s="11"/>
      <c r="HEK299" s="11"/>
      <c r="HEL299" s="11"/>
      <c r="HEM299" s="11"/>
      <c r="HEN299" s="11"/>
      <c r="HEO299" s="11"/>
      <c r="HEP299" s="11"/>
      <c r="HEQ299" s="11"/>
      <c r="HER299" s="11"/>
      <c r="HES299" s="11"/>
      <c r="HET299" s="11"/>
      <c r="HEU299" s="11"/>
      <c r="HEV299" s="11"/>
      <c r="HEW299" s="11"/>
      <c r="HEX299" s="11"/>
      <c r="HEY299" s="11"/>
      <c r="HEZ299" s="11"/>
      <c r="HFA299" s="11"/>
      <c r="HFB299" s="11"/>
      <c r="HFC299" s="11"/>
      <c r="HFD299" s="11"/>
      <c r="HFE299" s="11"/>
      <c r="HFF299" s="11"/>
      <c r="HFG299" s="11"/>
      <c r="HFH299" s="11"/>
      <c r="HFI299" s="11"/>
      <c r="HFJ299" s="11"/>
      <c r="HFK299" s="11"/>
      <c r="HFL299" s="11"/>
      <c r="HFM299" s="11"/>
      <c r="HFN299" s="11"/>
      <c r="HFO299" s="11"/>
      <c r="HFP299" s="11"/>
      <c r="HFQ299" s="11"/>
      <c r="HFR299" s="11"/>
      <c r="HFS299" s="11"/>
      <c r="HFT299" s="11"/>
      <c r="HFU299" s="11"/>
      <c r="HFV299" s="11"/>
      <c r="HFW299" s="11"/>
      <c r="HFX299" s="11"/>
      <c r="HFY299" s="11"/>
      <c r="HFZ299" s="11"/>
      <c r="HGA299" s="11"/>
      <c r="HGB299" s="11"/>
      <c r="HGC299" s="11"/>
      <c r="HGD299" s="11"/>
      <c r="HGE299" s="11"/>
      <c r="HGF299" s="11"/>
      <c r="HGG299" s="11"/>
      <c r="HGH299" s="11"/>
      <c r="HGI299" s="11"/>
      <c r="HGJ299" s="11"/>
      <c r="HGK299" s="11"/>
      <c r="HGL299" s="11"/>
      <c r="HGM299" s="11"/>
      <c r="HGN299" s="11"/>
      <c r="HGO299" s="11"/>
      <c r="HGP299" s="11"/>
      <c r="HGQ299" s="11"/>
      <c r="HGR299" s="11"/>
      <c r="HGS299" s="11"/>
      <c r="HGT299" s="11"/>
      <c r="HGU299" s="11"/>
      <c r="HGV299" s="11"/>
      <c r="HGW299" s="11"/>
      <c r="HGX299" s="11"/>
      <c r="HGY299" s="11"/>
      <c r="HGZ299" s="11"/>
      <c r="HHA299" s="11"/>
      <c r="HHB299" s="11"/>
      <c r="HHC299" s="11"/>
      <c r="HHD299" s="11"/>
      <c r="HHE299" s="11"/>
      <c r="HHF299" s="11"/>
      <c r="HHG299" s="11"/>
      <c r="HHH299" s="11"/>
      <c r="HHI299" s="11"/>
      <c r="HHJ299" s="11"/>
      <c r="HHK299" s="11"/>
      <c r="HHL299" s="11"/>
      <c r="HHM299" s="11"/>
      <c r="HHN299" s="11"/>
      <c r="HHO299" s="11"/>
      <c r="HHP299" s="11"/>
      <c r="HHQ299" s="11"/>
      <c r="HHR299" s="11"/>
      <c r="HHS299" s="11"/>
      <c r="HHT299" s="11"/>
      <c r="HHU299" s="11"/>
      <c r="HHV299" s="11"/>
      <c r="HHW299" s="11"/>
      <c r="HHX299" s="11"/>
      <c r="HHY299" s="11"/>
      <c r="HHZ299" s="11"/>
      <c r="HIA299" s="11"/>
      <c r="HIB299" s="11"/>
      <c r="HIC299" s="11"/>
      <c r="HID299" s="11"/>
      <c r="HIE299" s="11"/>
      <c r="HIF299" s="11"/>
      <c r="HIG299" s="11"/>
      <c r="HIH299" s="11"/>
      <c r="HII299" s="11"/>
      <c r="HIJ299" s="11"/>
      <c r="HIK299" s="11"/>
      <c r="HIL299" s="11"/>
      <c r="HIM299" s="11"/>
      <c r="HIN299" s="11"/>
      <c r="HIO299" s="11"/>
      <c r="HIP299" s="11"/>
      <c r="HIQ299" s="11"/>
      <c r="HIR299" s="11"/>
      <c r="HIS299" s="11"/>
      <c r="HIT299" s="11"/>
      <c r="HIU299" s="11"/>
      <c r="HIV299" s="11"/>
      <c r="HIW299" s="11"/>
      <c r="HIX299" s="11"/>
      <c r="HIY299" s="11"/>
      <c r="HIZ299" s="11"/>
      <c r="HJA299" s="11"/>
      <c r="HJB299" s="11"/>
      <c r="HJC299" s="11"/>
      <c r="HJD299" s="11"/>
      <c r="HJE299" s="11"/>
      <c r="HJF299" s="11"/>
      <c r="HJG299" s="11"/>
      <c r="HJH299" s="11"/>
      <c r="HJI299" s="11"/>
      <c r="HJJ299" s="11"/>
      <c r="HJK299" s="11"/>
      <c r="HJL299" s="11"/>
      <c r="HJM299" s="11"/>
      <c r="HJN299" s="11"/>
      <c r="HJO299" s="11"/>
      <c r="HJP299" s="11"/>
      <c r="HJQ299" s="11"/>
      <c r="HJR299" s="11"/>
      <c r="HJS299" s="11"/>
      <c r="HJT299" s="11"/>
      <c r="HJU299" s="11"/>
      <c r="HJV299" s="11"/>
      <c r="HJW299" s="11"/>
      <c r="HJX299" s="11"/>
      <c r="HJY299" s="11"/>
      <c r="HJZ299" s="11"/>
      <c r="HKA299" s="11"/>
      <c r="HKB299" s="11"/>
      <c r="HKC299" s="11"/>
      <c r="HKD299" s="11"/>
      <c r="HKE299" s="11"/>
      <c r="HKF299" s="11"/>
      <c r="HKG299" s="11"/>
      <c r="HKH299" s="11"/>
      <c r="HKI299" s="11"/>
      <c r="HKJ299" s="11"/>
      <c r="HKK299" s="11"/>
      <c r="HKL299" s="11"/>
      <c r="HKM299" s="11"/>
      <c r="HKN299" s="11"/>
      <c r="HKO299" s="11"/>
      <c r="HKP299" s="11"/>
      <c r="HKQ299" s="11"/>
      <c r="HKR299" s="11"/>
      <c r="HKS299" s="11"/>
      <c r="HKT299" s="11"/>
      <c r="HKU299" s="11"/>
      <c r="HKV299" s="11"/>
      <c r="HKW299" s="11"/>
      <c r="HKX299" s="11"/>
      <c r="HKY299" s="11"/>
      <c r="HKZ299" s="11"/>
      <c r="HLA299" s="11"/>
      <c r="HLB299" s="11"/>
      <c r="HLC299" s="11"/>
      <c r="HLD299" s="11"/>
      <c r="HLE299" s="11"/>
      <c r="HLF299" s="11"/>
      <c r="HLG299" s="11"/>
      <c r="HLH299" s="11"/>
      <c r="HLI299" s="11"/>
      <c r="HLJ299" s="11"/>
      <c r="HLK299" s="11"/>
      <c r="HLL299" s="11"/>
      <c r="HLM299" s="11"/>
      <c r="HLN299" s="11"/>
      <c r="HLO299" s="11"/>
      <c r="HLP299" s="11"/>
      <c r="HLQ299" s="11"/>
      <c r="HLR299" s="11"/>
      <c r="HLS299" s="11"/>
      <c r="HLT299" s="11"/>
      <c r="HLU299" s="11"/>
      <c r="HLV299" s="11"/>
      <c r="HLW299" s="11"/>
      <c r="HLX299" s="11"/>
      <c r="HLY299" s="11"/>
      <c r="HLZ299" s="11"/>
      <c r="HMA299" s="11"/>
      <c r="HMB299" s="11"/>
      <c r="HMC299" s="11"/>
      <c r="HMD299" s="11"/>
      <c r="HME299" s="11"/>
      <c r="HMF299" s="11"/>
      <c r="HMG299" s="11"/>
      <c r="HMH299" s="11"/>
      <c r="HMI299" s="11"/>
      <c r="HMJ299" s="11"/>
      <c r="HMK299" s="11"/>
      <c r="HML299" s="11"/>
      <c r="HMM299" s="11"/>
      <c r="HMN299" s="11"/>
      <c r="HMO299" s="11"/>
      <c r="HMP299" s="11"/>
      <c r="HMQ299" s="11"/>
      <c r="HMR299" s="11"/>
      <c r="HMS299" s="11"/>
      <c r="HMT299" s="11"/>
      <c r="HMU299" s="11"/>
      <c r="HMV299" s="11"/>
      <c r="HMW299" s="11"/>
      <c r="HMX299" s="11"/>
      <c r="HMY299" s="11"/>
      <c r="HMZ299" s="11"/>
      <c r="HNA299" s="11"/>
      <c r="HNB299" s="11"/>
      <c r="HNC299" s="11"/>
      <c r="HND299" s="11"/>
      <c r="HNE299" s="11"/>
      <c r="HNF299" s="11"/>
      <c r="HNG299" s="11"/>
      <c r="HNH299" s="11"/>
      <c r="HNI299" s="11"/>
      <c r="HNJ299" s="11"/>
      <c r="HNK299" s="11"/>
      <c r="HNL299" s="11"/>
      <c r="HNM299" s="11"/>
      <c r="HNN299" s="11"/>
      <c r="HNO299" s="11"/>
      <c r="HNP299" s="11"/>
      <c r="HNQ299" s="11"/>
      <c r="HNR299" s="11"/>
      <c r="HNS299" s="11"/>
      <c r="HNT299" s="11"/>
      <c r="HNU299" s="11"/>
      <c r="HNV299" s="11"/>
      <c r="HNW299" s="11"/>
      <c r="HNX299" s="11"/>
      <c r="HNY299" s="11"/>
      <c r="HNZ299" s="11"/>
      <c r="HOA299" s="11"/>
      <c r="HOB299" s="11"/>
      <c r="HOC299" s="11"/>
      <c r="HOD299" s="11"/>
      <c r="HOE299" s="11"/>
      <c r="HOF299" s="11"/>
      <c r="HOG299" s="11"/>
      <c r="HOH299" s="11"/>
      <c r="HOI299" s="11"/>
      <c r="HOJ299" s="11"/>
      <c r="HOK299" s="11"/>
      <c r="HOL299" s="11"/>
      <c r="HOM299" s="11"/>
      <c r="HON299" s="11"/>
      <c r="HOO299" s="11"/>
      <c r="HOP299" s="11"/>
      <c r="HOQ299" s="11"/>
      <c r="HOR299" s="11"/>
      <c r="HOS299" s="11"/>
      <c r="HOT299" s="11"/>
      <c r="HOU299" s="11"/>
      <c r="HOV299" s="11"/>
      <c r="HOW299" s="11"/>
      <c r="HOX299" s="11"/>
      <c r="HOY299" s="11"/>
      <c r="HOZ299" s="11"/>
      <c r="HPA299" s="11"/>
      <c r="HPB299" s="11"/>
      <c r="HPC299" s="11"/>
      <c r="HPD299" s="11"/>
      <c r="HPE299" s="11"/>
      <c r="HPF299" s="11"/>
      <c r="HPG299" s="11"/>
      <c r="HPH299" s="11"/>
      <c r="HPI299" s="11"/>
      <c r="HPJ299" s="11"/>
      <c r="HPK299" s="11"/>
      <c r="HPL299" s="11"/>
      <c r="HPM299" s="11"/>
      <c r="HPN299" s="11"/>
      <c r="HPO299" s="11"/>
      <c r="HPP299" s="11"/>
      <c r="HPQ299" s="11"/>
      <c r="HPR299" s="11"/>
      <c r="HPS299" s="11"/>
      <c r="HPT299" s="11"/>
      <c r="HPU299" s="11"/>
      <c r="HPV299" s="11"/>
      <c r="HPW299" s="11"/>
      <c r="HPX299" s="11"/>
      <c r="HPY299" s="11"/>
      <c r="HPZ299" s="11"/>
      <c r="HQA299" s="11"/>
      <c r="HQB299" s="11"/>
      <c r="HQC299" s="11"/>
      <c r="HQD299" s="11"/>
      <c r="HQE299" s="11"/>
      <c r="HQF299" s="11"/>
      <c r="HQG299" s="11"/>
      <c r="HQH299" s="11"/>
      <c r="HQI299" s="11"/>
      <c r="HQJ299" s="11"/>
      <c r="HQK299" s="11"/>
      <c r="HQL299" s="11"/>
      <c r="HQM299" s="11"/>
      <c r="HQN299" s="11"/>
      <c r="HQO299" s="11"/>
      <c r="HQP299" s="11"/>
      <c r="HQQ299" s="11"/>
      <c r="HQR299" s="11"/>
      <c r="HQS299" s="11"/>
      <c r="HQT299" s="11"/>
      <c r="HQU299" s="11"/>
      <c r="HQV299" s="11"/>
      <c r="HQW299" s="11"/>
      <c r="HQX299" s="11"/>
      <c r="HQY299" s="11"/>
      <c r="HQZ299" s="11"/>
      <c r="HRA299" s="11"/>
      <c r="HRB299" s="11"/>
      <c r="HRC299" s="11"/>
      <c r="HRD299" s="11"/>
      <c r="HRE299" s="11"/>
      <c r="HRF299" s="11"/>
      <c r="HRG299" s="11"/>
      <c r="HRH299" s="11"/>
      <c r="HRI299" s="11"/>
      <c r="HRJ299" s="11"/>
      <c r="HRK299" s="11"/>
      <c r="HRL299" s="11"/>
      <c r="HRM299" s="11"/>
      <c r="HRN299" s="11"/>
      <c r="HRO299" s="11"/>
      <c r="HRP299" s="11"/>
      <c r="HRQ299" s="11"/>
      <c r="HRR299" s="11"/>
      <c r="HRS299" s="11"/>
      <c r="HRT299" s="11"/>
      <c r="HRU299" s="11"/>
      <c r="HRV299" s="11"/>
      <c r="HRW299" s="11"/>
      <c r="HRX299" s="11"/>
      <c r="HRY299" s="11"/>
      <c r="HRZ299" s="11"/>
      <c r="HSA299" s="11"/>
      <c r="HSB299" s="11"/>
      <c r="HSC299" s="11"/>
      <c r="HSD299" s="11"/>
      <c r="HSE299" s="11"/>
      <c r="HSF299" s="11"/>
      <c r="HSG299" s="11"/>
      <c r="HSH299" s="11"/>
      <c r="HSI299" s="11"/>
      <c r="HSJ299" s="11"/>
      <c r="HSK299" s="11"/>
      <c r="HSL299" s="11"/>
      <c r="HSM299" s="11"/>
      <c r="HSN299" s="11"/>
      <c r="HSO299" s="11"/>
      <c r="HSP299" s="11"/>
      <c r="HSQ299" s="11"/>
      <c r="HSR299" s="11"/>
      <c r="HSS299" s="11"/>
      <c r="HST299" s="11"/>
      <c r="HSU299" s="11"/>
      <c r="HSV299" s="11"/>
      <c r="HSW299" s="11"/>
      <c r="HSX299" s="11"/>
      <c r="HSY299" s="11"/>
      <c r="HSZ299" s="11"/>
      <c r="HTA299" s="11"/>
      <c r="HTB299" s="11"/>
      <c r="HTC299" s="11"/>
      <c r="HTD299" s="11"/>
      <c r="HTE299" s="11"/>
      <c r="HTF299" s="11"/>
      <c r="HTG299" s="11"/>
      <c r="HTH299" s="11"/>
      <c r="HTI299" s="11"/>
      <c r="HTJ299" s="11"/>
      <c r="HTK299" s="11"/>
      <c r="HTL299" s="11"/>
      <c r="HTM299" s="11"/>
      <c r="HTN299" s="11"/>
      <c r="HTO299" s="11"/>
      <c r="HTP299" s="11"/>
      <c r="HTQ299" s="11"/>
      <c r="HTR299" s="11"/>
      <c r="HTS299" s="11"/>
      <c r="HTT299" s="11"/>
      <c r="HTU299" s="11"/>
      <c r="HTV299" s="11"/>
      <c r="HTW299" s="11"/>
      <c r="HTX299" s="11"/>
      <c r="HTY299" s="11"/>
      <c r="HTZ299" s="11"/>
      <c r="HUA299" s="11"/>
      <c r="HUB299" s="11"/>
      <c r="HUC299" s="11"/>
      <c r="HUD299" s="11"/>
      <c r="HUE299" s="11"/>
      <c r="HUF299" s="11"/>
      <c r="HUG299" s="11"/>
      <c r="HUH299" s="11"/>
      <c r="HUI299" s="11"/>
      <c r="HUJ299" s="11"/>
      <c r="HUK299" s="11"/>
      <c r="HUL299" s="11"/>
      <c r="HUM299" s="11"/>
      <c r="HUN299" s="11"/>
      <c r="HUO299" s="11"/>
      <c r="HUP299" s="11"/>
      <c r="HUQ299" s="11"/>
      <c r="HUR299" s="11"/>
      <c r="HUS299" s="11"/>
      <c r="HUT299" s="11"/>
      <c r="HUU299" s="11"/>
      <c r="HUV299" s="11"/>
      <c r="HUW299" s="11"/>
      <c r="HUX299" s="11"/>
      <c r="HUY299" s="11"/>
      <c r="HUZ299" s="11"/>
      <c r="HVA299" s="11"/>
      <c r="HVB299" s="11"/>
      <c r="HVC299" s="11"/>
      <c r="HVD299" s="11"/>
      <c r="HVE299" s="11"/>
      <c r="HVF299" s="11"/>
      <c r="HVG299" s="11"/>
      <c r="HVH299" s="11"/>
      <c r="HVI299" s="11"/>
      <c r="HVJ299" s="11"/>
      <c r="HVK299" s="11"/>
      <c r="HVL299" s="11"/>
      <c r="HVM299" s="11"/>
      <c r="HVN299" s="11"/>
      <c r="HVO299" s="11"/>
      <c r="HVP299" s="11"/>
      <c r="HVQ299" s="11"/>
      <c r="HVR299" s="11"/>
      <c r="HVS299" s="11"/>
      <c r="HVT299" s="11"/>
      <c r="HVU299" s="11"/>
      <c r="HVV299" s="11"/>
      <c r="HVW299" s="11"/>
      <c r="HVX299" s="11"/>
      <c r="HVY299" s="11"/>
      <c r="HVZ299" s="11"/>
      <c r="HWA299" s="11"/>
      <c r="HWB299" s="11"/>
      <c r="HWC299" s="11"/>
      <c r="HWD299" s="11"/>
      <c r="HWE299" s="11"/>
      <c r="HWF299" s="11"/>
      <c r="HWG299" s="11"/>
      <c r="HWH299" s="11"/>
      <c r="HWI299" s="11"/>
      <c r="HWJ299" s="11"/>
      <c r="HWK299" s="11"/>
      <c r="HWL299" s="11"/>
      <c r="HWM299" s="11"/>
      <c r="HWN299" s="11"/>
      <c r="HWO299" s="11"/>
      <c r="HWP299" s="11"/>
      <c r="HWQ299" s="11"/>
      <c r="HWR299" s="11"/>
      <c r="HWS299" s="11"/>
      <c r="HWT299" s="11"/>
      <c r="HWU299" s="11"/>
      <c r="HWV299" s="11"/>
      <c r="HWW299" s="11"/>
      <c r="HWX299" s="11"/>
      <c r="HWY299" s="11"/>
      <c r="HWZ299" s="11"/>
      <c r="HXA299" s="11"/>
      <c r="HXB299" s="11"/>
      <c r="HXC299" s="11"/>
      <c r="HXD299" s="11"/>
      <c r="HXE299" s="11"/>
      <c r="HXF299" s="11"/>
      <c r="HXG299" s="11"/>
      <c r="HXH299" s="11"/>
      <c r="HXI299" s="11"/>
      <c r="HXJ299" s="11"/>
      <c r="HXK299" s="11"/>
      <c r="HXL299" s="11"/>
      <c r="HXM299" s="11"/>
      <c r="HXN299" s="11"/>
      <c r="HXO299" s="11"/>
      <c r="HXP299" s="11"/>
      <c r="HXQ299" s="11"/>
      <c r="HXR299" s="11"/>
      <c r="HXS299" s="11"/>
      <c r="HXT299" s="11"/>
      <c r="HXU299" s="11"/>
      <c r="HXV299" s="11"/>
      <c r="HXW299" s="11"/>
      <c r="HXX299" s="11"/>
      <c r="HXY299" s="11"/>
      <c r="HXZ299" s="11"/>
      <c r="HYA299" s="11"/>
      <c r="HYB299" s="11"/>
      <c r="HYC299" s="11"/>
      <c r="HYD299" s="11"/>
      <c r="HYE299" s="11"/>
      <c r="HYF299" s="11"/>
      <c r="HYG299" s="11"/>
      <c r="HYH299" s="11"/>
      <c r="HYI299" s="11"/>
      <c r="HYJ299" s="11"/>
      <c r="HYK299" s="11"/>
      <c r="HYL299" s="11"/>
      <c r="HYM299" s="11"/>
      <c r="HYN299" s="11"/>
      <c r="HYO299" s="11"/>
      <c r="HYP299" s="11"/>
      <c r="HYQ299" s="11"/>
      <c r="HYR299" s="11"/>
      <c r="HYS299" s="11"/>
      <c r="HYT299" s="11"/>
      <c r="HYU299" s="11"/>
      <c r="HYV299" s="11"/>
      <c r="HYW299" s="11"/>
      <c r="HYX299" s="11"/>
      <c r="HYY299" s="11"/>
      <c r="HYZ299" s="11"/>
      <c r="HZA299" s="11"/>
      <c r="HZB299" s="11"/>
      <c r="HZC299" s="11"/>
      <c r="HZD299" s="11"/>
      <c r="HZE299" s="11"/>
      <c r="HZF299" s="11"/>
      <c r="HZG299" s="11"/>
      <c r="HZH299" s="11"/>
      <c r="HZI299" s="11"/>
      <c r="HZJ299" s="11"/>
      <c r="HZK299" s="11"/>
      <c r="HZL299" s="11"/>
      <c r="HZM299" s="11"/>
      <c r="HZN299" s="11"/>
      <c r="HZO299" s="11"/>
      <c r="HZP299" s="11"/>
      <c r="HZQ299" s="11"/>
      <c r="HZR299" s="11"/>
      <c r="HZS299" s="11"/>
      <c r="HZT299" s="11"/>
      <c r="HZU299" s="11"/>
      <c r="HZV299" s="11"/>
      <c r="HZW299" s="11"/>
      <c r="HZX299" s="11"/>
      <c r="HZY299" s="11"/>
      <c r="HZZ299" s="11"/>
      <c r="IAA299" s="11"/>
      <c r="IAB299" s="11"/>
      <c r="IAC299" s="11"/>
      <c r="IAD299" s="11"/>
      <c r="IAE299" s="11"/>
      <c r="IAF299" s="11"/>
      <c r="IAG299" s="11"/>
      <c r="IAH299" s="11"/>
      <c r="IAI299" s="11"/>
      <c r="IAJ299" s="11"/>
      <c r="IAK299" s="11"/>
      <c r="IAL299" s="11"/>
      <c r="IAM299" s="11"/>
      <c r="IAN299" s="11"/>
      <c r="IAO299" s="11"/>
      <c r="IAP299" s="11"/>
      <c r="IAQ299" s="11"/>
      <c r="IAR299" s="11"/>
      <c r="IAS299" s="11"/>
      <c r="IAT299" s="11"/>
      <c r="IAU299" s="11"/>
      <c r="IAV299" s="11"/>
      <c r="IAW299" s="11"/>
      <c r="IAX299" s="11"/>
      <c r="IAY299" s="11"/>
      <c r="IAZ299" s="11"/>
      <c r="IBA299" s="11"/>
      <c r="IBB299" s="11"/>
      <c r="IBC299" s="11"/>
      <c r="IBD299" s="11"/>
      <c r="IBE299" s="11"/>
      <c r="IBF299" s="11"/>
      <c r="IBG299" s="11"/>
      <c r="IBH299" s="11"/>
      <c r="IBI299" s="11"/>
      <c r="IBJ299" s="11"/>
      <c r="IBK299" s="11"/>
      <c r="IBL299" s="11"/>
      <c r="IBM299" s="11"/>
      <c r="IBN299" s="11"/>
      <c r="IBO299" s="11"/>
      <c r="IBP299" s="11"/>
      <c r="IBQ299" s="11"/>
      <c r="IBR299" s="11"/>
      <c r="IBS299" s="11"/>
      <c r="IBT299" s="11"/>
      <c r="IBU299" s="11"/>
      <c r="IBV299" s="11"/>
      <c r="IBW299" s="11"/>
      <c r="IBX299" s="11"/>
      <c r="IBY299" s="11"/>
      <c r="IBZ299" s="11"/>
      <c r="ICA299" s="11"/>
      <c r="ICB299" s="11"/>
      <c r="ICC299" s="11"/>
      <c r="ICD299" s="11"/>
      <c r="ICE299" s="11"/>
      <c r="ICF299" s="11"/>
      <c r="ICG299" s="11"/>
      <c r="ICH299" s="11"/>
      <c r="ICI299" s="11"/>
      <c r="ICJ299" s="11"/>
      <c r="ICK299" s="11"/>
      <c r="ICL299" s="11"/>
      <c r="ICM299" s="11"/>
      <c r="ICN299" s="11"/>
      <c r="ICO299" s="11"/>
      <c r="ICP299" s="11"/>
      <c r="ICQ299" s="11"/>
      <c r="ICR299" s="11"/>
      <c r="ICS299" s="11"/>
      <c r="ICT299" s="11"/>
      <c r="ICU299" s="11"/>
      <c r="ICV299" s="11"/>
      <c r="ICW299" s="11"/>
      <c r="ICX299" s="11"/>
      <c r="ICY299" s="11"/>
      <c r="ICZ299" s="11"/>
      <c r="IDA299" s="11"/>
      <c r="IDB299" s="11"/>
      <c r="IDC299" s="11"/>
      <c r="IDD299" s="11"/>
      <c r="IDE299" s="11"/>
      <c r="IDF299" s="11"/>
      <c r="IDG299" s="11"/>
      <c r="IDH299" s="11"/>
      <c r="IDI299" s="11"/>
      <c r="IDJ299" s="11"/>
      <c r="IDK299" s="11"/>
      <c r="IDL299" s="11"/>
      <c r="IDM299" s="11"/>
      <c r="IDN299" s="11"/>
      <c r="IDO299" s="11"/>
      <c r="IDP299" s="11"/>
      <c r="IDQ299" s="11"/>
      <c r="IDR299" s="11"/>
      <c r="IDS299" s="11"/>
      <c r="IDT299" s="11"/>
      <c r="IDU299" s="11"/>
      <c r="IDV299" s="11"/>
      <c r="IDW299" s="11"/>
      <c r="IDX299" s="11"/>
      <c r="IDY299" s="11"/>
      <c r="IDZ299" s="11"/>
      <c r="IEA299" s="11"/>
      <c r="IEB299" s="11"/>
      <c r="IEC299" s="11"/>
      <c r="IED299" s="11"/>
      <c r="IEE299" s="11"/>
      <c r="IEF299" s="11"/>
      <c r="IEG299" s="11"/>
      <c r="IEH299" s="11"/>
      <c r="IEI299" s="11"/>
      <c r="IEJ299" s="11"/>
      <c r="IEK299" s="11"/>
      <c r="IEL299" s="11"/>
      <c r="IEM299" s="11"/>
      <c r="IEN299" s="11"/>
      <c r="IEO299" s="11"/>
      <c r="IEP299" s="11"/>
      <c r="IEQ299" s="11"/>
      <c r="IER299" s="11"/>
      <c r="IES299" s="11"/>
      <c r="IET299" s="11"/>
      <c r="IEU299" s="11"/>
      <c r="IEV299" s="11"/>
      <c r="IEW299" s="11"/>
      <c r="IEX299" s="11"/>
      <c r="IEY299" s="11"/>
      <c r="IEZ299" s="11"/>
      <c r="IFA299" s="11"/>
      <c r="IFB299" s="11"/>
      <c r="IFC299" s="11"/>
      <c r="IFD299" s="11"/>
      <c r="IFE299" s="11"/>
      <c r="IFF299" s="11"/>
      <c r="IFG299" s="11"/>
      <c r="IFH299" s="11"/>
      <c r="IFI299" s="11"/>
      <c r="IFJ299" s="11"/>
      <c r="IFK299" s="11"/>
      <c r="IFL299" s="11"/>
      <c r="IFM299" s="11"/>
      <c r="IFN299" s="11"/>
      <c r="IFO299" s="11"/>
      <c r="IFP299" s="11"/>
      <c r="IFQ299" s="11"/>
      <c r="IFR299" s="11"/>
      <c r="IFS299" s="11"/>
      <c r="IFT299" s="11"/>
      <c r="IFU299" s="11"/>
      <c r="IFV299" s="11"/>
      <c r="IFW299" s="11"/>
      <c r="IFX299" s="11"/>
      <c r="IFY299" s="11"/>
      <c r="IFZ299" s="11"/>
      <c r="IGA299" s="11"/>
      <c r="IGB299" s="11"/>
      <c r="IGC299" s="11"/>
      <c r="IGD299" s="11"/>
      <c r="IGE299" s="11"/>
      <c r="IGF299" s="11"/>
      <c r="IGG299" s="11"/>
      <c r="IGH299" s="11"/>
      <c r="IGI299" s="11"/>
      <c r="IGJ299" s="11"/>
      <c r="IGK299" s="11"/>
      <c r="IGL299" s="11"/>
      <c r="IGM299" s="11"/>
      <c r="IGN299" s="11"/>
      <c r="IGO299" s="11"/>
      <c r="IGP299" s="11"/>
      <c r="IGQ299" s="11"/>
      <c r="IGR299" s="11"/>
      <c r="IGS299" s="11"/>
      <c r="IGT299" s="11"/>
      <c r="IGU299" s="11"/>
      <c r="IGV299" s="11"/>
      <c r="IGW299" s="11"/>
      <c r="IGX299" s="11"/>
      <c r="IGY299" s="11"/>
      <c r="IGZ299" s="11"/>
      <c r="IHA299" s="11"/>
      <c r="IHB299" s="11"/>
      <c r="IHC299" s="11"/>
      <c r="IHD299" s="11"/>
      <c r="IHE299" s="11"/>
      <c r="IHF299" s="11"/>
      <c r="IHG299" s="11"/>
      <c r="IHH299" s="11"/>
      <c r="IHI299" s="11"/>
      <c r="IHJ299" s="11"/>
      <c r="IHK299" s="11"/>
      <c r="IHL299" s="11"/>
      <c r="IHM299" s="11"/>
      <c r="IHN299" s="11"/>
      <c r="IHO299" s="11"/>
      <c r="IHP299" s="11"/>
      <c r="IHQ299" s="11"/>
      <c r="IHR299" s="11"/>
      <c r="IHS299" s="11"/>
      <c r="IHT299" s="11"/>
      <c r="IHU299" s="11"/>
      <c r="IHV299" s="11"/>
      <c r="IHW299" s="11"/>
      <c r="IHX299" s="11"/>
      <c r="IHY299" s="11"/>
      <c r="IHZ299" s="11"/>
      <c r="IIA299" s="11"/>
      <c r="IIB299" s="11"/>
      <c r="IIC299" s="11"/>
      <c r="IID299" s="11"/>
      <c r="IIE299" s="11"/>
      <c r="IIF299" s="11"/>
      <c r="IIG299" s="11"/>
      <c r="IIH299" s="11"/>
      <c r="III299" s="11"/>
      <c r="IIJ299" s="11"/>
      <c r="IIK299" s="11"/>
      <c r="IIL299" s="11"/>
      <c r="IIM299" s="11"/>
      <c r="IIN299" s="11"/>
      <c r="IIO299" s="11"/>
      <c r="IIP299" s="11"/>
      <c r="IIQ299" s="11"/>
      <c r="IIR299" s="11"/>
      <c r="IIS299" s="11"/>
      <c r="IIT299" s="11"/>
      <c r="IIU299" s="11"/>
      <c r="IIV299" s="11"/>
      <c r="IIW299" s="11"/>
      <c r="IIX299" s="11"/>
      <c r="IIY299" s="11"/>
      <c r="IIZ299" s="11"/>
      <c r="IJA299" s="11"/>
      <c r="IJB299" s="11"/>
      <c r="IJC299" s="11"/>
      <c r="IJD299" s="11"/>
      <c r="IJE299" s="11"/>
      <c r="IJF299" s="11"/>
      <c r="IJG299" s="11"/>
      <c r="IJH299" s="11"/>
      <c r="IJI299" s="11"/>
      <c r="IJJ299" s="11"/>
      <c r="IJK299" s="11"/>
      <c r="IJL299" s="11"/>
      <c r="IJM299" s="11"/>
      <c r="IJN299" s="11"/>
      <c r="IJO299" s="11"/>
      <c r="IJP299" s="11"/>
      <c r="IJQ299" s="11"/>
      <c r="IJR299" s="11"/>
      <c r="IJS299" s="11"/>
      <c r="IJT299" s="11"/>
      <c r="IJU299" s="11"/>
      <c r="IJV299" s="11"/>
      <c r="IJW299" s="11"/>
      <c r="IJX299" s="11"/>
      <c r="IJY299" s="11"/>
      <c r="IJZ299" s="11"/>
      <c r="IKA299" s="11"/>
      <c r="IKB299" s="11"/>
      <c r="IKC299" s="11"/>
      <c r="IKD299" s="11"/>
      <c r="IKE299" s="11"/>
      <c r="IKF299" s="11"/>
      <c r="IKG299" s="11"/>
      <c r="IKH299" s="11"/>
      <c r="IKI299" s="11"/>
      <c r="IKJ299" s="11"/>
      <c r="IKK299" s="11"/>
      <c r="IKL299" s="11"/>
      <c r="IKM299" s="11"/>
      <c r="IKN299" s="11"/>
      <c r="IKO299" s="11"/>
      <c r="IKP299" s="11"/>
      <c r="IKQ299" s="11"/>
      <c r="IKR299" s="11"/>
      <c r="IKS299" s="11"/>
      <c r="IKT299" s="11"/>
      <c r="IKU299" s="11"/>
      <c r="IKV299" s="11"/>
      <c r="IKW299" s="11"/>
      <c r="IKX299" s="11"/>
      <c r="IKY299" s="11"/>
      <c r="IKZ299" s="11"/>
      <c r="ILA299" s="11"/>
      <c r="ILB299" s="11"/>
      <c r="ILC299" s="11"/>
      <c r="ILD299" s="11"/>
      <c r="ILE299" s="11"/>
      <c r="ILF299" s="11"/>
      <c r="ILG299" s="11"/>
      <c r="ILH299" s="11"/>
      <c r="ILI299" s="11"/>
      <c r="ILJ299" s="11"/>
      <c r="ILK299" s="11"/>
      <c r="ILL299" s="11"/>
      <c r="ILM299" s="11"/>
      <c r="ILN299" s="11"/>
      <c r="ILO299" s="11"/>
      <c r="ILP299" s="11"/>
      <c r="ILQ299" s="11"/>
      <c r="ILR299" s="11"/>
      <c r="ILS299" s="11"/>
      <c r="ILT299" s="11"/>
      <c r="ILU299" s="11"/>
      <c r="ILV299" s="11"/>
      <c r="ILW299" s="11"/>
      <c r="ILX299" s="11"/>
      <c r="ILY299" s="11"/>
      <c r="ILZ299" s="11"/>
      <c r="IMA299" s="11"/>
      <c r="IMB299" s="11"/>
      <c r="IMC299" s="11"/>
      <c r="IMD299" s="11"/>
      <c r="IME299" s="11"/>
      <c r="IMF299" s="11"/>
      <c r="IMG299" s="11"/>
      <c r="IMH299" s="11"/>
      <c r="IMI299" s="11"/>
      <c r="IMJ299" s="11"/>
      <c r="IMK299" s="11"/>
      <c r="IML299" s="11"/>
      <c r="IMM299" s="11"/>
      <c r="IMN299" s="11"/>
      <c r="IMO299" s="11"/>
      <c r="IMP299" s="11"/>
      <c r="IMQ299" s="11"/>
      <c r="IMR299" s="11"/>
      <c r="IMS299" s="11"/>
      <c r="IMT299" s="11"/>
      <c r="IMU299" s="11"/>
      <c r="IMV299" s="11"/>
      <c r="IMW299" s="11"/>
      <c r="IMX299" s="11"/>
      <c r="IMY299" s="11"/>
      <c r="IMZ299" s="11"/>
      <c r="INA299" s="11"/>
      <c r="INB299" s="11"/>
      <c r="INC299" s="11"/>
      <c r="IND299" s="11"/>
      <c r="INE299" s="11"/>
      <c r="INF299" s="11"/>
      <c r="ING299" s="11"/>
      <c r="INH299" s="11"/>
      <c r="INI299" s="11"/>
      <c r="INJ299" s="11"/>
      <c r="INK299" s="11"/>
      <c r="INL299" s="11"/>
      <c r="INM299" s="11"/>
      <c r="INN299" s="11"/>
      <c r="INO299" s="11"/>
      <c r="INP299" s="11"/>
      <c r="INQ299" s="11"/>
      <c r="INR299" s="11"/>
      <c r="INS299" s="11"/>
      <c r="INT299" s="11"/>
      <c r="INU299" s="11"/>
      <c r="INV299" s="11"/>
      <c r="INW299" s="11"/>
      <c r="INX299" s="11"/>
      <c r="INY299" s="11"/>
      <c r="INZ299" s="11"/>
      <c r="IOA299" s="11"/>
      <c r="IOB299" s="11"/>
      <c r="IOC299" s="11"/>
      <c r="IOD299" s="11"/>
      <c r="IOE299" s="11"/>
      <c r="IOF299" s="11"/>
      <c r="IOG299" s="11"/>
      <c r="IOH299" s="11"/>
      <c r="IOI299" s="11"/>
      <c r="IOJ299" s="11"/>
      <c r="IOK299" s="11"/>
      <c r="IOL299" s="11"/>
      <c r="IOM299" s="11"/>
      <c r="ION299" s="11"/>
      <c r="IOO299" s="11"/>
      <c r="IOP299" s="11"/>
      <c r="IOQ299" s="11"/>
      <c r="IOR299" s="11"/>
      <c r="IOS299" s="11"/>
      <c r="IOT299" s="11"/>
      <c r="IOU299" s="11"/>
      <c r="IOV299" s="11"/>
      <c r="IOW299" s="11"/>
      <c r="IOX299" s="11"/>
      <c r="IOY299" s="11"/>
      <c r="IOZ299" s="11"/>
      <c r="IPA299" s="11"/>
      <c r="IPB299" s="11"/>
      <c r="IPC299" s="11"/>
      <c r="IPD299" s="11"/>
      <c r="IPE299" s="11"/>
      <c r="IPF299" s="11"/>
      <c r="IPG299" s="11"/>
      <c r="IPH299" s="11"/>
      <c r="IPI299" s="11"/>
      <c r="IPJ299" s="11"/>
      <c r="IPK299" s="11"/>
      <c r="IPL299" s="11"/>
      <c r="IPM299" s="11"/>
      <c r="IPN299" s="11"/>
      <c r="IPO299" s="11"/>
      <c r="IPP299" s="11"/>
      <c r="IPQ299" s="11"/>
      <c r="IPR299" s="11"/>
      <c r="IPS299" s="11"/>
      <c r="IPT299" s="11"/>
      <c r="IPU299" s="11"/>
      <c r="IPV299" s="11"/>
      <c r="IPW299" s="11"/>
      <c r="IPX299" s="11"/>
      <c r="IPY299" s="11"/>
      <c r="IPZ299" s="11"/>
      <c r="IQA299" s="11"/>
      <c r="IQB299" s="11"/>
      <c r="IQC299" s="11"/>
      <c r="IQD299" s="11"/>
      <c r="IQE299" s="11"/>
      <c r="IQF299" s="11"/>
      <c r="IQG299" s="11"/>
      <c r="IQH299" s="11"/>
      <c r="IQI299" s="11"/>
      <c r="IQJ299" s="11"/>
      <c r="IQK299" s="11"/>
      <c r="IQL299" s="11"/>
      <c r="IQM299" s="11"/>
      <c r="IQN299" s="11"/>
      <c r="IQO299" s="11"/>
      <c r="IQP299" s="11"/>
      <c r="IQQ299" s="11"/>
      <c r="IQR299" s="11"/>
      <c r="IQS299" s="11"/>
      <c r="IQT299" s="11"/>
      <c r="IQU299" s="11"/>
      <c r="IQV299" s="11"/>
      <c r="IQW299" s="11"/>
      <c r="IQX299" s="11"/>
      <c r="IQY299" s="11"/>
      <c r="IQZ299" s="11"/>
      <c r="IRA299" s="11"/>
      <c r="IRB299" s="11"/>
      <c r="IRC299" s="11"/>
      <c r="IRD299" s="11"/>
      <c r="IRE299" s="11"/>
      <c r="IRF299" s="11"/>
      <c r="IRG299" s="11"/>
      <c r="IRH299" s="11"/>
      <c r="IRI299" s="11"/>
      <c r="IRJ299" s="11"/>
      <c r="IRK299" s="11"/>
      <c r="IRL299" s="11"/>
      <c r="IRM299" s="11"/>
      <c r="IRN299" s="11"/>
      <c r="IRO299" s="11"/>
      <c r="IRP299" s="11"/>
      <c r="IRQ299" s="11"/>
      <c r="IRR299" s="11"/>
      <c r="IRS299" s="11"/>
      <c r="IRT299" s="11"/>
      <c r="IRU299" s="11"/>
      <c r="IRV299" s="11"/>
      <c r="IRW299" s="11"/>
      <c r="IRX299" s="11"/>
      <c r="IRY299" s="11"/>
      <c r="IRZ299" s="11"/>
      <c r="ISA299" s="11"/>
      <c r="ISB299" s="11"/>
      <c r="ISC299" s="11"/>
      <c r="ISD299" s="11"/>
      <c r="ISE299" s="11"/>
      <c r="ISF299" s="11"/>
      <c r="ISG299" s="11"/>
      <c r="ISH299" s="11"/>
      <c r="ISI299" s="11"/>
      <c r="ISJ299" s="11"/>
      <c r="ISK299" s="11"/>
      <c r="ISL299" s="11"/>
      <c r="ISM299" s="11"/>
      <c r="ISN299" s="11"/>
      <c r="ISO299" s="11"/>
      <c r="ISP299" s="11"/>
      <c r="ISQ299" s="11"/>
      <c r="ISR299" s="11"/>
      <c r="ISS299" s="11"/>
      <c r="IST299" s="11"/>
      <c r="ISU299" s="11"/>
      <c r="ISV299" s="11"/>
      <c r="ISW299" s="11"/>
      <c r="ISX299" s="11"/>
      <c r="ISY299" s="11"/>
      <c r="ISZ299" s="11"/>
      <c r="ITA299" s="11"/>
      <c r="ITB299" s="11"/>
      <c r="ITC299" s="11"/>
      <c r="ITD299" s="11"/>
      <c r="ITE299" s="11"/>
      <c r="ITF299" s="11"/>
      <c r="ITG299" s="11"/>
      <c r="ITH299" s="11"/>
      <c r="ITI299" s="11"/>
      <c r="ITJ299" s="11"/>
      <c r="ITK299" s="11"/>
      <c r="ITL299" s="11"/>
      <c r="ITM299" s="11"/>
      <c r="ITN299" s="11"/>
      <c r="ITO299" s="11"/>
      <c r="ITP299" s="11"/>
      <c r="ITQ299" s="11"/>
      <c r="ITR299" s="11"/>
      <c r="ITS299" s="11"/>
      <c r="ITT299" s="11"/>
      <c r="ITU299" s="11"/>
      <c r="ITV299" s="11"/>
      <c r="ITW299" s="11"/>
      <c r="ITX299" s="11"/>
      <c r="ITY299" s="11"/>
      <c r="ITZ299" s="11"/>
      <c r="IUA299" s="11"/>
      <c r="IUB299" s="11"/>
      <c r="IUC299" s="11"/>
      <c r="IUD299" s="11"/>
      <c r="IUE299" s="11"/>
      <c r="IUF299" s="11"/>
      <c r="IUG299" s="11"/>
      <c r="IUH299" s="11"/>
      <c r="IUI299" s="11"/>
      <c r="IUJ299" s="11"/>
      <c r="IUK299" s="11"/>
      <c r="IUL299" s="11"/>
      <c r="IUM299" s="11"/>
      <c r="IUN299" s="11"/>
      <c r="IUO299" s="11"/>
      <c r="IUP299" s="11"/>
      <c r="IUQ299" s="11"/>
      <c r="IUR299" s="11"/>
      <c r="IUS299" s="11"/>
      <c r="IUT299" s="11"/>
      <c r="IUU299" s="11"/>
      <c r="IUV299" s="11"/>
      <c r="IUW299" s="11"/>
      <c r="IUX299" s="11"/>
      <c r="IUY299" s="11"/>
      <c r="IUZ299" s="11"/>
      <c r="IVA299" s="11"/>
      <c r="IVB299" s="11"/>
      <c r="IVC299" s="11"/>
      <c r="IVD299" s="11"/>
      <c r="IVE299" s="11"/>
      <c r="IVF299" s="11"/>
      <c r="IVG299" s="11"/>
      <c r="IVH299" s="11"/>
      <c r="IVI299" s="11"/>
      <c r="IVJ299" s="11"/>
      <c r="IVK299" s="11"/>
      <c r="IVL299" s="11"/>
      <c r="IVM299" s="11"/>
      <c r="IVN299" s="11"/>
      <c r="IVO299" s="11"/>
      <c r="IVP299" s="11"/>
      <c r="IVQ299" s="11"/>
      <c r="IVR299" s="11"/>
      <c r="IVS299" s="11"/>
      <c r="IVT299" s="11"/>
      <c r="IVU299" s="11"/>
      <c r="IVV299" s="11"/>
      <c r="IVW299" s="11"/>
      <c r="IVX299" s="11"/>
      <c r="IVY299" s="11"/>
      <c r="IVZ299" s="11"/>
      <c r="IWA299" s="11"/>
      <c r="IWB299" s="11"/>
      <c r="IWC299" s="11"/>
      <c r="IWD299" s="11"/>
      <c r="IWE299" s="11"/>
      <c r="IWF299" s="11"/>
      <c r="IWG299" s="11"/>
      <c r="IWH299" s="11"/>
      <c r="IWI299" s="11"/>
      <c r="IWJ299" s="11"/>
      <c r="IWK299" s="11"/>
      <c r="IWL299" s="11"/>
      <c r="IWM299" s="11"/>
      <c r="IWN299" s="11"/>
      <c r="IWO299" s="11"/>
      <c r="IWP299" s="11"/>
      <c r="IWQ299" s="11"/>
      <c r="IWR299" s="11"/>
      <c r="IWS299" s="11"/>
      <c r="IWT299" s="11"/>
      <c r="IWU299" s="11"/>
      <c r="IWV299" s="11"/>
      <c r="IWW299" s="11"/>
      <c r="IWX299" s="11"/>
      <c r="IWY299" s="11"/>
      <c r="IWZ299" s="11"/>
      <c r="IXA299" s="11"/>
      <c r="IXB299" s="11"/>
      <c r="IXC299" s="11"/>
      <c r="IXD299" s="11"/>
      <c r="IXE299" s="11"/>
      <c r="IXF299" s="11"/>
      <c r="IXG299" s="11"/>
      <c r="IXH299" s="11"/>
      <c r="IXI299" s="11"/>
      <c r="IXJ299" s="11"/>
      <c r="IXK299" s="11"/>
      <c r="IXL299" s="11"/>
      <c r="IXM299" s="11"/>
      <c r="IXN299" s="11"/>
      <c r="IXO299" s="11"/>
      <c r="IXP299" s="11"/>
      <c r="IXQ299" s="11"/>
      <c r="IXR299" s="11"/>
      <c r="IXS299" s="11"/>
      <c r="IXT299" s="11"/>
      <c r="IXU299" s="11"/>
      <c r="IXV299" s="11"/>
      <c r="IXW299" s="11"/>
      <c r="IXX299" s="11"/>
      <c r="IXY299" s="11"/>
      <c r="IXZ299" s="11"/>
      <c r="IYA299" s="11"/>
      <c r="IYB299" s="11"/>
      <c r="IYC299" s="11"/>
      <c r="IYD299" s="11"/>
      <c r="IYE299" s="11"/>
      <c r="IYF299" s="11"/>
      <c r="IYG299" s="11"/>
      <c r="IYH299" s="11"/>
      <c r="IYI299" s="11"/>
      <c r="IYJ299" s="11"/>
      <c r="IYK299" s="11"/>
      <c r="IYL299" s="11"/>
      <c r="IYM299" s="11"/>
      <c r="IYN299" s="11"/>
      <c r="IYO299" s="11"/>
      <c r="IYP299" s="11"/>
      <c r="IYQ299" s="11"/>
      <c r="IYR299" s="11"/>
      <c r="IYS299" s="11"/>
      <c r="IYT299" s="11"/>
      <c r="IYU299" s="11"/>
      <c r="IYV299" s="11"/>
      <c r="IYW299" s="11"/>
      <c r="IYX299" s="11"/>
      <c r="IYY299" s="11"/>
      <c r="IYZ299" s="11"/>
      <c r="IZA299" s="11"/>
      <c r="IZB299" s="11"/>
      <c r="IZC299" s="11"/>
      <c r="IZD299" s="11"/>
      <c r="IZE299" s="11"/>
      <c r="IZF299" s="11"/>
      <c r="IZG299" s="11"/>
      <c r="IZH299" s="11"/>
      <c r="IZI299" s="11"/>
      <c r="IZJ299" s="11"/>
      <c r="IZK299" s="11"/>
      <c r="IZL299" s="11"/>
      <c r="IZM299" s="11"/>
      <c r="IZN299" s="11"/>
      <c r="IZO299" s="11"/>
      <c r="IZP299" s="11"/>
      <c r="IZQ299" s="11"/>
      <c r="IZR299" s="11"/>
      <c r="IZS299" s="11"/>
      <c r="IZT299" s="11"/>
      <c r="IZU299" s="11"/>
      <c r="IZV299" s="11"/>
      <c r="IZW299" s="11"/>
      <c r="IZX299" s="11"/>
      <c r="IZY299" s="11"/>
      <c r="IZZ299" s="11"/>
      <c r="JAA299" s="11"/>
      <c r="JAB299" s="11"/>
      <c r="JAC299" s="11"/>
      <c r="JAD299" s="11"/>
      <c r="JAE299" s="11"/>
      <c r="JAF299" s="11"/>
      <c r="JAG299" s="11"/>
      <c r="JAH299" s="11"/>
      <c r="JAI299" s="11"/>
      <c r="JAJ299" s="11"/>
      <c r="JAK299" s="11"/>
      <c r="JAL299" s="11"/>
      <c r="JAM299" s="11"/>
      <c r="JAN299" s="11"/>
      <c r="JAO299" s="11"/>
      <c r="JAP299" s="11"/>
      <c r="JAQ299" s="11"/>
      <c r="JAR299" s="11"/>
      <c r="JAS299" s="11"/>
      <c r="JAT299" s="11"/>
      <c r="JAU299" s="11"/>
      <c r="JAV299" s="11"/>
      <c r="JAW299" s="11"/>
      <c r="JAX299" s="11"/>
      <c r="JAY299" s="11"/>
      <c r="JAZ299" s="11"/>
      <c r="JBA299" s="11"/>
      <c r="JBB299" s="11"/>
      <c r="JBC299" s="11"/>
      <c r="JBD299" s="11"/>
      <c r="JBE299" s="11"/>
      <c r="JBF299" s="11"/>
      <c r="JBG299" s="11"/>
      <c r="JBH299" s="11"/>
      <c r="JBI299" s="11"/>
      <c r="JBJ299" s="11"/>
      <c r="JBK299" s="11"/>
      <c r="JBL299" s="11"/>
      <c r="JBM299" s="11"/>
      <c r="JBN299" s="11"/>
      <c r="JBO299" s="11"/>
      <c r="JBP299" s="11"/>
      <c r="JBQ299" s="11"/>
      <c r="JBR299" s="11"/>
      <c r="JBS299" s="11"/>
      <c r="JBT299" s="11"/>
      <c r="JBU299" s="11"/>
      <c r="JBV299" s="11"/>
      <c r="JBW299" s="11"/>
      <c r="JBX299" s="11"/>
      <c r="JBY299" s="11"/>
      <c r="JBZ299" s="11"/>
      <c r="JCA299" s="11"/>
      <c r="JCB299" s="11"/>
      <c r="JCC299" s="11"/>
      <c r="JCD299" s="11"/>
      <c r="JCE299" s="11"/>
      <c r="JCF299" s="11"/>
      <c r="JCG299" s="11"/>
      <c r="JCH299" s="11"/>
      <c r="JCI299" s="11"/>
      <c r="JCJ299" s="11"/>
      <c r="JCK299" s="11"/>
      <c r="JCL299" s="11"/>
      <c r="JCM299" s="11"/>
      <c r="JCN299" s="11"/>
      <c r="JCO299" s="11"/>
      <c r="JCP299" s="11"/>
      <c r="JCQ299" s="11"/>
      <c r="JCR299" s="11"/>
      <c r="JCS299" s="11"/>
      <c r="JCT299" s="11"/>
      <c r="JCU299" s="11"/>
      <c r="JCV299" s="11"/>
      <c r="JCW299" s="11"/>
      <c r="JCX299" s="11"/>
      <c r="JCY299" s="11"/>
      <c r="JCZ299" s="11"/>
      <c r="JDA299" s="11"/>
      <c r="JDB299" s="11"/>
      <c r="JDC299" s="11"/>
      <c r="JDD299" s="11"/>
      <c r="JDE299" s="11"/>
      <c r="JDF299" s="11"/>
      <c r="JDG299" s="11"/>
      <c r="JDH299" s="11"/>
      <c r="JDI299" s="11"/>
      <c r="JDJ299" s="11"/>
      <c r="JDK299" s="11"/>
      <c r="JDL299" s="11"/>
      <c r="JDM299" s="11"/>
      <c r="JDN299" s="11"/>
      <c r="JDO299" s="11"/>
      <c r="JDP299" s="11"/>
      <c r="JDQ299" s="11"/>
      <c r="JDR299" s="11"/>
      <c r="JDS299" s="11"/>
      <c r="JDT299" s="11"/>
      <c r="JDU299" s="11"/>
      <c r="JDV299" s="11"/>
      <c r="JDW299" s="11"/>
      <c r="JDX299" s="11"/>
      <c r="JDY299" s="11"/>
      <c r="JDZ299" s="11"/>
      <c r="JEA299" s="11"/>
      <c r="JEB299" s="11"/>
      <c r="JEC299" s="11"/>
      <c r="JED299" s="11"/>
      <c r="JEE299" s="11"/>
      <c r="JEF299" s="11"/>
      <c r="JEG299" s="11"/>
      <c r="JEH299" s="11"/>
      <c r="JEI299" s="11"/>
      <c r="JEJ299" s="11"/>
      <c r="JEK299" s="11"/>
      <c r="JEL299" s="11"/>
      <c r="JEM299" s="11"/>
      <c r="JEN299" s="11"/>
      <c r="JEO299" s="11"/>
      <c r="JEP299" s="11"/>
      <c r="JEQ299" s="11"/>
      <c r="JER299" s="11"/>
      <c r="JES299" s="11"/>
      <c r="JET299" s="11"/>
      <c r="JEU299" s="11"/>
      <c r="JEV299" s="11"/>
      <c r="JEW299" s="11"/>
      <c r="JEX299" s="11"/>
      <c r="JEY299" s="11"/>
      <c r="JEZ299" s="11"/>
      <c r="JFA299" s="11"/>
      <c r="JFB299" s="11"/>
      <c r="JFC299" s="11"/>
      <c r="JFD299" s="11"/>
      <c r="JFE299" s="11"/>
      <c r="JFF299" s="11"/>
      <c r="JFG299" s="11"/>
      <c r="JFH299" s="11"/>
      <c r="JFI299" s="11"/>
      <c r="JFJ299" s="11"/>
      <c r="JFK299" s="11"/>
      <c r="JFL299" s="11"/>
      <c r="JFM299" s="11"/>
      <c r="JFN299" s="11"/>
      <c r="JFO299" s="11"/>
      <c r="JFP299" s="11"/>
      <c r="JFQ299" s="11"/>
      <c r="JFR299" s="11"/>
      <c r="JFS299" s="11"/>
      <c r="JFT299" s="11"/>
      <c r="JFU299" s="11"/>
      <c r="JFV299" s="11"/>
      <c r="JFW299" s="11"/>
      <c r="JFX299" s="11"/>
      <c r="JFY299" s="11"/>
      <c r="JFZ299" s="11"/>
      <c r="JGA299" s="11"/>
      <c r="JGB299" s="11"/>
      <c r="JGC299" s="11"/>
      <c r="JGD299" s="11"/>
      <c r="JGE299" s="11"/>
      <c r="JGF299" s="11"/>
      <c r="JGG299" s="11"/>
      <c r="JGH299" s="11"/>
      <c r="JGI299" s="11"/>
      <c r="JGJ299" s="11"/>
      <c r="JGK299" s="11"/>
      <c r="JGL299" s="11"/>
      <c r="JGM299" s="11"/>
      <c r="JGN299" s="11"/>
      <c r="JGO299" s="11"/>
      <c r="JGP299" s="11"/>
      <c r="JGQ299" s="11"/>
      <c r="JGR299" s="11"/>
      <c r="JGS299" s="11"/>
      <c r="JGT299" s="11"/>
      <c r="JGU299" s="11"/>
      <c r="JGV299" s="11"/>
      <c r="JGW299" s="11"/>
      <c r="JGX299" s="11"/>
      <c r="JGY299" s="11"/>
      <c r="JGZ299" s="11"/>
      <c r="JHA299" s="11"/>
      <c r="JHB299" s="11"/>
      <c r="JHC299" s="11"/>
      <c r="JHD299" s="11"/>
      <c r="JHE299" s="11"/>
      <c r="JHF299" s="11"/>
      <c r="JHG299" s="11"/>
      <c r="JHH299" s="11"/>
      <c r="JHI299" s="11"/>
      <c r="JHJ299" s="11"/>
      <c r="JHK299" s="11"/>
      <c r="JHL299" s="11"/>
      <c r="JHM299" s="11"/>
      <c r="JHN299" s="11"/>
      <c r="JHO299" s="11"/>
      <c r="JHP299" s="11"/>
      <c r="JHQ299" s="11"/>
      <c r="JHR299" s="11"/>
      <c r="JHS299" s="11"/>
      <c r="JHT299" s="11"/>
      <c r="JHU299" s="11"/>
      <c r="JHV299" s="11"/>
      <c r="JHW299" s="11"/>
      <c r="JHX299" s="11"/>
      <c r="JHY299" s="11"/>
      <c r="JHZ299" s="11"/>
      <c r="JIA299" s="11"/>
      <c r="JIB299" s="11"/>
      <c r="JIC299" s="11"/>
      <c r="JID299" s="11"/>
      <c r="JIE299" s="11"/>
      <c r="JIF299" s="11"/>
      <c r="JIG299" s="11"/>
      <c r="JIH299" s="11"/>
      <c r="JII299" s="11"/>
      <c r="JIJ299" s="11"/>
      <c r="JIK299" s="11"/>
      <c r="JIL299" s="11"/>
      <c r="JIM299" s="11"/>
      <c r="JIN299" s="11"/>
      <c r="JIO299" s="11"/>
      <c r="JIP299" s="11"/>
      <c r="JIQ299" s="11"/>
      <c r="JIR299" s="11"/>
      <c r="JIS299" s="11"/>
      <c r="JIT299" s="11"/>
      <c r="JIU299" s="11"/>
      <c r="JIV299" s="11"/>
      <c r="JIW299" s="11"/>
      <c r="JIX299" s="11"/>
      <c r="JIY299" s="11"/>
      <c r="JIZ299" s="11"/>
      <c r="JJA299" s="11"/>
      <c r="JJB299" s="11"/>
      <c r="JJC299" s="11"/>
      <c r="JJD299" s="11"/>
      <c r="JJE299" s="11"/>
      <c r="JJF299" s="11"/>
      <c r="JJG299" s="11"/>
      <c r="JJH299" s="11"/>
      <c r="JJI299" s="11"/>
      <c r="JJJ299" s="11"/>
      <c r="JJK299" s="11"/>
      <c r="JJL299" s="11"/>
      <c r="JJM299" s="11"/>
      <c r="JJN299" s="11"/>
      <c r="JJO299" s="11"/>
      <c r="JJP299" s="11"/>
      <c r="JJQ299" s="11"/>
      <c r="JJR299" s="11"/>
      <c r="JJS299" s="11"/>
      <c r="JJT299" s="11"/>
      <c r="JJU299" s="11"/>
      <c r="JJV299" s="11"/>
      <c r="JJW299" s="11"/>
      <c r="JJX299" s="11"/>
      <c r="JJY299" s="11"/>
      <c r="JJZ299" s="11"/>
      <c r="JKA299" s="11"/>
      <c r="JKB299" s="11"/>
      <c r="JKC299" s="11"/>
      <c r="JKD299" s="11"/>
      <c r="JKE299" s="11"/>
      <c r="JKF299" s="11"/>
      <c r="JKG299" s="11"/>
      <c r="JKH299" s="11"/>
      <c r="JKI299" s="11"/>
      <c r="JKJ299" s="11"/>
      <c r="JKK299" s="11"/>
      <c r="JKL299" s="11"/>
      <c r="JKM299" s="11"/>
      <c r="JKN299" s="11"/>
      <c r="JKO299" s="11"/>
      <c r="JKP299" s="11"/>
      <c r="JKQ299" s="11"/>
      <c r="JKR299" s="11"/>
      <c r="JKS299" s="11"/>
      <c r="JKT299" s="11"/>
      <c r="JKU299" s="11"/>
      <c r="JKV299" s="11"/>
      <c r="JKW299" s="11"/>
      <c r="JKX299" s="11"/>
      <c r="JKY299" s="11"/>
      <c r="JKZ299" s="11"/>
      <c r="JLA299" s="11"/>
      <c r="JLB299" s="11"/>
      <c r="JLC299" s="11"/>
      <c r="JLD299" s="11"/>
      <c r="JLE299" s="11"/>
      <c r="JLF299" s="11"/>
      <c r="JLG299" s="11"/>
      <c r="JLH299" s="11"/>
      <c r="JLI299" s="11"/>
      <c r="JLJ299" s="11"/>
      <c r="JLK299" s="11"/>
      <c r="JLL299" s="11"/>
      <c r="JLM299" s="11"/>
      <c r="JLN299" s="11"/>
      <c r="JLO299" s="11"/>
      <c r="JLP299" s="11"/>
      <c r="JLQ299" s="11"/>
      <c r="JLR299" s="11"/>
      <c r="JLS299" s="11"/>
      <c r="JLT299" s="11"/>
      <c r="JLU299" s="11"/>
      <c r="JLV299" s="11"/>
      <c r="JLW299" s="11"/>
      <c r="JLX299" s="11"/>
      <c r="JLY299" s="11"/>
      <c r="JLZ299" s="11"/>
      <c r="JMA299" s="11"/>
      <c r="JMB299" s="11"/>
      <c r="JMC299" s="11"/>
      <c r="JMD299" s="11"/>
      <c r="JME299" s="11"/>
      <c r="JMF299" s="11"/>
      <c r="JMG299" s="11"/>
      <c r="JMH299" s="11"/>
      <c r="JMI299" s="11"/>
      <c r="JMJ299" s="11"/>
      <c r="JMK299" s="11"/>
      <c r="JML299" s="11"/>
      <c r="JMM299" s="11"/>
      <c r="JMN299" s="11"/>
      <c r="JMO299" s="11"/>
      <c r="JMP299" s="11"/>
      <c r="JMQ299" s="11"/>
      <c r="JMR299" s="11"/>
      <c r="JMS299" s="11"/>
      <c r="JMT299" s="11"/>
      <c r="JMU299" s="11"/>
      <c r="JMV299" s="11"/>
      <c r="JMW299" s="11"/>
      <c r="JMX299" s="11"/>
      <c r="JMY299" s="11"/>
      <c r="JMZ299" s="11"/>
      <c r="JNA299" s="11"/>
      <c r="JNB299" s="11"/>
      <c r="JNC299" s="11"/>
      <c r="JND299" s="11"/>
      <c r="JNE299" s="11"/>
      <c r="JNF299" s="11"/>
      <c r="JNG299" s="11"/>
      <c r="JNH299" s="11"/>
      <c r="JNI299" s="11"/>
      <c r="JNJ299" s="11"/>
      <c r="JNK299" s="11"/>
      <c r="JNL299" s="11"/>
      <c r="JNM299" s="11"/>
      <c r="JNN299" s="11"/>
      <c r="JNO299" s="11"/>
      <c r="JNP299" s="11"/>
      <c r="JNQ299" s="11"/>
      <c r="JNR299" s="11"/>
      <c r="JNS299" s="11"/>
      <c r="JNT299" s="11"/>
      <c r="JNU299" s="11"/>
      <c r="JNV299" s="11"/>
      <c r="JNW299" s="11"/>
      <c r="JNX299" s="11"/>
      <c r="JNY299" s="11"/>
      <c r="JNZ299" s="11"/>
      <c r="JOA299" s="11"/>
      <c r="JOB299" s="11"/>
      <c r="JOC299" s="11"/>
      <c r="JOD299" s="11"/>
      <c r="JOE299" s="11"/>
      <c r="JOF299" s="11"/>
      <c r="JOG299" s="11"/>
      <c r="JOH299" s="11"/>
      <c r="JOI299" s="11"/>
      <c r="JOJ299" s="11"/>
      <c r="JOK299" s="11"/>
      <c r="JOL299" s="11"/>
      <c r="JOM299" s="11"/>
      <c r="JON299" s="11"/>
      <c r="JOO299" s="11"/>
      <c r="JOP299" s="11"/>
      <c r="JOQ299" s="11"/>
      <c r="JOR299" s="11"/>
      <c r="JOS299" s="11"/>
      <c r="JOT299" s="11"/>
      <c r="JOU299" s="11"/>
      <c r="JOV299" s="11"/>
      <c r="JOW299" s="11"/>
      <c r="JOX299" s="11"/>
      <c r="JOY299" s="11"/>
      <c r="JOZ299" s="11"/>
      <c r="JPA299" s="11"/>
      <c r="JPB299" s="11"/>
      <c r="JPC299" s="11"/>
      <c r="JPD299" s="11"/>
      <c r="JPE299" s="11"/>
      <c r="JPF299" s="11"/>
      <c r="JPG299" s="11"/>
      <c r="JPH299" s="11"/>
      <c r="JPI299" s="11"/>
      <c r="JPJ299" s="11"/>
      <c r="JPK299" s="11"/>
      <c r="JPL299" s="11"/>
      <c r="JPM299" s="11"/>
      <c r="JPN299" s="11"/>
      <c r="JPO299" s="11"/>
      <c r="JPP299" s="11"/>
      <c r="JPQ299" s="11"/>
      <c r="JPR299" s="11"/>
      <c r="JPS299" s="11"/>
      <c r="JPT299" s="11"/>
      <c r="JPU299" s="11"/>
      <c r="JPV299" s="11"/>
      <c r="JPW299" s="11"/>
      <c r="JPX299" s="11"/>
      <c r="JPY299" s="11"/>
      <c r="JPZ299" s="11"/>
      <c r="JQA299" s="11"/>
      <c r="JQB299" s="11"/>
      <c r="JQC299" s="11"/>
      <c r="JQD299" s="11"/>
      <c r="JQE299" s="11"/>
      <c r="JQF299" s="11"/>
      <c r="JQG299" s="11"/>
      <c r="JQH299" s="11"/>
      <c r="JQI299" s="11"/>
      <c r="JQJ299" s="11"/>
      <c r="JQK299" s="11"/>
      <c r="JQL299" s="11"/>
      <c r="JQM299" s="11"/>
      <c r="JQN299" s="11"/>
      <c r="JQO299" s="11"/>
      <c r="JQP299" s="11"/>
      <c r="JQQ299" s="11"/>
      <c r="JQR299" s="11"/>
      <c r="JQS299" s="11"/>
      <c r="JQT299" s="11"/>
      <c r="JQU299" s="11"/>
      <c r="JQV299" s="11"/>
      <c r="JQW299" s="11"/>
      <c r="JQX299" s="11"/>
      <c r="JQY299" s="11"/>
      <c r="JQZ299" s="11"/>
      <c r="JRA299" s="11"/>
      <c r="JRB299" s="11"/>
      <c r="JRC299" s="11"/>
      <c r="JRD299" s="11"/>
      <c r="JRE299" s="11"/>
      <c r="JRF299" s="11"/>
      <c r="JRG299" s="11"/>
      <c r="JRH299" s="11"/>
      <c r="JRI299" s="11"/>
      <c r="JRJ299" s="11"/>
      <c r="JRK299" s="11"/>
      <c r="JRL299" s="11"/>
      <c r="JRM299" s="11"/>
      <c r="JRN299" s="11"/>
      <c r="JRO299" s="11"/>
      <c r="JRP299" s="11"/>
      <c r="JRQ299" s="11"/>
      <c r="JRR299" s="11"/>
      <c r="JRS299" s="11"/>
      <c r="JRT299" s="11"/>
      <c r="JRU299" s="11"/>
      <c r="JRV299" s="11"/>
      <c r="JRW299" s="11"/>
      <c r="JRX299" s="11"/>
      <c r="JRY299" s="11"/>
      <c r="JRZ299" s="11"/>
      <c r="JSA299" s="11"/>
      <c r="JSB299" s="11"/>
      <c r="JSC299" s="11"/>
      <c r="JSD299" s="11"/>
      <c r="JSE299" s="11"/>
      <c r="JSF299" s="11"/>
      <c r="JSG299" s="11"/>
      <c r="JSH299" s="11"/>
      <c r="JSI299" s="11"/>
      <c r="JSJ299" s="11"/>
      <c r="JSK299" s="11"/>
      <c r="JSL299" s="11"/>
      <c r="JSM299" s="11"/>
      <c r="JSN299" s="11"/>
      <c r="JSO299" s="11"/>
      <c r="JSP299" s="11"/>
      <c r="JSQ299" s="11"/>
      <c r="JSR299" s="11"/>
      <c r="JSS299" s="11"/>
      <c r="JST299" s="11"/>
      <c r="JSU299" s="11"/>
      <c r="JSV299" s="11"/>
      <c r="JSW299" s="11"/>
      <c r="JSX299" s="11"/>
      <c r="JSY299" s="11"/>
      <c r="JSZ299" s="11"/>
      <c r="JTA299" s="11"/>
      <c r="JTB299" s="11"/>
      <c r="JTC299" s="11"/>
      <c r="JTD299" s="11"/>
      <c r="JTE299" s="11"/>
      <c r="JTF299" s="11"/>
      <c r="JTG299" s="11"/>
      <c r="JTH299" s="11"/>
      <c r="JTI299" s="11"/>
      <c r="JTJ299" s="11"/>
      <c r="JTK299" s="11"/>
      <c r="JTL299" s="11"/>
      <c r="JTM299" s="11"/>
      <c r="JTN299" s="11"/>
      <c r="JTO299" s="11"/>
      <c r="JTP299" s="11"/>
      <c r="JTQ299" s="11"/>
      <c r="JTR299" s="11"/>
      <c r="JTS299" s="11"/>
      <c r="JTT299" s="11"/>
      <c r="JTU299" s="11"/>
      <c r="JTV299" s="11"/>
      <c r="JTW299" s="11"/>
      <c r="JTX299" s="11"/>
      <c r="JTY299" s="11"/>
      <c r="JTZ299" s="11"/>
      <c r="JUA299" s="11"/>
      <c r="JUB299" s="11"/>
      <c r="JUC299" s="11"/>
      <c r="JUD299" s="11"/>
      <c r="JUE299" s="11"/>
      <c r="JUF299" s="11"/>
      <c r="JUG299" s="11"/>
      <c r="JUH299" s="11"/>
      <c r="JUI299" s="11"/>
      <c r="JUJ299" s="11"/>
      <c r="JUK299" s="11"/>
      <c r="JUL299" s="11"/>
      <c r="JUM299" s="11"/>
      <c r="JUN299" s="11"/>
      <c r="JUO299" s="11"/>
      <c r="JUP299" s="11"/>
      <c r="JUQ299" s="11"/>
      <c r="JUR299" s="11"/>
      <c r="JUS299" s="11"/>
      <c r="JUT299" s="11"/>
      <c r="JUU299" s="11"/>
      <c r="JUV299" s="11"/>
      <c r="JUW299" s="11"/>
      <c r="JUX299" s="11"/>
      <c r="JUY299" s="11"/>
      <c r="JUZ299" s="11"/>
      <c r="JVA299" s="11"/>
      <c r="JVB299" s="11"/>
      <c r="JVC299" s="11"/>
      <c r="JVD299" s="11"/>
      <c r="JVE299" s="11"/>
      <c r="JVF299" s="11"/>
      <c r="JVG299" s="11"/>
      <c r="JVH299" s="11"/>
      <c r="JVI299" s="11"/>
      <c r="JVJ299" s="11"/>
      <c r="JVK299" s="11"/>
      <c r="JVL299" s="11"/>
      <c r="JVM299" s="11"/>
      <c r="JVN299" s="11"/>
      <c r="JVO299" s="11"/>
      <c r="JVP299" s="11"/>
      <c r="JVQ299" s="11"/>
      <c r="JVR299" s="11"/>
      <c r="JVS299" s="11"/>
      <c r="JVT299" s="11"/>
      <c r="JVU299" s="11"/>
      <c r="JVV299" s="11"/>
      <c r="JVW299" s="11"/>
      <c r="JVX299" s="11"/>
      <c r="JVY299" s="11"/>
      <c r="JVZ299" s="11"/>
      <c r="JWA299" s="11"/>
      <c r="JWB299" s="11"/>
      <c r="JWC299" s="11"/>
      <c r="JWD299" s="11"/>
      <c r="JWE299" s="11"/>
      <c r="JWF299" s="11"/>
      <c r="JWG299" s="11"/>
      <c r="JWH299" s="11"/>
      <c r="JWI299" s="11"/>
      <c r="JWJ299" s="11"/>
      <c r="JWK299" s="11"/>
      <c r="JWL299" s="11"/>
      <c r="JWM299" s="11"/>
      <c r="JWN299" s="11"/>
      <c r="JWO299" s="11"/>
      <c r="JWP299" s="11"/>
      <c r="JWQ299" s="11"/>
      <c r="JWR299" s="11"/>
      <c r="JWS299" s="11"/>
      <c r="JWT299" s="11"/>
      <c r="JWU299" s="11"/>
      <c r="JWV299" s="11"/>
      <c r="JWW299" s="11"/>
      <c r="JWX299" s="11"/>
      <c r="JWY299" s="11"/>
      <c r="JWZ299" s="11"/>
      <c r="JXA299" s="11"/>
      <c r="JXB299" s="11"/>
      <c r="JXC299" s="11"/>
      <c r="JXD299" s="11"/>
      <c r="JXE299" s="11"/>
      <c r="JXF299" s="11"/>
      <c r="JXG299" s="11"/>
      <c r="JXH299" s="11"/>
      <c r="JXI299" s="11"/>
      <c r="JXJ299" s="11"/>
      <c r="JXK299" s="11"/>
      <c r="JXL299" s="11"/>
      <c r="JXM299" s="11"/>
      <c r="JXN299" s="11"/>
      <c r="JXO299" s="11"/>
      <c r="JXP299" s="11"/>
      <c r="JXQ299" s="11"/>
      <c r="JXR299" s="11"/>
      <c r="JXS299" s="11"/>
      <c r="JXT299" s="11"/>
      <c r="JXU299" s="11"/>
      <c r="JXV299" s="11"/>
      <c r="JXW299" s="11"/>
      <c r="JXX299" s="11"/>
      <c r="JXY299" s="11"/>
      <c r="JXZ299" s="11"/>
      <c r="JYA299" s="11"/>
      <c r="JYB299" s="11"/>
      <c r="JYC299" s="11"/>
      <c r="JYD299" s="11"/>
      <c r="JYE299" s="11"/>
      <c r="JYF299" s="11"/>
      <c r="JYG299" s="11"/>
      <c r="JYH299" s="11"/>
      <c r="JYI299" s="11"/>
      <c r="JYJ299" s="11"/>
      <c r="JYK299" s="11"/>
      <c r="JYL299" s="11"/>
      <c r="JYM299" s="11"/>
      <c r="JYN299" s="11"/>
      <c r="JYO299" s="11"/>
      <c r="JYP299" s="11"/>
      <c r="JYQ299" s="11"/>
      <c r="JYR299" s="11"/>
      <c r="JYS299" s="11"/>
      <c r="JYT299" s="11"/>
      <c r="JYU299" s="11"/>
      <c r="JYV299" s="11"/>
      <c r="JYW299" s="11"/>
      <c r="JYX299" s="11"/>
      <c r="JYY299" s="11"/>
      <c r="JYZ299" s="11"/>
      <c r="JZA299" s="11"/>
      <c r="JZB299" s="11"/>
      <c r="JZC299" s="11"/>
      <c r="JZD299" s="11"/>
      <c r="JZE299" s="11"/>
      <c r="JZF299" s="11"/>
      <c r="JZG299" s="11"/>
      <c r="JZH299" s="11"/>
      <c r="JZI299" s="11"/>
      <c r="JZJ299" s="11"/>
      <c r="JZK299" s="11"/>
      <c r="JZL299" s="11"/>
      <c r="JZM299" s="11"/>
      <c r="JZN299" s="11"/>
      <c r="JZO299" s="11"/>
      <c r="JZP299" s="11"/>
      <c r="JZQ299" s="11"/>
      <c r="JZR299" s="11"/>
      <c r="JZS299" s="11"/>
      <c r="JZT299" s="11"/>
      <c r="JZU299" s="11"/>
      <c r="JZV299" s="11"/>
      <c r="JZW299" s="11"/>
      <c r="JZX299" s="11"/>
      <c r="JZY299" s="11"/>
      <c r="JZZ299" s="11"/>
      <c r="KAA299" s="11"/>
      <c r="KAB299" s="11"/>
      <c r="KAC299" s="11"/>
      <c r="KAD299" s="11"/>
      <c r="KAE299" s="11"/>
      <c r="KAF299" s="11"/>
      <c r="KAG299" s="11"/>
      <c r="KAH299" s="11"/>
      <c r="KAI299" s="11"/>
      <c r="KAJ299" s="11"/>
      <c r="KAK299" s="11"/>
      <c r="KAL299" s="11"/>
      <c r="KAM299" s="11"/>
      <c r="KAN299" s="11"/>
      <c r="KAO299" s="11"/>
      <c r="KAP299" s="11"/>
      <c r="KAQ299" s="11"/>
      <c r="KAR299" s="11"/>
      <c r="KAS299" s="11"/>
      <c r="KAT299" s="11"/>
      <c r="KAU299" s="11"/>
      <c r="KAV299" s="11"/>
      <c r="KAW299" s="11"/>
      <c r="KAX299" s="11"/>
      <c r="KAY299" s="11"/>
      <c r="KAZ299" s="11"/>
      <c r="KBA299" s="11"/>
      <c r="KBB299" s="11"/>
      <c r="KBC299" s="11"/>
      <c r="KBD299" s="11"/>
      <c r="KBE299" s="11"/>
      <c r="KBF299" s="11"/>
      <c r="KBG299" s="11"/>
      <c r="KBH299" s="11"/>
      <c r="KBI299" s="11"/>
      <c r="KBJ299" s="11"/>
      <c r="KBK299" s="11"/>
      <c r="KBL299" s="11"/>
      <c r="KBM299" s="11"/>
      <c r="KBN299" s="11"/>
      <c r="KBO299" s="11"/>
      <c r="KBP299" s="11"/>
      <c r="KBQ299" s="11"/>
      <c r="KBR299" s="11"/>
      <c r="KBS299" s="11"/>
      <c r="KBT299" s="11"/>
      <c r="KBU299" s="11"/>
      <c r="KBV299" s="11"/>
      <c r="KBW299" s="11"/>
      <c r="KBX299" s="11"/>
      <c r="KBY299" s="11"/>
      <c r="KBZ299" s="11"/>
      <c r="KCA299" s="11"/>
      <c r="KCB299" s="11"/>
      <c r="KCC299" s="11"/>
      <c r="KCD299" s="11"/>
      <c r="KCE299" s="11"/>
      <c r="KCF299" s="11"/>
      <c r="KCG299" s="11"/>
      <c r="KCH299" s="11"/>
      <c r="KCI299" s="11"/>
      <c r="KCJ299" s="11"/>
      <c r="KCK299" s="11"/>
      <c r="KCL299" s="11"/>
      <c r="KCM299" s="11"/>
      <c r="KCN299" s="11"/>
      <c r="KCO299" s="11"/>
      <c r="KCP299" s="11"/>
      <c r="KCQ299" s="11"/>
      <c r="KCR299" s="11"/>
      <c r="KCS299" s="11"/>
      <c r="KCT299" s="11"/>
      <c r="KCU299" s="11"/>
      <c r="KCV299" s="11"/>
      <c r="KCW299" s="11"/>
      <c r="KCX299" s="11"/>
      <c r="KCY299" s="11"/>
      <c r="KCZ299" s="11"/>
      <c r="KDA299" s="11"/>
      <c r="KDB299" s="11"/>
      <c r="KDC299" s="11"/>
      <c r="KDD299" s="11"/>
      <c r="KDE299" s="11"/>
      <c r="KDF299" s="11"/>
      <c r="KDG299" s="11"/>
      <c r="KDH299" s="11"/>
      <c r="KDI299" s="11"/>
      <c r="KDJ299" s="11"/>
      <c r="KDK299" s="11"/>
      <c r="KDL299" s="11"/>
      <c r="KDM299" s="11"/>
      <c r="KDN299" s="11"/>
      <c r="KDO299" s="11"/>
      <c r="KDP299" s="11"/>
      <c r="KDQ299" s="11"/>
      <c r="KDR299" s="11"/>
      <c r="KDS299" s="11"/>
      <c r="KDT299" s="11"/>
      <c r="KDU299" s="11"/>
      <c r="KDV299" s="11"/>
      <c r="KDW299" s="11"/>
      <c r="KDX299" s="11"/>
      <c r="KDY299" s="11"/>
      <c r="KDZ299" s="11"/>
      <c r="KEA299" s="11"/>
      <c r="KEB299" s="11"/>
      <c r="KEC299" s="11"/>
      <c r="KED299" s="11"/>
      <c r="KEE299" s="11"/>
      <c r="KEF299" s="11"/>
      <c r="KEG299" s="11"/>
      <c r="KEH299" s="11"/>
      <c r="KEI299" s="11"/>
      <c r="KEJ299" s="11"/>
      <c r="KEK299" s="11"/>
      <c r="KEL299" s="11"/>
      <c r="KEM299" s="11"/>
      <c r="KEN299" s="11"/>
      <c r="KEO299" s="11"/>
      <c r="KEP299" s="11"/>
      <c r="KEQ299" s="11"/>
      <c r="KER299" s="11"/>
      <c r="KES299" s="11"/>
      <c r="KET299" s="11"/>
      <c r="KEU299" s="11"/>
      <c r="KEV299" s="11"/>
      <c r="KEW299" s="11"/>
      <c r="KEX299" s="11"/>
      <c r="KEY299" s="11"/>
      <c r="KEZ299" s="11"/>
      <c r="KFA299" s="11"/>
      <c r="KFB299" s="11"/>
      <c r="KFC299" s="11"/>
      <c r="KFD299" s="11"/>
      <c r="KFE299" s="11"/>
      <c r="KFF299" s="11"/>
      <c r="KFG299" s="11"/>
      <c r="KFH299" s="11"/>
      <c r="KFI299" s="11"/>
      <c r="KFJ299" s="11"/>
      <c r="KFK299" s="11"/>
      <c r="KFL299" s="11"/>
      <c r="KFM299" s="11"/>
      <c r="KFN299" s="11"/>
      <c r="KFO299" s="11"/>
      <c r="KFP299" s="11"/>
      <c r="KFQ299" s="11"/>
      <c r="KFR299" s="11"/>
      <c r="KFS299" s="11"/>
      <c r="KFT299" s="11"/>
      <c r="KFU299" s="11"/>
      <c r="KFV299" s="11"/>
      <c r="KFW299" s="11"/>
      <c r="KFX299" s="11"/>
      <c r="KFY299" s="11"/>
      <c r="KFZ299" s="11"/>
      <c r="KGA299" s="11"/>
      <c r="KGB299" s="11"/>
      <c r="KGC299" s="11"/>
      <c r="KGD299" s="11"/>
      <c r="KGE299" s="11"/>
      <c r="KGF299" s="11"/>
      <c r="KGG299" s="11"/>
      <c r="KGH299" s="11"/>
      <c r="KGI299" s="11"/>
      <c r="KGJ299" s="11"/>
      <c r="KGK299" s="11"/>
      <c r="KGL299" s="11"/>
      <c r="KGM299" s="11"/>
      <c r="KGN299" s="11"/>
      <c r="KGO299" s="11"/>
      <c r="KGP299" s="11"/>
      <c r="KGQ299" s="11"/>
      <c r="KGR299" s="11"/>
      <c r="KGS299" s="11"/>
      <c r="KGT299" s="11"/>
      <c r="KGU299" s="11"/>
      <c r="KGV299" s="11"/>
      <c r="KGW299" s="11"/>
      <c r="KGX299" s="11"/>
      <c r="KGY299" s="11"/>
      <c r="KGZ299" s="11"/>
      <c r="KHA299" s="11"/>
      <c r="KHB299" s="11"/>
      <c r="KHC299" s="11"/>
      <c r="KHD299" s="11"/>
      <c r="KHE299" s="11"/>
      <c r="KHF299" s="11"/>
      <c r="KHG299" s="11"/>
      <c r="KHH299" s="11"/>
      <c r="KHI299" s="11"/>
      <c r="KHJ299" s="11"/>
      <c r="KHK299" s="11"/>
      <c r="KHL299" s="11"/>
      <c r="KHM299" s="11"/>
      <c r="KHN299" s="11"/>
      <c r="KHO299" s="11"/>
      <c r="KHP299" s="11"/>
      <c r="KHQ299" s="11"/>
      <c r="KHR299" s="11"/>
      <c r="KHS299" s="11"/>
      <c r="KHT299" s="11"/>
      <c r="KHU299" s="11"/>
      <c r="KHV299" s="11"/>
      <c r="KHW299" s="11"/>
      <c r="KHX299" s="11"/>
      <c r="KHY299" s="11"/>
      <c r="KHZ299" s="11"/>
      <c r="KIA299" s="11"/>
      <c r="KIB299" s="11"/>
      <c r="KIC299" s="11"/>
      <c r="KID299" s="11"/>
      <c r="KIE299" s="11"/>
      <c r="KIF299" s="11"/>
      <c r="KIG299" s="11"/>
      <c r="KIH299" s="11"/>
      <c r="KII299" s="11"/>
      <c r="KIJ299" s="11"/>
      <c r="KIK299" s="11"/>
      <c r="KIL299" s="11"/>
      <c r="KIM299" s="11"/>
      <c r="KIN299" s="11"/>
      <c r="KIO299" s="11"/>
      <c r="KIP299" s="11"/>
      <c r="KIQ299" s="11"/>
      <c r="KIR299" s="11"/>
      <c r="KIS299" s="11"/>
      <c r="KIT299" s="11"/>
      <c r="KIU299" s="11"/>
      <c r="KIV299" s="11"/>
      <c r="KIW299" s="11"/>
      <c r="KIX299" s="11"/>
      <c r="KIY299" s="11"/>
      <c r="KIZ299" s="11"/>
      <c r="KJA299" s="11"/>
      <c r="KJB299" s="11"/>
      <c r="KJC299" s="11"/>
      <c r="KJD299" s="11"/>
      <c r="KJE299" s="11"/>
      <c r="KJF299" s="11"/>
      <c r="KJG299" s="11"/>
      <c r="KJH299" s="11"/>
      <c r="KJI299" s="11"/>
      <c r="KJJ299" s="11"/>
      <c r="KJK299" s="11"/>
      <c r="KJL299" s="11"/>
      <c r="KJM299" s="11"/>
      <c r="KJN299" s="11"/>
      <c r="KJO299" s="11"/>
      <c r="KJP299" s="11"/>
      <c r="KJQ299" s="11"/>
      <c r="KJR299" s="11"/>
      <c r="KJS299" s="11"/>
      <c r="KJT299" s="11"/>
      <c r="KJU299" s="11"/>
      <c r="KJV299" s="11"/>
      <c r="KJW299" s="11"/>
      <c r="KJX299" s="11"/>
      <c r="KJY299" s="11"/>
      <c r="KJZ299" s="11"/>
      <c r="KKA299" s="11"/>
      <c r="KKB299" s="11"/>
      <c r="KKC299" s="11"/>
      <c r="KKD299" s="11"/>
      <c r="KKE299" s="11"/>
      <c r="KKF299" s="11"/>
      <c r="KKG299" s="11"/>
      <c r="KKH299" s="11"/>
      <c r="KKI299" s="11"/>
      <c r="KKJ299" s="11"/>
      <c r="KKK299" s="11"/>
      <c r="KKL299" s="11"/>
      <c r="KKM299" s="11"/>
      <c r="KKN299" s="11"/>
      <c r="KKO299" s="11"/>
      <c r="KKP299" s="11"/>
      <c r="KKQ299" s="11"/>
      <c r="KKR299" s="11"/>
      <c r="KKS299" s="11"/>
      <c r="KKT299" s="11"/>
      <c r="KKU299" s="11"/>
      <c r="KKV299" s="11"/>
      <c r="KKW299" s="11"/>
      <c r="KKX299" s="11"/>
      <c r="KKY299" s="11"/>
      <c r="KKZ299" s="11"/>
      <c r="KLA299" s="11"/>
      <c r="KLB299" s="11"/>
      <c r="KLC299" s="11"/>
      <c r="KLD299" s="11"/>
      <c r="KLE299" s="11"/>
      <c r="KLF299" s="11"/>
      <c r="KLG299" s="11"/>
      <c r="KLH299" s="11"/>
      <c r="KLI299" s="11"/>
      <c r="KLJ299" s="11"/>
      <c r="KLK299" s="11"/>
      <c r="KLL299" s="11"/>
      <c r="KLM299" s="11"/>
      <c r="KLN299" s="11"/>
      <c r="KLO299" s="11"/>
      <c r="KLP299" s="11"/>
      <c r="KLQ299" s="11"/>
      <c r="KLR299" s="11"/>
      <c r="KLS299" s="11"/>
      <c r="KLT299" s="11"/>
      <c r="KLU299" s="11"/>
      <c r="KLV299" s="11"/>
      <c r="KLW299" s="11"/>
      <c r="KLX299" s="11"/>
      <c r="KLY299" s="11"/>
      <c r="KLZ299" s="11"/>
      <c r="KMA299" s="11"/>
      <c r="KMB299" s="11"/>
      <c r="KMC299" s="11"/>
      <c r="KMD299" s="11"/>
      <c r="KME299" s="11"/>
      <c r="KMF299" s="11"/>
      <c r="KMG299" s="11"/>
      <c r="KMH299" s="11"/>
      <c r="KMI299" s="11"/>
      <c r="KMJ299" s="11"/>
      <c r="KMK299" s="11"/>
      <c r="KML299" s="11"/>
      <c r="KMM299" s="11"/>
      <c r="KMN299" s="11"/>
      <c r="KMO299" s="11"/>
      <c r="KMP299" s="11"/>
      <c r="KMQ299" s="11"/>
      <c r="KMR299" s="11"/>
      <c r="KMS299" s="11"/>
      <c r="KMT299" s="11"/>
      <c r="KMU299" s="11"/>
      <c r="KMV299" s="11"/>
      <c r="KMW299" s="11"/>
      <c r="KMX299" s="11"/>
      <c r="KMY299" s="11"/>
      <c r="KMZ299" s="11"/>
      <c r="KNA299" s="11"/>
      <c r="KNB299" s="11"/>
      <c r="KNC299" s="11"/>
      <c r="KND299" s="11"/>
      <c r="KNE299" s="11"/>
      <c r="KNF299" s="11"/>
      <c r="KNG299" s="11"/>
      <c r="KNH299" s="11"/>
      <c r="KNI299" s="11"/>
      <c r="KNJ299" s="11"/>
      <c r="KNK299" s="11"/>
      <c r="KNL299" s="11"/>
      <c r="KNM299" s="11"/>
      <c r="KNN299" s="11"/>
      <c r="KNO299" s="11"/>
      <c r="KNP299" s="11"/>
      <c r="KNQ299" s="11"/>
      <c r="KNR299" s="11"/>
      <c r="KNS299" s="11"/>
      <c r="KNT299" s="11"/>
      <c r="KNU299" s="11"/>
      <c r="KNV299" s="11"/>
      <c r="KNW299" s="11"/>
      <c r="KNX299" s="11"/>
      <c r="KNY299" s="11"/>
      <c r="KNZ299" s="11"/>
      <c r="KOA299" s="11"/>
      <c r="KOB299" s="11"/>
      <c r="KOC299" s="11"/>
      <c r="KOD299" s="11"/>
      <c r="KOE299" s="11"/>
      <c r="KOF299" s="11"/>
      <c r="KOG299" s="11"/>
      <c r="KOH299" s="11"/>
      <c r="KOI299" s="11"/>
      <c r="KOJ299" s="11"/>
      <c r="KOK299" s="11"/>
      <c r="KOL299" s="11"/>
      <c r="KOM299" s="11"/>
      <c r="KON299" s="11"/>
      <c r="KOO299" s="11"/>
      <c r="KOP299" s="11"/>
      <c r="KOQ299" s="11"/>
      <c r="KOR299" s="11"/>
      <c r="KOS299" s="11"/>
      <c r="KOT299" s="11"/>
      <c r="KOU299" s="11"/>
      <c r="KOV299" s="11"/>
      <c r="KOW299" s="11"/>
      <c r="KOX299" s="11"/>
      <c r="KOY299" s="11"/>
      <c r="KOZ299" s="11"/>
      <c r="KPA299" s="11"/>
      <c r="KPB299" s="11"/>
      <c r="KPC299" s="11"/>
      <c r="KPD299" s="11"/>
      <c r="KPE299" s="11"/>
      <c r="KPF299" s="11"/>
      <c r="KPG299" s="11"/>
      <c r="KPH299" s="11"/>
      <c r="KPI299" s="11"/>
      <c r="KPJ299" s="11"/>
      <c r="KPK299" s="11"/>
      <c r="KPL299" s="11"/>
      <c r="KPM299" s="11"/>
      <c r="KPN299" s="11"/>
      <c r="KPO299" s="11"/>
      <c r="KPP299" s="11"/>
      <c r="KPQ299" s="11"/>
      <c r="KPR299" s="11"/>
      <c r="KPS299" s="11"/>
      <c r="KPT299" s="11"/>
      <c r="KPU299" s="11"/>
      <c r="KPV299" s="11"/>
      <c r="KPW299" s="11"/>
      <c r="KPX299" s="11"/>
      <c r="KPY299" s="11"/>
      <c r="KPZ299" s="11"/>
      <c r="KQA299" s="11"/>
      <c r="KQB299" s="11"/>
      <c r="KQC299" s="11"/>
      <c r="KQD299" s="11"/>
      <c r="KQE299" s="11"/>
      <c r="KQF299" s="11"/>
      <c r="KQG299" s="11"/>
      <c r="KQH299" s="11"/>
      <c r="KQI299" s="11"/>
      <c r="KQJ299" s="11"/>
      <c r="KQK299" s="11"/>
      <c r="KQL299" s="11"/>
      <c r="KQM299" s="11"/>
      <c r="KQN299" s="11"/>
      <c r="KQO299" s="11"/>
      <c r="KQP299" s="11"/>
      <c r="KQQ299" s="11"/>
      <c r="KQR299" s="11"/>
      <c r="KQS299" s="11"/>
      <c r="KQT299" s="11"/>
      <c r="KQU299" s="11"/>
      <c r="KQV299" s="11"/>
      <c r="KQW299" s="11"/>
      <c r="KQX299" s="11"/>
      <c r="KQY299" s="11"/>
      <c r="KQZ299" s="11"/>
      <c r="KRA299" s="11"/>
      <c r="KRB299" s="11"/>
      <c r="KRC299" s="11"/>
      <c r="KRD299" s="11"/>
      <c r="KRE299" s="11"/>
      <c r="KRF299" s="11"/>
      <c r="KRG299" s="11"/>
      <c r="KRH299" s="11"/>
      <c r="KRI299" s="11"/>
      <c r="KRJ299" s="11"/>
      <c r="KRK299" s="11"/>
      <c r="KRL299" s="11"/>
      <c r="KRM299" s="11"/>
      <c r="KRN299" s="11"/>
      <c r="KRO299" s="11"/>
      <c r="KRP299" s="11"/>
      <c r="KRQ299" s="11"/>
      <c r="KRR299" s="11"/>
      <c r="KRS299" s="11"/>
      <c r="KRT299" s="11"/>
      <c r="KRU299" s="11"/>
      <c r="KRV299" s="11"/>
      <c r="KRW299" s="11"/>
      <c r="KRX299" s="11"/>
      <c r="KRY299" s="11"/>
      <c r="KRZ299" s="11"/>
      <c r="KSA299" s="11"/>
      <c r="KSB299" s="11"/>
      <c r="KSC299" s="11"/>
      <c r="KSD299" s="11"/>
      <c r="KSE299" s="11"/>
      <c r="KSF299" s="11"/>
      <c r="KSG299" s="11"/>
      <c r="KSH299" s="11"/>
      <c r="KSI299" s="11"/>
      <c r="KSJ299" s="11"/>
      <c r="KSK299" s="11"/>
      <c r="KSL299" s="11"/>
      <c r="KSM299" s="11"/>
      <c r="KSN299" s="11"/>
      <c r="KSO299" s="11"/>
      <c r="KSP299" s="11"/>
      <c r="KSQ299" s="11"/>
      <c r="KSR299" s="11"/>
      <c r="KSS299" s="11"/>
      <c r="KST299" s="11"/>
      <c r="KSU299" s="11"/>
      <c r="KSV299" s="11"/>
      <c r="KSW299" s="11"/>
      <c r="KSX299" s="11"/>
      <c r="KSY299" s="11"/>
      <c r="KSZ299" s="11"/>
      <c r="KTA299" s="11"/>
      <c r="KTB299" s="11"/>
      <c r="KTC299" s="11"/>
      <c r="KTD299" s="11"/>
      <c r="KTE299" s="11"/>
      <c r="KTF299" s="11"/>
      <c r="KTG299" s="11"/>
      <c r="KTH299" s="11"/>
      <c r="KTI299" s="11"/>
      <c r="KTJ299" s="11"/>
      <c r="KTK299" s="11"/>
      <c r="KTL299" s="11"/>
      <c r="KTM299" s="11"/>
      <c r="KTN299" s="11"/>
      <c r="KTO299" s="11"/>
      <c r="KTP299" s="11"/>
      <c r="KTQ299" s="11"/>
      <c r="KTR299" s="11"/>
      <c r="KTS299" s="11"/>
      <c r="KTT299" s="11"/>
      <c r="KTU299" s="11"/>
      <c r="KTV299" s="11"/>
      <c r="KTW299" s="11"/>
      <c r="KTX299" s="11"/>
      <c r="KTY299" s="11"/>
      <c r="KTZ299" s="11"/>
      <c r="KUA299" s="11"/>
      <c r="KUB299" s="11"/>
      <c r="KUC299" s="11"/>
      <c r="KUD299" s="11"/>
      <c r="KUE299" s="11"/>
      <c r="KUF299" s="11"/>
      <c r="KUG299" s="11"/>
      <c r="KUH299" s="11"/>
      <c r="KUI299" s="11"/>
      <c r="KUJ299" s="11"/>
      <c r="KUK299" s="11"/>
      <c r="KUL299" s="11"/>
      <c r="KUM299" s="11"/>
      <c r="KUN299" s="11"/>
      <c r="KUO299" s="11"/>
      <c r="KUP299" s="11"/>
      <c r="KUQ299" s="11"/>
      <c r="KUR299" s="11"/>
      <c r="KUS299" s="11"/>
      <c r="KUT299" s="11"/>
      <c r="KUU299" s="11"/>
      <c r="KUV299" s="11"/>
      <c r="KUW299" s="11"/>
      <c r="KUX299" s="11"/>
      <c r="KUY299" s="11"/>
      <c r="KUZ299" s="11"/>
      <c r="KVA299" s="11"/>
      <c r="KVB299" s="11"/>
      <c r="KVC299" s="11"/>
      <c r="KVD299" s="11"/>
      <c r="KVE299" s="11"/>
      <c r="KVF299" s="11"/>
      <c r="KVG299" s="11"/>
      <c r="KVH299" s="11"/>
      <c r="KVI299" s="11"/>
      <c r="KVJ299" s="11"/>
      <c r="KVK299" s="11"/>
      <c r="KVL299" s="11"/>
      <c r="KVM299" s="11"/>
      <c r="KVN299" s="11"/>
      <c r="KVO299" s="11"/>
      <c r="KVP299" s="11"/>
      <c r="KVQ299" s="11"/>
      <c r="KVR299" s="11"/>
      <c r="KVS299" s="11"/>
      <c r="KVT299" s="11"/>
      <c r="KVU299" s="11"/>
      <c r="KVV299" s="11"/>
      <c r="KVW299" s="11"/>
      <c r="KVX299" s="11"/>
      <c r="KVY299" s="11"/>
      <c r="KVZ299" s="11"/>
      <c r="KWA299" s="11"/>
      <c r="KWB299" s="11"/>
      <c r="KWC299" s="11"/>
      <c r="KWD299" s="11"/>
      <c r="KWE299" s="11"/>
      <c r="KWF299" s="11"/>
      <c r="KWG299" s="11"/>
      <c r="KWH299" s="11"/>
      <c r="KWI299" s="11"/>
      <c r="KWJ299" s="11"/>
      <c r="KWK299" s="11"/>
      <c r="KWL299" s="11"/>
      <c r="KWM299" s="11"/>
      <c r="KWN299" s="11"/>
      <c r="KWO299" s="11"/>
      <c r="KWP299" s="11"/>
      <c r="KWQ299" s="11"/>
      <c r="KWR299" s="11"/>
      <c r="KWS299" s="11"/>
      <c r="KWT299" s="11"/>
      <c r="KWU299" s="11"/>
      <c r="KWV299" s="11"/>
      <c r="KWW299" s="11"/>
      <c r="KWX299" s="11"/>
      <c r="KWY299" s="11"/>
      <c r="KWZ299" s="11"/>
      <c r="KXA299" s="11"/>
      <c r="KXB299" s="11"/>
      <c r="KXC299" s="11"/>
      <c r="KXD299" s="11"/>
      <c r="KXE299" s="11"/>
      <c r="KXF299" s="11"/>
      <c r="KXG299" s="11"/>
      <c r="KXH299" s="11"/>
      <c r="KXI299" s="11"/>
      <c r="KXJ299" s="11"/>
      <c r="KXK299" s="11"/>
      <c r="KXL299" s="11"/>
      <c r="KXM299" s="11"/>
      <c r="KXN299" s="11"/>
      <c r="KXO299" s="11"/>
      <c r="KXP299" s="11"/>
      <c r="KXQ299" s="11"/>
      <c r="KXR299" s="11"/>
      <c r="KXS299" s="11"/>
      <c r="KXT299" s="11"/>
      <c r="KXU299" s="11"/>
      <c r="KXV299" s="11"/>
      <c r="KXW299" s="11"/>
      <c r="KXX299" s="11"/>
      <c r="KXY299" s="11"/>
      <c r="KXZ299" s="11"/>
      <c r="KYA299" s="11"/>
      <c r="KYB299" s="11"/>
      <c r="KYC299" s="11"/>
      <c r="KYD299" s="11"/>
      <c r="KYE299" s="11"/>
      <c r="KYF299" s="11"/>
      <c r="KYG299" s="11"/>
      <c r="KYH299" s="11"/>
      <c r="KYI299" s="11"/>
      <c r="KYJ299" s="11"/>
      <c r="KYK299" s="11"/>
      <c r="KYL299" s="11"/>
      <c r="KYM299" s="11"/>
      <c r="KYN299" s="11"/>
      <c r="KYO299" s="11"/>
      <c r="KYP299" s="11"/>
      <c r="KYQ299" s="11"/>
      <c r="KYR299" s="11"/>
      <c r="KYS299" s="11"/>
      <c r="KYT299" s="11"/>
      <c r="KYU299" s="11"/>
      <c r="KYV299" s="11"/>
      <c r="KYW299" s="11"/>
      <c r="KYX299" s="11"/>
      <c r="KYY299" s="11"/>
      <c r="KYZ299" s="11"/>
      <c r="KZA299" s="11"/>
      <c r="KZB299" s="11"/>
      <c r="KZC299" s="11"/>
      <c r="KZD299" s="11"/>
      <c r="KZE299" s="11"/>
      <c r="KZF299" s="11"/>
      <c r="KZG299" s="11"/>
      <c r="KZH299" s="11"/>
      <c r="KZI299" s="11"/>
      <c r="KZJ299" s="11"/>
      <c r="KZK299" s="11"/>
      <c r="KZL299" s="11"/>
      <c r="KZM299" s="11"/>
      <c r="KZN299" s="11"/>
      <c r="KZO299" s="11"/>
      <c r="KZP299" s="11"/>
      <c r="KZQ299" s="11"/>
      <c r="KZR299" s="11"/>
      <c r="KZS299" s="11"/>
      <c r="KZT299" s="11"/>
      <c r="KZU299" s="11"/>
      <c r="KZV299" s="11"/>
      <c r="KZW299" s="11"/>
      <c r="KZX299" s="11"/>
      <c r="KZY299" s="11"/>
      <c r="KZZ299" s="11"/>
      <c r="LAA299" s="11"/>
      <c r="LAB299" s="11"/>
      <c r="LAC299" s="11"/>
      <c r="LAD299" s="11"/>
      <c r="LAE299" s="11"/>
      <c r="LAF299" s="11"/>
      <c r="LAG299" s="11"/>
      <c r="LAH299" s="11"/>
      <c r="LAI299" s="11"/>
      <c r="LAJ299" s="11"/>
      <c r="LAK299" s="11"/>
      <c r="LAL299" s="11"/>
      <c r="LAM299" s="11"/>
      <c r="LAN299" s="11"/>
      <c r="LAO299" s="11"/>
      <c r="LAP299" s="11"/>
      <c r="LAQ299" s="11"/>
      <c r="LAR299" s="11"/>
      <c r="LAS299" s="11"/>
      <c r="LAT299" s="11"/>
      <c r="LAU299" s="11"/>
      <c r="LAV299" s="11"/>
      <c r="LAW299" s="11"/>
      <c r="LAX299" s="11"/>
      <c r="LAY299" s="11"/>
      <c r="LAZ299" s="11"/>
      <c r="LBA299" s="11"/>
      <c r="LBB299" s="11"/>
      <c r="LBC299" s="11"/>
      <c r="LBD299" s="11"/>
      <c r="LBE299" s="11"/>
      <c r="LBF299" s="11"/>
      <c r="LBG299" s="11"/>
      <c r="LBH299" s="11"/>
      <c r="LBI299" s="11"/>
      <c r="LBJ299" s="11"/>
      <c r="LBK299" s="11"/>
      <c r="LBL299" s="11"/>
      <c r="LBM299" s="11"/>
      <c r="LBN299" s="11"/>
      <c r="LBO299" s="11"/>
      <c r="LBP299" s="11"/>
      <c r="LBQ299" s="11"/>
      <c r="LBR299" s="11"/>
      <c r="LBS299" s="11"/>
      <c r="LBT299" s="11"/>
      <c r="LBU299" s="11"/>
      <c r="LBV299" s="11"/>
      <c r="LBW299" s="11"/>
      <c r="LBX299" s="11"/>
      <c r="LBY299" s="11"/>
      <c r="LBZ299" s="11"/>
      <c r="LCA299" s="11"/>
      <c r="LCB299" s="11"/>
      <c r="LCC299" s="11"/>
      <c r="LCD299" s="11"/>
      <c r="LCE299" s="11"/>
      <c r="LCF299" s="11"/>
      <c r="LCG299" s="11"/>
      <c r="LCH299" s="11"/>
      <c r="LCI299" s="11"/>
      <c r="LCJ299" s="11"/>
      <c r="LCK299" s="11"/>
      <c r="LCL299" s="11"/>
      <c r="LCM299" s="11"/>
      <c r="LCN299" s="11"/>
      <c r="LCO299" s="11"/>
      <c r="LCP299" s="11"/>
      <c r="LCQ299" s="11"/>
      <c r="LCR299" s="11"/>
      <c r="LCS299" s="11"/>
      <c r="LCT299" s="11"/>
      <c r="LCU299" s="11"/>
      <c r="LCV299" s="11"/>
      <c r="LCW299" s="11"/>
      <c r="LCX299" s="11"/>
      <c r="LCY299" s="11"/>
      <c r="LCZ299" s="11"/>
      <c r="LDA299" s="11"/>
      <c r="LDB299" s="11"/>
      <c r="LDC299" s="11"/>
      <c r="LDD299" s="11"/>
      <c r="LDE299" s="11"/>
      <c r="LDF299" s="11"/>
      <c r="LDG299" s="11"/>
      <c r="LDH299" s="11"/>
      <c r="LDI299" s="11"/>
      <c r="LDJ299" s="11"/>
      <c r="LDK299" s="11"/>
      <c r="LDL299" s="11"/>
      <c r="LDM299" s="11"/>
      <c r="LDN299" s="11"/>
      <c r="LDO299" s="11"/>
      <c r="LDP299" s="11"/>
      <c r="LDQ299" s="11"/>
      <c r="LDR299" s="11"/>
      <c r="LDS299" s="11"/>
      <c r="LDT299" s="11"/>
      <c r="LDU299" s="11"/>
      <c r="LDV299" s="11"/>
      <c r="LDW299" s="11"/>
      <c r="LDX299" s="11"/>
      <c r="LDY299" s="11"/>
      <c r="LDZ299" s="11"/>
      <c r="LEA299" s="11"/>
      <c r="LEB299" s="11"/>
      <c r="LEC299" s="11"/>
      <c r="LED299" s="11"/>
      <c r="LEE299" s="11"/>
      <c r="LEF299" s="11"/>
      <c r="LEG299" s="11"/>
      <c r="LEH299" s="11"/>
      <c r="LEI299" s="11"/>
      <c r="LEJ299" s="11"/>
      <c r="LEK299" s="11"/>
      <c r="LEL299" s="11"/>
      <c r="LEM299" s="11"/>
      <c r="LEN299" s="11"/>
      <c r="LEO299" s="11"/>
      <c r="LEP299" s="11"/>
      <c r="LEQ299" s="11"/>
      <c r="LER299" s="11"/>
      <c r="LES299" s="11"/>
      <c r="LET299" s="11"/>
      <c r="LEU299" s="11"/>
      <c r="LEV299" s="11"/>
      <c r="LEW299" s="11"/>
      <c r="LEX299" s="11"/>
      <c r="LEY299" s="11"/>
      <c r="LEZ299" s="11"/>
      <c r="LFA299" s="11"/>
      <c r="LFB299" s="11"/>
      <c r="LFC299" s="11"/>
      <c r="LFD299" s="11"/>
      <c r="LFE299" s="11"/>
      <c r="LFF299" s="11"/>
      <c r="LFG299" s="11"/>
      <c r="LFH299" s="11"/>
      <c r="LFI299" s="11"/>
      <c r="LFJ299" s="11"/>
      <c r="LFK299" s="11"/>
      <c r="LFL299" s="11"/>
      <c r="LFM299" s="11"/>
      <c r="LFN299" s="11"/>
      <c r="LFO299" s="11"/>
      <c r="LFP299" s="11"/>
      <c r="LFQ299" s="11"/>
      <c r="LFR299" s="11"/>
      <c r="LFS299" s="11"/>
      <c r="LFT299" s="11"/>
      <c r="LFU299" s="11"/>
      <c r="LFV299" s="11"/>
      <c r="LFW299" s="11"/>
      <c r="LFX299" s="11"/>
      <c r="LFY299" s="11"/>
      <c r="LFZ299" s="11"/>
      <c r="LGA299" s="11"/>
      <c r="LGB299" s="11"/>
      <c r="LGC299" s="11"/>
      <c r="LGD299" s="11"/>
      <c r="LGE299" s="11"/>
      <c r="LGF299" s="11"/>
      <c r="LGG299" s="11"/>
      <c r="LGH299" s="11"/>
      <c r="LGI299" s="11"/>
      <c r="LGJ299" s="11"/>
      <c r="LGK299" s="11"/>
      <c r="LGL299" s="11"/>
      <c r="LGM299" s="11"/>
      <c r="LGN299" s="11"/>
      <c r="LGO299" s="11"/>
      <c r="LGP299" s="11"/>
      <c r="LGQ299" s="11"/>
      <c r="LGR299" s="11"/>
      <c r="LGS299" s="11"/>
      <c r="LGT299" s="11"/>
      <c r="LGU299" s="11"/>
      <c r="LGV299" s="11"/>
      <c r="LGW299" s="11"/>
      <c r="LGX299" s="11"/>
      <c r="LGY299" s="11"/>
      <c r="LGZ299" s="11"/>
      <c r="LHA299" s="11"/>
      <c r="LHB299" s="11"/>
      <c r="LHC299" s="11"/>
      <c r="LHD299" s="11"/>
      <c r="LHE299" s="11"/>
      <c r="LHF299" s="11"/>
      <c r="LHG299" s="11"/>
      <c r="LHH299" s="11"/>
      <c r="LHI299" s="11"/>
      <c r="LHJ299" s="11"/>
      <c r="LHK299" s="11"/>
      <c r="LHL299" s="11"/>
      <c r="LHM299" s="11"/>
      <c r="LHN299" s="11"/>
      <c r="LHO299" s="11"/>
      <c r="LHP299" s="11"/>
      <c r="LHQ299" s="11"/>
      <c r="LHR299" s="11"/>
      <c r="LHS299" s="11"/>
      <c r="LHT299" s="11"/>
      <c r="LHU299" s="11"/>
      <c r="LHV299" s="11"/>
      <c r="LHW299" s="11"/>
      <c r="LHX299" s="11"/>
      <c r="LHY299" s="11"/>
      <c r="LHZ299" s="11"/>
      <c r="LIA299" s="11"/>
      <c r="LIB299" s="11"/>
      <c r="LIC299" s="11"/>
      <c r="LID299" s="11"/>
      <c r="LIE299" s="11"/>
      <c r="LIF299" s="11"/>
      <c r="LIG299" s="11"/>
      <c r="LIH299" s="11"/>
      <c r="LII299" s="11"/>
      <c r="LIJ299" s="11"/>
      <c r="LIK299" s="11"/>
      <c r="LIL299" s="11"/>
      <c r="LIM299" s="11"/>
      <c r="LIN299" s="11"/>
      <c r="LIO299" s="11"/>
      <c r="LIP299" s="11"/>
      <c r="LIQ299" s="11"/>
      <c r="LIR299" s="11"/>
      <c r="LIS299" s="11"/>
      <c r="LIT299" s="11"/>
      <c r="LIU299" s="11"/>
      <c r="LIV299" s="11"/>
      <c r="LIW299" s="11"/>
      <c r="LIX299" s="11"/>
      <c r="LIY299" s="11"/>
      <c r="LIZ299" s="11"/>
      <c r="LJA299" s="11"/>
      <c r="LJB299" s="11"/>
      <c r="LJC299" s="11"/>
      <c r="LJD299" s="11"/>
      <c r="LJE299" s="11"/>
      <c r="LJF299" s="11"/>
      <c r="LJG299" s="11"/>
      <c r="LJH299" s="11"/>
      <c r="LJI299" s="11"/>
      <c r="LJJ299" s="11"/>
      <c r="LJK299" s="11"/>
      <c r="LJL299" s="11"/>
      <c r="LJM299" s="11"/>
      <c r="LJN299" s="11"/>
      <c r="LJO299" s="11"/>
      <c r="LJP299" s="11"/>
      <c r="LJQ299" s="11"/>
      <c r="LJR299" s="11"/>
      <c r="LJS299" s="11"/>
      <c r="LJT299" s="11"/>
      <c r="LJU299" s="11"/>
      <c r="LJV299" s="11"/>
      <c r="LJW299" s="11"/>
      <c r="LJX299" s="11"/>
      <c r="LJY299" s="11"/>
      <c r="LJZ299" s="11"/>
      <c r="LKA299" s="11"/>
      <c r="LKB299" s="11"/>
      <c r="LKC299" s="11"/>
      <c r="LKD299" s="11"/>
      <c r="LKE299" s="11"/>
      <c r="LKF299" s="11"/>
      <c r="LKG299" s="11"/>
      <c r="LKH299" s="11"/>
      <c r="LKI299" s="11"/>
      <c r="LKJ299" s="11"/>
      <c r="LKK299" s="11"/>
      <c r="LKL299" s="11"/>
      <c r="LKM299" s="11"/>
      <c r="LKN299" s="11"/>
      <c r="LKO299" s="11"/>
      <c r="LKP299" s="11"/>
      <c r="LKQ299" s="11"/>
      <c r="LKR299" s="11"/>
      <c r="LKS299" s="11"/>
      <c r="LKT299" s="11"/>
      <c r="LKU299" s="11"/>
      <c r="LKV299" s="11"/>
      <c r="LKW299" s="11"/>
      <c r="LKX299" s="11"/>
      <c r="LKY299" s="11"/>
      <c r="LKZ299" s="11"/>
      <c r="LLA299" s="11"/>
      <c r="LLB299" s="11"/>
      <c r="LLC299" s="11"/>
      <c r="LLD299" s="11"/>
      <c r="LLE299" s="11"/>
      <c r="LLF299" s="11"/>
      <c r="LLG299" s="11"/>
      <c r="LLH299" s="11"/>
      <c r="LLI299" s="11"/>
      <c r="LLJ299" s="11"/>
      <c r="LLK299" s="11"/>
      <c r="LLL299" s="11"/>
      <c r="LLM299" s="11"/>
      <c r="LLN299" s="11"/>
      <c r="LLO299" s="11"/>
      <c r="LLP299" s="11"/>
      <c r="LLQ299" s="11"/>
      <c r="LLR299" s="11"/>
      <c r="LLS299" s="11"/>
      <c r="LLT299" s="11"/>
      <c r="LLU299" s="11"/>
      <c r="LLV299" s="11"/>
      <c r="LLW299" s="11"/>
      <c r="LLX299" s="11"/>
      <c r="LLY299" s="11"/>
      <c r="LLZ299" s="11"/>
      <c r="LMA299" s="11"/>
      <c r="LMB299" s="11"/>
      <c r="LMC299" s="11"/>
      <c r="LMD299" s="11"/>
      <c r="LME299" s="11"/>
      <c r="LMF299" s="11"/>
      <c r="LMG299" s="11"/>
      <c r="LMH299" s="11"/>
      <c r="LMI299" s="11"/>
      <c r="LMJ299" s="11"/>
      <c r="LMK299" s="11"/>
      <c r="LML299" s="11"/>
      <c r="LMM299" s="11"/>
      <c r="LMN299" s="11"/>
      <c r="LMO299" s="11"/>
      <c r="LMP299" s="11"/>
      <c r="LMQ299" s="11"/>
      <c r="LMR299" s="11"/>
      <c r="LMS299" s="11"/>
      <c r="LMT299" s="11"/>
      <c r="LMU299" s="11"/>
      <c r="LMV299" s="11"/>
      <c r="LMW299" s="11"/>
      <c r="LMX299" s="11"/>
      <c r="LMY299" s="11"/>
      <c r="LMZ299" s="11"/>
      <c r="LNA299" s="11"/>
      <c r="LNB299" s="11"/>
      <c r="LNC299" s="11"/>
      <c r="LND299" s="11"/>
      <c r="LNE299" s="11"/>
      <c r="LNF299" s="11"/>
      <c r="LNG299" s="11"/>
      <c r="LNH299" s="11"/>
      <c r="LNI299" s="11"/>
      <c r="LNJ299" s="11"/>
      <c r="LNK299" s="11"/>
      <c r="LNL299" s="11"/>
      <c r="LNM299" s="11"/>
      <c r="LNN299" s="11"/>
      <c r="LNO299" s="11"/>
      <c r="LNP299" s="11"/>
      <c r="LNQ299" s="11"/>
      <c r="LNR299" s="11"/>
      <c r="LNS299" s="11"/>
      <c r="LNT299" s="11"/>
      <c r="LNU299" s="11"/>
      <c r="LNV299" s="11"/>
      <c r="LNW299" s="11"/>
      <c r="LNX299" s="11"/>
      <c r="LNY299" s="11"/>
      <c r="LNZ299" s="11"/>
      <c r="LOA299" s="11"/>
      <c r="LOB299" s="11"/>
      <c r="LOC299" s="11"/>
      <c r="LOD299" s="11"/>
      <c r="LOE299" s="11"/>
      <c r="LOF299" s="11"/>
      <c r="LOG299" s="11"/>
      <c r="LOH299" s="11"/>
      <c r="LOI299" s="11"/>
      <c r="LOJ299" s="11"/>
      <c r="LOK299" s="11"/>
      <c r="LOL299" s="11"/>
      <c r="LOM299" s="11"/>
      <c r="LON299" s="11"/>
      <c r="LOO299" s="11"/>
      <c r="LOP299" s="11"/>
      <c r="LOQ299" s="11"/>
      <c r="LOR299" s="11"/>
      <c r="LOS299" s="11"/>
      <c r="LOT299" s="11"/>
      <c r="LOU299" s="11"/>
      <c r="LOV299" s="11"/>
      <c r="LOW299" s="11"/>
      <c r="LOX299" s="11"/>
      <c r="LOY299" s="11"/>
      <c r="LOZ299" s="11"/>
      <c r="LPA299" s="11"/>
      <c r="LPB299" s="11"/>
      <c r="LPC299" s="11"/>
      <c r="LPD299" s="11"/>
      <c r="LPE299" s="11"/>
      <c r="LPF299" s="11"/>
      <c r="LPG299" s="11"/>
      <c r="LPH299" s="11"/>
      <c r="LPI299" s="11"/>
      <c r="LPJ299" s="11"/>
      <c r="LPK299" s="11"/>
      <c r="LPL299" s="11"/>
      <c r="LPM299" s="11"/>
      <c r="LPN299" s="11"/>
      <c r="LPO299" s="11"/>
      <c r="LPP299" s="11"/>
      <c r="LPQ299" s="11"/>
      <c r="LPR299" s="11"/>
      <c r="LPS299" s="11"/>
      <c r="LPT299" s="11"/>
      <c r="LPU299" s="11"/>
      <c r="LPV299" s="11"/>
      <c r="LPW299" s="11"/>
      <c r="LPX299" s="11"/>
      <c r="LPY299" s="11"/>
      <c r="LPZ299" s="11"/>
      <c r="LQA299" s="11"/>
      <c r="LQB299" s="11"/>
      <c r="LQC299" s="11"/>
      <c r="LQD299" s="11"/>
      <c r="LQE299" s="11"/>
      <c r="LQF299" s="11"/>
      <c r="LQG299" s="11"/>
      <c r="LQH299" s="11"/>
      <c r="LQI299" s="11"/>
      <c r="LQJ299" s="11"/>
      <c r="LQK299" s="11"/>
      <c r="LQL299" s="11"/>
      <c r="LQM299" s="11"/>
      <c r="LQN299" s="11"/>
      <c r="LQO299" s="11"/>
      <c r="LQP299" s="11"/>
      <c r="LQQ299" s="11"/>
      <c r="LQR299" s="11"/>
      <c r="LQS299" s="11"/>
      <c r="LQT299" s="11"/>
      <c r="LQU299" s="11"/>
      <c r="LQV299" s="11"/>
      <c r="LQW299" s="11"/>
      <c r="LQX299" s="11"/>
      <c r="LQY299" s="11"/>
      <c r="LQZ299" s="11"/>
      <c r="LRA299" s="11"/>
      <c r="LRB299" s="11"/>
      <c r="LRC299" s="11"/>
      <c r="LRD299" s="11"/>
      <c r="LRE299" s="11"/>
      <c r="LRF299" s="11"/>
      <c r="LRG299" s="11"/>
      <c r="LRH299" s="11"/>
      <c r="LRI299" s="11"/>
      <c r="LRJ299" s="11"/>
      <c r="LRK299" s="11"/>
      <c r="LRL299" s="11"/>
      <c r="LRM299" s="11"/>
      <c r="LRN299" s="11"/>
      <c r="LRO299" s="11"/>
      <c r="LRP299" s="11"/>
      <c r="LRQ299" s="11"/>
      <c r="LRR299" s="11"/>
      <c r="LRS299" s="11"/>
      <c r="LRT299" s="11"/>
      <c r="LRU299" s="11"/>
      <c r="LRV299" s="11"/>
      <c r="LRW299" s="11"/>
      <c r="LRX299" s="11"/>
      <c r="LRY299" s="11"/>
      <c r="LRZ299" s="11"/>
      <c r="LSA299" s="11"/>
      <c r="LSB299" s="11"/>
      <c r="LSC299" s="11"/>
      <c r="LSD299" s="11"/>
      <c r="LSE299" s="11"/>
      <c r="LSF299" s="11"/>
      <c r="LSG299" s="11"/>
      <c r="LSH299" s="11"/>
      <c r="LSI299" s="11"/>
      <c r="LSJ299" s="11"/>
      <c r="LSK299" s="11"/>
      <c r="LSL299" s="11"/>
      <c r="LSM299" s="11"/>
      <c r="LSN299" s="11"/>
      <c r="LSO299" s="11"/>
      <c r="LSP299" s="11"/>
      <c r="LSQ299" s="11"/>
      <c r="LSR299" s="11"/>
      <c r="LSS299" s="11"/>
      <c r="LST299" s="11"/>
      <c r="LSU299" s="11"/>
      <c r="LSV299" s="11"/>
      <c r="LSW299" s="11"/>
      <c r="LSX299" s="11"/>
      <c r="LSY299" s="11"/>
      <c r="LSZ299" s="11"/>
      <c r="LTA299" s="11"/>
      <c r="LTB299" s="11"/>
      <c r="LTC299" s="11"/>
      <c r="LTD299" s="11"/>
      <c r="LTE299" s="11"/>
      <c r="LTF299" s="11"/>
      <c r="LTG299" s="11"/>
      <c r="LTH299" s="11"/>
      <c r="LTI299" s="11"/>
      <c r="LTJ299" s="11"/>
      <c r="LTK299" s="11"/>
      <c r="LTL299" s="11"/>
      <c r="LTM299" s="11"/>
      <c r="LTN299" s="11"/>
      <c r="LTO299" s="11"/>
      <c r="LTP299" s="11"/>
      <c r="LTQ299" s="11"/>
      <c r="LTR299" s="11"/>
      <c r="LTS299" s="11"/>
      <c r="LTT299" s="11"/>
      <c r="LTU299" s="11"/>
      <c r="LTV299" s="11"/>
      <c r="LTW299" s="11"/>
      <c r="LTX299" s="11"/>
      <c r="LTY299" s="11"/>
      <c r="LTZ299" s="11"/>
      <c r="LUA299" s="11"/>
      <c r="LUB299" s="11"/>
      <c r="LUC299" s="11"/>
      <c r="LUD299" s="11"/>
      <c r="LUE299" s="11"/>
      <c r="LUF299" s="11"/>
      <c r="LUG299" s="11"/>
      <c r="LUH299" s="11"/>
      <c r="LUI299" s="11"/>
      <c r="LUJ299" s="11"/>
      <c r="LUK299" s="11"/>
      <c r="LUL299" s="11"/>
      <c r="LUM299" s="11"/>
      <c r="LUN299" s="11"/>
      <c r="LUO299" s="11"/>
      <c r="LUP299" s="11"/>
      <c r="LUQ299" s="11"/>
      <c r="LUR299" s="11"/>
      <c r="LUS299" s="11"/>
      <c r="LUT299" s="11"/>
      <c r="LUU299" s="11"/>
      <c r="LUV299" s="11"/>
      <c r="LUW299" s="11"/>
      <c r="LUX299" s="11"/>
      <c r="LUY299" s="11"/>
      <c r="LUZ299" s="11"/>
      <c r="LVA299" s="11"/>
      <c r="LVB299" s="11"/>
      <c r="LVC299" s="11"/>
      <c r="LVD299" s="11"/>
      <c r="LVE299" s="11"/>
      <c r="LVF299" s="11"/>
      <c r="LVG299" s="11"/>
      <c r="LVH299" s="11"/>
      <c r="LVI299" s="11"/>
      <c r="LVJ299" s="11"/>
      <c r="LVK299" s="11"/>
      <c r="LVL299" s="11"/>
      <c r="LVM299" s="11"/>
      <c r="LVN299" s="11"/>
      <c r="LVO299" s="11"/>
      <c r="LVP299" s="11"/>
      <c r="LVQ299" s="11"/>
      <c r="LVR299" s="11"/>
      <c r="LVS299" s="11"/>
      <c r="LVT299" s="11"/>
      <c r="LVU299" s="11"/>
      <c r="LVV299" s="11"/>
      <c r="LVW299" s="11"/>
      <c r="LVX299" s="11"/>
      <c r="LVY299" s="11"/>
      <c r="LVZ299" s="11"/>
      <c r="LWA299" s="11"/>
      <c r="LWB299" s="11"/>
      <c r="LWC299" s="11"/>
      <c r="LWD299" s="11"/>
      <c r="LWE299" s="11"/>
      <c r="LWF299" s="11"/>
      <c r="LWG299" s="11"/>
      <c r="LWH299" s="11"/>
      <c r="LWI299" s="11"/>
      <c r="LWJ299" s="11"/>
      <c r="LWK299" s="11"/>
      <c r="LWL299" s="11"/>
      <c r="LWM299" s="11"/>
      <c r="LWN299" s="11"/>
      <c r="LWO299" s="11"/>
      <c r="LWP299" s="11"/>
      <c r="LWQ299" s="11"/>
      <c r="LWR299" s="11"/>
      <c r="LWS299" s="11"/>
      <c r="LWT299" s="11"/>
      <c r="LWU299" s="11"/>
      <c r="LWV299" s="11"/>
      <c r="LWW299" s="11"/>
      <c r="LWX299" s="11"/>
      <c r="LWY299" s="11"/>
      <c r="LWZ299" s="11"/>
      <c r="LXA299" s="11"/>
      <c r="LXB299" s="11"/>
      <c r="LXC299" s="11"/>
      <c r="LXD299" s="11"/>
      <c r="LXE299" s="11"/>
      <c r="LXF299" s="11"/>
      <c r="LXG299" s="11"/>
      <c r="LXH299" s="11"/>
      <c r="LXI299" s="11"/>
      <c r="LXJ299" s="11"/>
      <c r="LXK299" s="11"/>
      <c r="LXL299" s="11"/>
      <c r="LXM299" s="11"/>
      <c r="LXN299" s="11"/>
      <c r="LXO299" s="11"/>
      <c r="LXP299" s="11"/>
      <c r="LXQ299" s="11"/>
      <c r="LXR299" s="11"/>
      <c r="LXS299" s="11"/>
      <c r="LXT299" s="11"/>
      <c r="LXU299" s="11"/>
      <c r="LXV299" s="11"/>
      <c r="LXW299" s="11"/>
      <c r="LXX299" s="11"/>
      <c r="LXY299" s="11"/>
      <c r="LXZ299" s="11"/>
      <c r="LYA299" s="11"/>
      <c r="LYB299" s="11"/>
      <c r="LYC299" s="11"/>
      <c r="LYD299" s="11"/>
      <c r="LYE299" s="11"/>
      <c r="LYF299" s="11"/>
      <c r="LYG299" s="11"/>
      <c r="LYH299" s="11"/>
      <c r="LYI299" s="11"/>
      <c r="LYJ299" s="11"/>
      <c r="LYK299" s="11"/>
      <c r="LYL299" s="11"/>
      <c r="LYM299" s="11"/>
      <c r="LYN299" s="11"/>
      <c r="LYO299" s="11"/>
      <c r="LYP299" s="11"/>
      <c r="LYQ299" s="11"/>
      <c r="LYR299" s="11"/>
      <c r="LYS299" s="11"/>
      <c r="LYT299" s="11"/>
      <c r="LYU299" s="11"/>
      <c r="LYV299" s="11"/>
      <c r="LYW299" s="11"/>
      <c r="LYX299" s="11"/>
      <c r="LYY299" s="11"/>
      <c r="LYZ299" s="11"/>
      <c r="LZA299" s="11"/>
      <c r="LZB299" s="11"/>
      <c r="LZC299" s="11"/>
      <c r="LZD299" s="11"/>
      <c r="LZE299" s="11"/>
      <c r="LZF299" s="11"/>
      <c r="LZG299" s="11"/>
      <c r="LZH299" s="11"/>
      <c r="LZI299" s="11"/>
      <c r="LZJ299" s="11"/>
      <c r="LZK299" s="11"/>
      <c r="LZL299" s="11"/>
      <c r="LZM299" s="11"/>
      <c r="LZN299" s="11"/>
      <c r="LZO299" s="11"/>
      <c r="LZP299" s="11"/>
      <c r="LZQ299" s="11"/>
      <c r="LZR299" s="11"/>
      <c r="LZS299" s="11"/>
      <c r="LZT299" s="11"/>
      <c r="LZU299" s="11"/>
      <c r="LZV299" s="11"/>
      <c r="LZW299" s="11"/>
      <c r="LZX299" s="11"/>
      <c r="LZY299" s="11"/>
      <c r="LZZ299" s="11"/>
      <c r="MAA299" s="11"/>
      <c r="MAB299" s="11"/>
      <c r="MAC299" s="11"/>
      <c r="MAD299" s="11"/>
      <c r="MAE299" s="11"/>
      <c r="MAF299" s="11"/>
      <c r="MAG299" s="11"/>
      <c r="MAH299" s="11"/>
      <c r="MAI299" s="11"/>
      <c r="MAJ299" s="11"/>
      <c r="MAK299" s="11"/>
      <c r="MAL299" s="11"/>
      <c r="MAM299" s="11"/>
      <c r="MAN299" s="11"/>
      <c r="MAO299" s="11"/>
      <c r="MAP299" s="11"/>
      <c r="MAQ299" s="11"/>
      <c r="MAR299" s="11"/>
      <c r="MAS299" s="11"/>
      <c r="MAT299" s="11"/>
      <c r="MAU299" s="11"/>
      <c r="MAV299" s="11"/>
      <c r="MAW299" s="11"/>
      <c r="MAX299" s="11"/>
      <c r="MAY299" s="11"/>
      <c r="MAZ299" s="11"/>
      <c r="MBA299" s="11"/>
      <c r="MBB299" s="11"/>
      <c r="MBC299" s="11"/>
      <c r="MBD299" s="11"/>
      <c r="MBE299" s="11"/>
      <c r="MBF299" s="11"/>
      <c r="MBG299" s="11"/>
      <c r="MBH299" s="11"/>
      <c r="MBI299" s="11"/>
      <c r="MBJ299" s="11"/>
      <c r="MBK299" s="11"/>
      <c r="MBL299" s="11"/>
      <c r="MBM299" s="11"/>
      <c r="MBN299" s="11"/>
      <c r="MBO299" s="11"/>
      <c r="MBP299" s="11"/>
      <c r="MBQ299" s="11"/>
      <c r="MBR299" s="11"/>
      <c r="MBS299" s="11"/>
      <c r="MBT299" s="11"/>
      <c r="MBU299" s="11"/>
      <c r="MBV299" s="11"/>
      <c r="MBW299" s="11"/>
      <c r="MBX299" s="11"/>
      <c r="MBY299" s="11"/>
      <c r="MBZ299" s="11"/>
      <c r="MCA299" s="11"/>
      <c r="MCB299" s="11"/>
      <c r="MCC299" s="11"/>
      <c r="MCD299" s="11"/>
      <c r="MCE299" s="11"/>
      <c r="MCF299" s="11"/>
      <c r="MCG299" s="11"/>
      <c r="MCH299" s="11"/>
      <c r="MCI299" s="11"/>
      <c r="MCJ299" s="11"/>
      <c r="MCK299" s="11"/>
      <c r="MCL299" s="11"/>
      <c r="MCM299" s="11"/>
      <c r="MCN299" s="11"/>
      <c r="MCO299" s="11"/>
      <c r="MCP299" s="11"/>
      <c r="MCQ299" s="11"/>
      <c r="MCR299" s="11"/>
      <c r="MCS299" s="11"/>
      <c r="MCT299" s="11"/>
      <c r="MCU299" s="11"/>
      <c r="MCV299" s="11"/>
      <c r="MCW299" s="11"/>
      <c r="MCX299" s="11"/>
      <c r="MCY299" s="11"/>
      <c r="MCZ299" s="11"/>
      <c r="MDA299" s="11"/>
      <c r="MDB299" s="11"/>
      <c r="MDC299" s="11"/>
      <c r="MDD299" s="11"/>
      <c r="MDE299" s="11"/>
      <c r="MDF299" s="11"/>
      <c r="MDG299" s="11"/>
      <c r="MDH299" s="11"/>
      <c r="MDI299" s="11"/>
      <c r="MDJ299" s="11"/>
      <c r="MDK299" s="11"/>
      <c r="MDL299" s="11"/>
      <c r="MDM299" s="11"/>
      <c r="MDN299" s="11"/>
      <c r="MDO299" s="11"/>
      <c r="MDP299" s="11"/>
      <c r="MDQ299" s="11"/>
      <c r="MDR299" s="11"/>
      <c r="MDS299" s="11"/>
      <c r="MDT299" s="11"/>
      <c r="MDU299" s="11"/>
      <c r="MDV299" s="11"/>
      <c r="MDW299" s="11"/>
      <c r="MDX299" s="11"/>
      <c r="MDY299" s="11"/>
      <c r="MDZ299" s="11"/>
      <c r="MEA299" s="11"/>
      <c r="MEB299" s="11"/>
      <c r="MEC299" s="11"/>
      <c r="MED299" s="11"/>
      <c r="MEE299" s="11"/>
      <c r="MEF299" s="11"/>
      <c r="MEG299" s="11"/>
      <c r="MEH299" s="11"/>
      <c r="MEI299" s="11"/>
      <c r="MEJ299" s="11"/>
      <c r="MEK299" s="11"/>
      <c r="MEL299" s="11"/>
      <c r="MEM299" s="11"/>
      <c r="MEN299" s="11"/>
      <c r="MEO299" s="11"/>
      <c r="MEP299" s="11"/>
      <c r="MEQ299" s="11"/>
      <c r="MER299" s="11"/>
      <c r="MES299" s="11"/>
      <c r="MET299" s="11"/>
      <c r="MEU299" s="11"/>
      <c r="MEV299" s="11"/>
      <c r="MEW299" s="11"/>
      <c r="MEX299" s="11"/>
      <c r="MEY299" s="11"/>
      <c r="MEZ299" s="11"/>
      <c r="MFA299" s="11"/>
      <c r="MFB299" s="11"/>
      <c r="MFC299" s="11"/>
      <c r="MFD299" s="11"/>
      <c r="MFE299" s="11"/>
      <c r="MFF299" s="11"/>
      <c r="MFG299" s="11"/>
      <c r="MFH299" s="11"/>
      <c r="MFI299" s="11"/>
      <c r="MFJ299" s="11"/>
      <c r="MFK299" s="11"/>
      <c r="MFL299" s="11"/>
      <c r="MFM299" s="11"/>
      <c r="MFN299" s="11"/>
      <c r="MFO299" s="11"/>
      <c r="MFP299" s="11"/>
      <c r="MFQ299" s="11"/>
      <c r="MFR299" s="11"/>
      <c r="MFS299" s="11"/>
      <c r="MFT299" s="11"/>
      <c r="MFU299" s="11"/>
      <c r="MFV299" s="11"/>
      <c r="MFW299" s="11"/>
      <c r="MFX299" s="11"/>
      <c r="MFY299" s="11"/>
      <c r="MFZ299" s="11"/>
      <c r="MGA299" s="11"/>
      <c r="MGB299" s="11"/>
      <c r="MGC299" s="11"/>
      <c r="MGD299" s="11"/>
      <c r="MGE299" s="11"/>
      <c r="MGF299" s="11"/>
      <c r="MGG299" s="11"/>
      <c r="MGH299" s="11"/>
      <c r="MGI299" s="11"/>
      <c r="MGJ299" s="11"/>
      <c r="MGK299" s="11"/>
      <c r="MGL299" s="11"/>
      <c r="MGM299" s="11"/>
      <c r="MGN299" s="11"/>
      <c r="MGO299" s="11"/>
      <c r="MGP299" s="11"/>
      <c r="MGQ299" s="11"/>
      <c r="MGR299" s="11"/>
      <c r="MGS299" s="11"/>
      <c r="MGT299" s="11"/>
      <c r="MGU299" s="11"/>
      <c r="MGV299" s="11"/>
      <c r="MGW299" s="11"/>
      <c r="MGX299" s="11"/>
      <c r="MGY299" s="11"/>
      <c r="MGZ299" s="11"/>
      <c r="MHA299" s="11"/>
      <c r="MHB299" s="11"/>
      <c r="MHC299" s="11"/>
      <c r="MHD299" s="11"/>
      <c r="MHE299" s="11"/>
      <c r="MHF299" s="11"/>
      <c r="MHG299" s="11"/>
      <c r="MHH299" s="11"/>
      <c r="MHI299" s="11"/>
      <c r="MHJ299" s="11"/>
      <c r="MHK299" s="11"/>
      <c r="MHL299" s="11"/>
      <c r="MHM299" s="11"/>
      <c r="MHN299" s="11"/>
      <c r="MHO299" s="11"/>
      <c r="MHP299" s="11"/>
      <c r="MHQ299" s="11"/>
      <c r="MHR299" s="11"/>
      <c r="MHS299" s="11"/>
      <c r="MHT299" s="11"/>
      <c r="MHU299" s="11"/>
      <c r="MHV299" s="11"/>
      <c r="MHW299" s="11"/>
      <c r="MHX299" s="11"/>
      <c r="MHY299" s="11"/>
      <c r="MHZ299" s="11"/>
      <c r="MIA299" s="11"/>
      <c r="MIB299" s="11"/>
      <c r="MIC299" s="11"/>
      <c r="MID299" s="11"/>
      <c r="MIE299" s="11"/>
      <c r="MIF299" s="11"/>
      <c r="MIG299" s="11"/>
      <c r="MIH299" s="11"/>
      <c r="MII299" s="11"/>
      <c r="MIJ299" s="11"/>
      <c r="MIK299" s="11"/>
      <c r="MIL299" s="11"/>
      <c r="MIM299" s="11"/>
      <c r="MIN299" s="11"/>
      <c r="MIO299" s="11"/>
      <c r="MIP299" s="11"/>
      <c r="MIQ299" s="11"/>
      <c r="MIR299" s="11"/>
      <c r="MIS299" s="11"/>
      <c r="MIT299" s="11"/>
      <c r="MIU299" s="11"/>
      <c r="MIV299" s="11"/>
      <c r="MIW299" s="11"/>
      <c r="MIX299" s="11"/>
      <c r="MIY299" s="11"/>
      <c r="MIZ299" s="11"/>
      <c r="MJA299" s="11"/>
      <c r="MJB299" s="11"/>
      <c r="MJC299" s="11"/>
      <c r="MJD299" s="11"/>
      <c r="MJE299" s="11"/>
      <c r="MJF299" s="11"/>
      <c r="MJG299" s="11"/>
      <c r="MJH299" s="11"/>
      <c r="MJI299" s="11"/>
      <c r="MJJ299" s="11"/>
      <c r="MJK299" s="11"/>
      <c r="MJL299" s="11"/>
      <c r="MJM299" s="11"/>
      <c r="MJN299" s="11"/>
      <c r="MJO299" s="11"/>
      <c r="MJP299" s="11"/>
      <c r="MJQ299" s="11"/>
      <c r="MJR299" s="11"/>
      <c r="MJS299" s="11"/>
      <c r="MJT299" s="11"/>
      <c r="MJU299" s="11"/>
      <c r="MJV299" s="11"/>
      <c r="MJW299" s="11"/>
      <c r="MJX299" s="11"/>
      <c r="MJY299" s="11"/>
      <c r="MJZ299" s="11"/>
      <c r="MKA299" s="11"/>
      <c r="MKB299" s="11"/>
      <c r="MKC299" s="11"/>
      <c r="MKD299" s="11"/>
      <c r="MKE299" s="11"/>
      <c r="MKF299" s="11"/>
      <c r="MKG299" s="11"/>
      <c r="MKH299" s="11"/>
      <c r="MKI299" s="11"/>
      <c r="MKJ299" s="11"/>
      <c r="MKK299" s="11"/>
      <c r="MKL299" s="11"/>
      <c r="MKM299" s="11"/>
      <c r="MKN299" s="11"/>
      <c r="MKO299" s="11"/>
      <c r="MKP299" s="11"/>
      <c r="MKQ299" s="11"/>
      <c r="MKR299" s="11"/>
      <c r="MKS299" s="11"/>
      <c r="MKT299" s="11"/>
      <c r="MKU299" s="11"/>
      <c r="MKV299" s="11"/>
      <c r="MKW299" s="11"/>
      <c r="MKX299" s="11"/>
      <c r="MKY299" s="11"/>
      <c r="MKZ299" s="11"/>
      <c r="MLA299" s="11"/>
      <c r="MLB299" s="11"/>
      <c r="MLC299" s="11"/>
      <c r="MLD299" s="11"/>
      <c r="MLE299" s="11"/>
      <c r="MLF299" s="11"/>
      <c r="MLG299" s="11"/>
      <c r="MLH299" s="11"/>
      <c r="MLI299" s="11"/>
      <c r="MLJ299" s="11"/>
      <c r="MLK299" s="11"/>
      <c r="MLL299" s="11"/>
      <c r="MLM299" s="11"/>
      <c r="MLN299" s="11"/>
      <c r="MLO299" s="11"/>
      <c r="MLP299" s="11"/>
      <c r="MLQ299" s="11"/>
      <c r="MLR299" s="11"/>
      <c r="MLS299" s="11"/>
      <c r="MLT299" s="11"/>
      <c r="MLU299" s="11"/>
      <c r="MLV299" s="11"/>
      <c r="MLW299" s="11"/>
      <c r="MLX299" s="11"/>
      <c r="MLY299" s="11"/>
      <c r="MLZ299" s="11"/>
      <c r="MMA299" s="11"/>
      <c r="MMB299" s="11"/>
      <c r="MMC299" s="11"/>
      <c r="MMD299" s="11"/>
      <c r="MME299" s="11"/>
      <c r="MMF299" s="11"/>
      <c r="MMG299" s="11"/>
      <c r="MMH299" s="11"/>
      <c r="MMI299" s="11"/>
      <c r="MMJ299" s="11"/>
      <c r="MMK299" s="11"/>
      <c r="MML299" s="11"/>
      <c r="MMM299" s="11"/>
      <c r="MMN299" s="11"/>
      <c r="MMO299" s="11"/>
      <c r="MMP299" s="11"/>
      <c r="MMQ299" s="11"/>
      <c r="MMR299" s="11"/>
      <c r="MMS299" s="11"/>
      <c r="MMT299" s="11"/>
      <c r="MMU299" s="11"/>
      <c r="MMV299" s="11"/>
      <c r="MMW299" s="11"/>
      <c r="MMX299" s="11"/>
      <c r="MMY299" s="11"/>
      <c r="MMZ299" s="11"/>
      <c r="MNA299" s="11"/>
      <c r="MNB299" s="11"/>
      <c r="MNC299" s="11"/>
      <c r="MND299" s="11"/>
      <c r="MNE299" s="11"/>
      <c r="MNF299" s="11"/>
      <c r="MNG299" s="11"/>
      <c r="MNH299" s="11"/>
      <c r="MNI299" s="11"/>
      <c r="MNJ299" s="11"/>
      <c r="MNK299" s="11"/>
      <c r="MNL299" s="11"/>
      <c r="MNM299" s="11"/>
      <c r="MNN299" s="11"/>
      <c r="MNO299" s="11"/>
      <c r="MNP299" s="11"/>
      <c r="MNQ299" s="11"/>
      <c r="MNR299" s="11"/>
      <c r="MNS299" s="11"/>
      <c r="MNT299" s="11"/>
      <c r="MNU299" s="11"/>
      <c r="MNV299" s="11"/>
      <c r="MNW299" s="11"/>
      <c r="MNX299" s="11"/>
      <c r="MNY299" s="11"/>
      <c r="MNZ299" s="11"/>
      <c r="MOA299" s="11"/>
      <c r="MOB299" s="11"/>
      <c r="MOC299" s="11"/>
      <c r="MOD299" s="11"/>
      <c r="MOE299" s="11"/>
      <c r="MOF299" s="11"/>
      <c r="MOG299" s="11"/>
      <c r="MOH299" s="11"/>
      <c r="MOI299" s="11"/>
      <c r="MOJ299" s="11"/>
      <c r="MOK299" s="11"/>
      <c r="MOL299" s="11"/>
      <c r="MOM299" s="11"/>
      <c r="MON299" s="11"/>
      <c r="MOO299" s="11"/>
      <c r="MOP299" s="11"/>
      <c r="MOQ299" s="11"/>
      <c r="MOR299" s="11"/>
      <c r="MOS299" s="11"/>
      <c r="MOT299" s="11"/>
      <c r="MOU299" s="11"/>
      <c r="MOV299" s="11"/>
      <c r="MOW299" s="11"/>
      <c r="MOX299" s="11"/>
      <c r="MOY299" s="11"/>
      <c r="MOZ299" s="11"/>
      <c r="MPA299" s="11"/>
      <c r="MPB299" s="11"/>
      <c r="MPC299" s="11"/>
      <c r="MPD299" s="11"/>
      <c r="MPE299" s="11"/>
      <c r="MPF299" s="11"/>
      <c r="MPG299" s="11"/>
      <c r="MPH299" s="11"/>
      <c r="MPI299" s="11"/>
      <c r="MPJ299" s="11"/>
      <c r="MPK299" s="11"/>
      <c r="MPL299" s="11"/>
      <c r="MPM299" s="11"/>
      <c r="MPN299" s="11"/>
      <c r="MPO299" s="11"/>
      <c r="MPP299" s="11"/>
      <c r="MPQ299" s="11"/>
      <c r="MPR299" s="11"/>
      <c r="MPS299" s="11"/>
      <c r="MPT299" s="11"/>
      <c r="MPU299" s="11"/>
      <c r="MPV299" s="11"/>
      <c r="MPW299" s="11"/>
      <c r="MPX299" s="11"/>
      <c r="MPY299" s="11"/>
      <c r="MPZ299" s="11"/>
      <c r="MQA299" s="11"/>
      <c r="MQB299" s="11"/>
      <c r="MQC299" s="11"/>
      <c r="MQD299" s="11"/>
      <c r="MQE299" s="11"/>
      <c r="MQF299" s="11"/>
      <c r="MQG299" s="11"/>
      <c r="MQH299" s="11"/>
      <c r="MQI299" s="11"/>
      <c r="MQJ299" s="11"/>
      <c r="MQK299" s="11"/>
      <c r="MQL299" s="11"/>
      <c r="MQM299" s="11"/>
      <c r="MQN299" s="11"/>
      <c r="MQO299" s="11"/>
      <c r="MQP299" s="11"/>
      <c r="MQQ299" s="11"/>
      <c r="MQR299" s="11"/>
      <c r="MQS299" s="11"/>
      <c r="MQT299" s="11"/>
      <c r="MQU299" s="11"/>
      <c r="MQV299" s="11"/>
      <c r="MQW299" s="11"/>
      <c r="MQX299" s="11"/>
      <c r="MQY299" s="11"/>
      <c r="MQZ299" s="11"/>
      <c r="MRA299" s="11"/>
      <c r="MRB299" s="11"/>
      <c r="MRC299" s="11"/>
      <c r="MRD299" s="11"/>
      <c r="MRE299" s="11"/>
      <c r="MRF299" s="11"/>
      <c r="MRG299" s="11"/>
      <c r="MRH299" s="11"/>
      <c r="MRI299" s="11"/>
      <c r="MRJ299" s="11"/>
      <c r="MRK299" s="11"/>
      <c r="MRL299" s="11"/>
      <c r="MRM299" s="11"/>
      <c r="MRN299" s="11"/>
      <c r="MRO299" s="11"/>
      <c r="MRP299" s="11"/>
      <c r="MRQ299" s="11"/>
      <c r="MRR299" s="11"/>
      <c r="MRS299" s="11"/>
      <c r="MRT299" s="11"/>
      <c r="MRU299" s="11"/>
      <c r="MRV299" s="11"/>
      <c r="MRW299" s="11"/>
      <c r="MRX299" s="11"/>
      <c r="MRY299" s="11"/>
      <c r="MRZ299" s="11"/>
      <c r="MSA299" s="11"/>
      <c r="MSB299" s="11"/>
      <c r="MSC299" s="11"/>
      <c r="MSD299" s="11"/>
      <c r="MSE299" s="11"/>
      <c r="MSF299" s="11"/>
      <c r="MSG299" s="11"/>
      <c r="MSH299" s="11"/>
      <c r="MSI299" s="11"/>
      <c r="MSJ299" s="11"/>
      <c r="MSK299" s="11"/>
      <c r="MSL299" s="11"/>
      <c r="MSM299" s="11"/>
      <c r="MSN299" s="11"/>
      <c r="MSO299" s="11"/>
      <c r="MSP299" s="11"/>
      <c r="MSQ299" s="11"/>
      <c r="MSR299" s="11"/>
      <c r="MSS299" s="11"/>
      <c r="MST299" s="11"/>
      <c r="MSU299" s="11"/>
      <c r="MSV299" s="11"/>
      <c r="MSW299" s="11"/>
      <c r="MSX299" s="11"/>
      <c r="MSY299" s="11"/>
      <c r="MSZ299" s="11"/>
      <c r="MTA299" s="11"/>
      <c r="MTB299" s="11"/>
      <c r="MTC299" s="11"/>
      <c r="MTD299" s="11"/>
      <c r="MTE299" s="11"/>
      <c r="MTF299" s="11"/>
      <c r="MTG299" s="11"/>
      <c r="MTH299" s="11"/>
      <c r="MTI299" s="11"/>
      <c r="MTJ299" s="11"/>
      <c r="MTK299" s="11"/>
      <c r="MTL299" s="11"/>
      <c r="MTM299" s="11"/>
      <c r="MTN299" s="11"/>
      <c r="MTO299" s="11"/>
      <c r="MTP299" s="11"/>
      <c r="MTQ299" s="11"/>
      <c r="MTR299" s="11"/>
      <c r="MTS299" s="11"/>
      <c r="MTT299" s="11"/>
      <c r="MTU299" s="11"/>
      <c r="MTV299" s="11"/>
      <c r="MTW299" s="11"/>
      <c r="MTX299" s="11"/>
      <c r="MTY299" s="11"/>
      <c r="MTZ299" s="11"/>
      <c r="MUA299" s="11"/>
      <c r="MUB299" s="11"/>
      <c r="MUC299" s="11"/>
      <c r="MUD299" s="11"/>
      <c r="MUE299" s="11"/>
      <c r="MUF299" s="11"/>
      <c r="MUG299" s="11"/>
      <c r="MUH299" s="11"/>
      <c r="MUI299" s="11"/>
      <c r="MUJ299" s="11"/>
      <c r="MUK299" s="11"/>
      <c r="MUL299" s="11"/>
      <c r="MUM299" s="11"/>
      <c r="MUN299" s="11"/>
      <c r="MUO299" s="11"/>
      <c r="MUP299" s="11"/>
      <c r="MUQ299" s="11"/>
      <c r="MUR299" s="11"/>
      <c r="MUS299" s="11"/>
      <c r="MUT299" s="11"/>
      <c r="MUU299" s="11"/>
      <c r="MUV299" s="11"/>
      <c r="MUW299" s="11"/>
      <c r="MUX299" s="11"/>
      <c r="MUY299" s="11"/>
      <c r="MUZ299" s="11"/>
      <c r="MVA299" s="11"/>
      <c r="MVB299" s="11"/>
      <c r="MVC299" s="11"/>
      <c r="MVD299" s="11"/>
      <c r="MVE299" s="11"/>
      <c r="MVF299" s="11"/>
      <c r="MVG299" s="11"/>
      <c r="MVH299" s="11"/>
      <c r="MVI299" s="11"/>
      <c r="MVJ299" s="11"/>
      <c r="MVK299" s="11"/>
      <c r="MVL299" s="11"/>
      <c r="MVM299" s="11"/>
      <c r="MVN299" s="11"/>
      <c r="MVO299" s="11"/>
      <c r="MVP299" s="11"/>
      <c r="MVQ299" s="11"/>
      <c r="MVR299" s="11"/>
      <c r="MVS299" s="11"/>
      <c r="MVT299" s="11"/>
      <c r="MVU299" s="11"/>
      <c r="MVV299" s="11"/>
      <c r="MVW299" s="11"/>
      <c r="MVX299" s="11"/>
      <c r="MVY299" s="11"/>
      <c r="MVZ299" s="11"/>
      <c r="MWA299" s="11"/>
      <c r="MWB299" s="11"/>
      <c r="MWC299" s="11"/>
      <c r="MWD299" s="11"/>
      <c r="MWE299" s="11"/>
      <c r="MWF299" s="11"/>
      <c r="MWG299" s="11"/>
      <c r="MWH299" s="11"/>
      <c r="MWI299" s="11"/>
      <c r="MWJ299" s="11"/>
      <c r="MWK299" s="11"/>
      <c r="MWL299" s="11"/>
      <c r="MWM299" s="11"/>
      <c r="MWN299" s="11"/>
      <c r="MWO299" s="11"/>
      <c r="MWP299" s="11"/>
      <c r="MWQ299" s="11"/>
      <c r="MWR299" s="11"/>
      <c r="MWS299" s="11"/>
      <c r="MWT299" s="11"/>
      <c r="MWU299" s="11"/>
      <c r="MWV299" s="11"/>
      <c r="MWW299" s="11"/>
      <c r="MWX299" s="11"/>
      <c r="MWY299" s="11"/>
      <c r="MWZ299" s="11"/>
      <c r="MXA299" s="11"/>
      <c r="MXB299" s="11"/>
      <c r="MXC299" s="11"/>
      <c r="MXD299" s="11"/>
      <c r="MXE299" s="11"/>
      <c r="MXF299" s="11"/>
      <c r="MXG299" s="11"/>
      <c r="MXH299" s="11"/>
      <c r="MXI299" s="11"/>
      <c r="MXJ299" s="11"/>
      <c r="MXK299" s="11"/>
      <c r="MXL299" s="11"/>
      <c r="MXM299" s="11"/>
      <c r="MXN299" s="11"/>
      <c r="MXO299" s="11"/>
      <c r="MXP299" s="11"/>
      <c r="MXQ299" s="11"/>
      <c r="MXR299" s="11"/>
      <c r="MXS299" s="11"/>
      <c r="MXT299" s="11"/>
      <c r="MXU299" s="11"/>
      <c r="MXV299" s="11"/>
      <c r="MXW299" s="11"/>
      <c r="MXX299" s="11"/>
      <c r="MXY299" s="11"/>
      <c r="MXZ299" s="11"/>
      <c r="MYA299" s="11"/>
      <c r="MYB299" s="11"/>
      <c r="MYC299" s="11"/>
      <c r="MYD299" s="11"/>
      <c r="MYE299" s="11"/>
      <c r="MYF299" s="11"/>
      <c r="MYG299" s="11"/>
      <c r="MYH299" s="11"/>
      <c r="MYI299" s="11"/>
      <c r="MYJ299" s="11"/>
      <c r="MYK299" s="11"/>
      <c r="MYL299" s="11"/>
      <c r="MYM299" s="11"/>
      <c r="MYN299" s="11"/>
      <c r="MYO299" s="11"/>
      <c r="MYP299" s="11"/>
      <c r="MYQ299" s="11"/>
      <c r="MYR299" s="11"/>
      <c r="MYS299" s="11"/>
      <c r="MYT299" s="11"/>
      <c r="MYU299" s="11"/>
      <c r="MYV299" s="11"/>
      <c r="MYW299" s="11"/>
      <c r="MYX299" s="11"/>
      <c r="MYY299" s="11"/>
      <c r="MYZ299" s="11"/>
      <c r="MZA299" s="11"/>
      <c r="MZB299" s="11"/>
      <c r="MZC299" s="11"/>
      <c r="MZD299" s="11"/>
      <c r="MZE299" s="11"/>
      <c r="MZF299" s="11"/>
      <c r="MZG299" s="11"/>
      <c r="MZH299" s="11"/>
      <c r="MZI299" s="11"/>
      <c r="MZJ299" s="11"/>
      <c r="MZK299" s="11"/>
      <c r="MZL299" s="11"/>
      <c r="MZM299" s="11"/>
      <c r="MZN299" s="11"/>
      <c r="MZO299" s="11"/>
      <c r="MZP299" s="11"/>
      <c r="MZQ299" s="11"/>
      <c r="MZR299" s="11"/>
      <c r="MZS299" s="11"/>
      <c r="MZT299" s="11"/>
      <c r="MZU299" s="11"/>
      <c r="MZV299" s="11"/>
      <c r="MZW299" s="11"/>
      <c r="MZX299" s="11"/>
      <c r="MZY299" s="11"/>
      <c r="MZZ299" s="11"/>
      <c r="NAA299" s="11"/>
      <c r="NAB299" s="11"/>
      <c r="NAC299" s="11"/>
      <c r="NAD299" s="11"/>
      <c r="NAE299" s="11"/>
      <c r="NAF299" s="11"/>
      <c r="NAG299" s="11"/>
      <c r="NAH299" s="11"/>
      <c r="NAI299" s="11"/>
      <c r="NAJ299" s="11"/>
      <c r="NAK299" s="11"/>
      <c r="NAL299" s="11"/>
      <c r="NAM299" s="11"/>
      <c r="NAN299" s="11"/>
      <c r="NAO299" s="11"/>
      <c r="NAP299" s="11"/>
      <c r="NAQ299" s="11"/>
      <c r="NAR299" s="11"/>
      <c r="NAS299" s="11"/>
      <c r="NAT299" s="11"/>
      <c r="NAU299" s="11"/>
      <c r="NAV299" s="11"/>
      <c r="NAW299" s="11"/>
      <c r="NAX299" s="11"/>
      <c r="NAY299" s="11"/>
      <c r="NAZ299" s="11"/>
      <c r="NBA299" s="11"/>
      <c r="NBB299" s="11"/>
      <c r="NBC299" s="11"/>
      <c r="NBD299" s="11"/>
      <c r="NBE299" s="11"/>
      <c r="NBF299" s="11"/>
      <c r="NBG299" s="11"/>
      <c r="NBH299" s="11"/>
      <c r="NBI299" s="11"/>
      <c r="NBJ299" s="11"/>
      <c r="NBK299" s="11"/>
      <c r="NBL299" s="11"/>
      <c r="NBM299" s="11"/>
      <c r="NBN299" s="11"/>
      <c r="NBO299" s="11"/>
      <c r="NBP299" s="11"/>
      <c r="NBQ299" s="11"/>
      <c r="NBR299" s="11"/>
      <c r="NBS299" s="11"/>
      <c r="NBT299" s="11"/>
      <c r="NBU299" s="11"/>
      <c r="NBV299" s="11"/>
      <c r="NBW299" s="11"/>
      <c r="NBX299" s="11"/>
      <c r="NBY299" s="11"/>
      <c r="NBZ299" s="11"/>
      <c r="NCA299" s="11"/>
      <c r="NCB299" s="11"/>
      <c r="NCC299" s="11"/>
      <c r="NCD299" s="11"/>
      <c r="NCE299" s="11"/>
      <c r="NCF299" s="11"/>
      <c r="NCG299" s="11"/>
      <c r="NCH299" s="11"/>
      <c r="NCI299" s="11"/>
      <c r="NCJ299" s="11"/>
      <c r="NCK299" s="11"/>
      <c r="NCL299" s="11"/>
      <c r="NCM299" s="11"/>
      <c r="NCN299" s="11"/>
      <c r="NCO299" s="11"/>
      <c r="NCP299" s="11"/>
      <c r="NCQ299" s="11"/>
      <c r="NCR299" s="11"/>
      <c r="NCS299" s="11"/>
      <c r="NCT299" s="11"/>
      <c r="NCU299" s="11"/>
      <c r="NCV299" s="11"/>
      <c r="NCW299" s="11"/>
      <c r="NCX299" s="11"/>
      <c r="NCY299" s="11"/>
      <c r="NCZ299" s="11"/>
      <c r="NDA299" s="11"/>
      <c r="NDB299" s="11"/>
      <c r="NDC299" s="11"/>
      <c r="NDD299" s="11"/>
      <c r="NDE299" s="11"/>
      <c r="NDF299" s="11"/>
      <c r="NDG299" s="11"/>
      <c r="NDH299" s="11"/>
      <c r="NDI299" s="11"/>
      <c r="NDJ299" s="11"/>
      <c r="NDK299" s="11"/>
      <c r="NDL299" s="11"/>
      <c r="NDM299" s="11"/>
      <c r="NDN299" s="11"/>
      <c r="NDO299" s="11"/>
      <c r="NDP299" s="11"/>
      <c r="NDQ299" s="11"/>
      <c r="NDR299" s="11"/>
      <c r="NDS299" s="11"/>
      <c r="NDT299" s="11"/>
      <c r="NDU299" s="11"/>
      <c r="NDV299" s="11"/>
      <c r="NDW299" s="11"/>
      <c r="NDX299" s="11"/>
      <c r="NDY299" s="11"/>
      <c r="NDZ299" s="11"/>
      <c r="NEA299" s="11"/>
      <c r="NEB299" s="11"/>
      <c r="NEC299" s="11"/>
      <c r="NED299" s="11"/>
      <c r="NEE299" s="11"/>
      <c r="NEF299" s="11"/>
      <c r="NEG299" s="11"/>
      <c r="NEH299" s="11"/>
      <c r="NEI299" s="11"/>
      <c r="NEJ299" s="11"/>
      <c r="NEK299" s="11"/>
      <c r="NEL299" s="11"/>
      <c r="NEM299" s="11"/>
      <c r="NEN299" s="11"/>
      <c r="NEO299" s="11"/>
      <c r="NEP299" s="11"/>
      <c r="NEQ299" s="11"/>
      <c r="NER299" s="11"/>
      <c r="NES299" s="11"/>
      <c r="NET299" s="11"/>
      <c r="NEU299" s="11"/>
      <c r="NEV299" s="11"/>
      <c r="NEW299" s="11"/>
      <c r="NEX299" s="11"/>
      <c r="NEY299" s="11"/>
      <c r="NEZ299" s="11"/>
      <c r="NFA299" s="11"/>
      <c r="NFB299" s="11"/>
      <c r="NFC299" s="11"/>
      <c r="NFD299" s="11"/>
      <c r="NFE299" s="11"/>
      <c r="NFF299" s="11"/>
      <c r="NFG299" s="11"/>
      <c r="NFH299" s="11"/>
      <c r="NFI299" s="11"/>
      <c r="NFJ299" s="11"/>
      <c r="NFK299" s="11"/>
      <c r="NFL299" s="11"/>
      <c r="NFM299" s="11"/>
      <c r="NFN299" s="11"/>
      <c r="NFO299" s="11"/>
      <c r="NFP299" s="11"/>
      <c r="NFQ299" s="11"/>
      <c r="NFR299" s="11"/>
      <c r="NFS299" s="11"/>
      <c r="NFT299" s="11"/>
      <c r="NFU299" s="11"/>
      <c r="NFV299" s="11"/>
      <c r="NFW299" s="11"/>
      <c r="NFX299" s="11"/>
      <c r="NFY299" s="11"/>
      <c r="NFZ299" s="11"/>
      <c r="NGA299" s="11"/>
      <c r="NGB299" s="11"/>
      <c r="NGC299" s="11"/>
      <c r="NGD299" s="11"/>
      <c r="NGE299" s="11"/>
      <c r="NGF299" s="11"/>
      <c r="NGG299" s="11"/>
      <c r="NGH299" s="11"/>
      <c r="NGI299" s="11"/>
      <c r="NGJ299" s="11"/>
      <c r="NGK299" s="11"/>
      <c r="NGL299" s="11"/>
      <c r="NGM299" s="11"/>
      <c r="NGN299" s="11"/>
      <c r="NGO299" s="11"/>
      <c r="NGP299" s="11"/>
      <c r="NGQ299" s="11"/>
      <c r="NGR299" s="11"/>
      <c r="NGS299" s="11"/>
      <c r="NGT299" s="11"/>
      <c r="NGU299" s="11"/>
      <c r="NGV299" s="11"/>
      <c r="NGW299" s="11"/>
      <c r="NGX299" s="11"/>
      <c r="NGY299" s="11"/>
      <c r="NGZ299" s="11"/>
      <c r="NHA299" s="11"/>
      <c r="NHB299" s="11"/>
      <c r="NHC299" s="11"/>
      <c r="NHD299" s="11"/>
      <c r="NHE299" s="11"/>
      <c r="NHF299" s="11"/>
      <c r="NHG299" s="11"/>
      <c r="NHH299" s="11"/>
      <c r="NHI299" s="11"/>
      <c r="NHJ299" s="11"/>
      <c r="NHK299" s="11"/>
      <c r="NHL299" s="11"/>
      <c r="NHM299" s="11"/>
      <c r="NHN299" s="11"/>
      <c r="NHO299" s="11"/>
      <c r="NHP299" s="11"/>
      <c r="NHQ299" s="11"/>
      <c r="NHR299" s="11"/>
      <c r="NHS299" s="11"/>
      <c r="NHT299" s="11"/>
      <c r="NHU299" s="11"/>
      <c r="NHV299" s="11"/>
      <c r="NHW299" s="11"/>
      <c r="NHX299" s="11"/>
      <c r="NHY299" s="11"/>
      <c r="NHZ299" s="11"/>
      <c r="NIA299" s="11"/>
      <c r="NIB299" s="11"/>
      <c r="NIC299" s="11"/>
      <c r="NID299" s="11"/>
      <c r="NIE299" s="11"/>
      <c r="NIF299" s="11"/>
      <c r="NIG299" s="11"/>
      <c r="NIH299" s="11"/>
      <c r="NII299" s="11"/>
      <c r="NIJ299" s="11"/>
      <c r="NIK299" s="11"/>
      <c r="NIL299" s="11"/>
      <c r="NIM299" s="11"/>
      <c r="NIN299" s="11"/>
      <c r="NIO299" s="11"/>
      <c r="NIP299" s="11"/>
      <c r="NIQ299" s="11"/>
      <c r="NIR299" s="11"/>
      <c r="NIS299" s="11"/>
      <c r="NIT299" s="11"/>
      <c r="NIU299" s="11"/>
      <c r="NIV299" s="11"/>
      <c r="NIW299" s="11"/>
      <c r="NIX299" s="11"/>
      <c r="NIY299" s="11"/>
      <c r="NIZ299" s="11"/>
      <c r="NJA299" s="11"/>
      <c r="NJB299" s="11"/>
      <c r="NJC299" s="11"/>
      <c r="NJD299" s="11"/>
      <c r="NJE299" s="11"/>
      <c r="NJF299" s="11"/>
      <c r="NJG299" s="11"/>
      <c r="NJH299" s="11"/>
      <c r="NJI299" s="11"/>
      <c r="NJJ299" s="11"/>
      <c r="NJK299" s="11"/>
      <c r="NJL299" s="11"/>
      <c r="NJM299" s="11"/>
      <c r="NJN299" s="11"/>
      <c r="NJO299" s="11"/>
      <c r="NJP299" s="11"/>
      <c r="NJQ299" s="11"/>
      <c r="NJR299" s="11"/>
      <c r="NJS299" s="11"/>
      <c r="NJT299" s="11"/>
      <c r="NJU299" s="11"/>
      <c r="NJV299" s="11"/>
      <c r="NJW299" s="11"/>
      <c r="NJX299" s="11"/>
      <c r="NJY299" s="11"/>
      <c r="NJZ299" s="11"/>
      <c r="NKA299" s="11"/>
      <c r="NKB299" s="11"/>
      <c r="NKC299" s="11"/>
      <c r="NKD299" s="11"/>
      <c r="NKE299" s="11"/>
      <c r="NKF299" s="11"/>
      <c r="NKG299" s="11"/>
      <c r="NKH299" s="11"/>
      <c r="NKI299" s="11"/>
      <c r="NKJ299" s="11"/>
      <c r="NKK299" s="11"/>
      <c r="NKL299" s="11"/>
      <c r="NKM299" s="11"/>
      <c r="NKN299" s="11"/>
      <c r="NKO299" s="11"/>
      <c r="NKP299" s="11"/>
      <c r="NKQ299" s="11"/>
      <c r="NKR299" s="11"/>
      <c r="NKS299" s="11"/>
      <c r="NKT299" s="11"/>
      <c r="NKU299" s="11"/>
      <c r="NKV299" s="11"/>
      <c r="NKW299" s="11"/>
      <c r="NKX299" s="11"/>
      <c r="NKY299" s="11"/>
      <c r="NKZ299" s="11"/>
      <c r="NLA299" s="11"/>
      <c r="NLB299" s="11"/>
      <c r="NLC299" s="11"/>
      <c r="NLD299" s="11"/>
      <c r="NLE299" s="11"/>
      <c r="NLF299" s="11"/>
      <c r="NLG299" s="11"/>
      <c r="NLH299" s="11"/>
      <c r="NLI299" s="11"/>
      <c r="NLJ299" s="11"/>
      <c r="NLK299" s="11"/>
      <c r="NLL299" s="11"/>
      <c r="NLM299" s="11"/>
      <c r="NLN299" s="11"/>
      <c r="NLO299" s="11"/>
      <c r="NLP299" s="11"/>
      <c r="NLQ299" s="11"/>
      <c r="NLR299" s="11"/>
      <c r="NLS299" s="11"/>
      <c r="NLT299" s="11"/>
      <c r="NLU299" s="11"/>
      <c r="NLV299" s="11"/>
      <c r="NLW299" s="11"/>
      <c r="NLX299" s="11"/>
      <c r="NLY299" s="11"/>
      <c r="NLZ299" s="11"/>
      <c r="NMA299" s="11"/>
      <c r="NMB299" s="11"/>
      <c r="NMC299" s="11"/>
      <c r="NMD299" s="11"/>
      <c r="NME299" s="11"/>
      <c r="NMF299" s="11"/>
      <c r="NMG299" s="11"/>
      <c r="NMH299" s="11"/>
      <c r="NMI299" s="11"/>
      <c r="NMJ299" s="11"/>
      <c r="NMK299" s="11"/>
      <c r="NML299" s="11"/>
      <c r="NMM299" s="11"/>
      <c r="NMN299" s="11"/>
      <c r="NMO299" s="11"/>
      <c r="NMP299" s="11"/>
      <c r="NMQ299" s="11"/>
      <c r="NMR299" s="11"/>
      <c r="NMS299" s="11"/>
      <c r="NMT299" s="11"/>
      <c r="NMU299" s="11"/>
      <c r="NMV299" s="11"/>
      <c r="NMW299" s="11"/>
      <c r="NMX299" s="11"/>
      <c r="NMY299" s="11"/>
      <c r="NMZ299" s="11"/>
      <c r="NNA299" s="11"/>
      <c r="NNB299" s="11"/>
      <c r="NNC299" s="11"/>
      <c r="NND299" s="11"/>
      <c r="NNE299" s="11"/>
      <c r="NNF299" s="11"/>
      <c r="NNG299" s="11"/>
      <c r="NNH299" s="11"/>
      <c r="NNI299" s="11"/>
      <c r="NNJ299" s="11"/>
      <c r="NNK299" s="11"/>
      <c r="NNL299" s="11"/>
      <c r="NNM299" s="11"/>
      <c r="NNN299" s="11"/>
      <c r="NNO299" s="11"/>
      <c r="NNP299" s="11"/>
      <c r="NNQ299" s="11"/>
      <c r="NNR299" s="11"/>
      <c r="NNS299" s="11"/>
      <c r="NNT299" s="11"/>
      <c r="NNU299" s="11"/>
      <c r="NNV299" s="11"/>
      <c r="NNW299" s="11"/>
      <c r="NNX299" s="11"/>
      <c r="NNY299" s="11"/>
      <c r="NNZ299" s="11"/>
      <c r="NOA299" s="11"/>
      <c r="NOB299" s="11"/>
      <c r="NOC299" s="11"/>
      <c r="NOD299" s="11"/>
      <c r="NOE299" s="11"/>
      <c r="NOF299" s="11"/>
      <c r="NOG299" s="11"/>
      <c r="NOH299" s="11"/>
      <c r="NOI299" s="11"/>
      <c r="NOJ299" s="11"/>
      <c r="NOK299" s="11"/>
      <c r="NOL299" s="11"/>
      <c r="NOM299" s="11"/>
      <c r="NON299" s="11"/>
      <c r="NOO299" s="11"/>
      <c r="NOP299" s="11"/>
      <c r="NOQ299" s="11"/>
      <c r="NOR299" s="11"/>
      <c r="NOS299" s="11"/>
      <c r="NOT299" s="11"/>
      <c r="NOU299" s="11"/>
      <c r="NOV299" s="11"/>
      <c r="NOW299" s="11"/>
      <c r="NOX299" s="11"/>
      <c r="NOY299" s="11"/>
      <c r="NOZ299" s="11"/>
      <c r="NPA299" s="11"/>
      <c r="NPB299" s="11"/>
      <c r="NPC299" s="11"/>
      <c r="NPD299" s="11"/>
      <c r="NPE299" s="11"/>
      <c r="NPF299" s="11"/>
      <c r="NPG299" s="11"/>
      <c r="NPH299" s="11"/>
      <c r="NPI299" s="11"/>
      <c r="NPJ299" s="11"/>
      <c r="NPK299" s="11"/>
      <c r="NPL299" s="11"/>
      <c r="NPM299" s="11"/>
      <c r="NPN299" s="11"/>
      <c r="NPO299" s="11"/>
      <c r="NPP299" s="11"/>
      <c r="NPQ299" s="11"/>
      <c r="NPR299" s="11"/>
      <c r="NPS299" s="11"/>
      <c r="NPT299" s="11"/>
      <c r="NPU299" s="11"/>
      <c r="NPV299" s="11"/>
      <c r="NPW299" s="11"/>
      <c r="NPX299" s="11"/>
      <c r="NPY299" s="11"/>
      <c r="NPZ299" s="11"/>
      <c r="NQA299" s="11"/>
      <c r="NQB299" s="11"/>
      <c r="NQC299" s="11"/>
      <c r="NQD299" s="11"/>
      <c r="NQE299" s="11"/>
      <c r="NQF299" s="11"/>
      <c r="NQG299" s="11"/>
      <c r="NQH299" s="11"/>
      <c r="NQI299" s="11"/>
      <c r="NQJ299" s="11"/>
      <c r="NQK299" s="11"/>
      <c r="NQL299" s="11"/>
      <c r="NQM299" s="11"/>
      <c r="NQN299" s="11"/>
      <c r="NQO299" s="11"/>
      <c r="NQP299" s="11"/>
      <c r="NQQ299" s="11"/>
      <c r="NQR299" s="11"/>
      <c r="NQS299" s="11"/>
      <c r="NQT299" s="11"/>
      <c r="NQU299" s="11"/>
      <c r="NQV299" s="11"/>
      <c r="NQW299" s="11"/>
      <c r="NQX299" s="11"/>
      <c r="NQY299" s="11"/>
      <c r="NQZ299" s="11"/>
      <c r="NRA299" s="11"/>
      <c r="NRB299" s="11"/>
      <c r="NRC299" s="11"/>
      <c r="NRD299" s="11"/>
      <c r="NRE299" s="11"/>
      <c r="NRF299" s="11"/>
      <c r="NRG299" s="11"/>
      <c r="NRH299" s="11"/>
      <c r="NRI299" s="11"/>
      <c r="NRJ299" s="11"/>
      <c r="NRK299" s="11"/>
      <c r="NRL299" s="11"/>
      <c r="NRM299" s="11"/>
      <c r="NRN299" s="11"/>
      <c r="NRO299" s="11"/>
      <c r="NRP299" s="11"/>
      <c r="NRQ299" s="11"/>
      <c r="NRR299" s="11"/>
      <c r="NRS299" s="11"/>
      <c r="NRT299" s="11"/>
      <c r="NRU299" s="11"/>
      <c r="NRV299" s="11"/>
      <c r="NRW299" s="11"/>
      <c r="NRX299" s="11"/>
      <c r="NRY299" s="11"/>
      <c r="NRZ299" s="11"/>
      <c r="NSA299" s="11"/>
      <c r="NSB299" s="11"/>
      <c r="NSC299" s="11"/>
      <c r="NSD299" s="11"/>
      <c r="NSE299" s="11"/>
      <c r="NSF299" s="11"/>
      <c r="NSG299" s="11"/>
      <c r="NSH299" s="11"/>
      <c r="NSI299" s="11"/>
      <c r="NSJ299" s="11"/>
      <c r="NSK299" s="11"/>
      <c r="NSL299" s="11"/>
      <c r="NSM299" s="11"/>
      <c r="NSN299" s="11"/>
      <c r="NSO299" s="11"/>
      <c r="NSP299" s="11"/>
      <c r="NSQ299" s="11"/>
      <c r="NSR299" s="11"/>
      <c r="NSS299" s="11"/>
      <c r="NST299" s="11"/>
      <c r="NSU299" s="11"/>
      <c r="NSV299" s="11"/>
      <c r="NSW299" s="11"/>
      <c r="NSX299" s="11"/>
      <c r="NSY299" s="11"/>
      <c r="NSZ299" s="11"/>
      <c r="NTA299" s="11"/>
      <c r="NTB299" s="11"/>
      <c r="NTC299" s="11"/>
      <c r="NTD299" s="11"/>
      <c r="NTE299" s="11"/>
      <c r="NTF299" s="11"/>
      <c r="NTG299" s="11"/>
      <c r="NTH299" s="11"/>
      <c r="NTI299" s="11"/>
      <c r="NTJ299" s="11"/>
      <c r="NTK299" s="11"/>
      <c r="NTL299" s="11"/>
      <c r="NTM299" s="11"/>
      <c r="NTN299" s="11"/>
      <c r="NTO299" s="11"/>
      <c r="NTP299" s="11"/>
      <c r="NTQ299" s="11"/>
      <c r="NTR299" s="11"/>
      <c r="NTS299" s="11"/>
      <c r="NTT299" s="11"/>
      <c r="NTU299" s="11"/>
      <c r="NTV299" s="11"/>
      <c r="NTW299" s="11"/>
      <c r="NTX299" s="11"/>
      <c r="NTY299" s="11"/>
      <c r="NTZ299" s="11"/>
      <c r="NUA299" s="11"/>
      <c r="NUB299" s="11"/>
      <c r="NUC299" s="11"/>
      <c r="NUD299" s="11"/>
      <c r="NUE299" s="11"/>
      <c r="NUF299" s="11"/>
      <c r="NUG299" s="11"/>
      <c r="NUH299" s="11"/>
      <c r="NUI299" s="11"/>
      <c r="NUJ299" s="11"/>
      <c r="NUK299" s="11"/>
      <c r="NUL299" s="11"/>
      <c r="NUM299" s="11"/>
      <c r="NUN299" s="11"/>
      <c r="NUO299" s="11"/>
      <c r="NUP299" s="11"/>
      <c r="NUQ299" s="11"/>
      <c r="NUR299" s="11"/>
      <c r="NUS299" s="11"/>
      <c r="NUT299" s="11"/>
      <c r="NUU299" s="11"/>
      <c r="NUV299" s="11"/>
      <c r="NUW299" s="11"/>
      <c r="NUX299" s="11"/>
      <c r="NUY299" s="11"/>
      <c r="NUZ299" s="11"/>
      <c r="NVA299" s="11"/>
      <c r="NVB299" s="11"/>
      <c r="NVC299" s="11"/>
      <c r="NVD299" s="11"/>
      <c r="NVE299" s="11"/>
      <c r="NVF299" s="11"/>
      <c r="NVG299" s="11"/>
      <c r="NVH299" s="11"/>
      <c r="NVI299" s="11"/>
      <c r="NVJ299" s="11"/>
      <c r="NVK299" s="11"/>
      <c r="NVL299" s="11"/>
      <c r="NVM299" s="11"/>
      <c r="NVN299" s="11"/>
      <c r="NVO299" s="11"/>
      <c r="NVP299" s="11"/>
      <c r="NVQ299" s="11"/>
      <c r="NVR299" s="11"/>
      <c r="NVS299" s="11"/>
      <c r="NVT299" s="11"/>
      <c r="NVU299" s="11"/>
      <c r="NVV299" s="11"/>
      <c r="NVW299" s="11"/>
      <c r="NVX299" s="11"/>
      <c r="NVY299" s="11"/>
      <c r="NVZ299" s="11"/>
      <c r="NWA299" s="11"/>
      <c r="NWB299" s="11"/>
      <c r="NWC299" s="11"/>
      <c r="NWD299" s="11"/>
      <c r="NWE299" s="11"/>
      <c r="NWF299" s="11"/>
      <c r="NWG299" s="11"/>
      <c r="NWH299" s="11"/>
      <c r="NWI299" s="11"/>
      <c r="NWJ299" s="11"/>
      <c r="NWK299" s="11"/>
      <c r="NWL299" s="11"/>
      <c r="NWM299" s="11"/>
      <c r="NWN299" s="11"/>
      <c r="NWO299" s="11"/>
      <c r="NWP299" s="11"/>
      <c r="NWQ299" s="11"/>
      <c r="NWR299" s="11"/>
      <c r="NWS299" s="11"/>
      <c r="NWT299" s="11"/>
      <c r="NWU299" s="11"/>
      <c r="NWV299" s="11"/>
      <c r="NWW299" s="11"/>
      <c r="NWX299" s="11"/>
      <c r="NWY299" s="11"/>
      <c r="NWZ299" s="11"/>
      <c r="NXA299" s="11"/>
      <c r="NXB299" s="11"/>
      <c r="NXC299" s="11"/>
      <c r="NXD299" s="11"/>
      <c r="NXE299" s="11"/>
      <c r="NXF299" s="11"/>
      <c r="NXG299" s="11"/>
      <c r="NXH299" s="11"/>
      <c r="NXI299" s="11"/>
      <c r="NXJ299" s="11"/>
      <c r="NXK299" s="11"/>
      <c r="NXL299" s="11"/>
      <c r="NXM299" s="11"/>
      <c r="NXN299" s="11"/>
      <c r="NXO299" s="11"/>
      <c r="NXP299" s="11"/>
      <c r="NXQ299" s="11"/>
      <c r="NXR299" s="11"/>
      <c r="NXS299" s="11"/>
      <c r="NXT299" s="11"/>
      <c r="NXU299" s="11"/>
      <c r="NXV299" s="11"/>
      <c r="NXW299" s="11"/>
      <c r="NXX299" s="11"/>
      <c r="NXY299" s="11"/>
      <c r="NXZ299" s="11"/>
      <c r="NYA299" s="11"/>
      <c r="NYB299" s="11"/>
      <c r="NYC299" s="11"/>
      <c r="NYD299" s="11"/>
      <c r="NYE299" s="11"/>
      <c r="NYF299" s="11"/>
      <c r="NYG299" s="11"/>
      <c r="NYH299" s="11"/>
      <c r="NYI299" s="11"/>
      <c r="NYJ299" s="11"/>
      <c r="NYK299" s="11"/>
      <c r="NYL299" s="11"/>
      <c r="NYM299" s="11"/>
      <c r="NYN299" s="11"/>
      <c r="NYO299" s="11"/>
      <c r="NYP299" s="11"/>
      <c r="NYQ299" s="11"/>
      <c r="NYR299" s="11"/>
      <c r="NYS299" s="11"/>
      <c r="NYT299" s="11"/>
      <c r="NYU299" s="11"/>
      <c r="NYV299" s="11"/>
      <c r="NYW299" s="11"/>
      <c r="NYX299" s="11"/>
      <c r="NYY299" s="11"/>
      <c r="NYZ299" s="11"/>
      <c r="NZA299" s="11"/>
      <c r="NZB299" s="11"/>
      <c r="NZC299" s="11"/>
      <c r="NZD299" s="11"/>
      <c r="NZE299" s="11"/>
      <c r="NZF299" s="11"/>
      <c r="NZG299" s="11"/>
      <c r="NZH299" s="11"/>
      <c r="NZI299" s="11"/>
      <c r="NZJ299" s="11"/>
      <c r="NZK299" s="11"/>
      <c r="NZL299" s="11"/>
      <c r="NZM299" s="11"/>
      <c r="NZN299" s="11"/>
      <c r="NZO299" s="11"/>
      <c r="NZP299" s="11"/>
      <c r="NZQ299" s="11"/>
      <c r="NZR299" s="11"/>
      <c r="NZS299" s="11"/>
      <c r="NZT299" s="11"/>
      <c r="NZU299" s="11"/>
      <c r="NZV299" s="11"/>
      <c r="NZW299" s="11"/>
      <c r="NZX299" s="11"/>
      <c r="NZY299" s="11"/>
      <c r="NZZ299" s="11"/>
      <c r="OAA299" s="11"/>
      <c r="OAB299" s="11"/>
      <c r="OAC299" s="11"/>
      <c r="OAD299" s="11"/>
      <c r="OAE299" s="11"/>
      <c r="OAF299" s="11"/>
      <c r="OAG299" s="11"/>
      <c r="OAH299" s="11"/>
      <c r="OAI299" s="11"/>
      <c r="OAJ299" s="11"/>
      <c r="OAK299" s="11"/>
      <c r="OAL299" s="11"/>
      <c r="OAM299" s="11"/>
      <c r="OAN299" s="11"/>
      <c r="OAO299" s="11"/>
      <c r="OAP299" s="11"/>
      <c r="OAQ299" s="11"/>
      <c r="OAR299" s="11"/>
      <c r="OAS299" s="11"/>
      <c r="OAT299" s="11"/>
      <c r="OAU299" s="11"/>
      <c r="OAV299" s="11"/>
      <c r="OAW299" s="11"/>
      <c r="OAX299" s="11"/>
      <c r="OAY299" s="11"/>
      <c r="OAZ299" s="11"/>
      <c r="OBA299" s="11"/>
      <c r="OBB299" s="11"/>
      <c r="OBC299" s="11"/>
      <c r="OBD299" s="11"/>
      <c r="OBE299" s="11"/>
      <c r="OBF299" s="11"/>
      <c r="OBG299" s="11"/>
      <c r="OBH299" s="11"/>
      <c r="OBI299" s="11"/>
      <c r="OBJ299" s="11"/>
      <c r="OBK299" s="11"/>
      <c r="OBL299" s="11"/>
      <c r="OBM299" s="11"/>
      <c r="OBN299" s="11"/>
      <c r="OBO299" s="11"/>
      <c r="OBP299" s="11"/>
      <c r="OBQ299" s="11"/>
      <c r="OBR299" s="11"/>
      <c r="OBS299" s="11"/>
      <c r="OBT299" s="11"/>
      <c r="OBU299" s="11"/>
      <c r="OBV299" s="11"/>
      <c r="OBW299" s="11"/>
      <c r="OBX299" s="11"/>
      <c r="OBY299" s="11"/>
      <c r="OBZ299" s="11"/>
      <c r="OCA299" s="11"/>
      <c r="OCB299" s="11"/>
      <c r="OCC299" s="11"/>
      <c r="OCD299" s="11"/>
      <c r="OCE299" s="11"/>
      <c r="OCF299" s="11"/>
      <c r="OCG299" s="11"/>
      <c r="OCH299" s="11"/>
      <c r="OCI299" s="11"/>
      <c r="OCJ299" s="11"/>
      <c r="OCK299" s="11"/>
      <c r="OCL299" s="11"/>
      <c r="OCM299" s="11"/>
      <c r="OCN299" s="11"/>
      <c r="OCO299" s="11"/>
      <c r="OCP299" s="11"/>
      <c r="OCQ299" s="11"/>
      <c r="OCR299" s="11"/>
      <c r="OCS299" s="11"/>
      <c r="OCT299" s="11"/>
      <c r="OCU299" s="11"/>
      <c r="OCV299" s="11"/>
      <c r="OCW299" s="11"/>
      <c r="OCX299" s="11"/>
      <c r="OCY299" s="11"/>
      <c r="OCZ299" s="11"/>
      <c r="ODA299" s="11"/>
      <c r="ODB299" s="11"/>
      <c r="ODC299" s="11"/>
      <c r="ODD299" s="11"/>
      <c r="ODE299" s="11"/>
      <c r="ODF299" s="11"/>
      <c r="ODG299" s="11"/>
      <c r="ODH299" s="11"/>
      <c r="ODI299" s="11"/>
      <c r="ODJ299" s="11"/>
      <c r="ODK299" s="11"/>
      <c r="ODL299" s="11"/>
      <c r="ODM299" s="11"/>
      <c r="ODN299" s="11"/>
      <c r="ODO299" s="11"/>
      <c r="ODP299" s="11"/>
      <c r="ODQ299" s="11"/>
      <c r="ODR299" s="11"/>
      <c r="ODS299" s="11"/>
      <c r="ODT299" s="11"/>
      <c r="ODU299" s="11"/>
      <c r="ODV299" s="11"/>
      <c r="ODW299" s="11"/>
      <c r="ODX299" s="11"/>
      <c r="ODY299" s="11"/>
      <c r="ODZ299" s="11"/>
      <c r="OEA299" s="11"/>
      <c r="OEB299" s="11"/>
      <c r="OEC299" s="11"/>
      <c r="OED299" s="11"/>
      <c r="OEE299" s="11"/>
      <c r="OEF299" s="11"/>
      <c r="OEG299" s="11"/>
      <c r="OEH299" s="11"/>
      <c r="OEI299" s="11"/>
      <c r="OEJ299" s="11"/>
      <c r="OEK299" s="11"/>
      <c r="OEL299" s="11"/>
      <c r="OEM299" s="11"/>
      <c r="OEN299" s="11"/>
      <c r="OEO299" s="11"/>
      <c r="OEP299" s="11"/>
      <c r="OEQ299" s="11"/>
      <c r="OER299" s="11"/>
      <c r="OES299" s="11"/>
      <c r="OET299" s="11"/>
      <c r="OEU299" s="11"/>
      <c r="OEV299" s="11"/>
      <c r="OEW299" s="11"/>
      <c r="OEX299" s="11"/>
      <c r="OEY299" s="11"/>
      <c r="OEZ299" s="11"/>
      <c r="OFA299" s="11"/>
      <c r="OFB299" s="11"/>
      <c r="OFC299" s="11"/>
      <c r="OFD299" s="11"/>
      <c r="OFE299" s="11"/>
      <c r="OFF299" s="11"/>
      <c r="OFG299" s="11"/>
      <c r="OFH299" s="11"/>
      <c r="OFI299" s="11"/>
      <c r="OFJ299" s="11"/>
      <c r="OFK299" s="11"/>
      <c r="OFL299" s="11"/>
      <c r="OFM299" s="11"/>
      <c r="OFN299" s="11"/>
      <c r="OFO299" s="11"/>
      <c r="OFP299" s="11"/>
      <c r="OFQ299" s="11"/>
      <c r="OFR299" s="11"/>
      <c r="OFS299" s="11"/>
      <c r="OFT299" s="11"/>
      <c r="OFU299" s="11"/>
      <c r="OFV299" s="11"/>
      <c r="OFW299" s="11"/>
      <c r="OFX299" s="11"/>
      <c r="OFY299" s="11"/>
      <c r="OFZ299" s="11"/>
      <c r="OGA299" s="11"/>
      <c r="OGB299" s="11"/>
      <c r="OGC299" s="11"/>
      <c r="OGD299" s="11"/>
      <c r="OGE299" s="11"/>
      <c r="OGF299" s="11"/>
      <c r="OGG299" s="11"/>
      <c r="OGH299" s="11"/>
      <c r="OGI299" s="11"/>
      <c r="OGJ299" s="11"/>
      <c r="OGK299" s="11"/>
      <c r="OGL299" s="11"/>
      <c r="OGM299" s="11"/>
      <c r="OGN299" s="11"/>
      <c r="OGO299" s="11"/>
      <c r="OGP299" s="11"/>
      <c r="OGQ299" s="11"/>
      <c r="OGR299" s="11"/>
      <c r="OGS299" s="11"/>
      <c r="OGT299" s="11"/>
      <c r="OGU299" s="11"/>
      <c r="OGV299" s="11"/>
      <c r="OGW299" s="11"/>
      <c r="OGX299" s="11"/>
      <c r="OGY299" s="11"/>
      <c r="OGZ299" s="11"/>
      <c r="OHA299" s="11"/>
      <c r="OHB299" s="11"/>
      <c r="OHC299" s="11"/>
      <c r="OHD299" s="11"/>
      <c r="OHE299" s="11"/>
      <c r="OHF299" s="11"/>
      <c r="OHG299" s="11"/>
      <c r="OHH299" s="11"/>
      <c r="OHI299" s="11"/>
      <c r="OHJ299" s="11"/>
      <c r="OHK299" s="11"/>
      <c r="OHL299" s="11"/>
      <c r="OHM299" s="11"/>
      <c r="OHN299" s="11"/>
      <c r="OHO299" s="11"/>
      <c r="OHP299" s="11"/>
      <c r="OHQ299" s="11"/>
      <c r="OHR299" s="11"/>
      <c r="OHS299" s="11"/>
      <c r="OHT299" s="11"/>
      <c r="OHU299" s="11"/>
      <c r="OHV299" s="11"/>
      <c r="OHW299" s="11"/>
      <c r="OHX299" s="11"/>
      <c r="OHY299" s="11"/>
      <c r="OHZ299" s="11"/>
      <c r="OIA299" s="11"/>
      <c r="OIB299" s="11"/>
      <c r="OIC299" s="11"/>
      <c r="OID299" s="11"/>
      <c r="OIE299" s="11"/>
      <c r="OIF299" s="11"/>
      <c r="OIG299" s="11"/>
      <c r="OIH299" s="11"/>
      <c r="OII299" s="11"/>
      <c r="OIJ299" s="11"/>
      <c r="OIK299" s="11"/>
      <c r="OIL299" s="11"/>
      <c r="OIM299" s="11"/>
      <c r="OIN299" s="11"/>
      <c r="OIO299" s="11"/>
      <c r="OIP299" s="11"/>
      <c r="OIQ299" s="11"/>
      <c r="OIR299" s="11"/>
      <c r="OIS299" s="11"/>
      <c r="OIT299" s="11"/>
      <c r="OIU299" s="11"/>
      <c r="OIV299" s="11"/>
      <c r="OIW299" s="11"/>
      <c r="OIX299" s="11"/>
      <c r="OIY299" s="11"/>
      <c r="OIZ299" s="11"/>
      <c r="OJA299" s="11"/>
      <c r="OJB299" s="11"/>
      <c r="OJC299" s="11"/>
      <c r="OJD299" s="11"/>
      <c r="OJE299" s="11"/>
      <c r="OJF299" s="11"/>
      <c r="OJG299" s="11"/>
      <c r="OJH299" s="11"/>
      <c r="OJI299" s="11"/>
      <c r="OJJ299" s="11"/>
      <c r="OJK299" s="11"/>
      <c r="OJL299" s="11"/>
      <c r="OJM299" s="11"/>
      <c r="OJN299" s="11"/>
      <c r="OJO299" s="11"/>
      <c r="OJP299" s="11"/>
      <c r="OJQ299" s="11"/>
      <c r="OJR299" s="11"/>
      <c r="OJS299" s="11"/>
      <c r="OJT299" s="11"/>
      <c r="OJU299" s="11"/>
      <c r="OJV299" s="11"/>
      <c r="OJW299" s="11"/>
      <c r="OJX299" s="11"/>
      <c r="OJY299" s="11"/>
      <c r="OJZ299" s="11"/>
      <c r="OKA299" s="11"/>
      <c r="OKB299" s="11"/>
      <c r="OKC299" s="11"/>
      <c r="OKD299" s="11"/>
      <c r="OKE299" s="11"/>
      <c r="OKF299" s="11"/>
      <c r="OKG299" s="11"/>
      <c r="OKH299" s="11"/>
      <c r="OKI299" s="11"/>
      <c r="OKJ299" s="11"/>
      <c r="OKK299" s="11"/>
      <c r="OKL299" s="11"/>
      <c r="OKM299" s="11"/>
      <c r="OKN299" s="11"/>
      <c r="OKO299" s="11"/>
      <c r="OKP299" s="11"/>
      <c r="OKQ299" s="11"/>
      <c r="OKR299" s="11"/>
      <c r="OKS299" s="11"/>
      <c r="OKT299" s="11"/>
      <c r="OKU299" s="11"/>
      <c r="OKV299" s="11"/>
      <c r="OKW299" s="11"/>
      <c r="OKX299" s="11"/>
      <c r="OKY299" s="11"/>
      <c r="OKZ299" s="11"/>
      <c r="OLA299" s="11"/>
      <c r="OLB299" s="11"/>
      <c r="OLC299" s="11"/>
      <c r="OLD299" s="11"/>
      <c r="OLE299" s="11"/>
      <c r="OLF299" s="11"/>
      <c r="OLG299" s="11"/>
      <c r="OLH299" s="11"/>
      <c r="OLI299" s="11"/>
      <c r="OLJ299" s="11"/>
      <c r="OLK299" s="11"/>
      <c r="OLL299" s="11"/>
      <c r="OLM299" s="11"/>
      <c r="OLN299" s="11"/>
      <c r="OLO299" s="11"/>
      <c r="OLP299" s="11"/>
      <c r="OLQ299" s="11"/>
      <c r="OLR299" s="11"/>
      <c r="OLS299" s="11"/>
      <c r="OLT299" s="11"/>
      <c r="OLU299" s="11"/>
      <c r="OLV299" s="11"/>
      <c r="OLW299" s="11"/>
      <c r="OLX299" s="11"/>
      <c r="OLY299" s="11"/>
      <c r="OLZ299" s="11"/>
      <c r="OMA299" s="11"/>
      <c r="OMB299" s="11"/>
      <c r="OMC299" s="11"/>
      <c r="OMD299" s="11"/>
      <c r="OME299" s="11"/>
      <c r="OMF299" s="11"/>
      <c r="OMG299" s="11"/>
      <c r="OMH299" s="11"/>
      <c r="OMI299" s="11"/>
      <c r="OMJ299" s="11"/>
      <c r="OMK299" s="11"/>
      <c r="OML299" s="11"/>
      <c r="OMM299" s="11"/>
      <c r="OMN299" s="11"/>
      <c r="OMO299" s="11"/>
      <c r="OMP299" s="11"/>
      <c r="OMQ299" s="11"/>
      <c r="OMR299" s="11"/>
      <c r="OMS299" s="11"/>
      <c r="OMT299" s="11"/>
      <c r="OMU299" s="11"/>
      <c r="OMV299" s="11"/>
      <c r="OMW299" s="11"/>
      <c r="OMX299" s="11"/>
      <c r="OMY299" s="11"/>
      <c r="OMZ299" s="11"/>
      <c r="ONA299" s="11"/>
      <c r="ONB299" s="11"/>
      <c r="ONC299" s="11"/>
      <c r="OND299" s="11"/>
      <c r="ONE299" s="11"/>
      <c r="ONF299" s="11"/>
      <c r="ONG299" s="11"/>
      <c r="ONH299" s="11"/>
      <c r="ONI299" s="11"/>
      <c r="ONJ299" s="11"/>
      <c r="ONK299" s="11"/>
      <c r="ONL299" s="11"/>
      <c r="ONM299" s="11"/>
      <c r="ONN299" s="11"/>
      <c r="ONO299" s="11"/>
      <c r="ONP299" s="11"/>
      <c r="ONQ299" s="11"/>
      <c r="ONR299" s="11"/>
      <c r="ONS299" s="11"/>
      <c r="ONT299" s="11"/>
      <c r="ONU299" s="11"/>
      <c r="ONV299" s="11"/>
      <c r="ONW299" s="11"/>
      <c r="ONX299" s="11"/>
      <c r="ONY299" s="11"/>
      <c r="ONZ299" s="11"/>
      <c r="OOA299" s="11"/>
      <c r="OOB299" s="11"/>
      <c r="OOC299" s="11"/>
      <c r="OOD299" s="11"/>
      <c r="OOE299" s="11"/>
      <c r="OOF299" s="11"/>
      <c r="OOG299" s="11"/>
      <c r="OOH299" s="11"/>
      <c r="OOI299" s="11"/>
      <c r="OOJ299" s="11"/>
      <c r="OOK299" s="11"/>
      <c r="OOL299" s="11"/>
      <c r="OOM299" s="11"/>
      <c r="OON299" s="11"/>
      <c r="OOO299" s="11"/>
      <c r="OOP299" s="11"/>
      <c r="OOQ299" s="11"/>
      <c r="OOR299" s="11"/>
      <c r="OOS299" s="11"/>
      <c r="OOT299" s="11"/>
      <c r="OOU299" s="11"/>
      <c r="OOV299" s="11"/>
      <c r="OOW299" s="11"/>
      <c r="OOX299" s="11"/>
      <c r="OOY299" s="11"/>
      <c r="OOZ299" s="11"/>
      <c r="OPA299" s="11"/>
      <c r="OPB299" s="11"/>
      <c r="OPC299" s="11"/>
      <c r="OPD299" s="11"/>
      <c r="OPE299" s="11"/>
      <c r="OPF299" s="11"/>
      <c r="OPG299" s="11"/>
      <c r="OPH299" s="11"/>
      <c r="OPI299" s="11"/>
      <c r="OPJ299" s="11"/>
      <c r="OPK299" s="11"/>
      <c r="OPL299" s="11"/>
      <c r="OPM299" s="11"/>
      <c r="OPN299" s="11"/>
      <c r="OPO299" s="11"/>
      <c r="OPP299" s="11"/>
      <c r="OPQ299" s="11"/>
      <c r="OPR299" s="11"/>
      <c r="OPS299" s="11"/>
      <c r="OPT299" s="11"/>
      <c r="OPU299" s="11"/>
      <c r="OPV299" s="11"/>
      <c r="OPW299" s="11"/>
      <c r="OPX299" s="11"/>
      <c r="OPY299" s="11"/>
      <c r="OPZ299" s="11"/>
      <c r="OQA299" s="11"/>
      <c r="OQB299" s="11"/>
      <c r="OQC299" s="11"/>
      <c r="OQD299" s="11"/>
      <c r="OQE299" s="11"/>
      <c r="OQF299" s="11"/>
      <c r="OQG299" s="11"/>
      <c r="OQH299" s="11"/>
      <c r="OQI299" s="11"/>
      <c r="OQJ299" s="11"/>
      <c r="OQK299" s="11"/>
      <c r="OQL299" s="11"/>
      <c r="OQM299" s="11"/>
      <c r="OQN299" s="11"/>
      <c r="OQO299" s="11"/>
      <c r="OQP299" s="11"/>
      <c r="OQQ299" s="11"/>
      <c r="OQR299" s="11"/>
      <c r="OQS299" s="11"/>
      <c r="OQT299" s="11"/>
      <c r="OQU299" s="11"/>
      <c r="OQV299" s="11"/>
      <c r="OQW299" s="11"/>
      <c r="OQX299" s="11"/>
      <c r="OQY299" s="11"/>
      <c r="OQZ299" s="11"/>
      <c r="ORA299" s="11"/>
      <c r="ORB299" s="11"/>
      <c r="ORC299" s="11"/>
      <c r="ORD299" s="11"/>
      <c r="ORE299" s="11"/>
      <c r="ORF299" s="11"/>
      <c r="ORG299" s="11"/>
      <c r="ORH299" s="11"/>
      <c r="ORI299" s="11"/>
      <c r="ORJ299" s="11"/>
      <c r="ORK299" s="11"/>
      <c r="ORL299" s="11"/>
      <c r="ORM299" s="11"/>
      <c r="ORN299" s="11"/>
      <c r="ORO299" s="11"/>
      <c r="ORP299" s="11"/>
      <c r="ORQ299" s="11"/>
      <c r="ORR299" s="11"/>
      <c r="ORS299" s="11"/>
      <c r="ORT299" s="11"/>
      <c r="ORU299" s="11"/>
      <c r="ORV299" s="11"/>
      <c r="ORW299" s="11"/>
      <c r="ORX299" s="11"/>
      <c r="ORY299" s="11"/>
      <c r="ORZ299" s="11"/>
      <c r="OSA299" s="11"/>
      <c r="OSB299" s="11"/>
      <c r="OSC299" s="11"/>
      <c r="OSD299" s="11"/>
      <c r="OSE299" s="11"/>
      <c r="OSF299" s="11"/>
      <c r="OSG299" s="11"/>
      <c r="OSH299" s="11"/>
      <c r="OSI299" s="11"/>
      <c r="OSJ299" s="11"/>
      <c r="OSK299" s="11"/>
      <c r="OSL299" s="11"/>
      <c r="OSM299" s="11"/>
      <c r="OSN299" s="11"/>
      <c r="OSO299" s="11"/>
      <c r="OSP299" s="11"/>
      <c r="OSQ299" s="11"/>
      <c r="OSR299" s="11"/>
      <c r="OSS299" s="11"/>
      <c r="OST299" s="11"/>
      <c r="OSU299" s="11"/>
      <c r="OSV299" s="11"/>
      <c r="OSW299" s="11"/>
      <c r="OSX299" s="11"/>
      <c r="OSY299" s="11"/>
      <c r="OSZ299" s="11"/>
      <c r="OTA299" s="11"/>
      <c r="OTB299" s="11"/>
      <c r="OTC299" s="11"/>
      <c r="OTD299" s="11"/>
      <c r="OTE299" s="11"/>
      <c r="OTF299" s="11"/>
      <c r="OTG299" s="11"/>
      <c r="OTH299" s="11"/>
      <c r="OTI299" s="11"/>
      <c r="OTJ299" s="11"/>
      <c r="OTK299" s="11"/>
      <c r="OTL299" s="11"/>
      <c r="OTM299" s="11"/>
      <c r="OTN299" s="11"/>
      <c r="OTO299" s="11"/>
      <c r="OTP299" s="11"/>
      <c r="OTQ299" s="11"/>
      <c r="OTR299" s="11"/>
      <c r="OTS299" s="11"/>
      <c r="OTT299" s="11"/>
      <c r="OTU299" s="11"/>
      <c r="OTV299" s="11"/>
      <c r="OTW299" s="11"/>
      <c r="OTX299" s="11"/>
      <c r="OTY299" s="11"/>
      <c r="OTZ299" s="11"/>
      <c r="OUA299" s="11"/>
      <c r="OUB299" s="11"/>
      <c r="OUC299" s="11"/>
      <c r="OUD299" s="11"/>
      <c r="OUE299" s="11"/>
      <c r="OUF299" s="11"/>
      <c r="OUG299" s="11"/>
      <c r="OUH299" s="11"/>
      <c r="OUI299" s="11"/>
      <c r="OUJ299" s="11"/>
      <c r="OUK299" s="11"/>
      <c r="OUL299" s="11"/>
      <c r="OUM299" s="11"/>
      <c r="OUN299" s="11"/>
      <c r="OUO299" s="11"/>
      <c r="OUP299" s="11"/>
      <c r="OUQ299" s="11"/>
      <c r="OUR299" s="11"/>
      <c r="OUS299" s="11"/>
      <c r="OUT299" s="11"/>
      <c r="OUU299" s="11"/>
      <c r="OUV299" s="11"/>
      <c r="OUW299" s="11"/>
      <c r="OUX299" s="11"/>
      <c r="OUY299" s="11"/>
      <c r="OUZ299" s="11"/>
      <c r="OVA299" s="11"/>
      <c r="OVB299" s="11"/>
      <c r="OVC299" s="11"/>
      <c r="OVD299" s="11"/>
      <c r="OVE299" s="11"/>
      <c r="OVF299" s="11"/>
      <c r="OVG299" s="11"/>
      <c r="OVH299" s="11"/>
      <c r="OVI299" s="11"/>
      <c r="OVJ299" s="11"/>
      <c r="OVK299" s="11"/>
      <c r="OVL299" s="11"/>
      <c r="OVM299" s="11"/>
      <c r="OVN299" s="11"/>
      <c r="OVO299" s="11"/>
      <c r="OVP299" s="11"/>
      <c r="OVQ299" s="11"/>
      <c r="OVR299" s="11"/>
      <c r="OVS299" s="11"/>
      <c r="OVT299" s="11"/>
      <c r="OVU299" s="11"/>
      <c r="OVV299" s="11"/>
      <c r="OVW299" s="11"/>
      <c r="OVX299" s="11"/>
      <c r="OVY299" s="11"/>
      <c r="OVZ299" s="11"/>
      <c r="OWA299" s="11"/>
      <c r="OWB299" s="11"/>
      <c r="OWC299" s="11"/>
      <c r="OWD299" s="11"/>
      <c r="OWE299" s="11"/>
      <c r="OWF299" s="11"/>
      <c r="OWG299" s="11"/>
      <c r="OWH299" s="11"/>
      <c r="OWI299" s="11"/>
      <c r="OWJ299" s="11"/>
      <c r="OWK299" s="11"/>
      <c r="OWL299" s="11"/>
      <c r="OWM299" s="11"/>
      <c r="OWN299" s="11"/>
      <c r="OWO299" s="11"/>
      <c r="OWP299" s="11"/>
      <c r="OWQ299" s="11"/>
      <c r="OWR299" s="11"/>
      <c r="OWS299" s="11"/>
      <c r="OWT299" s="11"/>
      <c r="OWU299" s="11"/>
      <c r="OWV299" s="11"/>
      <c r="OWW299" s="11"/>
      <c r="OWX299" s="11"/>
      <c r="OWY299" s="11"/>
      <c r="OWZ299" s="11"/>
      <c r="OXA299" s="11"/>
      <c r="OXB299" s="11"/>
      <c r="OXC299" s="11"/>
      <c r="OXD299" s="11"/>
      <c r="OXE299" s="11"/>
      <c r="OXF299" s="11"/>
      <c r="OXG299" s="11"/>
      <c r="OXH299" s="11"/>
      <c r="OXI299" s="11"/>
      <c r="OXJ299" s="11"/>
      <c r="OXK299" s="11"/>
      <c r="OXL299" s="11"/>
      <c r="OXM299" s="11"/>
      <c r="OXN299" s="11"/>
      <c r="OXO299" s="11"/>
      <c r="OXP299" s="11"/>
      <c r="OXQ299" s="11"/>
      <c r="OXR299" s="11"/>
      <c r="OXS299" s="11"/>
      <c r="OXT299" s="11"/>
      <c r="OXU299" s="11"/>
      <c r="OXV299" s="11"/>
      <c r="OXW299" s="11"/>
      <c r="OXX299" s="11"/>
      <c r="OXY299" s="11"/>
      <c r="OXZ299" s="11"/>
      <c r="OYA299" s="11"/>
      <c r="OYB299" s="11"/>
      <c r="OYC299" s="11"/>
      <c r="OYD299" s="11"/>
      <c r="OYE299" s="11"/>
      <c r="OYF299" s="11"/>
      <c r="OYG299" s="11"/>
      <c r="OYH299" s="11"/>
      <c r="OYI299" s="11"/>
      <c r="OYJ299" s="11"/>
      <c r="OYK299" s="11"/>
      <c r="OYL299" s="11"/>
      <c r="OYM299" s="11"/>
      <c r="OYN299" s="11"/>
      <c r="OYO299" s="11"/>
      <c r="OYP299" s="11"/>
      <c r="OYQ299" s="11"/>
      <c r="OYR299" s="11"/>
      <c r="OYS299" s="11"/>
      <c r="OYT299" s="11"/>
      <c r="OYU299" s="11"/>
      <c r="OYV299" s="11"/>
      <c r="OYW299" s="11"/>
      <c r="OYX299" s="11"/>
      <c r="OYY299" s="11"/>
      <c r="OYZ299" s="11"/>
      <c r="OZA299" s="11"/>
      <c r="OZB299" s="11"/>
      <c r="OZC299" s="11"/>
      <c r="OZD299" s="11"/>
      <c r="OZE299" s="11"/>
      <c r="OZF299" s="11"/>
      <c r="OZG299" s="11"/>
      <c r="OZH299" s="11"/>
      <c r="OZI299" s="11"/>
      <c r="OZJ299" s="11"/>
      <c r="OZK299" s="11"/>
      <c r="OZL299" s="11"/>
      <c r="OZM299" s="11"/>
      <c r="OZN299" s="11"/>
      <c r="OZO299" s="11"/>
      <c r="OZP299" s="11"/>
      <c r="OZQ299" s="11"/>
      <c r="OZR299" s="11"/>
      <c r="OZS299" s="11"/>
      <c r="OZT299" s="11"/>
      <c r="OZU299" s="11"/>
      <c r="OZV299" s="11"/>
      <c r="OZW299" s="11"/>
      <c r="OZX299" s="11"/>
      <c r="OZY299" s="11"/>
      <c r="OZZ299" s="11"/>
      <c r="PAA299" s="11"/>
      <c r="PAB299" s="11"/>
      <c r="PAC299" s="11"/>
      <c r="PAD299" s="11"/>
      <c r="PAE299" s="11"/>
      <c r="PAF299" s="11"/>
      <c r="PAG299" s="11"/>
      <c r="PAH299" s="11"/>
      <c r="PAI299" s="11"/>
      <c r="PAJ299" s="11"/>
      <c r="PAK299" s="11"/>
      <c r="PAL299" s="11"/>
      <c r="PAM299" s="11"/>
      <c r="PAN299" s="11"/>
      <c r="PAO299" s="11"/>
      <c r="PAP299" s="11"/>
      <c r="PAQ299" s="11"/>
      <c r="PAR299" s="11"/>
      <c r="PAS299" s="11"/>
      <c r="PAT299" s="11"/>
      <c r="PAU299" s="11"/>
      <c r="PAV299" s="11"/>
      <c r="PAW299" s="11"/>
      <c r="PAX299" s="11"/>
      <c r="PAY299" s="11"/>
      <c r="PAZ299" s="11"/>
      <c r="PBA299" s="11"/>
      <c r="PBB299" s="11"/>
      <c r="PBC299" s="11"/>
      <c r="PBD299" s="11"/>
      <c r="PBE299" s="11"/>
      <c r="PBF299" s="11"/>
      <c r="PBG299" s="11"/>
      <c r="PBH299" s="11"/>
      <c r="PBI299" s="11"/>
      <c r="PBJ299" s="11"/>
      <c r="PBK299" s="11"/>
      <c r="PBL299" s="11"/>
      <c r="PBM299" s="11"/>
      <c r="PBN299" s="11"/>
      <c r="PBO299" s="11"/>
      <c r="PBP299" s="11"/>
      <c r="PBQ299" s="11"/>
      <c r="PBR299" s="11"/>
      <c r="PBS299" s="11"/>
      <c r="PBT299" s="11"/>
      <c r="PBU299" s="11"/>
      <c r="PBV299" s="11"/>
      <c r="PBW299" s="11"/>
      <c r="PBX299" s="11"/>
      <c r="PBY299" s="11"/>
      <c r="PBZ299" s="11"/>
      <c r="PCA299" s="11"/>
      <c r="PCB299" s="11"/>
      <c r="PCC299" s="11"/>
      <c r="PCD299" s="11"/>
      <c r="PCE299" s="11"/>
      <c r="PCF299" s="11"/>
      <c r="PCG299" s="11"/>
      <c r="PCH299" s="11"/>
      <c r="PCI299" s="11"/>
      <c r="PCJ299" s="11"/>
      <c r="PCK299" s="11"/>
      <c r="PCL299" s="11"/>
      <c r="PCM299" s="11"/>
      <c r="PCN299" s="11"/>
      <c r="PCO299" s="11"/>
      <c r="PCP299" s="11"/>
      <c r="PCQ299" s="11"/>
      <c r="PCR299" s="11"/>
      <c r="PCS299" s="11"/>
      <c r="PCT299" s="11"/>
      <c r="PCU299" s="11"/>
      <c r="PCV299" s="11"/>
      <c r="PCW299" s="11"/>
      <c r="PCX299" s="11"/>
      <c r="PCY299" s="11"/>
      <c r="PCZ299" s="11"/>
      <c r="PDA299" s="11"/>
      <c r="PDB299" s="11"/>
      <c r="PDC299" s="11"/>
      <c r="PDD299" s="11"/>
      <c r="PDE299" s="11"/>
      <c r="PDF299" s="11"/>
      <c r="PDG299" s="11"/>
      <c r="PDH299" s="11"/>
      <c r="PDI299" s="11"/>
      <c r="PDJ299" s="11"/>
      <c r="PDK299" s="11"/>
      <c r="PDL299" s="11"/>
      <c r="PDM299" s="11"/>
      <c r="PDN299" s="11"/>
      <c r="PDO299" s="11"/>
      <c r="PDP299" s="11"/>
      <c r="PDQ299" s="11"/>
      <c r="PDR299" s="11"/>
      <c r="PDS299" s="11"/>
      <c r="PDT299" s="11"/>
      <c r="PDU299" s="11"/>
      <c r="PDV299" s="11"/>
      <c r="PDW299" s="11"/>
      <c r="PDX299" s="11"/>
      <c r="PDY299" s="11"/>
      <c r="PDZ299" s="11"/>
      <c r="PEA299" s="11"/>
      <c r="PEB299" s="11"/>
      <c r="PEC299" s="11"/>
      <c r="PED299" s="11"/>
      <c r="PEE299" s="11"/>
      <c r="PEF299" s="11"/>
      <c r="PEG299" s="11"/>
      <c r="PEH299" s="11"/>
      <c r="PEI299" s="11"/>
      <c r="PEJ299" s="11"/>
      <c r="PEK299" s="11"/>
      <c r="PEL299" s="11"/>
      <c r="PEM299" s="11"/>
      <c r="PEN299" s="11"/>
      <c r="PEO299" s="11"/>
      <c r="PEP299" s="11"/>
      <c r="PEQ299" s="11"/>
      <c r="PER299" s="11"/>
      <c r="PES299" s="11"/>
      <c r="PET299" s="11"/>
      <c r="PEU299" s="11"/>
      <c r="PEV299" s="11"/>
      <c r="PEW299" s="11"/>
      <c r="PEX299" s="11"/>
      <c r="PEY299" s="11"/>
      <c r="PEZ299" s="11"/>
      <c r="PFA299" s="11"/>
      <c r="PFB299" s="11"/>
      <c r="PFC299" s="11"/>
      <c r="PFD299" s="11"/>
      <c r="PFE299" s="11"/>
      <c r="PFF299" s="11"/>
      <c r="PFG299" s="11"/>
      <c r="PFH299" s="11"/>
      <c r="PFI299" s="11"/>
      <c r="PFJ299" s="11"/>
      <c r="PFK299" s="11"/>
      <c r="PFL299" s="11"/>
      <c r="PFM299" s="11"/>
      <c r="PFN299" s="11"/>
      <c r="PFO299" s="11"/>
      <c r="PFP299" s="11"/>
      <c r="PFQ299" s="11"/>
      <c r="PFR299" s="11"/>
      <c r="PFS299" s="11"/>
      <c r="PFT299" s="11"/>
      <c r="PFU299" s="11"/>
      <c r="PFV299" s="11"/>
      <c r="PFW299" s="11"/>
      <c r="PFX299" s="11"/>
      <c r="PFY299" s="11"/>
      <c r="PFZ299" s="11"/>
      <c r="PGA299" s="11"/>
      <c r="PGB299" s="11"/>
      <c r="PGC299" s="11"/>
      <c r="PGD299" s="11"/>
      <c r="PGE299" s="11"/>
      <c r="PGF299" s="11"/>
      <c r="PGG299" s="11"/>
      <c r="PGH299" s="11"/>
      <c r="PGI299" s="11"/>
      <c r="PGJ299" s="11"/>
      <c r="PGK299" s="11"/>
      <c r="PGL299" s="11"/>
      <c r="PGM299" s="11"/>
      <c r="PGN299" s="11"/>
      <c r="PGO299" s="11"/>
      <c r="PGP299" s="11"/>
      <c r="PGQ299" s="11"/>
      <c r="PGR299" s="11"/>
      <c r="PGS299" s="11"/>
      <c r="PGT299" s="11"/>
      <c r="PGU299" s="11"/>
      <c r="PGV299" s="11"/>
      <c r="PGW299" s="11"/>
      <c r="PGX299" s="11"/>
      <c r="PGY299" s="11"/>
      <c r="PGZ299" s="11"/>
      <c r="PHA299" s="11"/>
      <c r="PHB299" s="11"/>
      <c r="PHC299" s="11"/>
      <c r="PHD299" s="11"/>
      <c r="PHE299" s="11"/>
      <c r="PHF299" s="11"/>
      <c r="PHG299" s="11"/>
      <c r="PHH299" s="11"/>
      <c r="PHI299" s="11"/>
      <c r="PHJ299" s="11"/>
      <c r="PHK299" s="11"/>
      <c r="PHL299" s="11"/>
      <c r="PHM299" s="11"/>
      <c r="PHN299" s="11"/>
      <c r="PHO299" s="11"/>
      <c r="PHP299" s="11"/>
      <c r="PHQ299" s="11"/>
      <c r="PHR299" s="11"/>
      <c r="PHS299" s="11"/>
      <c r="PHT299" s="11"/>
      <c r="PHU299" s="11"/>
      <c r="PHV299" s="11"/>
      <c r="PHW299" s="11"/>
      <c r="PHX299" s="11"/>
      <c r="PHY299" s="11"/>
      <c r="PHZ299" s="11"/>
      <c r="PIA299" s="11"/>
      <c r="PIB299" s="11"/>
      <c r="PIC299" s="11"/>
      <c r="PID299" s="11"/>
      <c r="PIE299" s="11"/>
      <c r="PIF299" s="11"/>
      <c r="PIG299" s="11"/>
      <c r="PIH299" s="11"/>
      <c r="PII299" s="11"/>
      <c r="PIJ299" s="11"/>
      <c r="PIK299" s="11"/>
      <c r="PIL299" s="11"/>
      <c r="PIM299" s="11"/>
      <c r="PIN299" s="11"/>
      <c r="PIO299" s="11"/>
      <c r="PIP299" s="11"/>
      <c r="PIQ299" s="11"/>
      <c r="PIR299" s="11"/>
      <c r="PIS299" s="11"/>
      <c r="PIT299" s="11"/>
      <c r="PIU299" s="11"/>
      <c r="PIV299" s="11"/>
      <c r="PIW299" s="11"/>
      <c r="PIX299" s="11"/>
      <c r="PIY299" s="11"/>
      <c r="PIZ299" s="11"/>
      <c r="PJA299" s="11"/>
      <c r="PJB299" s="11"/>
      <c r="PJC299" s="11"/>
      <c r="PJD299" s="11"/>
      <c r="PJE299" s="11"/>
      <c r="PJF299" s="11"/>
      <c r="PJG299" s="11"/>
      <c r="PJH299" s="11"/>
      <c r="PJI299" s="11"/>
      <c r="PJJ299" s="11"/>
      <c r="PJK299" s="11"/>
      <c r="PJL299" s="11"/>
      <c r="PJM299" s="11"/>
      <c r="PJN299" s="11"/>
      <c r="PJO299" s="11"/>
      <c r="PJP299" s="11"/>
      <c r="PJQ299" s="11"/>
      <c r="PJR299" s="11"/>
      <c r="PJS299" s="11"/>
      <c r="PJT299" s="11"/>
      <c r="PJU299" s="11"/>
      <c r="PJV299" s="11"/>
      <c r="PJW299" s="11"/>
      <c r="PJX299" s="11"/>
      <c r="PJY299" s="11"/>
      <c r="PJZ299" s="11"/>
      <c r="PKA299" s="11"/>
      <c r="PKB299" s="11"/>
      <c r="PKC299" s="11"/>
      <c r="PKD299" s="11"/>
      <c r="PKE299" s="11"/>
      <c r="PKF299" s="11"/>
      <c r="PKG299" s="11"/>
      <c r="PKH299" s="11"/>
      <c r="PKI299" s="11"/>
      <c r="PKJ299" s="11"/>
      <c r="PKK299" s="11"/>
      <c r="PKL299" s="11"/>
      <c r="PKM299" s="11"/>
      <c r="PKN299" s="11"/>
      <c r="PKO299" s="11"/>
      <c r="PKP299" s="11"/>
      <c r="PKQ299" s="11"/>
      <c r="PKR299" s="11"/>
      <c r="PKS299" s="11"/>
      <c r="PKT299" s="11"/>
      <c r="PKU299" s="11"/>
      <c r="PKV299" s="11"/>
      <c r="PKW299" s="11"/>
      <c r="PKX299" s="11"/>
      <c r="PKY299" s="11"/>
      <c r="PKZ299" s="11"/>
      <c r="PLA299" s="11"/>
      <c r="PLB299" s="11"/>
      <c r="PLC299" s="11"/>
      <c r="PLD299" s="11"/>
      <c r="PLE299" s="11"/>
      <c r="PLF299" s="11"/>
      <c r="PLG299" s="11"/>
      <c r="PLH299" s="11"/>
      <c r="PLI299" s="11"/>
      <c r="PLJ299" s="11"/>
      <c r="PLK299" s="11"/>
      <c r="PLL299" s="11"/>
      <c r="PLM299" s="11"/>
      <c r="PLN299" s="11"/>
      <c r="PLO299" s="11"/>
      <c r="PLP299" s="11"/>
      <c r="PLQ299" s="11"/>
      <c r="PLR299" s="11"/>
      <c r="PLS299" s="11"/>
      <c r="PLT299" s="11"/>
      <c r="PLU299" s="11"/>
      <c r="PLV299" s="11"/>
      <c r="PLW299" s="11"/>
      <c r="PLX299" s="11"/>
      <c r="PLY299" s="11"/>
      <c r="PLZ299" s="11"/>
      <c r="PMA299" s="11"/>
      <c r="PMB299" s="11"/>
      <c r="PMC299" s="11"/>
      <c r="PMD299" s="11"/>
      <c r="PME299" s="11"/>
      <c r="PMF299" s="11"/>
      <c r="PMG299" s="11"/>
      <c r="PMH299" s="11"/>
      <c r="PMI299" s="11"/>
      <c r="PMJ299" s="11"/>
      <c r="PMK299" s="11"/>
      <c r="PML299" s="11"/>
      <c r="PMM299" s="11"/>
      <c r="PMN299" s="11"/>
      <c r="PMO299" s="11"/>
      <c r="PMP299" s="11"/>
      <c r="PMQ299" s="11"/>
      <c r="PMR299" s="11"/>
      <c r="PMS299" s="11"/>
      <c r="PMT299" s="11"/>
      <c r="PMU299" s="11"/>
      <c r="PMV299" s="11"/>
      <c r="PMW299" s="11"/>
      <c r="PMX299" s="11"/>
      <c r="PMY299" s="11"/>
      <c r="PMZ299" s="11"/>
      <c r="PNA299" s="11"/>
      <c r="PNB299" s="11"/>
      <c r="PNC299" s="11"/>
      <c r="PND299" s="11"/>
      <c r="PNE299" s="11"/>
      <c r="PNF299" s="11"/>
      <c r="PNG299" s="11"/>
      <c r="PNH299" s="11"/>
      <c r="PNI299" s="11"/>
      <c r="PNJ299" s="11"/>
      <c r="PNK299" s="11"/>
      <c r="PNL299" s="11"/>
      <c r="PNM299" s="11"/>
      <c r="PNN299" s="11"/>
      <c r="PNO299" s="11"/>
      <c r="PNP299" s="11"/>
      <c r="PNQ299" s="11"/>
      <c r="PNR299" s="11"/>
      <c r="PNS299" s="11"/>
      <c r="PNT299" s="11"/>
      <c r="PNU299" s="11"/>
      <c r="PNV299" s="11"/>
      <c r="PNW299" s="11"/>
      <c r="PNX299" s="11"/>
      <c r="PNY299" s="11"/>
      <c r="PNZ299" s="11"/>
      <c r="POA299" s="11"/>
      <c r="POB299" s="11"/>
      <c r="POC299" s="11"/>
      <c r="POD299" s="11"/>
      <c r="POE299" s="11"/>
      <c r="POF299" s="11"/>
      <c r="POG299" s="11"/>
      <c r="POH299" s="11"/>
      <c r="POI299" s="11"/>
      <c r="POJ299" s="11"/>
      <c r="POK299" s="11"/>
      <c r="POL299" s="11"/>
      <c r="POM299" s="11"/>
      <c r="PON299" s="11"/>
      <c r="POO299" s="11"/>
      <c r="POP299" s="11"/>
      <c r="POQ299" s="11"/>
      <c r="POR299" s="11"/>
      <c r="POS299" s="11"/>
      <c r="POT299" s="11"/>
      <c r="POU299" s="11"/>
      <c r="POV299" s="11"/>
      <c r="POW299" s="11"/>
      <c r="POX299" s="11"/>
      <c r="POY299" s="11"/>
      <c r="POZ299" s="11"/>
      <c r="PPA299" s="11"/>
      <c r="PPB299" s="11"/>
      <c r="PPC299" s="11"/>
      <c r="PPD299" s="11"/>
      <c r="PPE299" s="11"/>
      <c r="PPF299" s="11"/>
      <c r="PPG299" s="11"/>
      <c r="PPH299" s="11"/>
      <c r="PPI299" s="11"/>
      <c r="PPJ299" s="11"/>
      <c r="PPK299" s="11"/>
      <c r="PPL299" s="11"/>
      <c r="PPM299" s="11"/>
      <c r="PPN299" s="11"/>
      <c r="PPO299" s="11"/>
      <c r="PPP299" s="11"/>
      <c r="PPQ299" s="11"/>
      <c r="PPR299" s="11"/>
      <c r="PPS299" s="11"/>
      <c r="PPT299" s="11"/>
      <c r="PPU299" s="11"/>
      <c r="PPV299" s="11"/>
      <c r="PPW299" s="11"/>
      <c r="PPX299" s="11"/>
      <c r="PPY299" s="11"/>
      <c r="PPZ299" s="11"/>
      <c r="PQA299" s="11"/>
      <c r="PQB299" s="11"/>
      <c r="PQC299" s="11"/>
      <c r="PQD299" s="11"/>
      <c r="PQE299" s="11"/>
      <c r="PQF299" s="11"/>
      <c r="PQG299" s="11"/>
      <c r="PQH299" s="11"/>
      <c r="PQI299" s="11"/>
      <c r="PQJ299" s="11"/>
      <c r="PQK299" s="11"/>
      <c r="PQL299" s="11"/>
      <c r="PQM299" s="11"/>
      <c r="PQN299" s="11"/>
      <c r="PQO299" s="11"/>
      <c r="PQP299" s="11"/>
      <c r="PQQ299" s="11"/>
      <c r="PQR299" s="11"/>
      <c r="PQS299" s="11"/>
      <c r="PQT299" s="11"/>
      <c r="PQU299" s="11"/>
      <c r="PQV299" s="11"/>
      <c r="PQW299" s="11"/>
      <c r="PQX299" s="11"/>
      <c r="PQY299" s="11"/>
      <c r="PQZ299" s="11"/>
      <c r="PRA299" s="11"/>
      <c r="PRB299" s="11"/>
      <c r="PRC299" s="11"/>
      <c r="PRD299" s="11"/>
      <c r="PRE299" s="11"/>
      <c r="PRF299" s="11"/>
      <c r="PRG299" s="11"/>
      <c r="PRH299" s="11"/>
      <c r="PRI299" s="11"/>
      <c r="PRJ299" s="11"/>
      <c r="PRK299" s="11"/>
      <c r="PRL299" s="11"/>
      <c r="PRM299" s="11"/>
      <c r="PRN299" s="11"/>
      <c r="PRO299" s="11"/>
      <c r="PRP299" s="11"/>
      <c r="PRQ299" s="11"/>
      <c r="PRR299" s="11"/>
      <c r="PRS299" s="11"/>
      <c r="PRT299" s="11"/>
      <c r="PRU299" s="11"/>
      <c r="PRV299" s="11"/>
      <c r="PRW299" s="11"/>
      <c r="PRX299" s="11"/>
      <c r="PRY299" s="11"/>
      <c r="PRZ299" s="11"/>
      <c r="PSA299" s="11"/>
      <c r="PSB299" s="11"/>
      <c r="PSC299" s="11"/>
      <c r="PSD299" s="11"/>
      <c r="PSE299" s="11"/>
      <c r="PSF299" s="11"/>
      <c r="PSG299" s="11"/>
      <c r="PSH299" s="11"/>
      <c r="PSI299" s="11"/>
      <c r="PSJ299" s="11"/>
      <c r="PSK299" s="11"/>
      <c r="PSL299" s="11"/>
      <c r="PSM299" s="11"/>
      <c r="PSN299" s="11"/>
      <c r="PSO299" s="11"/>
      <c r="PSP299" s="11"/>
      <c r="PSQ299" s="11"/>
      <c r="PSR299" s="11"/>
      <c r="PSS299" s="11"/>
      <c r="PST299" s="11"/>
      <c r="PSU299" s="11"/>
      <c r="PSV299" s="11"/>
      <c r="PSW299" s="11"/>
      <c r="PSX299" s="11"/>
      <c r="PSY299" s="11"/>
      <c r="PSZ299" s="11"/>
      <c r="PTA299" s="11"/>
      <c r="PTB299" s="11"/>
      <c r="PTC299" s="11"/>
      <c r="PTD299" s="11"/>
      <c r="PTE299" s="11"/>
      <c r="PTF299" s="11"/>
      <c r="PTG299" s="11"/>
      <c r="PTH299" s="11"/>
      <c r="PTI299" s="11"/>
      <c r="PTJ299" s="11"/>
      <c r="PTK299" s="11"/>
      <c r="PTL299" s="11"/>
      <c r="PTM299" s="11"/>
      <c r="PTN299" s="11"/>
      <c r="PTO299" s="11"/>
      <c r="PTP299" s="11"/>
      <c r="PTQ299" s="11"/>
      <c r="PTR299" s="11"/>
      <c r="PTS299" s="11"/>
      <c r="PTT299" s="11"/>
      <c r="PTU299" s="11"/>
      <c r="PTV299" s="11"/>
      <c r="PTW299" s="11"/>
      <c r="PTX299" s="11"/>
      <c r="PTY299" s="11"/>
      <c r="PTZ299" s="11"/>
      <c r="PUA299" s="11"/>
      <c r="PUB299" s="11"/>
      <c r="PUC299" s="11"/>
      <c r="PUD299" s="11"/>
      <c r="PUE299" s="11"/>
      <c r="PUF299" s="11"/>
      <c r="PUG299" s="11"/>
      <c r="PUH299" s="11"/>
      <c r="PUI299" s="11"/>
      <c r="PUJ299" s="11"/>
      <c r="PUK299" s="11"/>
      <c r="PUL299" s="11"/>
      <c r="PUM299" s="11"/>
      <c r="PUN299" s="11"/>
      <c r="PUO299" s="11"/>
      <c r="PUP299" s="11"/>
      <c r="PUQ299" s="11"/>
      <c r="PUR299" s="11"/>
      <c r="PUS299" s="11"/>
      <c r="PUT299" s="11"/>
      <c r="PUU299" s="11"/>
      <c r="PUV299" s="11"/>
      <c r="PUW299" s="11"/>
      <c r="PUX299" s="11"/>
      <c r="PUY299" s="11"/>
      <c r="PUZ299" s="11"/>
      <c r="PVA299" s="11"/>
      <c r="PVB299" s="11"/>
      <c r="PVC299" s="11"/>
      <c r="PVD299" s="11"/>
      <c r="PVE299" s="11"/>
      <c r="PVF299" s="11"/>
      <c r="PVG299" s="11"/>
      <c r="PVH299" s="11"/>
      <c r="PVI299" s="11"/>
      <c r="PVJ299" s="11"/>
      <c r="PVK299" s="11"/>
      <c r="PVL299" s="11"/>
      <c r="PVM299" s="11"/>
      <c r="PVN299" s="11"/>
      <c r="PVO299" s="11"/>
      <c r="PVP299" s="11"/>
      <c r="PVQ299" s="11"/>
      <c r="PVR299" s="11"/>
      <c r="PVS299" s="11"/>
      <c r="PVT299" s="11"/>
      <c r="PVU299" s="11"/>
      <c r="PVV299" s="11"/>
      <c r="PVW299" s="11"/>
      <c r="PVX299" s="11"/>
      <c r="PVY299" s="11"/>
      <c r="PVZ299" s="11"/>
      <c r="PWA299" s="11"/>
      <c r="PWB299" s="11"/>
      <c r="PWC299" s="11"/>
      <c r="PWD299" s="11"/>
      <c r="PWE299" s="11"/>
      <c r="PWF299" s="11"/>
      <c r="PWG299" s="11"/>
      <c r="PWH299" s="11"/>
      <c r="PWI299" s="11"/>
      <c r="PWJ299" s="11"/>
      <c r="PWK299" s="11"/>
      <c r="PWL299" s="11"/>
      <c r="PWM299" s="11"/>
      <c r="PWN299" s="11"/>
      <c r="PWO299" s="11"/>
      <c r="PWP299" s="11"/>
      <c r="PWQ299" s="11"/>
      <c r="PWR299" s="11"/>
      <c r="PWS299" s="11"/>
      <c r="PWT299" s="11"/>
      <c r="PWU299" s="11"/>
      <c r="PWV299" s="11"/>
      <c r="PWW299" s="11"/>
      <c r="PWX299" s="11"/>
      <c r="PWY299" s="11"/>
      <c r="PWZ299" s="11"/>
      <c r="PXA299" s="11"/>
      <c r="PXB299" s="11"/>
      <c r="PXC299" s="11"/>
      <c r="PXD299" s="11"/>
      <c r="PXE299" s="11"/>
      <c r="PXF299" s="11"/>
      <c r="PXG299" s="11"/>
      <c r="PXH299" s="11"/>
      <c r="PXI299" s="11"/>
      <c r="PXJ299" s="11"/>
      <c r="PXK299" s="11"/>
      <c r="PXL299" s="11"/>
      <c r="PXM299" s="11"/>
      <c r="PXN299" s="11"/>
      <c r="PXO299" s="11"/>
      <c r="PXP299" s="11"/>
      <c r="PXQ299" s="11"/>
      <c r="PXR299" s="11"/>
      <c r="PXS299" s="11"/>
      <c r="PXT299" s="11"/>
      <c r="PXU299" s="11"/>
      <c r="PXV299" s="11"/>
      <c r="PXW299" s="11"/>
      <c r="PXX299" s="11"/>
      <c r="PXY299" s="11"/>
      <c r="PXZ299" s="11"/>
      <c r="PYA299" s="11"/>
      <c r="PYB299" s="11"/>
      <c r="PYC299" s="11"/>
      <c r="PYD299" s="11"/>
      <c r="PYE299" s="11"/>
      <c r="PYF299" s="11"/>
      <c r="PYG299" s="11"/>
      <c r="PYH299" s="11"/>
      <c r="PYI299" s="11"/>
      <c r="PYJ299" s="11"/>
      <c r="PYK299" s="11"/>
      <c r="PYL299" s="11"/>
      <c r="PYM299" s="11"/>
      <c r="PYN299" s="11"/>
      <c r="PYO299" s="11"/>
      <c r="PYP299" s="11"/>
      <c r="PYQ299" s="11"/>
      <c r="PYR299" s="11"/>
      <c r="PYS299" s="11"/>
      <c r="PYT299" s="11"/>
      <c r="PYU299" s="11"/>
      <c r="PYV299" s="11"/>
      <c r="PYW299" s="11"/>
      <c r="PYX299" s="11"/>
      <c r="PYY299" s="11"/>
      <c r="PYZ299" s="11"/>
      <c r="PZA299" s="11"/>
      <c r="PZB299" s="11"/>
      <c r="PZC299" s="11"/>
      <c r="PZD299" s="11"/>
      <c r="PZE299" s="11"/>
      <c r="PZF299" s="11"/>
      <c r="PZG299" s="11"/>
      <c r="PZH299" s="11"/>
      <c r="PZI299" s="11"/>
      <c r="PZJ299" s="11"/>
      <c r="PZK299" s="11"/>
      <c r="PZL299" s="11"/>
      <c r="PZM299" s="11"/>
      <c r="PZN299" s="11"/>
      <c r="PZO299" s="11"/>
      <c r="PZP299" s="11"/>
      <c r="PZQ299" s="11"/>
      <c r="PZR299" s="11"/>
      <c r="PZS299" s="11"/>
      <c r="PZT299" s="11"/>
      <c r="PZU299" s="11"/>
      <c r="PZV299" s="11"/>
      <c r="PZW299" s="11"/>
      <c r="PZX299" s="11"/>
      <c r="PZY299" s="11"/>
      <c r="PZZ299" s="11"/>
      <c r="QAA299" s="11"/>
      <c r="QAB299" s="11"/>
      <c r="QAC299" s="11"/>
      <c r="QAD299" s="11"/>
      <c r="QAE299" s="11"/>
      <c r="QAF299" s="11"/>
      <c r="QAG299" s="11"/>
      <c r="QAH299" s="11"/>
      <c r="QAI299" s="11"/>
      <c r="QAJ299" s="11"/>
      <c r="QAK299" s="11"/>
      <c r="QAL299" s="11"/>
      <c r="QAM299" s="11"/>
      <c r="QAN299" s="11"/>
      <c r="QAO299" s="11"/>
      <c r="QAP299" s="11"/>
      <c r="QAQ299" s="11"/>
      <c r="QAR299" s="11"/>
      <c r="QAS299" s="11"/>
      <c r="QAT299" s="11"/>
      <c r="QAU299" s="11"/>
      <c r="QAV299" s="11"/>
      <c r="QAW299" s="11"/>
      <c r="QAX299" s="11"/>
      <c r="QAY299" s="11"/>
      <c r="QAZ299" s="11"/>
      <c r="QBA299" s="11"/>
      <c r="QBB299" s="11"/>
      <c r="QBC299" s="11"/>
      <c r="QBD299" s="11"/>
      <c r="QBE299" s="11"/>
      <c r="QBF299" s="11"/>
      <c r="QBG299" s="11"/>
      <c r="QBH299" s="11"/>
      <c r="QBI299" s="11"/>
      <c r="QBJ299" s="11"/>
      <c r="QBK299" s="11"/>
      <c r="QBL299" s="11"/>
      <c r="QBM299" s="11"/>
      <c r="QBN299" s="11"/>
      <c r="QBO299" s="11"/>
      <c r="QBP299" s="11"/>
      <c r="QBQ299" s="11"/>
      <c r="QBR299" s="11"/>
      <c r="QBS299" s="11"/>
      <c r="QBT299" s="11"/>
      <c r="QBU299" s="11"/>
      <c r="QBV299" s="11"/>
      <c r="QBW299" s="11"/>
      <c r="QBX299" s="11"/>
      <c r="QBY299" s="11"/>
      <c r="QBZ299" s="11"/>
      <c r="QCA299" s="11"/>
      <c r="QCB299" s="11"/>
      <c r="QCC299" s="11"/>
      <c r="QCD299" s="11"/>
      <c r="QCE299" s="11"/>
      <c r="QCF299" s="11"/>
      <c r="QCG299" s="11"/>
      <c r="QCH299" s="11"/>
      <c r="QCI299" s="11"/>
      <c r="QCJ299" s="11"/>
      <c r="QCK299" s="11"/>
      <c r="QCL299" s="11"/>
      <c r="QCM299" s="11"/>
      <c r="QCN299" s="11"/>
      <c r="QCO299" s="11"/>
      <c r="QCP299" s="11"/>
      <c r="QCQ299" s="11"/>
      <c r="QCR299" s="11"/>
      <c r="QCS299" s="11"/>
      <c r="QCT299" s="11"/>
      <c r="QCU299" s="11"/>
      <c r="QCV299" s="11"/>
      <c r="QCW299" s="11"/>
      <c r="QCX299" s="11"/>
      <c r="QCY299" s="11"/>
      <c r="QCZ299" s="11"/>
      <c r="QDA299" s="11"/>
      <c r="QDB299" s="11"/>
      <c r="QDC299" s="11"/>
      <c r="QDD299" s="11"/>
      <c r="QDE299" s="11"/>
      <c r="QDF299" s="11"/>
      <c r="QDG299" s="11"/>
      <c r="QDH299" s="11"/>
      <c r="QDI299" s="11"/>
      <c r="QDJ299" s="11"/>
      <c r="QDK299" s="11"/>
      <c r="QDL299" s="11"/>
      <c r="QDM299" s="11"/>
      <c r="QDN299" s="11"/>
      <c r="QDO299" s="11"/>
      <c r="QDP299" s="11"/>
      <c r="QDQ299" s="11"/>
      <c r="QDR299" s="11"/>
      <c r="QDS299" s="11"/>
      <c r="QDT299" s="11"/>
      <c r="QDU299" s="11"/>
      <c r="QDV299" s="11"/>
      <c r="QDW299" s="11"/>
      <c r="QDX299" s="11"/>
      <c r="QDY299" s="11"/>
      <c r="QDZ299" s="11"/>
      <c r="QEA299" s="11"/>
      <c r="QEB299" s="11"/>
      <c r="QEC299" s="11"/>
      <c r="QED299" s="11"/>
      <c r="QEE299" s="11"/>
      <c r="QEF299" s="11"/>
      <c r="QEG299" s="11"/>
      <c r="QEH299" s="11"/>
      <c r="QEI299" s="11"/>
      <c r="QEJ299" s="11"/>
      <c r="QEK299" s="11"/>
      <c r="QEL299" s="11"/>
      <c r="QEM299" s="11"/>
      <c r="QEN299" s="11"/>
      <c r="QEO299" s="11"/>
      <c r="QEP299" s="11"/>
      <c r="QEQ299" s="11"/>
      <c r="QER299" s="11"/>
      <c r="QES299" s="11"/>
      <c r="QET299" s="11"/>
      <c r="QEU299" s="11"/>
      <c r="QEV299" s="11"/>
      <c r="QEW299" s="11"/>
      <c r="QEX299" s="11"/>
      <c r="QEY299" s="11"/>
      <c r="QEZ299" s="11"/>
      <c r="QFA299" s="11"/>
      <c r="QFB299" s="11"/>
      <c r="QFC299" s="11"/>
      <c r="QFD299" s="11"/>
      <c r="QFE299" s="11"/>
      <c r="QFF299" s="11"/>
      <c r="QFG299" s="11"/>
      <c r="QFH299" s="11"/>
      <c r="QFI299" s="11"/>
      <c r="QFJ299" s="11"/>
      <c r="QFK299" s="11"/>
      <c r="QFL299" s="11"/>
      <c r="QFM299" s="11"/>
      <c r="QFN299" s="11"/>
      <c r="QFO299" s="11"/>
      <c r="QFP299" s="11"/>
      <c r="QFQ299" s="11"/>
      <c r="QFR299" s="11"/>
      <c r="QFS299" s="11"/>
      <c r="QFT299" s="11"/>
      <c r="QFU299" s="11"/>
      <c r="QFV299" s="11"/>
      <c r="QFW299" s="11"/>
      <c r="QFX299" s="11"/>
      <c r="QFY299" s="11"/>
      <c r="QFZ299" s="11"/>
      <c r="QGA299" s="11"/>
      <c r="QGB299" s="11"/>
      <c r="QGC299" s="11"/>
      <c r="QGD299" s="11"/>
      <c r="QGE299" s="11"/>
      <c r="QGF299" s="11"/>
      <c r="QGG299" s="11"/>
      <c r="QGH299" s="11"/>
      <c r="QGI299" s="11"/>
      <c r="QGJ299" s="11"/>
      <c r="QGK299" s="11"/>
      <c r="QGL299" s="11"/>
      <c r="QGM299" s="11"/>
      <c r="QGN299" s="11"/>
      <c r="QGO299" s="11"/>
      <c r="QGP299" s="11"/>
      <c r="QGQ299" s="11"/>
      <c r="QGR299" s="11"/>
      <c r="QGS299" s="11"/>
      <c r="QGT299" s="11"/>
      <c r="QGU299" s="11"/>
      <c r="QGV299" s="11"/>
      <c r="QGW299" s="11"/>
      <c r="QGX299" s="11"/>
      <c r="QGY299" s="11"/>
      <c r="QGZ299" s="11"/>
      <c r="QHA299" s="11"/>
      <c r="QHB299" s="11"/>
      <c r="QHC299" s="11"/>
      <c r="QHD299" s="11"/>
      <c r="QHE299" s="11"/>
      <c r="QHF299" s="11"/>
      <c r="QHG299" s="11"/>
      <c r="QHH299" s="11"/>
      <c r="QHI299" s="11"/>
      <c r="QHJ299" s="11"/>
      <c r="QHK299" s="11"/>
      <c r="QHL299" s="11"/>
      <c r="QHM299" s="11"/>
      <c r="QHN299" s="11"/>
      <c r="QHO299" s="11"/>
      <c r="QHP299" s="11"/>
      <c r="QHQ299" s="11"/>
      <c r="QHR299" s="11"/>
      <c r="QHS299" s="11"/>
      <c r="QHT299" s="11"/>
      <c r="QHU299" s="11"/>
      <c r="QHV299" s="11"/>
      <c r="QHW299" s="11"/>
      <c r="QHX299" s="11"/>
      <c r="QHY299" s="11"/>
      <c r="QHZ299" s="11"/>
      <c r="QIA299" s="11"/>
      <c r="QIB299" s="11"/>
      <c r="QIC299" s="11"/>
      <c r="QID299" s="11"/>
      <c r="QIE299" s="11"/>
      <c r="QIF299" s="11"/>
      <c r="QIG299" s="11"/>
      <c r="QIH299" s="11"/>
      <c r="QII299" s="11"/>
      <c r="QIJ299" s="11"/>
      <c r="QIK299" s="11"/>
      <c r="QIL299" s="11"/>
      <c r="QIM299" s="11"/>
      <c r="QIN299" s="11"/>
      <c r="QIO299" s="11"/>
      <c r="QIP299" s="11"/>
      <c r="QIQ299" s="11"/>
      <c r="QIR299" s="11"/>
      <c r="QIS299" s="11"/>
      <c r="QIT299" s="11"/>
      <c r="QIU299" s="11"/>
      <c r="QIV299" s="11"/>
      <c r="QIW299" s="11"/>
      <c r="QIX299" s="11"/>
      <c r="QIY299" s="11"/>
      <c r="QIZ299" s="11"/>
      <c r="QJA299" s="11"/>
      <c r="QJB299" s="11"/>
      <c r="QJC299" s="11"/>
      <c r="QJD299" s="11"/>
      <c r="QJE299" s="11"/>
      <c r="QJF299" s="11"/>
      <c r="QJG299" s="11"/>
      <c r="QJH299" s="11"/>
      <c r="QJI299" s="11"/>
      <c r="QJJ299" s="11"/>
      <c r="QJK299" s="11"/>
      <c r="QJL299" s="11"/>
      <c r="QJM299" s="11"/>
      <c r="QJN299" s="11"/>
      <c r="QJO299" s="11"/>
      <c r="QJP299" s="11"/>
      <c r="QJQ299" s="11"/>
      <c r="QJR299" s="11"/>
      <c r="QJS299" s="11"/>
      <c r="QJT299" s="11"/>
      <c r="QJU299" s="11"/>
      <c r="QJV299" s="11"/>
      <c r="QJW299" s="11"/>
      <c r="QJX299" s="11"/>
      <c r="QJY299" s="11"/>
      <c r="QJZ299" s="11"/>
      <c r="QKA299" s="11"/>
      <c r="QKB299" s="11"/>
      <c r="QKC299" s="11"/>
      <c r="QKD299" s="11"/>
      <c r="QKE299" s="11"/>
      <c r="QKF299" s="11"/>
      <c r="QKG299" s="11"/>
      <c r="QKH299" s="11"/>
      <c r="QKI299" s="11"/>
      <c r="QKJ299" s="11"/>
      <c r="QKK299" s="11"/>
      <c r="QKL299" s="11"/>
      <c r="QKM299" s="11"/>
      <c r="QKN299" s="11"/>
      <c r="QKO299" s="11"/>
      <c r="QKP299" s="11"/>
      <c r="QKQ299" s="11"/>
      <c r="QKR299" s="11"/>
      <c r="QKS299" s="11"/>
      <c r="QKT299" s="11"/>
      <c r="QKU299" s="11"/>
      <c r="QKV299" s="11"/>
      <c r="QKW299" s="11"/>
      <c r="QKX299" s="11"/>
      <c r="QKY299" s="11"/>
      <c r="QKZ299" s="11"/>
      <c r="QLA299" s="11"/>
      <c r="QLB299" s="11"/>
      <c r="QLC299" s="11"/>
      <c r="QLD299" s="11"/>
      <c r="QLE299" s="11"/>
      <c r="QLF299" s="11"/>
      <c r="QLG299" s="11"/>
      <c r="QLH299" s="11"/>
      <c r="QLI299" s="11"/>
      <c r="QLJ299" s="11"/>
      <c r="QLK299" s="11"/>
      <c r="QLL299" s="11"/>
      <c r="QLM299" s="11"/>
      <c r="QLN299" s="11"/>
      <c r="QLO299" s="11"/>
      <c r="QLP299" s="11"/>
      <c r="QLQ299" s="11"/>
      <c r="QLR299" s="11"/>
      <c r="QLS299" s="11"/>
      <c r="QLT299" s="11"/>
      <c r="QLU299" s="11"/>
      <c r="QLV299" s="11"/>
      <c r="QLW299" s="11"/>
      <c r="QLX299" s="11"/>
      <c r="QLY299" s="11"/>
      <c r="QLZ299" s="11"/>
      <c r="QMA299" s="11"/>
      <c r="QMB299" s="11"/>
      <c r="QMC299" s="11"/>
      <c r="QMD299" s="11"/>
      <c r="QME299" s="11"/>
      <c r="QMF299" s="11"/>
      <c r="QMG299" s="11"/>
      <c r="QMH299" s="11"/>
      <c r="QMI299" s="11"/>
      <c r="QMJ299" s="11"/>
      <c r="QMK299" s="11"/>
      <c r="QML299" s="11"/>
      <c r="QMM299" s="11"/>
      <c r="QMN299" s="11"/>
      <c r="QMO299" s="11"/>
      <c r="QMP299" s="11"/>
      <c r="QMQ299" s="11"/>
      <c r="QMR299" s="11"/>
      <c r="QMS299" s="11"/>
      <c r="QMT299" s="11"/>
      <c r="QMU299" s="11"/>
      <c r="QMV299" s="11"/>
      <c r="QMW299" s="11"/>
      <c r="QMX299" s="11"/>
      <c r="QMY299" s="11"/>
      <c r="QMZ299" s="11"/>
      <c r="QNA299" s="11"/>
      <c r="QNB299" s="11"/>
      <c r="QNC299" s="11"/>
      <c r="QND299" s="11"/>
      <c r="QNE299" s="11"/>
      <c r="QNF299" s="11"/>
      <c r="QNG299" s="11"/>
      <c r="QNH299" s="11"/>
      <c r="QNI299" s="11"/>
      <c r="QNJ299" s="11"/>
      <c r="QNK299" s="11"/>
      <c r="QNL299" s="11"/>
      <c r="QNM299" s="11"/>
      <c r="QNN299" s="11"/>
      <c r="QNO299" s="11"/>
      <c r="QNP299" s="11"/>
      <c r="QNQ299" s="11"/>
      <c r="QNR299" s="11"/>
      <c r="QNS299" s="11"/>
      <c r="QNT299" s="11"/>
      <c r="QNU299" s="11"/>
      <c r="QNV299" s="11"/>
      <c r="QNW299" s="11"/>
      <c r="QNX299" s="11"/>
      <c r="QNY299" s="11"/>
      <c r="QNZ299" s="11"/>
      <c r="QOA299" s="11"/>
      <c r="QOB299" s="11"/>
      <c r="QOC299" s="11"/>
      <c r="QOD299" s="11"/>
      <c r="QOE299" s="11"/>
      <c r="QOF299" s="11"/>
      <c r="QOG299" s="11"/>
      <c r="QOH299" s="11"/>
      <c r="QOI299" s="11"/>
      <c r="QOJ299" s="11"/>
      <c r="QOK299" s="11"/>
      <c r="QOL299" s="11"/>
      <c r="QOM299" s="11"/>
      <c r="QON299" s="11"/>
      <c r="QOO299" s="11"/>
      <c r="QOP299" s="11"/>
      <c r="QOQ299" s="11"/>
      <c r="QOR299" s="11"/>
      <c r="QOS299" s="11"/>
      <c r="QOT299" s="11"/>
      <c r="QOU299" s="11"/>
      <c r="QOV299" s="11"/>
      <c r="QOW299" s="11"/>
      <c r="QOX299" s="11"/>
      <c r="QOY299" s="11"/>
      <c r="QOZ299" s="11"/>
      <c r="QPA299" s="11"/>
      <c r="QPB299" s="11"/>
      <c r="QPC299" s="11"/>
      <c r="QPD299" s="11"/>
      <c r="QPE299" s="11"/>
      <c r="QPF299" s="11"/>
      <c r="QPG299" s="11"/>
      <c r="QPH299" s="11"/>
      <c r="QPI299" s="11"/>
      <c r="QPJ299" s="11"/>
      <c r="QPK299" s="11"/>
      <c r="QPL299" s="11"/>
      <c r="QPM299" s="11"/>
      <c r="QPN299" s="11"/>
      <c r="QPO299" s="11"/>
      <c r="QPP299" s="11"/>
      <c r="QPQ299" s="11"/>
      <c r="QPR299" s="11"/>
      <c r="QPS299" s="11"/>
      <c r="QPT299" s="11"/>
      <c r="QPU299" s="11"/>
      <c r="QPV299" s="11"/>
      <c r="QPW299" s="11"/>
      <c r="QPX299" s="11"/>
      <c r="QPY299" s="11"/>
      <c r="QPZ299" s="11"/>
      <c r="QQA299" s="11"/>
      <c r="QQB299" s="11"/>
      <c r="QQC299" s="11"/>
      <c r="QQD299" s="11"/>
      <c r="QQE299" s="11"/>
      <c r="QQF299" s="11"/>
      <c r="QQG299" s="11"/>
      <c r="QQH299" s="11"/>
      <c r="QQI299" s="11"/>
      <c r="QQJ299" s="11"/>
      <c r="QQK299" s="11"/>
      <c r="QQL299" s="11"/>
      <c r="QQM299" s="11"/>
      <c r="QQN299" s="11"/>
      <c r="QQO299" s="11"/>
      <c r="QQP299" s="11"/>
      <c r="QQQ299" s="11"/>
      <c r="QQR299" s="11"/>
      <c r="QQS299" s="11"/>
      <c r="QQT299" s="11"/>
      <c r="QQU299" s="11"/>
      <c r="QQV299" s="11"/>
      <c r="QQW299" s="11"/>
      <c r="QQX299" s="11"/>
      <c r="QQY299" s="11"/>
      <c r="QQZ299" s="11"/>
      <c r="QRA299" s="11"/>
      <c r="QRB299" s="11"/>
      <c r="QRC299" s="11"/>
      <c r="QRD299" s="11"/>
      <c r="QRE299" s="11"/>
      <c r="QRF299" s="11"/>
      <c r="QRG299" s="11"/>
      <c r="QRH299" s="11"/>
      <c r="QRI299" s="11"/>
      <c r="QRJ299" s="11"/>
      <c r="QRK299" s="11"/>
      <c r="QRL299" s="11"/>
      <c r="QRM299" s="11"/>
      <c r="QRN299" s="11"/>
      <c r="QRO299" s="11"/>
      <c r="QRP299" s="11"/>
      <c r="QRQ299" s="11"/>
      <c r="QRR299" s="11"/>
      <c r="QRS299" s="11"/>
      <c r="QRT299" s="11"/>
      <c r="QRU299" s="11"/>
      <c r="QRV299" s="11"/>
      <c r="QRW299" s="11"/>
      <c r="QRX299" s="11"/>
      <c r="QRY299" s="11"/>
      <c r="QRZ299" s="11"/>
      <c r="QSA299" s="11"/>
      <c r="QSB299" s="11"/>
      <c r="QSC299" s="11"/>
      <c r="QSD299" s="11"/>
      <c r="QSE299" s="11"/>
      <c r="QSF299" s="11"/>
      <c r="QSG299" s="11"/>
      <c r="QSH299" s="11"/>
      <c r="QSI299" s="11"/>
      <c r="QSJ299" s="11"/>
      <c r="QSK299" s="11"/>
      <c r="QSL299" s="11"/>
      <c r="QSM299" s="11"/>
      <c r="QSN299" s="11"/>
      <c r="QSO299" s="11"/>
      <c r="QSP299" s="11"/>
      <c r="QSQ299" s="11"/>
      <c r="QSR299" s="11"/>
      <c r="QSS299" s="11"/>
      <c r="QST299" s="11"/>
      <c r="QSU299" s="11"/>
      <c r="QSV299" s="11"/>
      <c r="QSW299" s="11"/>
      <c r="QSX299" s="11"/>
      <c r="QSY299" s="11"/>
      <c r="QSZ299" s="11"/>
      <c r="QTA299" s="11"/>
      <c r="QTB299" s="11"/>
      <c r="QTC299" s="11"/>
      <c r="QTD299" s="11"/>
      <c r="QTE299" s="11"/>
      <c r="QTF299" s="11"/>
      <c r="QTG299" s="11"/>
      <c r="QTH299" s="11"/>
      <c r="QTI299" s="11"/>
      <c r="QTJ299" s="11"/>
      <c r="QTK299" s="11"/>
      <c r="QTL299" s="11"/>
      <c r="QTM299" s="11"/>
      <c r="QTN299" s="11"/>
      <c r="QTO299" s="11"/>
      <c r="QTP299" s="11"/>
      <c r="QTQ299" s="11"/>
      <c r="QTR299" s="11"/>
      <c r="QTS299" s="11"/>
      <c r="QTT299" s="11"/>
      <c r="QTU299" s="11"/>
      <c r="QTV299" s="11"/>
      <c r="QTW299" s="11"/>
      <c r="QTX299" s="11"/>
      <c r="QTY299" s="11"/>
      <c r="QTZ299" s="11"/>
      <c r="QUA299" s="11"/>
      <c r="QUB299" s="11"/>
      <c r="QUC299" s="11"/>
      <c r="QUD299" s="11"/>
      <c r="QUE299" s="11"/>
      <c r="QUF299" s="11"/>
      <c r="QUG299" s="11"/>
      <c r="QUH299" s="11"/>
      <c r="QUI299" s="11"/>
      <c r="QUJ299" s="11"/>
      <c r="QUK299" s="11"/>
      <c r="QUL299" s="11"/>
      <c r="QUM299" s="11"/>
      <c r="QUN299" s="11"/>
      <c r="QUO299" s="11"/>
      <c r="QUP299" s="11"/>
      <c r="QUQ299" s="11"/>
      <c r="QUR299" s="11"/>
      <c r="QUS299" s="11"/>
      <c r="QUT299" s="11"/>
      <c r="QUU299" s="11"/>
      <c r="QUV299" s="11"/>
      <c r="QUW299" s="11"/>
      <c r="QUX299" s="11"/>
      <c r="QUY299" s="11"/>
      <c r="QUZ299" s="11"/>
      <c r="QVA299" s="11"/>
      <c r="QVB299" s="11"/>
      <c r="QVC299" s="11"/>
      <c r="QVD299" s="11"/>
      <c r="QVE299" s="11"/>
      <c r="QVF299" s="11"/>
      <c r="QVG299" s="11"/>
      <c r="QVH299" s="11"/>
      <c r="QVI299" s="11"/>
      <c r="QVJ299" s="11"/>
      <c r="QVK299" s="11"/>
      <c r="QVL299" s="11"/>
      <c r="QVM299" s="11"/>
      <c r="QVN299" s="11"/>
      <c r="QVO299" s="11"/>
      <c r="QVP299" s="11"/>
      <c r="QVQ299" s="11"/>
      <c r="QVR299" s="11"/>
      <c r="QVS299" s="11"/>
      <c r="QVT299" s="11"/>
      <c r="QVU299" s="11"/>
      <c r="QVV299" s="11"/>
      <c r="QVW299" s="11"/>
      <c r="QVX299" s="11"/>
      <c r="QVY299" s="11"/>
      <c r="QVZ299" s="11"/>
      <c r="QWA299" s="11"/>
      <c r="QWB299" s="11"/>
      <c r="QWC299" s="11"/>
      <c r="QWD299" s="11"/>
      <c r="QWE299" s="11"/>
      <c r="QWF299" s="11"/>
      <c r="QWG299" s="11"/>
      <c r="QWH299" s="11"/>
      <c r="QWI299" s="11"/>
      <c r="QWJ299" s="11"/>
      <c r="QWK299" s="11"/>
      <c r="QWL299" s="11"/>
      <c r="QWM299" s="11"/>
      <c r="QWN299" s="11"/>
      <c r="QWO299" s="11"/>
      <c r="QWP299" s="11"/>
      <c r="QWQ299" s="11"/>
      <c r="QWR299" s="11"/>
      <c r="QWS299" s="11"/>
      <c r="QWT299" s="11"/>
      <c r="QWU299" s="11"/>
      <c r="QWV299" s="11"/>
      <c r="QWW299" s="11"/>
      <c r="QWX299" s="11"/>
      <c r="QWY299" s="11"/>
      <c r="QWZ299" s="11"/>
      <c r="QXA299" s="11"/>
      <c r="QXB299" s="11"/>
      <c r="QXC299" s="11"/>
      <c r="QXD299" s="11"/>
      <c r="QXE299" s="11"/>
      <c r="QXF299" s="11"/>
      <c r="QXG299" s="11"/>
      <c r="QXH299" s="11"/>
      <c r="QXI299" s="11"/>
      <c r="QXJ299" s="11"/>
      <c r="QXK299" s="11"/>
      <c r="QXL299" s="11"/>
      <c r="QXM299" s="11"/>
      <c r="QXN299" s="11"/>
      <c r="QXO299" s="11"/>
      <c r="QXP299" s="11"/>
      <c r="QXQ299" s="11"/>
      <c r="QXR299" s="11"/>
      <c r="QXS299" s="11"/>
      <c r="QXT299" s="11"/>
      <c r="QXU299" s="11"/>
      <c r="QXV299" s="11"/>
      <c r="QXW299" s="11"/>
      <c r="QXX299" s="11"/>
      <c r="QXY299" s="11"/>
      <c r="QXZ299" s="11"/>
      <c r="QYA299" s="11"/>
      <c r="QYB299" s="11"/>
      <c r="QYC299" s="11"/>
      <c r="QYD299" s="11"/>
      <c r="QYE299" s="11"/>
      <c r="QYF299" s="11"/>
      <c r="QYG299" s="11"/>
      <c r="QYH299" s="11"/>
      <c r="QYI299" s="11"/>
      <c r="QYJ299" s="11"/>
      <c r="QYK299" s="11"/>
      <c r="QYL299" s="11"/>
      <c r="QYM299" s="11"/>
      <c r="QYN299" s="11"/>
      <c r="QYO299" s="11"/>
      <c r="QYP299" s="11"/>
      <c r="QYQ299" s="11"/>
      <c r="QYR299" s="11"/>
      <c r="QYS299" s="11"/>
      <c r="QYT299" s="11"/>
      <c r="QYU299" s="11"/>
      <c r="QYV299" s="11"/>
      <c r="QYW299" s="11"/>
      <c r="QYX299" s="11"/>
      <c r="QYY299" s="11"/>
      <c r="QYZ299" s="11"/>
      <c r="QZA299" s="11"/>
      <c r="QZB299" s="11"/>
      <c r="QZC299" s="11"/>
      <c r="QZD299" s="11"/>
      <c r="QZE299" s="11"/>
      <c r="QZF299" s="11"/>
      <c r="QZG299" s="11"/>
      <c r="QZH299" s="11"/>
      <c r="QZI299" s="11"/>
      <c r="QZJ299" s="11"/>
      <c r="QZK299" s="11"/>
      <c r="QZL299" s="11"/>
      <c r="QZM299" s="11"/>
      <c r="QZN299" s="11"/>
      <c r="QZO299" s="11"/>
      <c r="QZP299" s="11"/>
      <c r="QZQ299" s="11"/>
      <c r="QZR299" s="11"/>
      <c r="QZS299" s="11"/>
      <c r="QZT299" s="11"/>
      <c r="QZU299" s="11"/>
      <c r="QZV299" s="11"/>
      <c r="QZW299" s="11"/>
      <c r="QZX299" s="11"/>
      <c r="QZY299" s="11"/>
      <c r="QZZ299" s="11"/>
      <c r="RAA299" s="11"/>
      <c r="RAB299" s="11"/>
      <c r="RAC299" s="11"/>
      <c r="RAD299" s="11"/>
      <c r="RAE299" s="11"/>
      <c r="RAF299" s="11"/>
      <c r="RAG299" s="11"/>
      <c r="RAH299" s="11"/>
      <c r="RAI299" s="11"/>
      <c r="RAJ299" s="11"/>
      <c r="RAK299" s="11"/>
      <c r="RAL299" s="11"/>
      <c r="RAM299" s="11"/>
      <c r="RAN299" s="11"/>
      <c r="RAO299" s="11"/>
      <c r="RAP299" s="11"/>
      <c r="RAQ299" s="11"/>
      <c r="RAR299" s="11"/>
      <c r="RAS299" s="11"/>
      <c r="RAT299" s="11"/>
      <c r="RAU299" s="11"/>
      <c r="RAV299" s="11"/>
      <c r="RAW299" s="11"/>
      <c r="RAX299" s="11"/>
      <c r="RAY299" s="11"/>
      <c r="RAZ299" s="11"/>
      <c r="RBA299" s="11"/>
      <c r="RBB299" s="11"/>
      <c r="RBC299" s="11"/>
      <c r="RBD299" s="11"/>
      <c r="RBE299" s="11"/>
      <c r="RBF299" s="11"/>
      <c r="RBG299" s="11"/>
      <c r="RBH299" s="11"/>
      <c r="RBI299" s="11"/>
      <c r="RBJ299" s="11"/>
      <c r="RBK299" s="11"/>
      <c r="RBL299" s="11"/>
      <c r="RBM299" s="11"/>
      <c r="RBN299" s="11"/>
      <c r="RBO299" s="11"/>
      <c r="RBP299" s="11"/>
      <c r="RBQ299" s="11"/>
      <c r="RBR299" s="11"/>
      <c r="RBS299" s="11"/>
      <c r="RBT299" s="11"/>
      <c r="RBU299" s="11"/>
      <c r="RBV299" s="11"/>
      <c r="RBW299" s="11"/>
      <c r="RBX299" s="11"/>
      <c r="RBY299" s="11"/>
      <c r="RBZ299" s="11"/>
      <c r="RCA299" s="11"/>
      <c r="RCB299" s="11"/>
      <c r="RCC299" s="11"/>
      <c r="RCD299" s="11"/>
      <c r="RCE299" s="11"/>
      <c r="RCF299" s="11"/>
      <c r="RCG299" s="11"/>
      <c r="RCH299" s="11"/>
      <c r="RCI299" s="11"/>
      <c r="RCJ299" s="11"/>
      <c r="RCK299" s="11"/>
      <c r="RCL299" s="11"/>
      <c r="RCM299" s="11"/>
      <c r="RCN299" s="11"/>
      <c r="RCO299" s="11"/>
      <c r="RCP299" s="11"/>
      <c r="RCQ299" s="11"/>
      <c r="RCR299" s="11"/>
      <c r="RCS299" s="11"/>
      <c r="RCT299" s="11"/>
      <c r="RCU299" s="11"/>
      <c r="RCV299" s="11"/>
      <c r="RCW299" s="11"/>
      <c r="RCX299" s="11"/>
      <c r="RCY299" s="11"/>
      <c r="RCZ299" s="11"/>
      <c r="RDA299" s="11"/>
      <c r="RDB299" s="11"/>
      <c r="RDC299" s="11"/>
      <c r="RDD299" s="11"/>
      <c r="RDE299" s="11"/>
      <c r="RDF299" s="11"/>
      <c r="RDG299" s="11"/>
      <c r="RDH299" s="11"/>
      <c r="RDI299" s="11"/>
      <c r="RDJ299" s="11"/>
      <c r="RDK299" s="11"/>
      <c r="RDL299" s="11"/>
      <c r="RDM299" s="11"/>
      <c r="RDN299" s="11"/>
      <c r="RDO299" s="11"/>
      <c r="RDP299" s="11"/>
      <c r="RDQ299" s="11"/>
      <c r="RDR299" s="11"/>
      <c r="RDS299" s="11"/>
      <c r="RDT299" s="11"/>
      <c r="RDU299" s="11"/>
      <c r="RDV299" s="11"/>
      <c r="RDW299" s="11"/>
      <c r="RDX299" s="11"/>
      <c r="RDY299" s="11"/>
      <c r="RDZ299" s="11"/>
      <c r="REA299" s="11"/>
      <c r="REB299" s="11"/>
      <c r="REC299" s="11"/>
      <c r="RED299" s="11"/>
      <c r="REE299" s="11"/>
      <c r="REF299" s="11"/>
      <c r="REG299" s="11"/>
      <c r="REH299" s="11"/>
      <c r="REI299" s="11"/>
      <c r="REJ299" s="11"/>
      <c r="REK299" s="11"/>
      <c r="REL299" s="11"/>
      <c r="REM299" s="11"/>
      <c r="REN299" s="11"/>
      <c r="REO299" s="11"/>
      <c r="REP299" s="11"/>
      <c r="REQ299" s="11"/>
      <c r="RER299" s="11"/>
      <c r="RES299" s="11"/>
      <c r="RET299" s="11"/>
      <c r="REU299" s="11"/>
      <c r="REV299" s="11"/>
      <c r="REW299" s="11"/>
      <c r="REX299" s="11"/>
      <c r="REY299" s="11"/>
      <c r="REZ299" s="11"/>
      <c r="RFA299" s="11"/>
      <c r="RFB299" s="11"/>
      <c r="RFC299" s="11"/>
      <c r="RFD299" s="11"/>
      <c r="RFE299" s="11"/>
      <c r="RFF299" s="11"/>
      <c r="RFG299" s="11"/>
      <c r="RFH299" s="11"/>
      <c r="RFI299" s="11"/>
      <c r="RFJ299" s="11"/>
      <c r="RFK299" s="11"/>
      <c r="RFL299" s="11"/>
      <c r="RFM299" s="11"/>
      <c r="RFN299" s="11"/>
      <c r="RFO299" s="11"/>
      <c r="RFP299" s="11"/>
      <c r="RFQ299" s="11"/>
      <c r="RFR299" s="11"/>
      <c r="RFS299" s="11"/>
      <c r="RFT299" s="11"/>
      <c r="RFU299" s="11"/>
      <c r="RFV299" s="11"/>
      <c r="RFW299" s="11"/>
      <c r="RFX299" s="11"/>
      <c r="RFY299" s="11"/>
      <c r="RFZ299" s="11"/>
      <c r="RGA299" s="11"/>
      <c r="RGB299" s="11"/>
      <c r="RGC299" s="11"/>
      <c r="RGD299" s="11"/>
      <c r="RGE299" s="11"/>
      <c r="RGF299" s="11"/>
      <c r="RGG299" s="11"/>
      <c r="RGH299" s="11"/>
      <c r="RGI299" s="11"/>
      <c r="RGJ299" s="11"/>
      <c r="RGK299" s="11"/>
      <c r="RGL299" s="11"/>
      <c r="RGM299" s="11"/>
      <c r="RGN299" s="11"/>
      <c r="RGO299" s="11"/>
      <c r="RGP299" s="11"/>
      <c r="RGQ299" s="11"/>
      <c r="RGR299" s="11"/>
      <c r="RGS299" s="11"/>
      <c r="RGT299" s="11"/>
      <c r="RGU299" s="11"/>
      <c r="RGV299" s="11"/>
      <c r="RGW299" s="11"/>
      <c r="RGX299" s="11"/>
      <c r="RGY299" s="11"/>
      <c r="RGZ299" s="11"/>
      <c r="RHA299" s="11"/>
      <c r="RHB299" s="11"/>
      <c r="RHC299" s="11"/>
      <c r="RHD299" s="11"/>
      <c r="RHE299" s="11"/>
      <c r="RHF299" s="11"/>
      <c r="RHG299" s="11"/>
      <c r="RHH299" s="11"/>
      <c r="RHI299" s="11"/>
      <c r="RHJ299" s="11"/>
      <c r="RHK299" s="11"/>
      <c r="RHL299" s="11"/>
      <c r="RHM299" s="11"/>
      <c r="RHN299" s="11"/>
      <c r="RHO299" s="11"/>
      <c r="RHP299" s="11"/>
      <c r="RHQ299" s="11"/>
      <c r="RHR299" s="11"/>
      <c r="RHS299" s="11"/>
      <c r="RHT299" s="11"/>
      <c r="RHU299" s="11"/>
      <c r="RHV299" s="11"/>
      <c r="RHW299" s="11"/>
      <c r="RHX299" s="11"/>
      <c r="RHY299" s="11"/>
      <c r="RHZ299" s="11"/>
      <c r="RIA299" s="11"/>
      <c r="RIB299" s="11"/>
      <c r="RIC299" s="11"/>
      <c r="RID299" s="11"/>
      <c r="RIE299" s="11"/>
      <c r="RIF299" s="11"/>
      <c r="RIG299" s="11"/>
      <c r="RIH299" s="11"/>
      <c r="RII299" s="11"/>
      <c r="RIJ299" s="11"/>
      <c r="RIK299" s="11"/>
      <c r="RIL299" s="11"/>
      <c r="RIM299" s="11"/>
      <c r="RIN299" s="11"/>
      <c r="RIO299" s="11"/>
      <c r="RIP299" s="11"/>
      <c r="RIQ299" s="11"/>
      <c r="RIR299" s="11"/>
      <c r="RIS299" s="11"/>
      <c r="RIT299" s="11"/>
      <c r="RIU299" s="11"/>
      <c r="RIV299" s="11"/>
      <c r="RIW299" s="11"/>
      <c r="RIX299" s="11"/>
      <c r="RIY299" s="11"/>
      <c r="RIZ299" s="11"/>
      <c r="RJA299" s="11"/>
      <c r="RJB299" s="11"/>
      <c r="RJC299" s="11"/>
      <c r="RJD299" s="11"/>
      <c r="RJE299" s="11"/>
      <c r="RJF299" s="11"/>
      <c r="RJG299" s="11"/>
      <c r="RJH299" s="11"/>
      <c r="RJI299" s="11"/>
      <c r="RJJ299" s="11"/>
      <c r="RJK299" s="11"/>
      <c r="RJL299" s="11"/>
      <c r="RJM299" s="11"/>
      <c r="RJN299" s="11"/>
      <c r="RJO299" s="11"/>
      <c r="RJP299" s="11"/>
      <c r="RJQ299" s="11"/>
      <c r="RJR299" s="11"/>
      <c r="RJS299" s="11"/>
      <c r="RJT299" s="11"/>
      <c r="RJU299" s="11"/>
      <c r="RJV299" s="11"/>
      <c r="RJW299" s="11"/>
      <c r="RJX299" s="11"/>
      <c r="RJY299" s="11"/>
      <c r="RJZ299" s="11"/>
      <c r="RKA299" s="11"/>
      <c r="RKB299" s="11"/>
      <c r="RKC299" s="11"/>
      <c r="RKD299" s="11"/>
      <c r="RKE299" s="11"/>
      <c r="RKF299" s="11"/>
      <c r="RKG299" s="11"/>
      <c r="RKH299" s="11"/>
      <c r="RKI299" s="11"/>
      <c r="RKJ299" s="11"/>
      <c r="RKK299" s="11"/>
      <c r="RKL299" s="11"/>
      <c r="RKM299" s="11"/>
      <c r="RKN299" s="11"/>
      <c r="RKO299" s="11"/>
      <c r="RKP299" s="11"/>
      <c r="RKQ299" s="11"/>
      <c r="RKR299" s="11"/>
      <c r="RKS299" s="11"/>
      <c r="RKT299" s="11"/>
      <c r="RKU299" s="11"/>
      <c r="RKV299" s="11"/>
      <c r="RKW299" s="11"/>
      <c r="RKX299" s="11"/>
      <c r="RKY299" s="11"/>
      <c r="RKZ299" s="11"/>
      <c r="RLA299" s="11"/>
      <c r="RLB299" s="11"/>
      <c r="RLC299" s="11"/>
      <c r="RLD299" s="11"/>
      <c r="RLE299" s="11"/>
      <c r="RLF299" s="11"/>
      <c r="RLG299" s="11"/>
      <c r="RLH299" s="11"/>
      <c r="RLI299" s="11"/>
      <c r="RLJ299" s="11"/>
      <c r="RLK299" s="11"/>
      <c r="RLL299" s="11"/>
      <c r="RLM299" s="11"/>
      <c r="RLN299" s="11"/>
      <c r="RLO299" s="11"/>
      <c r="RLP299" s="11"/>
      <c r="RLQ299" s="11"/>
      <c r="RLR299" s="11"/>
      <c r="RLS299" s="11"/>
      <c r="RLT299" s="11"/>
      <c r="RLU299" s="11"/>
      <c r="RLV299" s="11"/>
      <c r="RLW299" s="11"/>
      <c r="RLX299" s="11"/>
      <c r="RLY299" s="11"/>
      <c r="RLZ299" s="11"/>
      <c r="RMA299" s="11"/>
      <c r="RMB299" s="11"/>
      <c r="RMC299" s="11"/>
      <c r="RMD299" s="11"/>
      <c r="RME299" s="11"/>
      <c r="RMF299" s="11"/>
      <c r="RMG299" s="11"/>
      <c r="RMH299" s="11"/>
      <c r="RMI299" s="11"/>
      <c r="RMJ299" s="11"/>
      <c r="RMK299" s="11"/>
      <c r="RML299" s="11"/>
      <c r="RMM299" s="11"/>
      <c r="RMN299" s="11"/>
      <c r="RMO299" s="11"/>
      <c r="RMP299" s="11"/>
      <c r="RMQ299" s="11"/>
      <c r="RMR299" s="11"/>
      <c r="RMS299" s="11"/>
      <c r="RMT299" s="11"/>
      <c r="RMU299" s="11"/>
      <c r="RMV299" s="11"/>
      <c r="RMW299" s="11"/>
      <c r="RMX299" s="11"/>
      <c r="RMY299" s="11"/>
      <c r="RMZ299" s="11"/>
      <c r="RNA299" s="11"/>
      <c r="RNB299" s="11"/>
      <c r="RNC299" s="11"/>
      <c r="RND299" s="11"/>
      <c r="RNE299" s="11"/>
      <c r="RNF299" s="11"/>
      <c r="RNG299" s="11"/>
      <c r="RNH299" s="11"/>
      <c r="RNI299" s="11"/>
      <c r="RNJ299" s="11"/>
      <c r="RNK299" s="11"/>
      <c r="RNL299" s="11"/>
      <c r="RNM299" s="11"/>
      <c r="RNN299" s="11"/>
      <c r="RNO299" s="11"/>
      <c r="RNP299" s="11"/>
      <c r="RNQ299" s="11"/>
      <c r="RNR299" s="11"/>
      <c r="RNS299" s="11"/>
      <c r="RNT299" s="11"/>
      <c r="RNU299" s="11"/>
      <c r="RNV299" s="11"/>
      <c r="RNW299" s="11"/>
      <c r="RNX299" s="11"/>
      <c r="RNY299" s="11"/>
      <c r="RNZ299" s="11"/>
      <c r="ROA299" s="11"/>
      <c r="ROB299" s="11"/>
      <c r="ROC299" s="11"/>
      <c r="ROD299" s="11"/>
      <c r="ROE299" s="11"/>
      <c r="ROF299" s="11"/>
      <c r="ROG299" s="11"/>
      <c r="ROH299" s="11"/>
      <c r="ROI299" s="11"/>
      <c r="ROJ299" s="11"/>
      <c r="ROK299" s="11"/>
      <c r="ROL299" s="11"/>
      <c r="ROM299" s="11"/>
      <c r="RON299" s="11"/>
      <c r="ROO299" s="11"/>
      <c r="ROP299" s="11"/>
      <c r="ROQ299" s="11"/>
      <c r="ROR299" s="11"/>
      <c r="ROS299" s="11"/>
      <c r="ROT299" s="11"/>
      <c r="ROU299" s="11"/>
      <c r="ROV299" s="11"/>
      <c r="ROW299" s="11"/>
      <c r="ROX299" s="11"/>
      <c r="ROY299" s="11"/>
      <c r="ROZ299" s="11"/>
      <c r="RPA299" s="11"/>
      <c r="RPB299" s="11"/>
      <c r="RPC299" s="11"/>
      <c r="RPD299" s="11"/>
      <c r="RPE299" s="11"/>
      <c r="RPF299" s="11"/>
      <c r="RPG299" s="11"/>
      <c r="RPH299" s="11"/>
      <c r="RPI299" s="11"/>
      <c r="RPJ299" s="11"/>
      <c r="RPK299" s="11"/>
      <c r="RPL299" s="11"/>
      <c r="RPM299" s="11"/>
      <c r="RPN299" s="11"/>
      <c r="RPO299" s="11"/>
      <c r="RPP299" s="11"/>
      <c r="RPQ299" s="11"/>
      <c r="RPR299" s="11"/>
      <c r="RPS299" s="11"/>
      <c r="RPT299" s="11"/>
      <c r="RPU299" s="11"/>
      <c r="RPV299" s="11"/>
      <c r="RPW299" s="11"/>
      <c r="RPX299" s="11"/>
      <c r="RPY299" s="11"/>
      <c r="RPZ299" s="11"/>
      <c r="RQA299" s="11"/>
      <c r="RQB299" s="11"/>
      <c r="RQC299" s="11"/>
      <c r="RQD299" s="11"/>
      <c r="RQE299" s="11"/>
      <c r="RQF299" s="11"/>
      <c r="RQG299" s="11"/>
      <c r="RQH299" s="11"/>
      <c r="RQI299" s="11"/>
      <c r="RQJ299" s="11"/>
      <c r="RQK299" s="11"/>
      <c r="RQL299" s="11"/>
      <c r="RQM299" s="11"/>
      <c r="RQN299" s="11"/>
      <c r="RQO299" s="11"/>
      <c r="RQP299" s="11"/>
      <c r="RQQ299" s="11"/>
      <c r="RQR299" s="11"/>
      <c r="RQS299" s="11"/>
      <c r="RQT299" s="11"/>
      <c r="RQU299" s="11"/>
      <c r="RQV299" s="11"/>
      <c r="RQW299" s="11"/>
      <c r="RQX299" s="11"/>
      <c r="RQY299" s="11"/>
      <c r="RQZ299" s="11"/>
      <c r="RRA299" s="11"/>
      <c r="RRB299" s="11"/>
      <c r="RRC299" s="11"/>
      <c r="RRD299" s="11"/>
      <c r="RRE299" s="11"/>
      <c r="RRF299" s="11"/>
      <c r="RRG299" s="11"/>
      <c r="RRH299" s="11"/>
      <c r="RRI299" s="11"/>
      <c r="RRJ299" s="11"/>
      <c r="RRK299" s="11"/>
      <c r="RRL299" s="11"/>
      <c r="RRM299" s="11"/>
      <c r="RRN299" s="11"/>
      <c r="RRO299" s="11"/>
      <c r="RRP299" s="11"/>
      <c r="RRQ299" s="11"/>
      <c r="RRR299" s="11"/>
      <c r="RRS299" s="11"/>
      <c r="RRT299" s="11"/>
      <c r="RRU299" s="11"/>
      <c r="RRV299" s="11"/>
      <c r="RRW299" s="11"/>
      <c r="RRX299" s="11"/>
      <c r="RRY299" s="11"/>
      <c r="RRZ299" s="11"/>
      <c r="RSA299" s="11"/>
      <c r="RSB299" s="11"/>
      <c r="RSC299" s="11"/>
      <c r="RSD299" s="11"/>
      <c r="RSE299" s="11"/>
      <c r="RSF299" s="11"/>
      <c r="RSG299" s="11"/>
      <c r="RSH299" s="11"/>
      <c r="RSI299" s="11"/>
      <c r="RSJ299" s="11"/>
      <c r="RSK299" s="11"/>
      <c r="RSL299" s="11"/>
      <c r="RSM299" s="11"/>
      <c r="RSN299" s="11"/>
      <c r="RSO299" s="11"/>
      <c r="RSP299" s="11"/>
      <c r="RSQ299" s="11"/>
      <c r="RSR299" s="11"/>
      <c r="RSS299" s="11"/>
      <c r="RST299" s="11"/>
      <c r="RSU299" s="11"/>
      <c r="RSV299" s="11"/>
      <c r="RSW299" s="11"/>
      <c r="RSX299" s="11"/>
      <c r="RSY299" s="11"/>
      <c r="RSZ299" s="11"/>
      <c r="RTA299" s="11"/>
      <c r="RTB299" s="11"/>
      <c r="RTC299" s="11"/>
      <c r="RTD299" s="11"/>
      <c r="RTE299" s="11"/>
      <c r="RTF299" s="11"/>
      <c r="RTG299" s="11"/>
      <c r="RTH299" s="11"/>
      <c r="RTI299" s="11"/>
      <c r="RTJ299" s="11"/>
      <c r="RTK299" s="11"/>
      <c r="RTL299" s="11"/>
      <c r="RTM299" s="11"/>
      <c r="RTN299" s="11"/>
      <c r="RTO299" s="11"/>
      <c r="RTP299" s="11"/>
      <c r="RTQ299" s="11"/>
      <c r="RTR299" s="11"/>
      <c r="RTS299" s="11"/>
      <c r="RTT299" s="11"/>
      <c r="RTU299" s="11"/>
      <c r="RTV299" s="11"/>
      <c r="RTW299" s="11"/>
      <c r="RTX299" s="11"/>
      <c r="RTY299" s="11"/>
      <c r="RTZ299" s="11"/>
      <c r="RUA299" s="11"/>
      <c r="RUB299" s="11"/>
      <c r="RUC299" s="11"/>
      <c r="RUD299" s="11"/>
      <c r="RUE299" s="11"/>
      <c r="RUF299" s="11"/>
      <c r="RUG299" s="11"/>
      <c r="RUH299" s="11"/>
      <c r="RUI299" s="11"/>
      <c r="RUJ299" s="11"/>
      <c r="RUK299" s="11"/>
      <c r="RUL299" s="11"/>
      <c r="RUM299" s="11"/>
      <c r="RUN299" s="11"/>
      <c r="RUO299" s="11"/>
      <c r="RUP299" s="11"/>
      <c r="RUQ299" s="11"/>
      <c r="RUR299" s="11"/>
      <c r="RUS299" s="11"/>
      <c r="RUT299" s="11"/>
      <c r="RUU299" s="11"/>
      <c r="RUV299" s="11"/>
      <c r="RUW299" s="11"/>
      <c r="RUX299" s="11"/>
      <c r="RUY299" s="11"/>
      <c r="RUZ299" s="11"/>
      <c r="RVA299" s="11"/>
      <c r="RVB299" s="11"/>
      <c r="RVC299" s="11"/>
      <c r="RVD299" s="11"/>
      <c r="RVE299" s="11"/>
      <c r="RVF299" s="11"/>
      <c r="RVG299" s="11"/>
      <c r="RVH299" s="11"/>
      <c r="RVI299" s="11"/>
      <c r="RVJ299" s="11"/>
      <c r="RVK299" s="11"/>
      <c r="RVL299" s="11"/>
      <c r="RVM299" s="11"/>
      <c r="RVN299" s="11"/>
      <c r="RVO299" s="11"/>
      <c r="RVP299" s="11"/>
      <c r="RVQ299" s="11"/>
      <c r="RVR299" s="11"/>
      <c r="RVS299" s="11"/>
      <c r="RVT299" s="11"/>
      <c r="RVU299" s="11"/>
      <c r="RVV299" s="11"/>
      <c r="RVW299" s="11"/>
      <c r="RVX299" s="11"/>
      <c r="RVY299" s="11"/>
      <c r="RVZ299" s="11"/>
      <c r="RWA299" s="11"/>
      <c r="RWB299" s="11"/>
      <c r="RWC299" s="11"/>
      <c r="RWD299" s="11"/>
      <c r="RWE299" s="11"/>
      <c r="RWF299" s="11"/>
      <c r="RWG299" s="11"/>
      <c r="RWH299" s="11"/>
      <c r="RWI299" s="11"/>
      <c r="RWJ299" s="11"/>
      <c r="RWK299" s="11"/>
      <c r="RWL299" s="11"/>
      <c r="RWM299" s="11"/>
      <c r="RWN299" s="11"/>
      <c r="RWO299" s="11"/>
      <c r="RWP299" s="11"/>
      <c r="RWQ299" s="11"/>
      <c r="RWR299" s="11"/>
      <c r="RWS299" s="11"/>
      <c r="RWT299" s="11"/>
      <c r="RWU299" s="11"/>
      <c r="RWV299" s="11"/>
      <c r="RWW299" s="11"/>
      <c r="RWX299" s="11"/>
      <c r="RWY299" s="11"/>
      <c r="RWZ299" s="11"/>
      <c r="RXA299" s="11"/>
      <c r="RXB299" s="11"/>
      <c r="RXC299" s="11"/>
      <c r="RXD299" s="11"/>
      <c r="RXE299" s="11"/>
      <c r="RXF299" s="11"/>
      <c r="RXG299" s="11"/>
      <c r="RXH299" s="11"/>
      <c r="RXI299" s="11"/>
      <c r="RXJ299" s="11"/>
      <c r="RXK299" s="11"/>
      <c r="RXL299" s="11"/>
      <c r="RXM299" s="11"/>
      <c r="RXN299" s="11"/>
      <c r="RXO299" s="11"/>
      <c r="RXP299" s="11"/>
      <c r="RXQ299" s="11"/>
      <c r="RXR299" s="11"/>
      <c r="RXS299" s="11"/>
      <c r="RXT299" s="11"/>
      <c r="RXU299" s="11"/>
      <c r="RXV299" s="11"/>
      <c r="RXW299" s="11"/>
      <c r="RXX299" s="11"/>
      <c r="RXY299" s="11"/>
      <c r="RXZ299" s="11"/>
      <c r="RYA299" s="11"/>
      <c r="RYB299" s="11"/>
      <c r="RYC299" s="11"/>
      <c r="RYD299" s="11"/>
      <c r="RYE299" s="11"/>
      <c r="RYF299" s="11"/>
      <c r="RYG299" s="11"/>
      <c r="RYH299" s="11"/>
      <c r="RYI299" s="11"/>
      <c r="RYJ299" s="11"/>
      <c r="RYK299" s="11"/>
      <c r="RYL299" s="11"/>
      <c r="RYM299" s="11"/>
      <c r="RYN299" s="11"/>
      <c r="RYO299" s="11"/>
      <c r="RYP299" s="11"/>
      <c r="RYQ299" s="11"/>
      <c r="RYR299" s="11"/>
      <c r="RYS299" s="11"/>
      <c r="RYT299" s="11"/>
      <c r="RYU299" s="11"/>
      <c r="RYV299" s="11"/>
      <c r="RYW299" s="11"/>
      <c r="RYX299" s="11"/>
      <c r="RYY299" s="11"/>
      <c r="RYZ299" s="11"/>
      <c r="RZA299" s="11"/>
      <c r="RZB299" s="11"/>
      <c r="RZC299" s="11"/>
      <c r="RZD299" s="11"/>
      <c r="RZE299" s="11"/>
      <c r="RZF299" s="11"/>
      <c r="RZG299" s="11"/>
      <c r="RZH299" s="11"/>
      <c r="RZI299" s="11"/>
      <c r="RZJ299" s="11"/>
      <c r="RZK299" s="11"/>
      <c r="RZL299" s="11"/>
      <c r="RZM299" s="11"/>
      <c r="RZN299" s="11"/>
      <c r="RZO299" s="11"/>
      <c r="RZP299" s="11"/>
      <c r="RZQ299" s="11"/>
      <c r="RZR299" s="11"/>
      <c r="RZS299" s="11"/>
      <c r="RZT299" s="11"/>
      <c r="RZU299" s="11"/>
      <c r="RZV299" s="11"/>
      <c r="RZW299" s="11"/>
      <c r="RZX299" s="11"/>
      <c r="RZY299" s="11"/>
      <c r="RZZ299" s="11"/>
      <c r="SAA299" s="11"/>
      <c r="SAB299" s="11"/>
      <c r="SAC299" s="11"/>
      <c r="SAD299" s="11"/>
      <c r="SAE299" s="11"/>
      <c r="SAF299" s="11"/>
      <c r="SAG299" s="11"/>
      <c r="SAH299" s="11"/>
      <c r="SAI299" s="11"/>
      <c r="SAJ299" s="11"/>
      <c r="SAK299" s="11"/>
      <c r="SAL299" s="11"/>
      <c r="SAM299" s="11"/>
      <c r="SAN299" s="11"/>
      <c r="SAO299" s="11"/>
      <c r="SAP299" s="11"/>
      <c r="SAQ299" s="11"/>
      <c r="SAR299" s="11"/>
      <c r="SAS299" s="11"/>
      <c r="SAT299" s="11"/>
      <c r="SAU299" s="11"/>
      <c r="SAV299" s="11"/>
      <c r="SAW299" s="11"/>
      <c r="SAX299" s="11"/>
      <c r="SAY299" s="11"/>
      <c r="SAZ299" s="11"/>
      <c r="SBA299" s="11"/>
      <c r="SBB299" s="11"/>
      <c r="SBC299" s="11"/>
      <c r="SBD299" s="11"/>
      <c r="SBE299" s="11"/>
      <c r="SBF299" s="11"/>
      <c r="SBG299" s="11"/>
      <c r="SBH299" s="11"/>
      <c r="SBI299" s="11"/>
      <c r="SBJ299" s="11"/>
      <c r="SBK299" s="11"/>
      <c r="SBL299" s="11"/>
      <c r="SBM299" s="11"/>
      <c r="SBN299" s="11"/>
      <c r="SBO299" s="11"/>
      <c r="SBP299" s="11"/>
      <c r="SBQ299" s="11"/>
      <c r="SBR299" s="11"/>
      <c r="SBS299" s="11"/>
      <c r="SBT299" s="11"/>
      <c r="SBU299" s="11"/>
      <c r="SBV299" s="11"/>
      <c r="SBW299" s="11"/>
      <c r="SBX299" s="11"/>
      <c r="SBY299" s="11"/>
      <c r="SBZ299" s="11"/>
      <c r="SCA299" s="11"/>
      <c r="SCB299" s="11"/>
      <c r="SCC299" s="11"/>
      <c r="SCD299" s="11"/>
      <c r="SCE299" s="11"/>
      <c r="SCF299" s="11"/>
      <c r="SCG299" s="11"/>
      <c r="SCH299" s="11"/>
      <c r="SCI299" s="11"/>
      <c r="SCJ299" s="11"/>
      <c r="SCK299" s="11"/>
      <c r="SCL299" s="11"/>
      <c r="SCM299" s="11"/>
      <c r="SCN299" s="11"/>
      <c r="SCO299" s="11"/>
      <c r="SCP299" s="11"/>
      <c r="SCQ299" s="11"/>
      <c r="SCR299" s="11"/>
      <c r="SCS299" s="11"/>
      <c r="SCT299" s="11"/>
      <c r="SCU299" s="11"/>
      <c r="SCV299" s="11"/>
      <c r="SCW299" s="11"/>
      <c r="SCX299" s="11"/>
      <c r="SCY299" s="11"/>
      <c r="SCZ299" s="11"/>
      <c r="SDA299" s="11"/>
      <c r="SDB299" s="11"/>
      <c r="SDC299" s="11"/>
      <c r="SDD299" s="11"/>
      <c r="SDE299" s="11"/>
      <c r="SDF299" s="11"/>
      <c r="SDG299" s="11"/>
      <c r="SDH299" s="11"/>
      <c r="SDI299" s="11"/>
      <c r="SDJ299" s="11"/>
      <c r="SDK299" s="11"/>
      <c r="SDL299" s="11"/>
      <c r="SDM299" s="11"/>
      <c r="SDN299" s="11"/>
      <c r="SDO299" s="11"/>
      <c r="SDP299" s="11"/>
      <c r="SDQ299" s="11"/>
      <c r="SDR299" s="11"/>
      <c r="SDS299" s="11"/>
      <c r="SDT299" s="11"/>
      <c r="SDU299" s="11"/>
      <c r="SDV299" s="11"/>
      <c r="SDW299" s="11"/>
      <c r="SDX299" s="11"/>
      <c r="SDY299" s="11"/>
      <c r="SDZ299" s="11"/>
      <c r="SEA299" s="11"/>
      <c r="SEB299" s="11"/>
      <c r="SEC299" s="11"/>
      <c r="SED299" s="11"/>
      <c r="SEE299" s="11"/>
      <c r="SEF299" s="11"/>
      <c r="SEG299" s="11"/>
      <c r="SEH299" s="11"/>
      <c r="SEI299" s="11"/>
      <c r="SEJ299" s="11"/>
      <c r="SEK299" s="11"/>
      <c r="SEL299" s="11"/>
      <c r="SEM299" s="11"/>
      <c r="SEN299" s="11"/>
      <c r="SEO299" s="11"/>
      <c r="SEP299" s="11"/>
      <c r="SEQ299" s="11"/>
      <c r="SER299" s="11"/>
      <c r="SES299" s="11"/>
      <c r="SET299" s="11"/>
      <c r="SEU299" s="11"/>
      <c r="SEV299" s="11"/>
      <c r="SEW299" s="11"/>
      <c r="SEX299" s="11"/>
      <c r="SEY299" s="11"/>
      <c r="SEZ299" s="11"/>
      <c r="SFA299" s="11"/>
      <c r="SFB299" s="11"/>
      <c r="SFC299" s="11"/>
      <c r="SFD299" s="11"/>
      <c r="SFE299" s="11"/>
      <c r="SFF299" s="11"/>
      <c r="SFG299" s="11"/>
      <c r="SFH299" s="11"/>
      <c r="SFI299" s="11"/>
      <c r="SFJ299" s="11"/>
      <c r="SFK299" s="11"/>
      <c r="SFL299" s="11"/>
      <c r="SFM299" s="11"/>
      <c r="SFN299" s="11"/>
      <c r="SFO299" s="11"/>
      <c r="SFP299" s="11"/>
      <c r="SFQ299" s="11"/>
      <c r="SFR299" s="11"/>
      <c r="SFS299" s="11"/>
      <c r="SFT299" s="11"/>
      <c r="SFU299" s="11"/>
      <c r="SFV299" s="11"/>
      <c r="SFW299" s="11"/>
      <c r="SFX299" s="11"/>
      <c r="SFY299" s="11"/>
      <c r="SFZ299" s="11"/>
      <c r="SGA299" s="11"/>
      <c r="SGB299" s="11"/>
      <c r="SGC299" s="11"/>
      <c r="SGD299" s="11"/>
      <c r="SGE299" s="11"/>
      <c r="SGF299" s="11"/>
      <c r="SGG299" s="11"/>
      <c r="SGH299" s="11"/>
      <c r="SGI299" s="11"/>
      <c r="SGJ299" s="11"/>
      <c r="SGK299" s="11"/>
      <c r="SGL299" s="11"/>
      <c r="SGM299" s="11"/>
      <c r="SGN299" s="11"/>
      <c r="SGO299" s="11"/>
      <c r="SGP299" s="11"/>
      <c r="SGQ299" s="11"/>
      <c r="SGR299" s="11"/>
      <c r="SGS299" s="11"/>
      <c r="SGT299" s="11"/>
      <c r="SGU299" s="11"/>
      <c r="SGV299" s="11"/>
      <c r="SGW299" s="11"/>
      <c r="SGX299" s="11"/>
      <c r="SGY299" s="11"/>
      <c r="SGZ299" s="11"/>
      <c r="SHA299" s="11"/>
      <c r="SHB299" s="11"/>
      <c r="SHC299" s="11"/>
      <c r="SHD299" s="11"/>
      <c r="SHE299" s="11"/>
      <c r="SHF299" s="11"/>
      <c r="SHG299" s="11"/>
      <c r="SHH299" s="11"/>
      <c r="SHI299" s="11"/>
      <c r="SHJ299" s="11"/>
      <c r="SHK299" s="11"/>
      <c r="SHL299" s="11"/>
      <c r="SHM299" s="11"/>
      <c r="SHN299" s="11"/>
      <c r="SHO299" s="11"/>
      <c r="SHP299" s="11"/>
      <c r="SHQ299" s="11"/>
      <c r="SHR299" s="11"/>
      <c r="SHS299" s="11"/>
      <c r="SHT299" s="11"/>
      <c r="SHU299" s="11"/>
      <c r="SHV299" s="11"/>
      <c r="SHW299" s="11"/>
      <c r="SHX299" s="11"/>
      <c r="SHY299" s="11"/>
      <c r="SHZ299" s="11"/>
      <c r="SIA299" s="11"/>
      <c r="SIB299" s="11"/>
      <c r="SIC299" s="11"/>
      <c r="SID299" s="11"/>
      <c r="SIE299" s="11"/>
      <c r="SIF299" s="11"/>
      <c r="SIG299" s="11"/>
      <c r="SIH299" s="11"/>
      <c r="SII299" s="11"/>
      <c r="SIJ299" s="11"/>
      <c r="SIK299" s="11"/>
      <c r="SIL299" s="11"/>
      <c r="SIM299" s="11"/>
      <c r="SIN299" s="11"/>
      <c r="SIO299" s="11"/>
      <c r="SIP299" s="11"/>
      <c r="SIQ299" s="11"/>
      <c r="SIR299" s="11"/>
      <c r="SIS299" s="11"/>
      <c r="SIT299" s="11"/>
      <c r="SIU299" s="11"/>
      <c r="SIV299" s="11"/>
      <c r="SIW299" s="11"/>
      <c r="SIX299" s="11"/>
      <c r="SIY299" s="11"/>
      <c r="SIZ299" s="11"/>
      <c r="SJA299" s="11"/>
      <c r="SJB299" s="11"/>
      <c r="SJC299" s="11"/>
      <c r="SJD299" s="11"/>
      <c r="SJE299" s="11"/>
      <c r="SJF299" s="11"/>
      <c r="SJG299" s="11"/>
      <c r="SJH299" s="11"/>
      <c r="SJI299" s="11"/>
      <c r="SJJ299" s="11"/>
      <c r="SJK299" s="11"/>
      <c r="SJL299" s="11"/>
      <c r="SJM299" s="11"/>
      <c r="SJN299" s="11"/>
      <c r="SJO299" s="11"/>
      <c r="SJP299" s="11"/>
      <c r="SJQ299" s="11"/>
      <c r="SJR299" s="11"/>
      <c r="SJS299" s="11"/>
      <c r="SJT299" s="11"/>
      <c r="SJU299" s="11"/>
      <c r="SJV299" s="11"/>
      <c r="SJW299" s="11"/>
      <c r="SJX299" s="11"/>
      <c r="SJY299" s="11"/>
      <c r="SJZ299" s="11"/>
      <c r="SKA299" s="11"/>
      <c r="SKB299" s="11"/>
      <c r="SKC299" s="11"/>
      <c r="SKD299" s="11"/>
      <c r="SKE299" s="11"/>
      <c r="SKF299" s="11"/>
      <c r="SKG299" s="11"/>
      <c r="SKH299" s="11"/>
      <c r="SKI299" s="11"/>
      <c r="SKJ299" s="11"/>
      <c r="SKK299" s="11"/>
      <c r="SKL299" s="11"/>
      <c r="SKM299" s="11"/>
      <c r="SKN299" s="11"/>
      <c r="SKO299" s="11"/>
      <c r="SKP299" s="11"/>
      <c r="SKQ299" s="11"/>
      <c r="SKR299" s="11"/>
      <c r="SKS299" s="11"/>
      <c r="SKT299" s="11"/>
      <c r="SKU299" s="11"/>
      <c r="SKV299" s="11"/>
      <c r="SKW299" s="11"/>
      <c r="SKX299" s="11"/>
      <c r="SKY299" s="11"/>
      <c r="SKZ299" s="11"/>
      <c r="SLA299" s="11"/>
      <c r="SLB299" s="11"/>
      <c r="SLC299" s="11"/>
      <c r="SLD299" s="11"/>
      <c r="SLE299" s="11"/>
      <c r="SLF299" s="11"/>
      <c r="SLG299" s="11"/>
      <c r="SLH299" s="11"/>
      <c r="SLI299" s="11"/>
      <c r="SLJ299" s="11"/>
      <c r="SLK299" s="11"/>
      <c r="SLL299" s="11"/>
      <c r="SLM299" s="11"/>
      <c r="SLN299" s="11"/>
      <c r="SLO299" s="11"/>
      <c r="SLP299" s="11"/>
      <c r="SLQ299" s="11"/>
      <c r="SLR299" s="11"/>
      <c r="SLS299" s="11"/>
      <c r="SLT299" s="11"/>
      <c r="SLU299" s="11"/>
      <c r="SLV299" s="11"/>
      <c r="SLW299" s="11"/>
      <c r="SLX299" s="11"/>
      <c r="SLY299" s="11"/>
      <c r="SLZ299" s="11"/>
      <c r="SMA299" s="11"/>
      <c r="SMB299" s="11"/>
      <c r="SMC299" s="11"/>
      <c r="SMD299" s="11"/>
      <c r="SME299" s="11"/>
      <c r="SMF299" s="11"/>
      <c r="SMG299" s="11"/>
      <c r="SMH299" s="11"/>
      <c r="SMI299" s="11"/>
      <c r="SMJ299" s="11"/>
      <c r="SMK299" s="11"/>
      <c r="SML299" s="11"/>
      <c r="SMM299" s="11"/>
      <c r="SMN299" s="11"/>
      <c r="SMO299" s="11"/>
      <c r="SMP299" s="11"/>
      <c r="SMQ299" s="11"/>
      <c r="SMR299" s="11"/>
      <c r="SMS299" s="11"/>
      <c r="SMT299" s="11"/>
      <c r="SMU299" s="11"/>
      <c r="SMV299" s="11"/>
      <c r="SMW299" s="11"/>
      <c r="SMX299" s="11"/>
      <c r="SMY299" s="11"/>
      <c r="SMZ299" s="11"/>
      <c r="SNA299" s="11"/>
      <c r="SNB299" s="11"/>
      <c r="SNC299" s="11"/>
      <c r="SND299" s="11"/>
      <c r="SNE299" s="11"/>
      <c r="SNF299" s="11"/>
      <c r="SNG299" s="11"/>
      <c r="SNH299" s="11"/>
      <c r="SNI299" s="11"/>
      <c r="SNJ299" s="11"/>
      <c r="SNK299" s="11"/>
      <c r="SNL299" s="11"/>
      <c r="SNM299" s="11"/>
      <c r="SNN299" s="11"/>
      <c r="SNO299" s="11"/>
      <c r="SNP299" s="11"/>
      <c r="SNQ299" s="11"/>
      <c r="SNR299" s="11"/>
      <c r="SNS299" s="11"/>
      <c r="SNT299" s="11"/>
      <c r="SNU299" s="11"/>
      <c r="SNV299" s="11"/>
      <c r="SNW299" s="11"/>
      <c r="SNX299" s="11"/>
      <c r="SNY299" s="11"/>
      <c r="SNZ299" s="11"/>
      <c r="SOA299" s="11"/>
      <c r="SOB299" s="11"/>
      <c r="SOC299" s="11"/>
      <c r="SOD299" s="11"/>
      <c r="SOE299" s="11"/>
      <c r="SOF299" s="11"/>
      <c r="SOG299" s="11"/>
      <c r="SOH299" s="11"/>
      <c r="SOI299" s="11"/>
      <c r="SOJ299" s="11"/>
      <c r="SOK299" s="11"/>
      <c r="SOL299" s="11"/>
      <c r="SOM299" s="11"/>
      <c r="SON299" s="11"/>
      <c r="SOO299" s="11"/>
      <c r="SOP299" s="11"/>
      <c r="SOQ299" s="11"/>
      <c r="SOR299" s="11"/>
      <c r="SOS299" s="11"/>
      <c r="SOT299" s="11"/>
      <c r="SOU299" s="11"/>
      <c r="SOV299" s="11"/>
      <c r="SOW299" s="11"/>
      <c r="SOX299" s="11"/>
      <c r="SOY299" s="11"/>
      <c r="SOZ299" s="11"/>
      <c r="SPA299" s="11"/>
      <c r="SPB299" s="11"/>
      <c r="SPC299" s="11"/>
      <c r="SPD299" s="11"/>
      <c r="SPE299" s="11"/>
      <c r="SPF299" s="11"/>
      <c r="SPG299" s="11"/>
      <c r="SPH299" s="11"/>
      <c r="SPI299" s="11"/>
      <c r="SPJ299" s="11"/>
      <c r="SPK299" s="11"/>
      <c r="SPL299" s="11"/>
      <c r="SPM299" s="11"/>
      <c r="SPN299" s="11"/>
      <c r="SPO299" s="11"/>
      <c r="SPP299" s="11"/>
      <c r="SPQ299" s="11"/>
      <c r="SPR299" s="11"/>
      <c r="SPS299" s="11"/>
      <c r="SPT299" s="11"/>
      <c r="SPU299" s="11"/>
      <c r="SPV299" s="11"/>
      <c r="SPW299" s="11"/>
      <c r="SPX299" s="11"/>
      <c r="SPY299" s="11"/>
      <c r="SPZ299" s="11"/>
      <c r="SQA299" s="11"/>
      <c r="SQB299" s="11"/>
      <c r="SQC299" s="11"/>
      <c r="SQD299" s="11"/>
      <c r="SQE299" s="11"/>
      <c r="SQF299" s="11"/>
      <c r="SQG299" s="11"/>
      <c r="SQH299" s="11"/>
      <c r="SQI299" s="11"/>
      <c r="SQJ299" s="11"/>
      <c r="SQK299" s="11"/>
      <c r="SQL299" s="11"/>
      <c r="SQM299" s="11"/>
      <c r="SQN299" s="11"/>
      <c r="SQO299" s="11"/>
      <c r="SQP299" s="11"/>
      <c r="SQQ299" s="11"/>
      <c r="SQR299" s="11"/>
      <c r="SQS299" s="11"/>
      <c r="SQT299" s="11"/>
      <c r="SQU299" s="11"/>
      <c r="SQV299" s="11"/>
      <c r="SQW299" s="11"/>
      <c r="SQX299" s="11"/>
      <c r="SQY299" s="11"/>
      <c r="SQZ299" s="11"/>
      <c r="SRA299" s="11"/>
      <c r="SRB299" s="11"/>
      <c r="SRC299" s="11"/>
      <c r="SRD299" s="11"/>
      <c r="SRE299" s="11"/>
      <c r="SRF299" s="11"/>
      <c r="SRG299" s="11"/>
      <c r="SRH299" s="11"/>
      <c r="SRI299" s="11"/>
      <c r="SRJ299" s="11"/>
      <c r="SRK299" s="11"/>
      <c r="SRL299" s="11"/>
      <c r="SRM299" s="11"/>
      <c r="SRN299" s="11"/>
      <c r="SRO299" s="11"/>
      <c r="SRP299" s="11"/>
      <c r="SRQ299" s="11"/>
      <c r="SRR299" s="11"/>
      <c r="SRS299" s="11"/>
      <c r="SRT299" s="11"/>
      <c r="SRU299" s="11"/>
      <c r="SRV299" s="11"/>
      <c r="SRW299" s="11"/>
      <c r="SRX299" s="11"/>
      <c r="SRY299" s="11"/>
      <c r="SRZ299" s="11"/>
      <c r="SSA299" s="11"/>
      <c r="SSB299" s="11"/>
      <c r="SSC299" s="11"/>
      <c r="SSD299" s="11"/>
      <c r="SSE299" s="11"/>
      <c r="SSF299" s="11"/>
      <c r="SSG299" s="11"/>
      <c r="SSH299" s="11"/>
      <c r="SSI299" s="11"/>
      <c r="SSJ299" s="11"/>
      <c r="SSK299" s="11"/>
      <c r="SSL299" s="11"/>
      <c r="SSM299" s="11"/>
      <c r="SSN299" s="11"/>
      <c r="SSO299" s="11"/>
      <c r="SSP299" s="11"/>
      <c r="SSQ299" s="11"/>
      <c r="SSR299" s="11"/>
      <c r="SSS299" s="11"/>
      <c r="SST299" s="11"/>
      <c r="SSU299" s="11"/>
      <c r="SSV299" s="11"/>
      <c r="SSW299" s="11"/>
      <c r="SSX299" s="11"/>
      <c r="SSY299" s="11"/>
      <c r="SSZ299" s="11"/>
      <c r="STA299" s="11"/>
      <c r="STB299" s="11"/>
      <c r="STC299" s="11"/>
      <c r="STD299" s="11"/>
      <c r="STE299" s="11"/>
      <c r="STF299" s="11"/>
      <c r="STG299" s="11"/>
      <c r="STH299" s="11"/>
      <c r="STI299" s="11"/>
      <c r="STJ299" s="11"/>
      <c r="STK299" s="11"/>
      <c r="STL299" s="11"/>
      <c r="STM299" s="11"/>
      <c r="STN299" s="11"/>
      <c r="STO299" s="11"/>
      <c r="STP299" s="11"/>
      <c r="STQ299" s="11"/>
      <c r="STR299" s="11"/>
      <c r="STS299" s="11"/>
      <c r="STT299" s="11"/>
      <c r="STU299" s="11"/>
      <c r="STV299" s="11"/>
      <c r="STW299" s="11"/>
      <c r="STX299" s="11"/>
      <c r="STY299" s="11"/>
      <c r="STZ299" s="11"/>
      <c r="SUA299" s="11"/>
      <c r="SUB299" s="11"/>
      <c r="SUC299" s="11"/>
      <c r="SUD299" s="11"/>
      <c r="SUE299" s="11"/>
      <c r="SUF299" s="11"/>
      <c r="SUG299" s="11"/>
      <c r="SUH299" s="11"/>
      <c r="SUI299" s="11"/>
      <c r="SUJ299" s="11"/>
      <c r="SUK299" s="11"/>
      <c r="SUL299" s="11"/>
      <c r="SUM299" s="11"/>
      <c r="SUN299" s="11"/>
      <c r="SUO299" s="11"/>
      <c r="SUP299" s="11"/>
      <c r="SUQ299" s="11"/>
      <c r="SUR299" s="11"/>
      <c r="SUS299" s="11"/>
      <c r="SUT299" s="11"/>
      <c r="SUU299" s="11"/>
      <c r="SUV299" s="11"/>
      <c r="SUW299" s="11"/>
      <c r="SUX299" s="11"/>
      <c r="SUY299" s="11"/>
      <c r="SUZ299" s="11"/>
      <c r="SVA299" s="11"/>
      <c r="SVB299" s="11"/>
      <c r="SVC299" s="11"/>
      <c r="SVD299" s="11"/>
      <c r="SVE299" s="11"/>
      <c r="SVF299" s="11"/>
      <c r="SVG299" s="11"/>
      <c r="SVH299" s="11"/>
      <c r="SVI299" s="11"/>
      <c r="SVJ299" s="11"/>
      <c r="SVK299" s="11"/>
      <c r="SVL299" s="11"/>
      <c r="SVM299" s="11"/>
      <c r="SVN299" s="11"/>
      <c r="SVO299" s="11"/>
      <c r="SVP299" s="11"/>
      <c r="SVQ299" s="11"/>
      <c r="SVR299" s="11"/>
      <c r="SVS299" s="11"/>
      <c r="SVT299" s="11"/>
      <c r="SVU299" s="11"/>
      <c r="SVV299" s="11"/>
      <c r="SVW299" s="11"/>
      <c r="SVX299" s="11"/>
      <c r="SVY299" s="11"/>
      <c r="SVZ299" s="11"/>
      <c r="SWA299" s="11"/>
      <c r="SWB299" s="11"/>
      <c r="SWC299" s="11"/>
      <c r="SWD299" s="11"/>
      <c r="SWE299" s="11"/>
      <c r="SWF299" s="11"/>
      <c r="SWG299" s="11"/>
      <c r="SWH299" s="11"/>
      <c r="SWI299" s="11"/>
      <c r="SWJ299" s="11"/>
      <c r="SWK299" s="11"/>
      <c r="SWL299" s="11"/>
      <c r="SWM299" s="11"/>
      <c r="SWN299" s="11"/>
      <c r="SWO299" s="11"/>
      <c r="SWP299" s="11"/>
      <c r="SWQ299" s="11"/>
      <c r="SWR299" s="11"/>
      <c r="SWS299" s="11"/>
      <c r="SWT299" s="11"/>
      <c r="SWU299" s="11"/>
      <c r="SWV299" s="11"/>
      <c r="SWW299" s="11"/>
      <c r="SWX299" s="11"/>
      <c r="SWY299" s="11"/>
      <c r="SWZ299" s="11"/>
      <c r="SXA299" s="11"/>
      <c r="SXB299" s="11"/>
      <c r="SXC299" s="11"/>
      <c r="SXD299" s="11"/>
      <c r="SXE299" s="11"/>
      <c r="SXF299" s="11"/>
      <c r="SXG299" s="11"/>
      <c r="SXH299" s="11"/>
      <c r="SXI299" s="11"/>
      <c r="SXJ299" s="11"/>
      <c r="SXK299" s="11"/>
      <c r="SXL299" s="11"/>
      <c r="SXM299" s="11"/>
      <c r="SXN299" s="11"/>
      <c r="SXO299" s="11"/>
      <c r="SXP299" s="11"/>
      <c r="SXQ299" s="11"/>
      <c r="SXR299" s="11"/>
      <c r="SXS299" s="11"/>
      <c r="SXT299" s="11"/>
      <c r="SXU299" s="11"/>
      <c r="SXV299" s="11"/>
      <c r="SXW299" s="11"/>
      <c r="SXX299" s="11"/>
      <c r="SXY299" s="11"/>
      <c r="SXZ299" s="11"/>
      <c r="SYA299" s="11"/>
      <c r="SYB299" s="11"/>
      <c r="SYC299" s="11"/>
      <c r="SYD299" s="11"/>
      <c r="SYE299" s="11"/>
      <c r="SYF299" s="11"/>
      <c r="SYG299" s="11"/>
      <c r="SYH299" s="11"/>
      <c r="SYI299" s="11"/>
      <c r="SYJ299" s="11"/>
      <c r="SYK299" s="11"/>
      <c r="SYL299" s="11"/>
      <c r="SYM299" s="11"/>
      <c r="SYN299" s="11"/>
      <c r="SYO299" s="11"/>
      <c r="SYP299" s="11"/>
      <c r="SYQ299" s="11"/>
      <c r="SYR299" s="11"/>
      <c r="SYS299" s="11"/>
      <c r="SYT299" s="11"/>
      <c r="SYU299" s="11"/>
      <c r="SYV299" s="11"/>
      <c r="SYW299" s="11"/>
      <c r="SYX299" s="11"/>
      <c r="SYY299" s="11"/>
      <c r="SYZ299" s="11"/>
      <c r="SZA299" s="11"/>
      <c r="SZB299" s="11"/>
      <c r="SZC299" s="11"/>
      <c r="SZD299" s="11"/>
      <c r="SZE299" s="11"/>
      <c r="SZF299" s="11"/>
      <c r="SZG299" s="11"/>
      <c r="SZH299" s="11"/>
      <c r="SZI299" s="11"/>
      <c r="SZJ299" s="11"/>
      <c r="SZK299" s="11"/>
      <c r="SZL299" s="11"/>
      <c r="SZM299" s="11"/>
      <c r="SZN299" s="11"/>
      <c r="SZO299" s="11"/>
      <c r="SZP299" s="11"/>
      <c r="SZQ299" s="11"/>
      <c r="SZR299" s="11"/>
      <c r="SZS299" s="11"/>
      <c r="SZT299" s="11"/>
      <c r="SZU299" s="11"/>
      <c r="SZV299" s="11"/>
      <c r="SZW299" s="11"/>
      <c r="SZX299" s="11"/>
      <c r="SZY299" s="11"/>
      <c r="SZZ299" s="11"/>
      <c r="TAA299" s="11"/>
      <c r="TAB299" s="11"/>
      <c r="TAC299" s="11"/>
      <c r="TAD299" s="11"/>
      <c r="TAE299" s="11"/>
      <c r="TAF299" s="11"/>
      <c r="TAG299" s="11"/>
      <c r="TAH299" s="11"/>
      <c r="TAI299" s="11"/>
      <c r="TAJ299" s="11"/>
      <c r="TAK299" s="11"/>
      <c r="TAL299" s="11"/>
      <c r="TAM299" s="11"/>
      <c r="TAN299" s="11"/>
      <c r="TAO299" s="11"/>
      <c r="TAP299" s="11"/>
      <c r="TAQ299" s="11"/>
      <c r="TAR299" s="11"/>
      <c r="TAS299" s="11"/>
      <c r="TAT299" s="11"/>
      <c r="TAU299" s="11"/>
      <c r="TAV299" s="11"/>
      <c r="TAW299" s="11"/>
      <c r="TAX299" s="11"/>
      <c r="TAY299" s="11"/>
      <c r="TAZ299" s="11"/>
      <c r="TBA299" s="11"/>
      <c r="TBB299" s="11"/>
      <c r="TBC299" s="11"/>
      <c r="TBD299" s="11"/>
      <c r="TBE299" s="11"/>
      <c r="TBF299" s="11"/>
      <c r="TBG299" s="11"/>
      <c r="TBH299" s="11"/>
      <c r="TBI299" s="11"/>
      <c r="TBJ299" s="11"/>
      <c r="TBK299" s="11"/>
      <c r="TBL299" s="11"/>
      <c r="TBM299" s="11"/>
      <c r="TBN299" s="11"/>
      <c r="TBO299" s="11"/>
      <c r="TBP299" s="11"/>
      <c r="TBQ299" s="11"/>
      <c r="TBR299" s="11"/>
      <c r="TBS299" s="11"/>
      <c r="TBT299" s="11"/>
      <c r="TBU299" s="11"/>
      <c r="TBV299" s="11"/>
      <c r="TBW299" s="11"/>
      <c r="TBX299" s="11"/>
      <c r="TBY299" s="11"/>
      <c r="TBZ299" s="11"/>
      <c r="TCA299" s="11"/>
      <c r="TCB299" s="11"/>
      <c r="TCC299" s="11"/>
      <c r="TCD299" s="11"/>
      <c r="TCE299" s="11"/>
      <c r="TCF299" s="11"/>
      <c r="TCG299" s="11"/>
      <c r="TCH299" s="11"/>
      <c r="TCI299" s="11"/>
      <c r="TCJ299" s="11"/>
      <c r="TCK299" s="11"/>
      <c r="TCL299" s="11"/>
      <c r="TCM299" s="11"/>
      <c r="TCN299" s="11"/>
      <c r="TCO299" s="11"/>
      <c r="TCP299" s="11"/>
      <c r="TCQ299" s="11"/>
      <c r="TCR299" s="11"/>
      <c r="TCS299" s="11"/>
      <c r="TCT299" s="11"/>
      <c r="TCU299" s="11"/>
      <c r="TCV299" s="11"/>
      <c r="TCW299" s="11"/>
      <c r="TCX299" s="11"/>
      <c r="TCY299" s="11"/>
      <c r="TCZ299" s="11"/>
      <c r="TDA299" s="11"/>
      <c r="TDB299" s="11"/>
      <c r="TDC299" s="11"/>
      <c r="TDD299" s="11"/>
      <c r="TDE299" s="11"/>
      <c r="TDF299" s="11"/>
      <c r="TDG299" s="11"/>
      <c r="TDH299" s="11"/>
      <c r="TDI299" s="11"/>
      <c r="TDJ299" s="11"/>
      <c r="TDK299" s="11"/>
      <c r="TDL299" s="11"/>
      <c r="TDM299" s="11"/>
      <c r="TDN299" s="11"/>
      <c r="TDO299" s="11"/>
      <c r="TDP299" s="11"/>
      <c r="TDQ299" s="11"/>
      <c r="TDR299" s="11"/>
      <c r="TDS299" s="11"/>
      <c r="TDT299" s="11"/>
      <c r="TDU299" s="11"/>
      <c r="TDV299" s="11"/>
      <c r="TDW299" s="11"/>
      <c r="TDX299" s="11"/>
      <c r="TDY299" s="11"/>
      <c r="TDZ299" s="11"/>
      <c r="TEA299" s="11"/>
      <c r="TEB299" s="11"/>
      <c r="TEC299" s="11"/>
      <c r="TED299" s="11"/>
      <c r="TEE299" s="11"/>
      <c r="TEF299" s="11"/>
      <c r="TEG299" s="11"/>
      <c r="TEH299" s="11"/>
      <c r="TEI299" s="11"/>
      <c r="TEJ299" s="11"/>
      <c r="TEK299" s="11"/>
      <c r="TEL299" s="11"/>
      <c r="TEM299" s="11"/>
      <c r="TEN299" s="11"/>
      <c r="TEO299" s="11"/>
      <c r="TEP299" s="11"/>
      <c r="TEQ299" s="11"/>
      <c r="TER299" s="11"/>
      <c r="TES299" s="11"/>
      <c r="TET299" s="11"/>
      <c r="TEU299" s="11"/>
      <c r="TEV299" s="11"/>
      <c r="TEW299" s="11"/>
      <c r="TEX299" s="11"/>
      <c r="TEY299" s="11"/>
      <c r="TEZ299" s="11"/>
      <c r="TFA299" s="11"/>
      <c r="TFB299" s="11"/>
      <c r="TFC299" s="11"/>
      <c r="TFD299" s="11"/>
      <c r="TFE299" s="11"/>
      <c r="TFF299" s="11"/>
      <c r="TFG299" s="11"/>
      <c r="TFH299" s="11"/>
      <c r="TFI299" s="11"/>
      <c r="TFJ299" s="11"/>
      <c r="TFK299" s="11"/>
      <c r="TFL299" s="11"/>
      <c r="TFM299" s="11"/>
      <c r="TFN299" s="11"/>
      <c r="TFO299" s="11"/>
      <c r="TFP299" s="11"/>
      <c r="TFQ299" s="11"/>
      <c r="TFR299" s="11"/>
      <c r="TFS299" s="11"/>
      <c r="TFT299" s="11"/>
      <c r="TFU299" s="11"/>
      <c r="TFV299" s="11"/>
      <c r="TFW299" s="11"/>
      <c r="TFX299" s="11"/>
      <c r="TFY299" s="11"/>
      <c r="TFZ299" s="11"/>
      <c r="TGA299" s="11"/>
      <c r="TGB299" s="11"/>
      <c r="TGC299" s="11"/>
      <c r="TGD299" s="11"/>
      <c r="TGE299" s="11"/>
      <c r="TGF299" s="11"/>
      <c r="TGG299" s="11"/>
      <c r="TGH299" s="11"/>
      <c r="TGI299" s="11"/>
      <c r="TGJ299" s="11"/>
      <c r="TGK299" s="11"/>
      <c r="TGL299" s="11"/>
      <c r="TGM299" s="11"/>
      <c r="TGN299" s="11"/>
      <c r="TGO299" s="11"/>
      <c r="TGP299" s="11"/>
      <c r="TGQ299" s="11"/>
      <c r="TGR299" s="11"/>
      <c r="TGS299" s="11"/>
      <c r="TGT299" s="11"/>
      <c r="TGU299" s="11"/>
      <c r="TGV299" s="11"/>
      <c r="TGW299" s="11"/>
      <c r="TGX299" s="11"/>
      <c r="TGY299" s="11"/>
      <c r="TGZ299" s="11"/>
      <c r="THA299" s="11"/>
      <c r="THB299" s="11"/>
      <c r="THC299" s="11"/>
      <c r="THD299" s="11"/>
      <c r="THE299" s="11"/>
      <c r="THF299" s="11"/>
      <c r="THG299" s="11"/>
      <c r="THH299" s="11"/>
      <c r="THI299" s="11"/>
      <c r="THJ299" s="11"/>
      <c r="THK299" s="11"/>
      <c r="THL299" s="11"/>
      <c r="THM299" s="11"/>
      <c r="THN299" s="11"/>
      <c r="THO299" s="11"/>
      <c r="THP299" s="11"/>
      <c r="THQ299" s="11"/>
      <c r="THR299" s="11"/>
      <c r="THS299" s="11"/>
      <c r="THT299" s="11"/>
      <c r="THU299" s="11"/>
      <c r="THV299" s="11"/>
      <c r="THW299" s="11"/>
      <c r="THX299" s="11"/>
      <c r="THY299" s="11"/>
      <c r="THZ299" s="11"/>
      <c r="TIA299" s="11"/>
      <c r="TIB299" s="11"/>
      <c r="TIC299" s="11"/>
      <c r="TID299" s="11"/>
      <c r="TIE299" s="11"/>
      <c r="TIF299" s="11"/>
      <c r="TIG299" s="11"/>
      <c r="TIH299" s="11"/>
      <c r="TII299" s="11"/>
      <c r="TIJ299" s="11"/>
      <c r="TIK299" s="11"/>
      <c r="TIL299" s="11"/>
      <c r="TIM299" s="11"/>
      <c r="TIN299" s="11"/>
      <c r="TIO299" s="11"/>
      <c r="TIP299" s="11"/>
      <c r="TIQ299" s="11"/>
      <c r="TIR299" s="11"/>
      <c r="TIS299" s="11"/>
      <c r="TIT299" s="11"/>
      <c r="TIU299" s="11"/>
      <c r="TIV299" s="11"/>
      <c r="TIW299" s="11"/>
      <c r="TIX299" s="11"/>
      <c r="TIY299" s="11"/>
      <c r="TIZ299" s="11"/>
      <c r="TJA299" s="11"/>
      <c r="TJB299" s="11"/>
      <c r="TJC299" s="11"/>
      <c r="TJD299" s="11"/>
      <c r="TJE299" s="11"/>
      <c r="TJF299" s="11"/>
      <c r="TJG299" s="11"/>
      <c r="TJH299" s="11"/>
      <c r="TJI299" s="11"/>
      <c r="TJJ299" s="11"/>
      <c r="TJK299" s="11"/>
      <c r="TJL299" s="11"/>
      <c r="TJM299" s="11"/>
      <c r="TJN299" s="11"/>
      <c r="TJO299" s="11"/>
      <c r="TJP299" s="11"/>
      <c r="TJQ299" s="11"/>
      <c r="TJR299" s="11"/>
      <c r="TJS299" s="11"/>
      <c r="TJT299" s="11"/>
      <c r="TJU299" s="11"/>
      <c r="TJV299" s="11"/>
      <c r="TJW299" s="11"/>
      <c r="TJX299" s="11"/>
      <c r="TJY299" s="11"/>
      <c r="TJZ299" s="11"/>
      <c r="TKA299" s="11"/>
      <c r="TKB299" s="11"/>
      <c r="TKC299" s="11"/>
      <c r="TKD299" s="11"/>
      <c r="TKE299" s="11"/>
      <c r="TKF299" s="11"/>
      <c r="TKG299" s="11"/>
      <c r="TKH299" s="11"/>
      <c r="TKI299" s="11"/>
      <c r="TKJ299" s="11"/>
      <c r="TKK299" s="11"/>
      <c r="TKL299" s="11"/>
      <c r="TKM299" s="11"/>
      <c r="TKN299" s="11"/>
      <c r="TKO299" s="11"/>
      <c r="TKP299" s="11"/>
      <c r="TKQ299" s="11"/>
      <c r="TKR299" s="11"/>
      <c r="TKS299" s="11"/>
      <c r="TKT299" s="11"/>
      <c r="TKU299" s="11"/>
      <c r="TKV299" s="11"/>
      <c r="TKW299" s="11"/>
      <c r="TKX299" s="11"/>
      <c r="TKY299" s="11"/>
      <c r="TKZ299" s="11"/>
      <c r="TLA299" s="11"/>
      <c r="TLB299" s="11"/>
      <c r="TLC299" s="11"/>
      <c r="TLD299" s="11"/>
      <c r="TLE299" s="11"/>
      <c r="TLF299" s="11"/>
      <c r="TLG299" s="11"/>
      <c r="TLH299" s="11"/>
      <c r="TLI299" s="11"/>
      <c r="TLJ299" s="11"/>
      <c r="TLK299" s="11"/>
      <c r="TLL299" s="11"/>
      <c r="TLM299" s="11"/>
      <c r="TLN299" s="11"/>
      <c r="TLO299" s="11"/>
      <c r="TLP299" s="11"/>
      <c r="TLQ299" s="11"/>
      <c r="TLR299" s="11"/>
      <c r="TLS299" s="11"/>
      <c r="TLT299" s="11"/>
      <c r="TLU299" s="11"/>
      <c r="TLV299" s="11"/>
      <c r="TLW299" s="11"/>
      <c r="TLX299" s="11"/>
      <c r="TLY299" s="11"/>
      <c r="TLZ299" s="11"/>
      <c r="TMA299" s="11"/>
      <c r="TMB299" s="11"/>
      <c r="TMC299" s="11"/>
      <c r="TMD299" s="11"/>
      <c r="TME299" s="11"/>
      <c r="TMF299" s="11"/>
      <c r="TMG299" s="11"/>
      <c r="TMH299" s="11"/>
      <c r="TMI299" s="11"/>
      <c r="TMJ299" s="11"/>
      <c r="TMK299" s="11"/>
      <c r="TML299" s="11"/>
      <c r="TMM299" s="11"/>
      <c r="TMN299" s="11"/>
      <c r="TMO299" s="11"/>
      <c r="TMP299" s="11"/>
      <c r="TMQ299" s="11"/>
      <c r="TMR299" s="11"/>
      <c r="TMS299" s="11"/>
      <c r="TMT299" s="11"/>
      <c r="TMU299" s="11"/>
      <c r="TMV299" s="11"/>
      <c r="TMW299" s="11"/>
      <c r="TMX299" s="11"/>
      <c r="TMY299" s="11"/>
      <c r="TMZ299" s="11"/>
      <c r="TNA299" s="11"/>
      <c r="TNB299" s="11"/>
      <c r="TNC299" s="11"/>
      <c r="TND299" s="11"/>
      <c r="TNE299" s="11"/>
      <c r="TNF299" s="11"/>
      <c r="TNG299" s="11"/>
      <c r="TNH299" s="11"/>
      <c r="TNI299" s="11"/>
      <c r="TNJ299" s="11"/>
      <c r="TNK299" s="11"/>
      <c r="TNL299" s="11"/>
      <c r="TNM299" s="11"/>
      <c r="TNN299" s="11"/>
      <c r="TNO299" s="11"/>
      <c r="TNP299" s="11"/>
      <c r="TNQ299" s="11"/>
      <c r="TNR299" s="11"/>
      <c r="TNS299" s="11"/>
      <c r="TNT299" s="11"/>
      <c r="TNU299" s="11"/>
      <c r="TNV299" s="11"/>
      <c r="TNW299" s="11"/>
      <c r="TNX299" s="11"/>
      <c r="TNY299" s="11"/>
      <c r="TNZ299" s="11"/>
      <c r="TOA299" s="11"/>
      <c r="TOB299" s="11"/>
      <c r="TOC299" s="11"/>
      <c r="TOD299" s="11"/>
      <c r="TOE299" s="11"/>
      <c r="TOF299" s="11"/>
      <c r="TOG299" s="11"/>
      <c r="TOH299" s="11"/>
      <c r="TOI299" s="11"/>
      <c r="TOJ299" s="11"/>
      <c r="TOK299" s="11"/>
      <c r="TOL299" s="11"/>
      <c r="TOM299" s="11"/>
      <c r="TON299" s="11"/>
      <c r="TOO299" s="11"/>
      <c r="TOP299" s="11"/>
      <c r="TOQ299" s="11"/>
      <c r="TOR299" s="11"/>
      <c r="TOS299" s="11"/>
      <c r="TOT299" s="11"/>
      <c r="TOU299" s="11"/>
      <c r="TOV299" s="11"/>
      <c r="TOW299" s="11"/>
      <c r="TOX299" s="11"/>
      <c r="TOY299" s="11"/>
      <c r="TOZ299" s="11"/>
      <c r="TPA299" s="11"/>
      <c r="TPB299" s="11"/>
      <c r="TPC299" s="11"/>
      <c r="TPD299" s="11"/>
      <c r="TPE299" s="11"/>
      <c r="TPF299" s="11"/>
      <c r="TPG299" s="11"/>
      <c r="TPH299" s="11"/>
      <c r="TPI299" s="11"/>
      <c r="TPJ299" s="11"/>
      <c r="TPK299" s="11"/>
      <c r="TPL299" s="11"/>
      <c r="TPM299" s="11"/>
      <c r="TPN299" s="11"/>
      <c r="TPO299" s="11"/>
      <c r="TPP299" s="11"/>
      <c r="TPQ299" s="11"/>
      <c r="TPR299" s="11"/>
      <c r="TPS299" s="11"/>
      <c r="TPT299" s="11"/>
      <c r="TPU299" s="11"/>
      <c r="TPV299" s="11"/>
      <c r="TPW299" s="11"/>
      <c r="TPX299" s="11"/>
      <c r="TPY299" s="11"/>
      <c r="TPZ299" s="11"/>
      <c r="TQA299" s="11"/>
      <c r="TQB299" s="11"/>
      <c r="TQC299" s="11"/>
      <c r="TQD299" s="11"/>
      <c r="TQE299" s="11"/>
      <c r="TQF299" s="11"/>
      <c r="TQG299" s="11"/>
      <c r="TQH299" s="11"/>
      <c r="TQI299" s="11"/>
      <c r="TQJ299" s="11"/>
      <c r="TQK299" s="11"/>
      <c r="TQL299" s="11"/>
      <c r="TQM299" s="11"/>
      <c r="TQN299" s="11"/>
      <c r="TQO299" s="11"/>
      <c r="TQP299" s="11"/>
      <c r="TQQ299" s="11"/>
      <c r="TQR299" s="11"/>
      <c r="TQS299" s="11"/>
      <c r="TQT299" s="11"/>
      <c r="TQU299" s="11"/>
      <c r="TQV299" s="11"/>
      <c r="TQW299" s="11"/>
      <c r="TQX299" s="11"/>
      <c r="TQY299" s="11"/>
      <c r="TQZ299" s="11"/>
      <c r="TRA299" s="11"/>
      <c r="TRB299" s="11"/>
      <c r="TRC299" s="11"/>
      <c r="TRD299" s="11"/>
      <c r="TRE299" s="11"/>
      <c r="TRF299" s="11"/>
      <c r="TRG299" s="11"/>
      <c r="TRH299" s="11"/>
      <c r="TRI299" s="11"/>
      <c r="TRJ299" s="11"/>
      <c r="TRK299" s="11"/>
      <c r="TRL299" s="11"/>
      <c r="TRM299" s="11"/>
      <c r="TRN299" s="11"/>
      <c r="TRO299" s="11"/>
      <c r="TRP299" s="11"/>
      <c r="TRQ299" s="11"/>
      <c r="TRR299" s="11"/>
      <c r="TRS299" s="11"/>
      <c r="TRT299" s="11"/>
      <c r="TRU299" s="11"/>
      <c r="TRV299" s="11"/>
      <c r="TRW299" s="11"/>
      <c r="TRX299" s="11"/>
      <c r="TRY299" s="11"/>
      <c r="TRZ299" s="11"/>
      <c r="TSA299" s="11"/>
      <c r="TSB299" s="11"/>
      <c r="TSC299" s="11"/>
      <c r="TSD299" s="11"/>
      <c r="TSE299" s="11"/>
      <c r="TSF299" s="11"/>
      <c r="TSG299" s="11"/>
      <c r="TSH299" s="11"/>
      <c r="TSI299" s="11"/>
      <c r="TSJ299" s="11"/>
      <c r="TSK299" s="11"/>
      <c r="TSL299" s="11"/>
      <c r="TSM299" s="11"/>
      <c r="TSN299" s="11"/>
      <c r="TSO299" s="11"/>
      <c r="TSP299" s="11"/>
      <c r="TSQ299" s="11"/>
      <c r="TSR299" s="11"/>
      <c r="TSS299" s="11"/>
      <c r="TST299" s="11"/>
      <c r="TSU299" s="11"/>
      <c r="TSV299" s="11"/>
      <c r="TSW299" s="11"/>
      <c r="TSX299" s="11"/>
      <c r="TSY299" s="11"/>
      <c r="TSZ299" s="11"/>
      <c r="TTA299" s="11"/>
      <c r="TTB299" s="11"/>
      <c r="TTC299" s="11"/>
      <c r="TTD299" s="11"/>
      <c r="TTE299" s="11"/>
      <c r="TTF299" s="11"/>
      <c r="TTG299" s="11"/>
      <c r="TTH299" s="11"/>
      <c r="TTI299" s="11"/>
      <c r="TTJ299" s="11"/>
      <c r="TTK299" s="11"/>
      <c r="TTL299" s="11"/>
      <c r="TTM299" s="11"/>
      <c r="TTN299" s="11"/>
      <c r="TTO299" s="11"/>
      <c r="TTP299" s="11"/>
      <c r="TTQ299" s="11"/>
      <c r="TTR299" s="11"/>
      <c r="TTS299" s="11"/>
      <c r="TTT299" s="11"/>
      <c r="TTU299" s="11"/>
      <c r="TTV299" s="11"/>
      <c r="TTW299" s="11"/>
      <c r="TTX299" s="11"/>
      <c r="TTY299" s="11"/>
      <c r="TTZ299" s="11"/>
      <c r="TUA299" s="11"/>
      <c r="TUB299" s="11"/>
      <c r="TUC299" s="11"/>
      <c r="TUD299" s="11"/>
      <c r="TUE299" s="11"/>
      <c r="TUF299" s="11"/>
      <c r="TUG299" s="11"/>
      <c r="TUH299" s="11"/>
      <c r="TUI299" s="11"/>
      <c r="TUJ299" s="11"/>
      <c r="TUK299" s="11"/>
      <c r="TUL299" s="11"/>
      <c r="TUM299" s="11"/>
      <c r="TUN299" s="11"/>
      <c r="TUO299" s="11"/>
      <c r="TUP299" s="11"/>
      <c r="TUQ299" s="11"/>
      <c r="TUR299" s="11"/>
      <c r="TUS299" s="11"/>
      <c r="TUT299" s="11"/>
      <c r="TUU299" s="11"/>
      <c r="TUV299" s="11"/>
      <c r="TUW299" s="11"/>
      <c r="TUX299" s="11"/>
      <c r="TUY299" s="11"/>
      <c r="TUZ299" s="11"/>
      <c r="TVA299" s="11"/>
      <c r="TVB299" s="11"/>
      <c r="TVC299" s="11"/>
      <c r="TVD299" s="11"/>
      <c r="TVE299" s="11"/>
      <c r="TVF299" s="11"/>
      <c r="TVG299" s="11"/>
      <c r="TVH299" s="11"/>
      <c r="TVI299" s="11"/>
      <c r="TVJ299" s="11"/>
      <c r="TVK299" s="11"/>
      <c r="TVL299" s="11"/>
      <c r="TVM299" s="11"/>
      <c r="TVN299" s="11"/>
      <c r="TVO299" s="11"/>
      <c r="TVP299" s="11"/>
      <c r="TVQ299" s="11"/>
      <c r="TVR299" s="11"/>
      <c r="TVS299" s="11"/>
      <c r="TVT299" s="11"/>
      <c r="TVU299" s="11"/>
      <c r="TVV299" s="11"/>
      <c r="TVW299" s="11"/>
      <c r="TVX299" s="11"/>
      <c r="TVY299" s="11"/>
      <c r="TVZ299" s="11"/>
      <c r="TWA299" s="11"/>
      <c r="TWB299" s="11"/>
      <c r="TWC299" s="11"/>
      <c r="TWD299" s="11"/>
      <c r="TWE299" s="11"/>
      <c r="TWF299" s="11"/>
      <c r="TWG299" s="11"/>
      <c r="TWH299" s="11"/>
      <c r="TWI299" s="11"/>
      <c r="TWJ299" s="11"/>
      <c r="TWK299" s="11"/>
      <c r="TWL299" s="11"/>
      <c r="TWM299" s="11"/>
      <c r="TWN299" s="11"/>
      <c r="TWO299" s="11"/>
      <c r="TWP299" s="11"/>
      <c r="TWQ299" s="11"/>
      <c r="TWR299" s="11"/>
      <c r="TWS299" s="11"/>
      <c r="TWT299" s="11"/>
      <c r="TWU299" s="11"/>
      <c r="TWV299" s="11"/>
      <c r="TWW299" s="11"/>
      <c r="TWX299" s="11"/>
      <c r="TWY299" s="11"/>
      <c r="TWZ299" s="11"/>
      <c r="TXA299" s="11"/>
      <c r="TXB299" s="11"/>
      <c r="TXC299" s="11"/>
      <c r="TXD299" s="11"/>
      <c r="TXE299" s="11"/>
      <c r="TXF299" s="11"/>
      <c r="TXG299" s="11"/>
      <c r="TXH299" s="11"/>
      <c r="TXI299" s="11"/>
      <c r="TXJ299" s="11"/>
      <c r="TXK299" s="11"/>
      <c r="TXL299" s="11"/>
      <c r="TXM299" s="11"/>
      <c r="TXN299" s="11"/>
      <c r="TXO299" s="11"/>
      <c r="TXP299" s="11"/>
      <c r="TXQ299" s="11"/>
      <c r="TXR299" s="11"/>
      <c r="TXS299" s="11"/>
      <c r="TXT299" s="11"/>
      <c r="TXU299" s="11"/>
      <c r="TXV299" s="11"/>
      <c r="TXW299" s="11"/>
      <c r="TXX299" s="11"/>
      <c r="TXY299" s="11"/>
      <c r="TXZ299" s="11"/>
      <c r="TYA299" s="11"/>
      <c r="TYB299" s="11"/>
      <c r="TYC299" s="11"/>
      <c r="TYD299" s="11"/>
      <c r="TYE299" s="11"/>
      <c r="TYF299" s="11"/>
      <c r="TYG299" s="11"/>
      <c r="TYH299" s="11"/>
      <c r="TYI299" s="11"/>
      <c r="TYJ299" s="11"/>
      <c r="TYK299" s="11"/>
      <c r="TYL299" s="11"/>
      <c r="TYM299" s="11"/>
      <c r="TYN299" s="11"/>
      <c r="TYO299" s="11"/>
      <c r="TYP299" s="11"/>
      <c r="TYQ299" s="11"/>
      <c r="TYR299" s="11"/>
      <c r="TYS299" s="11"/>
      <c r="TYT299" s="11"/>
      <c r="TYU299" s="11"/>
      <c r="TYV299" s="11"/>
      <c r="TYW299" s="11"/>
      <c r="TYX299" s="11"/>
      <c r="TYY299" s="11"/>
      <c r="TYZ299" s="11"/>
      <c r="TZA299" s="11"/>
      <c r="TZB299" s="11"/>
      <c r="TZC299" s="11"/>
      <c r="TZD299" s="11"/>
      <c r="TZE299" s="11"/>
      <c r="TZF299" s="11"/>
      <c r="TZG299" s="11"/>
      <c r="TZH299" s="11"/>
      <c r="TZI299" s="11"/>
      <c r="TZJ299" s="11"/>
      <c r="TZK299" s="11"/>
      <c r="TZL299" s="11"/>
      <c r="TZM299" s="11"/>
      <c r="TZN299" s="11"/>
      <c r="TZO299" s="11"/>
      <c r="TZP299" s="11"/>
      <c r="TZQ299" s="11"/>
      <c r="TZR299" s="11"/>
      <c r="TZS299" s="11"/>
      <c r="TZT299" s="11"/>
      <c r="TZU299" s="11"/>
      <c r="TZV299" s="11"/>
      <c r="TZW299" s="11"/>
      <c r="TZX299" s="11"/>
      <c r="TZY299" s="11"/>
      <c r="TZZ299" s="11"/>
      <c r="UAA299" s="11"/>
      <c r="UAB299" s="11"/>
      <c r="UAC299" s="11"/>
      <c r="UAD299" s="11"/>
      <c r="UAE299" s="11"/>
      <c r="UAF299" s="11"/>
      <c r="UAG299" s="11"/>
      <c r="UAH299" s="11"/>
      <c r="UAI299" s="11"/>
      <c r="UAJ299" s="11"/>
      <c r="UAK299" s="11"/>
      <c r="UAL299" s="11"/>
      <c r="UAM299" s="11"/>
      <c r="UAN299" s="11"/>
      <c r="UAO299" s="11"/>
      <c r="UAP299" s="11"/>
      <c r="UAQ299" s="11"/>
      <c r="UAR299" s="11"/>
      <c r="UAS299" s="11"/>
      <c r="UAT299" s="11"/>
      <c r="UAU299" s="11"/>
      <c r="UAV299" s="11"/>
      <c r="UAW299" s="11"/>
      <c r="UAX299" s="11"/>
      <c r="UAY299" s="11"/>
      <c r="UAZ299" s="11"/>
      <c r="UBA299" s="11"/>
      <c r="UBB299" s="11"/>
      <c r="UBC299" s="11"/>
      <c r="UBD299" s="11"/>
      <c r="UBE299" s="11"/>
      <c r="UBF299" s="11"/>
      <c r="UBG299" s="11"/>
      <c r="UBH299" s="11"/>
      <c r="UBI299" s="11"/>
      <c r="UBJ299" s="11"/>
      <c r="UBK299" s="11"/>
      <c r="UBL299" s="11"/>
      <c r="UBM299" s="11"/>
      <c r="UBN299" s="11"/>
      <c r="UBO299" s="11"/>
      <c r="UBP299" s="11"/>
      <c r="UBQ299" s="11"/>
      <c r="UBR299" s="11"/>
      <c r="UBS299" s="11"/>
      <c r="UBT299" s="11"/>
      <c r="UBU299" s="11"/>
      <c r="UBV299" s="11"/>
      <c r="UBW299" s="11"/>
      <c r="UBX299" s="11"/>
      <c r="UBY299" s="11"/>
      <c r="UBZ299" s="11"/>
      <c r="UCA299" s="11"/>
      <c r="UCB299" s="11"/>
      <c r="UCC299" s="11"/>
      <c r="UCD299" s="11"/>
      <c r="UCE299" s="11"/>
      <c r="UCF299" s="11"/>
      <c r="UCG299" s="11"/>
      <c r="UCH299" s="11"/>
      <c r="UCI299" s="11"/>
      <c r="UCJ299" s="11"/>
      <c r="UCK299" s="11"/>
      <c r="UCL299" s="11"/>
      <c r="UCM299" s="11"/>
      <c r="UCN299" s="11"/>
      <c r="UCO299" s="11"/>
      <c r="UCP299" s="11"/>
      <c r="UCQ299" s="11"/>
      <c r="UCR299" s="11"/>
      <c r="UCS299" s="11"/>
      <c r="UCT299" s="11"/>
      <c r="UCU299" s="11"/>
      <c r="UCV299" s="11"/>
      <c r="UCW299" s="11"/>
      <c r="UCX299" s="11"/>
      <c r="UCY299" s="11"/>
      <c r="UCZ299" s="11"/>
      <c r="UDA299" s="11"/>
      <c r="UDB299" s="11"/>
      <c r="UDC299" s="11"/>
      <c r="UDD299" s="11"/>
      <c r="UDE299" s="11"/>
      <c r="UDF299" s="11"/>
      <c r="UDG299" s="11"/>
      <c r="UDH299" s="11"/>
      <c r="UDI299" s="11"/>
      <c r="UDJ299" s="11"/>
      <c r="UDK299" s="11"/>
      <c r="UDL299" s="11"/>
      <c r="UDM299" s="11"/>
      <c r="UDN299" s="11"/>
      <c r="UDO299" s="11"/>
      <c r="UDP299" s="11"/>
      <c r="UDQ299" s="11"/>
      <c r="UDR299" s="11"/>
      <c r="UDS299" s="11"/>
      <c r="UDT299" s="11"/>
      <c r="UDU299" s="11"/>
      <c r="UDV299" s="11"/>
      <c r="UDW299" s="11"/>
      <c r="UDX299" s="11"/>
      <c r="UDY299" s="11"/>
      <c r="UDZ299" s="11"/>
      <c r="UEA299" s="11"/>
      <c r="UEB299" s="11"/>
      <c r="UEC299" s="11"/>
      <c r="UED299" s="11"/>
      <c r="UEE299" s="11"/>
      <c r="UEF299" s="11"/>
      <c r="UEG299" s="11"/>
      <c r="UEH299" s="11"/>
      <c r="UEI299" s="11"/>
      <c r="UEJ299" s="11"/>
      <c r="UEK299" s="11"/>
      <c r="UEL299" s="11"/>
      <c r="UEM299" s="11"/>
      <c r="UEN299" s="11"/>
      <c r="UEO299" s="11"/>
      <c r="UEP299" s="11"/>
      <c r="UEQ299" s="11"/>
      <c r="UER299" s="11"/>
      <c r="UES299" s="11"/>
      <c r="UET299" s="11"/>
      <c r="UEU299" s="11"/>
      <c r="UEV299" s="11"/>
      <c r="UEW299" s="11"/>
      <c r="UEX299" s="11"/>
      <c r="UEY299" s="11"/>
      <c r="UEZ299" s="11"/>
      <c r="UFA299" s="11"/>
      <c r="UFB299" s="11"/>
      <c r="UFC299" s="11"/>
      <c r="UFD299" s="11"/>
      <c r="UFE299" s="11"/>
      <c r="UFF299" s="11"/>
      <c r="UFG299" s="11"/>
      <c r="UFH299" s="11"/>
      <c r="UFI299" s="11"/>
      <c r="UFJ299" s="11"/>
      <c r="UFK299" s="11"/>
      <c r="UFL299" s="11"/>
      <c r="UFM299" s="11"/>
      <c r="UFN299" s="11"/>
      <c r="UFO299" s="11"/>
      <c r="UFP299" s="11"/>
      <c r="UFQ299" s="11"/>
      <c r="UFR299" s="11"/>
      <c r="UFS299" s="11"/>
      <c r="UFT299" s="11"/>
      <c r="UFU299" s="11"/>
      <c r="UFV299" s="11"/>
      <c r="UFW299" s="11"/>
      <c r="UFX299" s="11"/>
      <c r="UFY299" s="11"/>
      <c r="UFZ299" s="11"/>
      <c r="UGA299" s="11"/>
      <c r="UGB299" s="11"/>
      <c r="UGC299" s="11"/>
      <c r="UGD299" s="11"/>
      <c r="UGE299" s="11"/>
      <c r="UGF299" s="11"/>
      <c r="UGG299" s="11"/>
      <c r="UGH299" s="11"/>
      <c r="UGI299" s="11"/>
      <c r="UGJ299" s="11"/>
      <c r="UGK299" s="11"/>
      <c r="UGL299" s="11"/>
      <c r="UGM299" s="11"/>
      <c r="UGN299" s="11"/>
      <c r="UGO299" s="11"/>
      <c r="UGP299" s="11"/>
      <c r="UGQ299" s="11"/>
      <c r="UGR299" s="11"/>
      <c r="UGS299" s="11"/>
      <c r="UGT299" s="11"/>
      <c r="UGU299" s="11"/>
      <c r="UGV299" s="11"/>
      <c r="UGW299" s="11"/>
      <c r="UGX299" s="11"/>
      <c r="UGY299" s="11"/>
      <c r="UGZ299" s="11"/>
      <c r="UHA299" s="11"/>
      <c r="UHB299" s="11"/>
      <c r="UHC299" s="11"/>
      <c r="UHD299" s="11"/>
      <c r="UHE299" s="11"/>
      <c r="UHF299" s="11"/>
      <c r="UHG299" s="11"/>
      <c r="UHH299" s="11"/>
      <c r="UHI299" s="11"/>
      <c r="UHJ299" s="11"/>
      <c r="UHK299" s="11"/>
      <c r="UHL299" s="11"/>
      <c r="UHM299" s="11"/>
      <c r="UHN299" s="11"/>
      <c r="UHO299" s="11"/>
      <c r="UHP299" s="11"/>
      <c r="UHQ299" s="11"/>
      <c r="UHR299" s="11"/>
      <c r="UHS299" s="11"/>
      <c r="UHT299" s="11"/>
      <c r="UHU299" s="11"/>
      <c r="UHV299" s="11"/>
      <c r="UHW299" s="11"/>
      <c r="UHX299" s="11"/>
      <c r="UHY299" s="11"/>
      <c r="UHZ299" s="11"/>
      <c r="UIA299" s="11"/>
      <c r="UIB299" s="11"/>
      <c r="UIC299" s="11"/>
      <c r="UID299" s="11"/>
      <c r="UIE299" s="11"/>
      <c r="UIF299" s="11"/>
      <c r="UIG299" s="11"/>
      <c r="UIH299" s="11"/>
      <c r="UII299" s="11"/>
      <c r="UIJ299" s="11"/>
      <c r="UIK299" s="11"/>
      <c r="UIL299" s="11"/>
      <c r="UIM299" s="11"/>
      <c r="UIN299" s="11"/>
      <c r="UIO299" s="11"/>
      <c r="UIP299" s="11"/>
      <c r="UIQ299" s="11"/>
      <c r="UIR299" s="11"/>
      <c r="UIS299" s="11"/>
      <c r="UIT299" s="11"/>
      <c r="UIU299" s="11"/>
      <c r="UIV299" s="11"/>
      <c r="UIW299" s="11"/>
      <c r="UIX299" s="11"/>
      <c r="UIY299" s="11"/>
      <c r="UIZ299" s="11"/>
      <c r="UJA299" s="11"/>
      <c r="UJB299" s="11"/>
      <c r="UJC299" s="11"/>
      <c r="UJD299" s="11"/>
      <c r="UJE299" s="11"/>
      <c r="UJF299" s="11"/>
      <c r="UJG299" s="11"/>
      <c r="UJH299" s="11"/>
      <c r="UJI299" s="11"/>
      <c r="UJJ299" s="11"/>
      <c r="UJK299" s="11"/>
      <c r="UJL299" s="11"/>
      <c r="UJM299" s="11"/>
      <c r="UJN299" s="11"/>
      <c r="UJO299" s="11"/>
      <c r="UJP299" s="11"/>
      <c r="UJQ299" s="11"/>
      <c r="UJR299" s="11"/>
      <c r="UJS299" s="11"/>
      <c r="UJT299" s="11"/>
      <c r="UJU299" s="11"/>
      <c r="UJV299" s="11"/>
      <c r="UJW299" s="11"/>
      <c r="UJX299" s="11"/>
      <c r="UJY299" s="11"/>
      <c r="UJZ299" s="11"/>
      <c r="UKA299" s="11"/>
      <c r="UKB299" s="11"/>
      <c r="UKC299" s="11"/>
      <c r="UKD299" s="11"/>
      <c r="UKE299" s="11"/>
      <c r="UKF299" s="11"/>
      <c r="UKG299" s="11"/>
      <c r="UKH299" s="11"/>
      <c r="UKI299" s="11"/>
      <c r="UKJ299" s="11"/>
      <c r="UKK299" s="11"/>
      <c r="UKL299" s="11"/>
      <c r="UKM299" s="11"/>
      <c r="UKN299" s="11"/>
      <c r="UKO299" s="11"/>
      <c r="UKP299" s="11"/>
      <c r="UKQ299" s="11"/>
      <c r="UKR299" s="11"/>
      <c r="UKS299" s="11"/>
      <c r="UKT299" s="11"/>
      <c r="UKU299" s="11"/>
      <c r="UKV299" s="11"/>
      <c r="UKW299" s="11"/>
      <c r="UKX299" s="11"/>
      <c r="UKY299" s="11"/>
      <c r="UKZ299" s="11"/>
      <c r="ULA299" s="11"/>
      <c r="ULB299" s="11"/>
      <c r="ULC299" s="11"/>
      <c r="ULD299" s="11"/>
      <c r="ULE299" s="11"/>
      <c r="ULF299" s="11"/>
      <c r="ULG299" s="11"/>
      <c r="ULH299" s="11"/>
      <c r="ULI299" s="11"/>
      <c r="ULJ299" s="11"/>
      <c r="ULK299" s="11"/>
      <c r="ULL299" s="11"/>
      <c r="ULM299" s="11"/>
      <c r="ULN299" s="11"/>
      <c r="ULO299" s="11"/>
      <c r="ULP299" s="11"/>
      <c r="ULQ299" s="11"/>
      <c r="ULR299" s="11"/>
      <c r="ULS299" s="11"/>
      <c r="ULT299" s="11"/>
      <c r="ULU299" s="11"/>
      <c r="ULV299" s="11"/>
      <c r="ULW299" s="11"/>
      <c r="ULX299" s="11"/>
      <c r="ULY299" s="11"/>
      <c r="ULZ299" s="11"/>
      <c r="UMA299" s="11"/>
      <c r="UMB299" s="11"/>
      <c r="UMC299" s="11"/>
      <c r="UMD299" s="11"/>
      <c r="UME299" s="11"/>
      <c r="UMF299" s="11"/>
      <c r="UMG299" s="11"/>
      <c r="UMH299" s="11"/>
      <c r="UMI299" s="11"/>
      <c r="UMJ299" s="11"/>
      <c r="UMK299" s="11"/>
      <c r="UML299" s="11"/>
      <c r="UMM299" s="11"/>
      <c r="UMN299" s="11"/>
      <c r="UMO299" s="11"/>
      <c r="UMP299" s="11"/>
      <c r="UMQ299" s="11"/>
      <c r="UMR299" s="11"/>
      <c r="UMS299" s="11"/>
      <c r="UMT299" s="11"/>
      <c r="UMU299" s="11"/>
      <c r="UMV299" s="11"/>
      <c r="UMW299" s="11"/>
      <c r="UMX299" s="11"/>
      <c r="UMY299" s="11"/>
      <c r="UMZ299" s="11"/>
      <c r="UNA299" s="11"/>
      <c r="UNB299" s="11"/>
      <c r="UNC299" s="11"/>
      <c r="UND299" s="11"/>
      <c r="UNE299" s="11"/>
      <c r="UNF299" s="11"/>
      <c r="UNG299" s="11"/>
      <c r="UNH299" s="11"/>
      <c r="UNI299" s="11"/>
      <c r="UNJ299" s="11"/>
      <c r="UNK299" s="11"/>
      <c r="UNL299" s="11"/>
      <c r="UNM299" s="11"/>
      <c r="UNN299" s="11"/>
      <c r="UNO299" s="11"/>
      <c r="UNP299" s="11"/>
      <c r="UNQ299" s="11"/>
      <c r="UNR299" s="11"/>
      <c r="UNS299" s="11"/>
      <c r="UNT299" s="11"/>
      <c r="UNU299" s="11"/>
      <c r="UNV299" s="11"/>
      <c r="UNW299" s="11"/>
      <c r="UNX299" s="11"/>
      <c r="UNY299" s="11"/>
      <c r="UNZ299" s="11"/>
      <c r="UOA299" s="11"/>
      <c r="UOB299" s="11"/>
      <c r="UOC299" s="11"/>
      <c r="UOD299" s="11"/>
      <c r="UOE299" s="11"/>
      <c r="UOF299" s="11"/>
      <c r="UOG299" s="11"/>
      <c r="UOH299" s="11"/>
      <c r="UOI299" s="11"/>
      <c r="UOJ299" s="11"/>
      <c r="UOK299" s="11"/>
      <c r="UOL299" s="11"/>
      <c r="UOM299" s="11"/>
      <c r="UON299" s="11"/>
      <c r="UOO299" s="11"/>
      <c r="UOP299" s="11"/>
      <c r="UOQ299" s="11"/>
      <c r="UOR299" s="11"/>
      <c r="UOS299" s="11"/>
      <c r="UOT299" s="11"/>
      <c r="UOU299" s="11"/>
      <c r="UOV299" s="11"/>
      <c r="UOW299" s="11"/>
      <c r="UOX299" s="11"/>
      <c r="UOY299" s="11"/>
      <c r="UOZ299" s="11"/>
      <c r="UPA299" s="11"/>
      <c r="UPB299" s="11"/>
      <c r="UPC299" s="11"/>
      <c r="UPD299" s="11"/>
      <c r="UPE299" s="11"/>
      <c r="UPF299" s="11"/>
      <c r="UPG299" s="11"/>
      <c r="UPH299" s="11"/>
      <c r="UPI299" s="11"/>
      <c r="UPJ299" s="11"/>
      <c r="UPK299" s="11"/>
      <c r="UPL299" s="11"/>
      <c r="UPM299" s="11"/>
      <c r="UPN299" s="11"/>
      <c r="UPO299" s="11"/>
      <c r="UPP299" s="11"/>
      <c r="UPQ299" s="11"/>
      <c r="UPR299" s="11"/>
      <c r="UPS299" s="11"/>
      <c r="UPT299" s="11"/>
      <c r="UPU299" s="11"/>
      <c r="UPV299" s="11"/>
      <c r="UPW299" s="11"/>
      <c r="UPX299" s="11"/>
      <c r="UPY299" s="11"/>
      <c r="UPZ299" s="11"/>
      <c r="UQA299" s="11"/>
      <c r="UQB299" s="11"/>
      <c r="UQC299" s="11"/>
      <c r="UQD299" s="11"/>
      <c r="UQE299" s="11"/>
      <c r="UQF299" s="11"/>
      <c r="UQG299" s="11"/>
      <c r="UQH299" s="11"/>
      <c r="UQI299" s="11"/>
      <c r="UQJ299" s="11"/>
      <c r="UQK299" s="11"/>
      <c r="UQL299" s="11"/>
      <c r="UQM299" s="11"/>
      <c r="UQN299" s="11"/>
      <c r="UQO299" s="11"/>
      <c r="UQP299" s="11"/>
      <c r="UQQ299" s="11"/>
      <c r="UQR299" s="11"/>
      <c r="UQS299" s="11"/>
      <c r="UQT299" s="11"/>
      <c r="UQU299" s="11"/>
      <c r="UQV299" s="11"/>
      <c r="UQW299" s="11"/>
      <c r="UQX299" s="11"/>
      <c r="UQY299" s="11"/>
      <c r="UQZ299" s="11"/>
      <c r="URA299" s="11"/>
      <c r="URB299" s="11"/>
      <c r="URC299" s="11"/>
      <c r="URD299" s="11"/>
      <c r="URE299" s="11"/>
      <c r="URF299" s="11"/>
      <c r="URG299" s="11"/>
      <c r="URH299" s="11"/>
      <c r="URI299" s="11"/>
      <c r="URJ299" s="11"/>
      <c r="URK299" s="11"/>
      <c r="URL299" s="11"/>
      <c r="URM299" s="11"/>
      <c r="URN299" s="11"/>
      <c r="URO299" s="11"/>
      <c r="URP299" s="11"/>
      <c r="URQ299" s="11"/>
      <c r="URR299" s="11"/>
      <c r="URS299" s="11"/>
      <c r="URT299" s="11"/>
      <c r="URU299" s="11"/>
      <c r="URV299" s="11"/>
      <c r="URW299" s="11"/>
      <c r="URX299" s="11"/>
      <c r="URY299" s="11"/>
      <c r="URZ299" s="11"/>
      <c r="USA299" s="11"/>
      <c r="USB299" s="11"/>
      <c r="USC299" s="11"/>
      <c r="USD299" s="11"/>
      <c r="USE299" s="11"/>
      <c r="USF299" s="11"/>
      <c r="USG299" s="11"/>
      <c r="USH299" s="11"/>
      <c r="USI299" s="11"/>
      <c r="USJ299" s="11"/>
      <c r="USK299" s="11"/>
      <c r="USL299" s="11"/>
      <c r="USM299" s="11"/>
      <c r="USN299" s="11"/>
      <c r="USO299" s="11"/>
      <c r="USP299" s="11"/>
      <c r="USQ299" s="11"/>
      <c r="USR299" s="11"/>
      <c r="USS299" s="11"/>
      <c r="UST299" s="11"/>
      <c r="USU299" s="11"/>
      <c r="USV299" s="11"/>
      <c r="USW299" s="11"/>
      <c r="USX299" s="11"/>
      <c r="USY299" s="11"/>
      <c r="USZ299" s="11"/>
      <c r="UTA299" s="11"/>
      <c r="UTB299" s="11"/>
      <c r="UTC299" s="11"/>
      <c r="UTD299" s="11"/>
      <c r="UTE299" s="11"/>
      <c r="UTF299" s="11"/>
      <c r="UTG299" s="11"/>
      <c r="UTH299" s="11"/>
      <c r="UTI299" s="11"/>
      <c r="UTJ299" s="11"/>
      <c r="UTK299" s="11"/>
      <c r="UTL299" s="11"/>
      <c r="UTM299" s="11"/>
      <c r="UTN299" s="11"/>
      <c r="UTO299" s="11"/>
      <c r="UTP299" s="11"/>
      <c r="UTQ299" s="11"/>
      <c r="UTR299" s="11"/>
      <c r="UTS299" s="11"/>
      <c r="UTT299" s="11"/>
      <c r="UTU299" s="11"/>
      <c r="UTV299" s="11"/>
      <c r="UTW299" s="11"/>
      <c r="UTX299" s="11"/>
      <c r="UTY299" s="11"/>
      <c r="UTZ299" s="11"/>
      <c r="UUA299" s="11"/>
      <c r="UUB299" s="11"/>
      <c r="UUC299" s="11"/>
      <c r="UUD299" s="11"/>
      <c r="UUE299" s="11"/>
      <c r="UUF299" s="11"/>
      <c r="UUG299" s="11"/>
      <c r="UUH299" s="11"/>
      <c r="UUI299" s="11"/>
      <c r="UUJ299" s="11"/>
      <c r="UUK299" s="11"/>
      <c r="UUL299" s="11"/>
      <c r="UUM299" s="11"/>
      <c r="UUN299" s="11"/>
      <c r="UUO299" s="11"/>
      <c r="UUP299" s="11"/>
      <c r="UUQ299" s="11"/>
      <c r="UUR299" s="11"/>
      <c r="UUS299" s="11"/>
      <c r="UUT299" s="11"/>
      <c r="UUU299" s="11"/>
      <c r="UUV299" s="11"/>
      <c r="UUW299" s="11"/>
      <c r="UUX299" s="11"/>
      <c r="UUY299" s="11"/>
      <c r="UUZ299" s="11"/>
      <c r="UVA299" s="11"/>
      <c r="UVB299" s="11"/>
      <c r="UVC299" s="11"/>
      <c r="UVD299" s="11"/>
      <c r="UVE299" s="11"/>
      <c r="UVF299" s="11"/>
      <c r="UVG299" s="11"/>
      <c r="UVH299" s="11"/>
      <c r="UVI299" s="11"/>
      <c r="UVJ299" s="11"/>
      <c r="UVK299" s="11"/>
      <c r="UVL299" s="11"/>
      <c r="UVM299" s="11"/>
      <c r="UVN299" s="11"/>
      <c r="UVO299" s="11"/>
      <c r="UVP299" s="11"/>
      <c r="UVQ299" s="11"/>
      <c r="UVR299" s="11"/>
      <c r="UVS299" s="11"/>
      <c r="UVT299" s="11"/>
      <c r="UVU299" s="11"/>
      <c r="UVV299" s="11"/>
      <c r="UVW299" s="11"/>
      <c r="UVX299" s="11"/>
      <c r="UVY299" s="11"/>
      <c r="UVZ299" s="11"/>
      <c r="UWA299" s="11"/>
      <c r="UWB299" s="11"/>
      <c r="UWC299" s="11"/>
      <c r="UWD299" s="11"/>
      <c r="UWE299" s="11"/>
      <c r="UWF299" s="11"/>
      <c r="UWG299" s="11"/>
      <c r="UWH299" s="11"/>
      <c r="UWI299" s="11"/>
      <c r="UWJ299" s="11"/>
      <c r="UWK299" s="11"/>
      <c r="UWL299" s="11"/>
      <c r="UWM299" s="11"/>
      <c r="UWN299" s="11"/>
      <c r="UWO299" s="11"/>
      <c r="UWP299" s="11"/>
      <c r="UWQ299" s="11"/>
      <c r="UWR299" s="11"/>
      <c r="UWS299" s="11"/>
      <c r="UWT299" s="11"/>
      <c r="UWU299" s="11"/>
      <c r="UWV299" s="11"/>
      <c r="UWW299" s="11"/>
      <c r="UWX299" s="11"/>
      <c r="UWY299" s="11"/>
      <c r="UWZ299" s="11"/>
      <c r="UXA299" s="11"/>
      <c r="UXB299" s="11"/>
      <c r="UXC299" s="11"/>
      <c r="UXD299" s="11"/>
      <c r="UXE299" s="11"/>
      <c r="UXF299" s="11"/>
      <c r="UXG299" s="11"/>
      <c r="UXH299" s="11"/>
      <c r="UXI299" s="11"/>
      <c r="UXJ299" s="11"/>
      <c r="UXK299" s="11"/>
      <c r="UXL299" s="11"/>
      <c r="UXM299" s="11"/>
      <c r="UXN299" s="11"/>
      <c r="UXO299" s="11"/>
      <c r="UXP299" s="11"/>
      <c r="UXQ299" s="11"/>
      <c r="UXR299" s="11"/>
      <c r="UXS299" s="11"/>
      <c r="UXT299" s="11"/>
      <c r="UXU299" s="11"/>
      <c r="UXV299" s="11"/>
      <c r="UXW299" s="11"/>
      <c r="UXX299" s="11"/>
      <c r="UXY299" s="11"/>
      <c r="UXZ299" s="11"/>
      <c r="UYA299" s="11"/>
      <c r="UYB299" s="11"/>
      <c r="UYC299" s="11"/>
      <c r="UYD299" s="11"/>
      <c r="UYE299" s="11"/>
      <c r="UYF299" s="11"/>
      <c r="UYG299" s="11"/>
      <c r="UYH299" s="11"/>
      <c r="UYI299" s="11"/>
      <c r="UYJ299" s="11"/>
      <c r="UYK299" s="11"/>
      <c r="UYL299" s="11"/>
      <c r="UYM299" s="11"/>
      <c r="UYN299" s="11"/>
      <c r="UYO299" s="11"/>
      <c r="UYP299" s="11"/>
      <c r="UYQ299" s="11"/>
      <c r="UYR299" s="11"/>
      <c r="UYS299" s="11"/>
      <c r="UYT299" s="11"/>
      <c r="UYU299" s="11"/>
      <c r="UYV299" s="11"/>
      <c r="UYW299" s="11"/>
      <c r="UYX299" s="11"/>
      <c r="UYY299" s="11"/>
      <c r="UYZ299" s="11"/>
      <c r="UZA299" s="11"/>
      <c r="UZB299" s="11"/>
      <c r="UZC299" s="11"/>
      <c r="UZD299" s="11"/>
      <c r="UZE299" s="11"/>
      <c r="UZF299" s="11"/>
      <c r="UZG299" s="11"/>
      <c r="UZH299" s="11"/>
      <c r="UZI299" s="11"/>
      <c r="UZJ299" s="11"/>
      <c r="UZK299" s="11"/>
      <c r="UZL299" s="11"/>
      <c r="UZM299" s="11"/>
      <c r="UZN299" s="11"/>
      <c r="UZO299" s="11"/>
      <c r="UZP299" s="11"/>
      <c r="UZQ299" s="11"/>
      <c r="UZR299" s="11"/>
      <c r="UZS299" s="11"/>
      <c r="UZT299" s="11"/>
      <c r="UZU299" s="11"/>
      <c r="UZV299" s="11"/>
      <c r="UZW299" s="11"/>
      <c r="UZX299" s="11"/>
      <c r="UZY299" s="11"/>
      <c r="UZZ299" s="11"/>
      <c r="VAA299" s="11"/>
      <c r="VAB299" s="11"/>
      <c r="VAC299" s="11"/>
      <c r="VAD299" s="11"/>
      <c r="VAE299" s="11"/>
      <c r="VAF299" s="11"/>
      <c r="VAG299" s="11"/>
      <c r="VAH299" s="11"/>
      <c r="VAI299" s="11"/>
      <c r="VAJ299" s="11"/>
      <c r="VAK299" s="11"/>
      <c r="VAL299" s="11"/>
      <c r="VAM299" s="11"/>
      <c r="VAN299" s="11"/>
      <c r="VAO299" s="11"/>
      <c r="VAP299" s="11"/>
      <c r="VAQ299" s="11"/>
      <c r="VAR299" s="11"/>
      <c r="VAS299" s="11"/>
      <c r="VAT299" s="11"/>
      <c r="VAU299" s="11"/>
      <c r="VAV299" s="11"/>
      <c r="VAW299" s="11"/>
      <c r="VAX299" s="11"/>
      <c r="VAY299" s="11"/>
      <c r="VAZ299" s="11"/>
      <c r="VBA299" s="11"/>
      <c r="VBB299" s="11"/>
      <c r="VBC299" s="11"/>
      <c r="VBD299" s="11"/>
      <c r="VBE299" s="11"/>
      <c r="VBF299" s="11"/>
      <c r="VBG299" s="11"/>
      <c r="VBH299" s="11"/>
      <c r="VBI299" s="11"/>
      <c r="VBJ299" s="11"/>
      <c r="VBK299" s="11"/>
      <c r="VBL299" s="11"/>
      <c r="VBM299" s="11"/>
      <c r="VBN299" s="11"/>
      <c r="VBO299" s="11"/>
      <c r="VBP299" s="11"/>
      <c r="VBQ299" s="11"/>
      <c r="VBR299" s="11"/>
      <c r="VBS299" s="11"/>
      <c r="VBT299" s="11"/>
      <c r="VBU299" s="11"/>
      <c r="VBV299" s="11"/>
      <c r="VBW299" s="11"/>
      <c r="VBX299" s="11"/>
      <c r="VBY299" s="11"/>
      <c r="VBZ299" s="11"/>
      <c r="VCA299" s="11"/>
      <c r="VCB299" s="11"/>
      <c r="VCC299" s="11"/>
      <c r="VCD299" s="11"/>
      <c r="VCE299" s="11"/>
      <c r="VCF299" s="11"/>
      <c r="VCG299" s="11"/>
      <c r="VCH299" s="11"/>
      <c r="VCI299" s="11"/>
      <c r="VCJ299" s="11"/>
      <c r="VCK299" s="11"/>
      <c r="VCL299" s="11"/>
      <c r="VCM299" s="11"/>
      <c r="VCN299" s="11"/>
      <c r="VCO299" s="11"/>
      <c r="VCP299" s="11"/>
      <c r="VCQ299" s="11"/>
      <c r="VCR299" s="11"/>
      <c r="VCS299" s="11"/>
      <c r="VCT299" s="11"/>
      <c r="VCU299" s="11"/>
      <c r="VCV299" s="11"/>
      <c r="VCW299" s="11"/>
      <c r="VCX299" s="11"/>
      <c r="VCY299" s="11"/>
      <c r="VCZ299" s="11"/>
      <c r="VDA299" s="11"/>
      <c r="VDB299" s="11"/>
      <c r="VDC299" s="11"/>
      <c r="VDD299" s="11"/>
      <c r="VDE299" s="11"/>
      <c r="VDF299" s="11"/>
      <c r="VDG299" s="11"/>
      <c r="VDH299" s="11"/>
      <c r="VDI299" s="11"/>
      <c r="VDJ299" s="11"/>
      <c r="VDK299" s="11"/>
      <c r="VDL299" s="11"/>
      <c r="VDM299" s="11"/>
      <c r="VDN299" s="11"/>
      <c r="VDO299" s="11"/>
      <c r="VDP299" s="11"/>
      <c r="VDQ299" s="11"/>
      <c r="VDR299" s="11"/>
      <c r="VDS299" s="11"/>
      <c r="VDT299" s="11"/>
      <c r="VDU299" s="11"/>
      <c r="VDV299" s="11"/>
      <c r="VDW299" s="11"/>
      <c r="VDX299" s="11"/>
      <c r="VDY299" s="11"/>
      <c r="VDZ299" s="11"/>
      <c r="VEA299" s="11"/>
      <c r="VEB299" s="11"/>
      <c r="VEC299" s="11"/>
      <c r="VED299" s="11"/>
      <c r="VEE299" s="11"/>
      <c r="VEF299" s="11"/>
      <c r="VEG299" s="11"/>
      <c r="VEH299" s="11"/>
      <c r="VEI299" s="11"/>
      <c r="VEJ299" s="11"/>
      <c r="VEK299" s="11"/>
      <c r="VEL299" s="11"/>
      <c r="VEM299" s="11"/>
      <c r="VEN299" s="11"/>
      <c r="VEO299" s="11"/>
      <c r="VEP299" s="11"/>
      <c r="VEQ299" s="11"/>
      <c r="VER299" s="11"/>
      <c r="VES299" s="11"/>
      <c r="VET299" s="11"/>
      <c r="VEU299" s="11"/>
      <c r="VEV299" s="11"/>
      <c r="VEW299" s="11"/>
      <c r="VEX299" s="11"/>
      <c r="VEY299" s="11"/>
      <c r="VEZ299" s="11"/>
      <c r="VFA299" s="11"/>
      <c r="VFB299" s="11"/>
      <c r="VFC299" s="11"/>
      <c r="VFD299" s="11"/>
      <c r="VFE299" s="11"/>
      <c r="VFF299" s="11"/>
      <c r="VFG299" s="11"/>
      <c r="VFH299" s="11"/>
      <c r="VFI299" s="11"/>
      <c r="VFJ299" s="11"/>
      <c r="VFK299" s="11"/>
      <c r="VFL299" s="11"/>
      <c r="VFM299" s="11"/>
      <c r="VFN299" s="11"/>
      <c r="VFO299" s="11"/>
      <c r="VFP299" s="11"/>
      <c r="VFQ299" s="11"/>
      <c r="VFR299" s="11"/>
      <c r="VFS299" s="11"/>
      <c r="VFT299" s="11"/>
      <c r="VFU299" s="11"/>
      <c r="VFV299" s="11"/>
      <c r="VFW299" s="11"/>
      <c r="VFX299" s="11"/>
      <c r="VFY299" s="11"/>
      <c r="VFZ299" s="11"/>
      <c r="VGA299" s="11"/>
      <c r="VGB299" s="11"/>
      <c r="VGC299" s="11"/>
      <c r="VGD299" s="11"/>
      <c r="VGE299" s="11"/>
      <c r="VGF299" s="11"/>
      <c r="VGG299" s="11"/>
      <c r="VGH299" s="11"/>
      <c r="VGI299" s="11"/>
      <c r="VGJ299" s="11"/>
      <c r="VGK299" s="11"/>
      <c r="VGL299" s="11"/>
      <c r="VGM299" s="11"/>
      <c r="VGN299" s="11"/>
      <c r="VGO299" s="11"/>
      <c r="VGP299" s="11"/>
      <c r="VGQ299" s="11"/>
      <c r="VGR299" s="11"/>
      <c r="VGS299" s="11"/>
      <c r="VGT299" s="11"/>
      <c r="VGU299" s="11"/>
      <c r="VGV299" s="11"/>
      <c r="VGW299" s="11"/>
      <c r="VGX299" s="11"/>
      <c r="VGY299" s="11"/>
      <c r="VGZ299" s="11"/>
      <c r="VHA299" s="11"/>
      <c r="VHB299" s="11"/>
      <c r="VHC299" s="11"/>
      <c r="VHD299" s="11"/>
      <c r="VHE299" s="11"/>
      <c r="VHF299" s="11"/>
      <c r="VHG299" s="11"/>
      <c r="VHH299" s="11"/>
      <c r="VHI299" s="11"/>
      <c r="VHJ299" s="11"/>
      <c r="VHK299" s="11"/>
      <c r="VHL299" s="11"/>
      <c r="VHM299" s="11"/>
      <c r="VHN299" s="11"/>
      <c r="VHO299" s="11"/>
      <c r="VHP299" s="11"/>
      <c r="VHQ299" s="11"/>
      <c r="VHR299" s="11"/>
      <c r="VHS299" s="11"/>
      <c r="VHT299" s="11"/>
      <c r="VHU299" s="11"/>
      <c r="VHV299" s="11"/>
      <c r="VHW299" s="11"/>
      <c r="VHX299" s="11"/>
      <c r="VHY299" s="11"/>
      <c r="VHZ299" s="11"/>
      <c r="VIA299" s="11"/>
      <c r="VIB299" s="11"/>
      <c r="VIC299" s="11"/>
      <c r="VID299" s="11"/>
      <c r="VIE299" s="11"/>
      <c r="VIF299" s="11"/>
      <c r="VIG299" s="11"/>
      <c r="VIH299" s="11"/>
      <c r="VII299" s="11"/>
      <c r="VIJ299" s="11"/>
      <c r="VIK299" s="11"/>
      <c r="VIL299" s="11"/>
      <c r="VIM299" s="11"/>
      <c r="VIN299" s="11"/>
      <c r="VIO299" s="11"/>
      <c r="VIP299" s="11"/>
      <c r="VIQ299" s="11"/>
      <c r="VIR299" s="11"/>
      <c r="VIS299" s="11"/>
      <c r="VIT299" s="11"/>
      <c r="VIU299" s="11"/>
      <c r="VIV299" s="11"/>
      <c r="VIW299" s="11"/>
      <c r="VIX299" s="11"/>
      <c r="VIY299" s="11"/>
      <c r="VIZ299" s="11"/>
      <c r="VJA299" s="11"/>
      <c r="VJB299" s="11"/>
      <c r="VJC299" s="11"/>
      <c r="VJD299" s="11"/>
      <c r="VJE299" s="11"/>
      <c r="VJF299" s="11"/>
      <c r="VJG299" s="11"/>
      <c r="VJH299" s="11"/>
      <c r="VJI299" s="11"/>
      <c r="VJJ299" s="11"/>
      <c r="VJK299" s="11"/>
      <c r="VJL299" s="11"/>
      <c r="VJM299" s="11"/>
      <c r="VJN299" s="11"/>
      <c r="VJO299" s="11"/>
      <c r="VJP299" s="11"/>
      <c r="VJQ299" s="11"/>
      <c r="VJR299" s="11"/>
      <c r="VJS299" s="11"/>
      <c r="VJT299" s="11"/>
      <c r="VJU299" s="11"/>
      <c r="VJV299" s="11"/>
      <c r="VJW299" s="11"/>
      <c r="VJX299" s="11"/>
      <c r="VJY299" s="11"/>
      <c r="VJZ299" s="11"/>
      <c r="VKA299" s="11"/>
      <c r="VKB299" s="11"/>
      <c r="VKC299" s="11"/>
      <c r="VKD299" s="11"/>
      <c r="VKE299" s="11"/>
      <c r="VKF299" s="11"/>
      <c r="VKG299" s="11"/>
      <c r="VKH299" s="11"/>
      <c r="VKI299" s="11"/>
      <c r="VKJ299" s="11"/>
      <c r="VKK299" s="11"/>
      <c r="VKL299" s="11"/>
      <c r="VKM299" s="11"/>
      <c r="VKN299" s="11"/>
      <c r="VKO299" s="11"/>
      <c r="VKP299" s="11"/>
      <c r="VKQ299" s="11"/>
      <c r="VKR299" s="11"/>
      <c r="VKS299" s="11"/>
      <c r="VKT299" s="11"/>
      <c r="VKU299" s="11"/>
      <c r="VKV299" s="11"/>
      <c r="VKW299" s="11"/>
      <c r="VKX299" s="11"/>
      <c r="VKY299" s="11"/>
      <c r="VKZ299" s="11"/>
      <c r="VLA299" s="11"/>
      <c r="VLB299" s="11"/>
      <c r="VLC299" s="11"/>
      <c r="VLD299" s="11"/>
      <c r="VLE299" s="11"/>
      <c r="VLF299" s="11"/>
      <c r="VLG299" s="11"/>
      <c r="VLH299" s="11"/>
      <c r="VLI299" s="11"/>
      <c r="VLJ299" s="11"/>
      <c r="VLK299" s="11"/>
      <c r="VLL299" s="11"/>
      <c r="VLM299" s="11"/>
      <c r="VLN299" s="11"/>
      <c r="VLO299" s="11"/>
      <c r="VLP299" s="11"/>
      <c r="VLQ299" s="11"/>
      <c r="VLR299" s="11"/>
      <c r="VLS299" s="11"/>
      <c r="VLT299" s="11"/>
      <c r="VLU299" s="11"/>
      <c r="VLV299" s="11"/>
      <c r="VLW299" s="11"/>
      <c r="VLX299" s="11"/>
      <c r="VLY299" s="11"/>
      <c r="VLZ299" s="11"/>
      <c r="VMA299" s="11"/>
      <c r="VMB299" s="11"/>
      <c r="VMC299" s="11"/>
      <c r="VMD299" s="11"/>
      <c r="VME299" s="11"/>
      <c r="VMF299" s="11"/>
      <c r="VMG299" s="11"/>
      <c r="VMH299" s="11"/>
      <c r="VMI299" s="11"/>
      <c r="VMJ299" s="11"/>
      <c r="VMK299" s="11"/>
      <c r="VML299" s="11"/>
      <c r="VMM299" s="11"/>
      <c r="VMN299" s="11"/>
      <c r="VMO299" s="11"/>
      <c r="VMP299" s="11"/>
      <c r="VMQ299" s="11"/>
      <c r="VMR299" s="11"/>
      <c r="VMS299" s="11"/>
      <c r="VMT299" s="11"/>
      <c r="VMU299" s="11"/>
      <c r="VMV299" s="11"/>
      <c r="VMW299" s="11"/>
      <c r="VMX299" s="11"/>
      <c r="VMY299" s="11"/>
      <c r="VMZ299" s="11"/>
      <c r="VNA299" s="11"/>
      <c r="VNB299" s="11"/>
      <c r="VNC299" s="11"/>
      <c r="VND299" s="11"/>
      <c r="VNE299" s="11"/>
      <c r="VNF299" s="11"/>
      <c r="VNG299" s="11"/>
      <c r="VNH299" s="11"/>
      <c r="VNI299" s="11"/>
      <c r="VNJ299" s="11"/>
      <c r="VNK299" s="11"/>
      <c r="VNL299" s="11"/>
      <c r="VNM299" s="11"/>
      <c r="VNN299" s="11"/>
      <c r="VNO299" s="11"/>
      <c r="VNP299" s="11"/>
      <c r="VNQ299" s="11"/>
      <c r="VNR299" s="11"/>
      <c r="VNS299" s="11"/>
      <c r="VNT299" s="11"/>
      <c r="VNU299" s="11"/>
      <c r="VNV299" s="11"/>
      <c r="VNW299" s="11"/>
      <c r="VNX299" s="11"/>
      <c r="VNY299" s="11"/>
      <c r="VNZ299" s="11"/>
      <c r="VOA299" s="11"/>
      <c r="VOB299" s="11"/>
      <c r="VOC299" s="11"/>
      <c r="VOD299" s="11"/>
      <c r="VOE299" s="11"/>
      <c r="VOF299" s="11"/>
      <c r="VOG299" s="11"/>
      <c r="VOH299" s="11"/>
      <c r="VOI299" s="11"/>
      <c r="VOJ299" s="11"/>
      <c r="VOK299" s="11"/>
      <c r="VOL299" s="11"/>
      <c r="VOM299" s="11"/>
      <c r="VON299" s="11"/>
      <c r="VOO299" s="11"/>
      <c r="VOP299" s="11"/>
      <c r="VOQ299" s="11"/>
      <c r="VOR299" s="11"/>
      <c r="VOS299" s="11"/>
      <c r="VOT299" s="11"/>
      <c r="VOU299" s="11"/>
      <c r="VOV299" s="11"/>
      <c r="VOW299" s="11"/>
      <c r="VOX299" s="11"/>
      <c r="VOY299" s="11"/>
      <c r="VOZ299" s="11"/>
      <c r="VPA299" s="11"/>
      <c r="VPB299" s="11"/>
      <c r="VPC299" s="11"/>
      <c r="VPD299" s="11"/>
      <c r="VPE299" s="11"/>
      <c r="VPF299" s="11"/>
      <c r="VPG299" s="11"/>
      <c r="VPH299" s="11"/>
      <c r="VPI299" s="11"/>
      <c r="VPJ299" s="11"/>
      <c r="VPK299" s="11"/>
      <c r="VPL299" s="11"/>
      <c r="VPM299" s="11"/>
      <c r="VPN299" s="11"/>
      <c r="VPO299" s="11"/>
      <c r="VPP299" s="11"/>
      <c r="VPQ299" s="11"/>
      <c r="VPR299" s="11"/>
      <c r="VPS299" s="11"/>
      <c r="VPT299" s="11"/>
      <c r="VPU299" s="11"/>
      <c r="VPV299" s="11"/>
      <c r="VPW299" s="11"/>
      <c r="VPX299" s="11"/>
      <c r="VPY299" s="11"/>
      <c r="VPZ299" s="11"/>
      <c r="VQA299" s="11"/>
      <c r="VQB299" s="11"/>
      <c r="VQC299" s="11"/>
      <c r="VQD299" s="11"/>
      <c r="VQE299" s="11"/>
      <c r="VQF299" s="11"/>
      <c r="VQG299" s="11"/>
      <c r="VQH299" s="11"/>
      <c r="VQI299" s="11"/>
      <c r="VQJ299" s="11"/>
      <c r="VQK299" s="11"/>
      <c r="VQL299" s="11"/>
      <c r="VQM299" s="11"/>
      <c r="VQN299" s="11"/>
      <c r="VQO299" s="11"/>
      <c r="VQP299" s="11"/>
      <c r="VQQ299" s="11"/>
      <c r="VQR299" s="11"/>
      <c r="VQS299" s="11"/>
      <c r="VQT299" s="11"/>
      <c r="VQU299" s="11"/>
      <c r="VQV299" s="11"/>
      <c r="VQW299" s="11"/>
      <c r="VQX299" s="11"/>
      <c r="VQY299" s="11"/>
      <c r="VQZ299" s="11"/>
      <c r="VRA299" s="11"/>
      <c r="VRB299" s="11"/>
      <c r="VRC299" s="11"/>
      <c r="VRD299" s="11"/>
      <c r="VRE299" s="11"/>
      <c r="VRF299" s="11"/>
      <c r="VRG299" s="11"/>
      <c r="VRH299" s="11"/>
      <c r="VRI299" s="11"/>
      <c r="VRJ299" s="11"/>
      <c r="VRK299" s="11"/>
      <c r="VRL299" s="11"/>
      <c r="VRM299" s="11"/>
      <c r="VRN299" s="11"/>
      <c r="VRO299" s="11"/>
      <c r="VRP299" s="11"/>
      <c r="VRQ299" s="11"/>
      <c r="VRR299" s="11"/>
      <c r="VRS299" s="11"/>
      <c r="VRT299" s="11"/>
      <c r="VRU299" s="11"/>
      <c r="VRV299" s="11"/>
      <c r="VRW299" s="11"/>
      <c r="VRX299" s="11"/>
      <c r="VRY299" s="11"/>
      <c r="VRZ299" s="11"/>
      <c r="VSA299" s="11"/>
      <c r="VSB299" s="11"/>
      <c r="VSC299" s="11"/>
      <c r="VSD299" s="11"/>
      <c r="VSE299" s="11"/>
      <c r="VSF299" s="11"/>
      <c r="VSG299" s="11"/>
      <c r="VSH299" s="11"/>
      <c r="VSI299" s="11"/>
      <c r="VSJ299" s="11"/>
      <c r="VSK299" s="11"/>
      <c r="VSL299" s="11"/>
      <c r="VSM299" s="11"/>
      <c r="VSN299" s="11"/>
      <c r="VSO299" s="11"/>
      <c r="VSP299" s="11"/>
      <c r="VSQ299" s="11"/>
      <c r="VSR299" s="11"/>
      <c r="VSS299" s="11"/>
      <c r="VST299" s="11"/>
      <c r="VSU299" s="11"/>
      <c r="VSV299" s="11"/>
      <c r="VSW299" s="11"/>
      <c r="VSX299" s="11"/>
      <c r="VSY299" s="11"/>
      <c r="VSZ299" s="11"/>
      <c r="VTA299" s="11"/>
      <c r="VTB299" s="11"/>
      <c r="VTC299" s="11"/>
      <c r="VTD299" s="11"/>
      <c r="VTE299" s="11"/>
      <c r="VTF299" s="11"/>
      <c r="VTG299" s="11"/>
      <c r="VTH299" s="11"/>
      <c r="VTI299" s="11"/>
      <c r="VTJ299" s="11"/>
      <c r="VTK299" s="11"/>
      <c r="VTL299" s="11"/>
      <c r="VTM299" s="11"/>
      <c r="VTN299" s="11"/>
      <c r="VTO299" s="11"/>
      <c r="VTP299" s="11"/>
      <c r="VTQ299" s="11"/>
      <c r="VTR299" s="11"/>
      <c r="VTS299" s="11"/>
      <c r="VTT299" s="11"/>
      <c r="VTU299" s="11"/>
      <c r="VTV299" s="11"/>
      <c r="VTW299" s="11"/>
      <c r="VTX299" s="11"/>
      <c r="VTY299" s="11"/>
      <c r="VTZ299" s="11"/>
      <c r="VUA299" s="11"/>
      <c r="VUB299" s="11"/>
      <c r="VUC299" s="11"/>
      <c r="VUD299" s="11"/>
      <c r="VUE299" s="11"/>
      <c r="VUF299" s="11"/>
      <c r="VUG299" s="11"/>
      <c r="VUH299" s="11"/>
      <c r="VUI299" s="11"/>
      <c r="VUJ299" s="11"/>
      <c r="VUK299" s="11"/>
      <c r="VUL299" s="11"/>
      <c r="VUM299" s="11"/>
      <c r="VUN299" s="11"/>
      <c r="VUO299" s="11"/>
      <c r="VUP299" s="11"/>
      <c r="VUQ299" s="11"/>
      <c r="VUR299" s="11"/>
      <c r="VUS299" s="11"/>
      <c r="VUT299" s="11"/>
      <c r="VUU299" s="11"/>
      <c r="VUV299" s="11"/>
      <c r="VUW299" s="11"/>
      <c r="VUX299" s="11"/>
      <c r="VUY299" s="11"/>
      <c r="VUZ299" s="11"/>
      <c r="VVA299" s="11"/>
      <c r="VVB299" s="11"/>
      <c r="VVC299" s="11"/>
      <c r="VVD299" s="11"/>
      <c r="VVE299" s="11"/>
      <c r="VVF299" s="11"/>
      <c r="VVG299" s="11"/>
      <c r="VVH299" s="11"/>
      <c r="VVI299" s="11"/>
      <c r="VVJ299" s="11"/>
      <c r="VVK299" s="11"/>
      <c r="VVL299" s="11"/>
      <c r="VVM299" s="11"/>
      <c r="VVN299" s="11"/>
      <c r="VVO299" s="11"/>
      <c r="VVP299" s="11"/>
      <c r="VVQ299" s="11"/>
      <c r="VVR299" s="11"/>
      <c r="VVS299" s="11"/>
      <c r="VVT299" s="11"/>
      <c r="VVU299" s="11"/>
      <c r="VVV299" s="11"/>
      <c r="VVW299" s="11"/>
      <c r="VVX299" s="11"/>
      <c r="VVY299" s="11"/>
      <c r="VVZ299" s="11"/>
      <c r="VWA299" s="11"/>
      <c r="VWB299" s="11"/>
      <c r="VWC299" s="11"/>
      <c r="VWD299" s="11"/>
      <c r="VWE299" s="11"/>
      <c r="VWF299" s="11"/>
      <c r="VWG299" s="11"/>
      <c r="VWH299" s="11"/>
      <c r="VWI299" s="11"/>
      <c r="VWJ299" s="11"/>
      <c r="VWK299" s="11"/>
      <c r="VWL299" s="11"/>
      <c r="VWM299" s="11"/>
      <c r="VWN299" s="11"/>
      <c r="VWO299" s="11"/>
      <c r="VWP299" s="11"/>
      <c r="VWQ299" s="11"/>
      <c r="VWR299" s="11"/>
      <c r="VWS299" s="11"/>
      <c r="VWT299" s="11"/>
      <c r="VWU299" s="11"/>
      <c r="VWV299" s="11"/>
      <c r="VWW299" s="11"/>
      <c r="VWX299" s="11"/>
      <c r="VWY299" s="11"/>
      <c r="VWZ299" s="11"/>
      <c r="VXA299" s="11"/>
      <c r="VXB299" s="11"/>
      <c r="VXC299" s="11"/>
      <c r="VXD299" s="11"/>
      <c r="VXE299" s="11"/>
      <c r="VXF299" s="11"/>
      <c r="VXG299" s="11"/>
      <c r="VXH299" s="11"/>
      <c r="VXI299" s="11"/>
      <c r="VXJ299" s="11"/>
      <c r="VXK299" s="11"/>
      <c r="VXL299" s="11"/>
      <c r="VXM299" s="11"/>
      <c r="VXN299" s="11"/>
      <c r="VXO299" s="11"/>
      <c r="VXP299" s="11"/>
      <c r="VXQ299" s="11"/>
      <c r="VXR299" s="11"/>
      <c r="VXS299" s="11"/>
      <c r="VXT299" s="11"/>
      <c r="VXU299" s="11"/>
      <c r="VXV299" s="11"/>
      <c r="VXW299" s="11"/>
      <c r="VXX299" s="11"/>
      <c r="VXY299" s="11"/>
      <c r="VXZ299" s="11"/>
      <c r="VYA299" s="11"/>
      <c r="VYB299" s="11"/>
      <c r="VYC299" s="11"/>
      <c r="VYD299" s="11"/>
      <c r="VYE299" s="11"/>
      <c r="VYF299" s="11"/>
      <c r="VYG299" s="11"/>
      <c r="VYH299" s="11"/>
      <c r="VYI299" s="11"/>
      <c r="VYJ299" s="11"/>
      <c r="VYK299" s="11"/>
      <c r="VYL299" s="11"/>
      <c r="VYM299" s="11"/>
      <c r="VYN299" s="11"/>
      <c r="VYO299" s="11"/>
      <c r="VYP299" s="11"/>
      <c r="VYQ299" s="11"/>
      <c r="VYR299" s="11"/>
      <c r="VYS299" s="11"/>
      <c r="VYT299" s="11"/>
      <c r="VYU299" s="11"/>
      <c r="VYV299" s="11"/>
      <c r="VYW299" s="11"/>
      <c r="VYX299" s="11"/>
      <c r="VYY299" s="11"/>
      <c r="VYZ299" s="11"/>
      <c r="VZA299" s="11"/>
      <c r="VZB299" s="11"/>
      <c r="VZC299" s="11"/>
      <c r="VZD299" s="11"/>
      <c r="VZE299" s="11"/>
      <c r="VZF299" s="11"/>
      <c r="VZG299" s="11"/>
      <c r="VZH299" s="11"/>
      <c r="VZI299" s="11"/>
      <c r="VZJ299" s="11"/>
      <c r="VZK299" s="11"/>
      <c r="VZL299" s="11"/>
      <c r="VZM299" s="11"/>
      <c r="VZN299" s="11"/>
      <c r="VZO299" s="11"/>
      <c r="VZP299" s="11"/>
      <c r="VZQ299" s="11"/>
      <c r="VZR299" s="11"/>
      <c r="VZS299" s="11"/>
      <c r="VZT299" s="11"/>
      <c r="VZU299" s="11"/>
      <c r="VZV299" s="11"/>
      <c r="VZW299" s="11"/>
      <c r="VZX299" s="11"/>
      <c r="VZY299" s="11"/>
      <c r="VZZ299" s="11"/>
      <c r="WAA299" s="11"/>
      <c r="WAB299" s="11"/>
      <c r="WAC299" s="11"/>
      <c r="WAD299" s="11"/>
      <c r="WAE299" s="11"/>
      <c r="WAF299" s="11"/>
      <c r="WAG299" s="11"/>
      <c r="WAH299" s="11"/>
      <c r="WAI299" s="11"/>
      <c r="WAJ299" s="11"/>
      <c r="WAK299" s="11"/>
      <c r="WAL299" s="11"/>
      <c r="WAM299" s="11"/>
      <c r="WAN299" s="11"/>
      <c r="WAO299" s="11"/>
      <c r="WAP299" s="11"/>
      <c r="WAQ299" s="11"/>
      <c r="WAR299" s="11"/>
      <c r="WAS299" s="11"/>
      <c r="WAT299" s="11"/>
      <c r="WAU299" s="11"/>
      <c r="WAV299" s="11"/>
      <c r="WAW299" s="11"/>
      <c r="WAX299" s="11"/>
      <c r="WAY299" s="11"/>
      <c r="WAZ299" s="11"/>
      <c r="WBA299" s="11"/>
      <c r="WBB299" s="11"/>
      <c r="WBC299" s="11"/>
      <c r="WBD299" s="11"/>
      <c r="WBE299" s="11"/>
      <c r="WBF299" s="11"/>
      <c r="WBG299" s="11"/>
      <c r="WBH299" s="11"/>
      <c r="WBI299" s="11"/>
      <c r="WBJ299" s="11"/>
      <c r="WBK299" s="11"/>
      <c r="WBL299" s="11"/>
      <c r="WBM299" s="11"/>
      <c r="WBN299" s="11"/>
      <c r="WBO299" s="11"/>
      <c r="WBP299" s="11"/>
      <c r="WBQ299" s="11"/>
      <c r="WBR299" s="11"/>
      <c r="WBS299" s="11"/>
      <c r="WBT299" s="11"/>
      <c r="WBU299" s="11"/>
      <c r="WBV299" s="11"/>
      <c r="WBW299" s="11"/>
      <c r="WBX299" s="11"/>
      <c r="WBY299" s="11"/>
      <c r="WBZ299" s="11"/>
      <c r="WCA299" s="11"/>
      <c r="WCB299" s="11"/>
      <c r="WCC299" s="11"/>
      <c r="WCD299" s="11"/>
      <c r="WCE299" s="11"/>
      <c r="WCF299" s="11"/>
      <c r="WCG299" s="11"/>
      <c r="WCH299" s="11"/>
      <c r="WCI299" s="11"/>
      <c r="WCJ299" s="11"/>
      <c r="WCK299" s="11"/>
      <c r="WCL299" s="11"/>
      <c r="WCM299" s="11"/>
      <c r="WCN299" s="11"/>
      <c r="WCO299" s="11"/>
      <c r="WCP299" s="11"/>
      <c r="WCQ299" s="11"/>
      <c r="WCR299" s="11"/>
      <c r="WCS299" s="11"/>
      <c r="WCT299" s="11"/>
      <c r="WCU299" s="11"/>
      <c r="WCV299" s="11"/>
      <c r="WCW299" s="11"/>
      <c r="WCX299" s="11"/>
      <c r="WCY299" s="11"/>
      <c r="WCZ299" s="11"/>
      <c r="WDA299" s="11"/>
      <c r="WDB299" s="11"/>
      <c r="WDC299" s="11"/>
      <c r="WDD299" s="11"/>
      <c r="WDE299" s="11"/>
      <c r="WDF299" s="11"/>
      <c r="WDG299" s="11"/>
      <c r="WDH299" s="11"/>
      <c r="WDI299" s="11"/>
      <c r="WDJ299" s="11"/>
      <c r="WDK299" s="11"/>
      <c r="WDL299" s="11"/>
      <c r="WDM299" s="11"/>
      <c r="WDN299" s="11"/>
      <c r="WDO299" s="11"/>
      <c r="WDP299" s="11"/>
      <c r="WDQ299" s="11"/>
      <c r="WDR299" s="11"/>
      <c r="WDS299" s="11"/>
      <c r="WDT299" s="11"/>
      <c r="WDU299" s="11"/>
      <c r="WDV299" s="11"/>
      <c r="WDW299" s="11"/>
      <c r="WDX299" s="11"/>
      <c r="WDY299" s="11"/>
      <c r="WDZ299" s="11"/>
      <c r="WEA299" s="11"/>
      <c r="WEB299" s="11"/>
      <c r="WEC299" s="11"/>
      <c r="WED299" s="11"/>
      <c r="WEE299" s="11"/>
      <c r="WEF299" s="11"/>
      <c r="WEG299" s="11"/>
      <c r="WEH299" s="11"/>
      <c r="WEI299" s="11"/>
      <c r="WEJ299" s="11"/>
      <c r="WEK299" s="11"/>
      <c r="WEL299" s="11"/>
      <c r="WEM299" s="11"/>
      <c r="WEN299" s="11"/>
      <c r="WEO299" s="11"/>
      <c r="WEP299" s="11"/>
      <c r="WEQ299" s="11"/>
      <c r="WER299" s="11"/>
      <c r="WES299" s="11"/>
      <c r="WET299" s="11"/>
      <c r="WEU299" s="11"/>
      <c r="WEV299" s="11"/>
      <c r="WEW299" s="11"/>
      <c r="WEX299" s="11"/>
      <c r="WEY299" s="11"/>
      <c r="WEZ299" s="11"/>
      <c r="WFA299" s="11"/>
      <c r="WFB299" s="11"/>
      <c r="WFC299" s="11"/>
      <c r="WFD299" s="11"/>
      <c r="WFE299" s="11"/>
      <c r="WFF299" s="11"/>
      <c r="WFG299" s="11"/>
      <c r="WFH299" s="11"/>
      <c r="WFI299" s="11"/>
      <c r="WFJ299" s="11"/>
      <c r="WFK299" s="11"/>
      <c r="WFL299" s="11"/>
      <c r="WFM299" s="11"/>
      <c r="WFN299" s="11"/>
      <c r="WFO299" s="11"/>
      <c r="WFP299" s="11"/>
      <c r="WFQ299" s="11"/>
      <c r="WFR299" s="11"/>
      <c r="WFS299" s="11"/>
      <c r="WFT299" s="11"/>
      <c r="WFU299" s="11"/>
      <c r="WFV299" s="11"/>
      <c r="WFW299" s="11"/>
      <c r="WFX299" s="11"/>
      <c r="WFY299" s="11"/>
      <c r="WFZ299" s="11"/>
      <c r="WGA299" s="11"/>
      <c r="WGB299" s="11"/>
      <c r="WGC299" s="11"/>
      <c r="WGD299" s="11"/>
      <c r="WGE299" s="11"/>
      <c r="WGF299" s="11"/>
      <c r="WGG299" s="11"/>
      <c r="WGH299" s="11"/>
      <c r="WGI299" s="11"/>
      <c r="WGJ299" s="11"/>
      <c r="WGK299" s="11"/>
      <c r="WGL299" s="11"/>
      <c r="WGM299" s="11"/>
      <c r="WGN299" s="11"/>
      <c r="WGO299" s="11"/>
      <c r="WGP299" s="11"/>
      <c r="WGQ299" s="11"/>
      <c r="WGR299" s="11"/>
      <c r="WGS299" s="11"/>
      <c r="WGT299" s="11"/>
      <c r="WGU299" s="11"/>
      <c r="WGV299" s="11"/>
      <c r="WGW299" s="11"/>
      <c r="WGX299" s="11"/>
      <c r="WGY299" s="11"/>
      <c r="WGZ299" s="11"/>
      <c r="WHA299" s="11"/>
      <c r="WHB299" s="11"/>
      <c r="WHC299" s="11"/>
      <c r="WHD299" s="11"/>
      <c r="WHE299" s="11"/>
      <c r="WHF299" s="11"/>
      <c r="WHG299" s="11"/>
      <c r="WHH299" s="11"/>
      <c r="WHI299" s="11"/>
      <c r="WHJ299" s="11"/>
      <c r="WHK299" s="11"/>
      <c r="WHL299" s="11"/>
      <c r="WHM299" s="11"/>
      <c r="WHN299" s="11"/>
      <c r="WHO299" s="11"/>
      <c r="WHP299" s="11"/>
      <c r="WHQ299" s="11"/>
      <c r="WHR299" s="11"/>
      <c r="WHS299" s="11"/>
      <c r="WHT299" s="11"/>
      <c r="WHU299" s="11"/>
      <c r="WHV299" s="11"/>
      <c r="WHW299" s="11"/>
      <c r="WHX299" s="11"/>
      <c r="WHY299" s="11"/>
      <c r="WHZ299" s="11"/>
      <c r="WIA299" s="11"/>
      <c r="WIB299" s="11"/>
      <c r="WIC299" s="11"/>
      <c r="WID299" s="11"/>
      <c r="WIE299" s="11"/>
      <c r="WIF299" s="11"/>
      <c r="WIG299" s="11"/>
      <c r="WIH299" s="11"/>
      <c r="WII299" s="11"/>
      <c r="WIJ299" s="11"/>
      <c r="WIK299" s="11"/>
      <c r="WIL299" s="11"/>
      <c r="WIM299" s="11"/>
      <c r="WIN299" s="11"/>
      <c r="WIO299" s="11"/>
      <c r="WIP299" s="11"/>
      <c r="WIQ299" s="11"/>
      <c r="WIR299" s="11"/>
      <c r="WIS299" s="11"/>
      <c r="WIT299" s="11"/>
      <c r="WIU299" s="11"/>
      <c r="WIV299" s="11"/>
      <c r="WIW299" s="11"/>
      <c r="WIX299" s="11"/>
      <c r="WIY299" s="11"/>
      <c r="WIZ299" s="11"/>
      <c r="WJA299" s="11"/>
      <c r="WJB299" s="11"/>
      <c r="WJC299" s="11"/>
      <c r="WJD299" s="11"/>
      <c r="WJE299" s="11"/>
      <c r="WJF299" s="11"/>
      <c r="WJG299" s="11"/>
      <c r="WJH299" s="11"/>
      <c r="WJI299" s="11"/>
      <c r="WJJ299" s="11"/>
      <c r="WJK299" s="11"/>
      <c r="WJL299" s="11"/>
      <c r="WJM299" s="11"/>
      <c r="WJN299" s="11"/>
      <c r="WJO299" s="11"/>
      <c r="WJP299" s="11"/>
      <c r="WJQ299" s="11"/>
      <c r="WJR299" s="11"/>
      <c r="WJS299" s="11"/>
      <c r="WJT299" s="11"/>
      <c r="WJU299" s="11"/>
      <c r="WJV299" s="11"/>
      <c r="WJW299" s="11"/>
      <c r="WJX299" s="11"/>
      <c r="WJY299" s="11"/>
      <c r="WJZ299" s="11"/>
      <c r="WKA299" s="11"/>
      <c r="WKB299" s="11"/>
      <c r="WKC299" s="11"/>
      <c r="WKD299" s="11"/>
      <c r="WKE299" s="11"/>
      <c r="WKF299" s="11"/>
      <c r="WKG299" s="11"/>
      <c r="WKH299" s="11"/>
      <c r="WKI299" s="11"/>
      <c r="WKJ299" s="11"/>
      <c r="WKK299" s="11"/>
      <c r="WKL299" s="11"/>
      <c r="WKM299" s="11"/>
      <c r="WKN299" s="11"/>
      <c r="WKO299" s="11"/>
      <c r="WKP299" s="11"/>
      <c r="WKQ299" s="11"/>
      <c r="WKR299" s="11"/>
      <c r="WKS299" s="11"/>
      <c r="WKT299" s="11"/>
      <c r="WKU299" s="11"/>
      <c r="WKV299" s="11"/>
      <c r="WKW299" s="11"/>
      <c r="WKX299" s="11"/>
      <c r="WKY299" s="11"/>
      <c r="WKZ299" s="11"/>
      <c r="WLA299" s="11"/>
      <c r="WLB299" s="11"/>
      <c r="WLC299" s="11"/>
      <c r="WLD299" s="11"/>
      <c r="WLE299" s="11"/>
      <c r="WLF299" s="11"/>
      <c r="WLG299" s="11"/>
      <c r="WLH299" s="11"/>
      <c r="WLI299" s="11"/>
      <c r="WLJ299" s="11"/>
      <c r="WLK299" s="11"/>
      <c r="WLL299" s="11"/>
      <c r="WLM299" s="11"/>
      <c r="WLN299" s="11"/>
      <c r="WLO299" s="11"/>
      <c r="WLP299" s="11"/>
      <c r="WLQ299" s="11"/>
      <c r="WLR299" s="11"/>
      <c r="WLS299" s="11"/>
      <c r="WLT299" s="11"/>
      <c r="WLU299" s="11"/>
      <c r="WLV299" s="11"/>
      <c r="WLW299" s="11"/>
      <c r="WLX299" s="11"/>
      <c r="WLY299" s="11"/>
      <c r="WLZ299" s="11"/>
      <c r="WMA299" s="11"/>
      <c r="WMB299" s="11"/>
      <c r="WMC299" s="11"/>
      <c r="WMD299" s="11"/>
      <c r="WME299" s="11"/>
      <c r="WMF299" s="11"/>
      <c r="WMG299" s="11"/>
      <c r="WMH299" s="11"/>
      <c r="WMI299" s="11"/>
      <c r="WMJ299" s="11"/>
      <c r="WMK299" s="11"/>
      <c r="WML299" s="11"/>
      <c r="WMM299" s="11"/>
      <c r="WMN299" s="11"/>
      <c r="WMO299" s="11"/>
      <c r="WMP299" s="11"/>
      <c r="WMQ299" s="11"/>
      <c r="WMR299" s="11"/>
      <c r="WMS299" s="11"/>
      <c r="WMT299" s="11"/>
      <c r="WMU299" s="11"/>
      <c r="WMV299" s="11"/>
      <c r="WMW299" s="11"/>
      <c r="WMX299" s="11"/>
      <c r="WMY299" s="11"/>
      <c r="WMZ299" s="11"/>
      <c r="WNA299" s="11"/>
      <c r="WNB299" s="11"/>
      <c r="WNC299" s="11"/>
      <c r="WND299" s="11"/>
      <c r="WNE299" s="11"/>
      <c r="WNF299" s="11"/>
      <c r="WNG299" s="11"/>
      <c r="WNH299" s="11"/>
      <c r="WNI299" s="11"/>
      <c r="WNJ299" s="11"/>
      <c r="WNK299" s="11"/>
      <c r="WNL299" s="11"/>
      <c r="WNM299" s="11"/>
      <c r="WNN299" s="11"/>
      <c r="WNO299" s="11"/>
      <c r="WNP299" s="11"/>
      <c r="WNQ299" s="11"/>
      <c r="WNR299" s="11"/>
      <c r="WNS299" s="11"/>
      <c r="WNT299" s="11"/>
      <c r="WNU299" s="11"/>
      <c r="WNV299" s="11"/>
      <c r="WNW299" s="11"/>
      <c r="WNX299" s="11"/>
      <c r="WNY299" s="11"/>
      <c r="WNZ299" s="11"/>
      <c r="WOA299" s="11"/>
      <c r="WOB299" s="11"/>
      <c r="WOC299" s="11"/>
      <c r="WOD299" s="11"/>
      <c r="WOE299" s="11"/>
      <c r="WOF299" s="11"/>
      <c r="WOG299" s="11"/>
      <c r="WOH299" s="11"/>
      <c r="WOI299" s="11"/>
      <c r="WOJ299" s="11"/>
      <c r="WOK299" s="11"/>
      <c r="WOL299" s="11"/>
      <c r="WOM299" s="11"/>
      <c r="WON299" s="11"/>
      <c r="WOO299" s="11"/>
      <c r="WOP299" s="11"/>
      <c r="WOQ299" s="11"/>
      <c r="WOR299" s="11"/>
      <c r="WOS299" s="11"/>
      <c r="WOT299" s="11"/>
      <c r="WOU299" s="11"/>
      <c r="WOV299" s="11"/>
      <c r="WOW299" s="11"/>
      <c r="WOX299" s="11"/>
      <c r="WOY299" s="11"/>
      <c r="WOZ299" s="11"/>
      <c r="WPA299" s="11"/>
      <c r="WPB299" s="11"/>
      <c r="WPC299" s="11"/>
      <c r="WPD299" s="11"/>
      <c r="WPE299" s="11"/>
      <c r="WPF299" s="11"/>
      <c r="WPG299" s="11"/>
      <c r="WPH299" s="11"/>
      <c r="WPI299" s="11"/>
      <c r="WPJ299" s="11"/>
      <c r="WPK299" s="11"/>
      <c r="WPL299" s="11"/>
      <c r="WPM299" s="11"/>
      <c r="WPN299" s="11"/>
      <c r="WPO299" s="11"/>
      <c r="WPP299" s="11"/>
      <c r="WPQ299" s="11"/>
      <c r="WPR299" s="11"/>
      <c r="WPS299" s="11"/>
      <c r="WPT299" s="11"/>
      <c r="WPU299" s="11"/>
      <c r="WPV299" s="11"/>
      <c r="WPW299" s="11"/>
      <c r="WPX299" s="11"/>
      <c r="WPY299" s="11"/>
      <c r="WPZ299" s="11"/>
      <c r="WQA299" s="11"/>
      <c r="WQB299" s="11"/>
      <c r="WQC299" s="11"/>
      <c r="WQD299" s="11"/>
      <c r="WQE299" s="11"/>
      <c r="WQF299" s="11"/>
      <c r="WQG299" s="11"/>
      <c r="WQH299" s="11"/>
      <c r="WQI299" s="11"/>
      <c r="WQJ299" s="11"/>
      <c r="WQK299" s="11"/>
      <c r="WQL299" s="11"/>
      <c r="WQM299" s="11"/>
      <c r="WQN299" s="11"/>
      <c r="WQO299" s="11"/>
      <c r="WQP299" s="11"/>
      <c r="WQQ299" s="11"/>
      <c r="WQR299" s="11"/>
      <c r="WQS299" s="11"/>
      <c r="WQT299" s="11"/>
      <c r="WQU299" s="11"/>
      <c r="WQV299" s="11"/>
      <c r="WQW299" s="11"/>
      <c r="WQX299" s="11"/>
      <c r="WQY299" s="11"/>
      <c r="WQZ299" s="11"/>
      <c r="WRA299" s="11"/>
      <c r="WRB299" s="11"/>
      <c r="WRC299" s="11"/>
      <c r="WRD299" s="11"/>
      <c r="WRE299" s="11"/>
      <c r="WRF299" s="11"/>
      <c r="WRG299" s="11"/>
      <c r="WRH299" s="11"/>
      <c r="WRI299" s="11"/>
      <c r="WRJ299" s="11"/>
      <c r="WRK299" s="11"/>
      <c r="WRL299" s="11"/>
      <c r="WRM299" s="11"/>
      <c r="WRN299" s="11"/>
      <c r="WRO299" s="11"/>
      <c r="WRP299" s="11"/>
      <c r="WRQ299" s="11"/>
      <c r="WRR299" s="11"/>
      <c r="WRS299" s="11"/>
      <c r="WRT299" s="11"/>
      <c r="WRU299" s="11"/>
      <c r="WRV299" s="11"/>
      <c r="WRW299" s="11"/>
      <c r="WRX299" s="11"/>
      <c r="WRY299" s="11"/>
      <c r="WRZ299" s="11"/>
      <c r="WSA299" s="11"/>
      <c r="WSB299" s="11"/>
      <c r="WSC299" s="11"/>
      <c r="WSD299" s="11"/>
      <c r="WSE299" s="11"/>
      <c r="WSF299" s="11"/>
      <c r="WSG299" s="11"/>
      <c r="WSH299" s="11"/>
      <c r="WSI299" s="11"/>
      <c r="WSJ299" s="11"/>
      <c r="WSK299" s="11"/>
      <c r="WSL299" s="11"/>
      <c r="WSM299" s="11"/>
      <c r="WSN299" s="11"/>
      <c r="WSO299" s="11"/>
      <c r="WSP299" s="11"/>
      <c r="WSQ299" s="11"/>
      <c r="WSR299" s="11"/>
      <c r="WSS299" s="11"/>
      <c r="WST299" s="11"/>
      <c r="WSU299" s="11"/>
      <c r="WSV299" s="11"/>
      <c r="WSW299" s="11"/>
      <c r="WSX299" s="11"/>
      <c r="WSY299" s="11"/>
      <c r="WSZ299" s="11"/>
      <c r="WTA299" s="11"/>
      <c r="WTB299" s="11"/>
      <c r="WTC299" s="11"/>
      <c r="WTD299" s="11"/>
      <c r="WTE299" s="11"/>
      <c r="WTF299" s="11"/>
      <c r="WTG299" s="11"/>
      <c r="WTH299" s="11"/>
      <c r="WTI299" s="11"/>
      <c r="WTJ299" s="11"/>
      <c r="WTK299" s="11"/>
      <c r="WTL299" s="11"/>
      <c r="WTM299" s="11"/>
      <c r="WTN299" s="11"/>
      <c r="WTO299" s="11"/>
      <c r="WTP299" s="11"/>
      <c r="WTQ299" s="11"/>
      <c r="WTR299" s="11"/>
      <c r="WTS299" s="11"/>
      <c r="WTT299" s="11"/>
      <c r="WTU299" s="11"/>
      <c r="WTV299" s="11"/>
      <c r="WTW299" s="11"/>
      <c r="WTX299" s="11"/>
      <c r="WTY299" s="11"/>
      <c r="WTZ299" s="11"/>
      <c r="WUA299" s="11"/>
      <c r="WUB299" s="11"/>
      <c r="WUC299" s="11"/>
      <c r="WUD299" s="11"/>
      <c r="WUE299" s="11"/>
      <c r="WUF299" s="11"/>
      <c r="WUG299" s="11"/>
      <c r="WUH299" s="11"/>
      <c r="WUI299" s="11"/>
      <c r="WUJ299" s="11"/>
      <c r="WUK299" s="11"/>
      <c r="WUL299" s="11"/>
      <c r="WUM299" s="11"/>
      <c r="WUN299" s="11"/>
      <c r="WUO299" s="11"/>
      <c r="WUP299" s="11"/>
      <c r="WUQ299" s="11"/>
      <c r="WUR299" s="11"/>
      <c r="WUS299" s="11"/>
      <c r="WUT299" s="11"/>
      <c r="WUU299" s="11"/>
      <c r="WUV299" s="11"/>
      <c r="WUW299" s="11"/>
      <c r="WUX299" s="11"/>
      <c r="WUY299" s="11"/>
      <c r="WUZ299" s="11"/>
      <c r="WVA299" s="11"/>
      <c r="WVB299" s="11"/>
      <c r="WVC299" s="11"/>
      <c r="WVD299" s="11"/>
      <c r="WVE299" s="11"/>
      <c r="WVF299" s="11"/>
      <c r="WVG299" s="11"/>
      <c r="WVH299" s="11"/>
      <c r="WVI299" s="11"/>
      <c r="WVJ299" s="11"/>
      <c r="WVK299" s="11"/>
      <c r="WVL299" s="11"/>
      <c r="WVM299" s="11"/>
      <c r="WVN299" s="11"/>
      <c r="WVO299" s="11"/>
      <c r="WVP299" s="11"/>
      <c r="WVQ299" s="11"/>
      <c r="WVR299" s="11"/>
      <c r="WVS299" s="11"/>
      <c r="WVT299" s="11"/>
      <c r="WVU299" s="11"/>
      <c r="WVV299" s="11"/>
      <c r="WVW299" s="11"/>
      <c r="WVX299" s="11"/>
      <c r="WVY299" s="11"/>
      <c r="WVZ299" s="11"/>
      <c r="WWA299" s="11"/>
      <c r="WWB299" s="11"/>
      <c r="WWC299" s="11"/>
      <c r="WWD299" s="11"/>
      <c r="WWE299" s="11"/>
      <c r="WWF299" s="11"/>
      <c r="WWG299" s="11"/>
      <c r="WWH299" s="11"/>
      <c r="WWI299" s="11"/>
      <c r="WWJ299" s="11"/>
      <c r="WWK299" s="11"/>
      <c r="WWL299" s="11"/>
      <c r="WWM299" s="11"/>
      <c r="WWN299" s="11"/>
      <c r="WWO299" s="11"/>
      <c r="WWP299" s="11"/>
      <c r="WWQ299" s="11"/>
      <c r="WWR299" s="11"/>
      <c r="WWS299" s="11"/>
      <c r="WWT299" s="11"/>
      <c r="WWU299" s="11"/>
      <c r="WWV299" s="11"/>
      <c r="WWW299" s="11"/>
      <c r="WWX299" s="11"/>
      <c r="WWY299" s="11"/>
      <c r="WWZ299" s="11"/>
      <c r="WXA299" s="11"/>
      <c r="WXB299" s="11"/>
      <c r="WXC299" s="11"/>
      <c r="WXD299" s="11"/>
      <c r="WXE299" s="11"/>
      <c r="WXF299" s="11"/>
      <c r="WXG299" s="11"/>
      <c r="WXH299" s="11"/>
      <c r="WXI299" s="11"/>
      <c r="WXJ299" s="11"/>
      <c r="WXK299" s="11"/>
      <c r="WXL299" s="11"/>
      <c r="WXM299" s="11"/>
      <c r="WXN299" s="11"/>
      <c r="WXO299" s="11"/>
      <c r="WXP299" s="11"/>
      <c r="WXQ299" s="11"/>
      <c r="WXR299" s="11"/>
      <c r="WXS299" s="11"/>
      <c r="WXT299" s="11"/>
      <c r="WXU299" s="11"/>
      <c r="WXV299" s="11"/>
      <c r="WXW299" s="11"/>
      <c r="WXX299" s="11"/>
      <c r="WXY299" s="11"/>
      <c r="WXZ299" s="11"/>
      <c r="WYA299" s="11"/>
      <c r="WYB299" s="11"/>
      <c r="WYC299" s="11"/>
      <c r="WYD299" s="11"/>
      <c r="WYE299" s="11"/>
      <c r="WYF299" s="11"/>
      <c r="WYG299" s="11"/>
      <c r="WYH299" s="11"/>
      <c r="WYI299" s="11"/>
      <c r="WYJ299" s="11"/>
      <c r="WYK299" s="11"/>
      <c r="WYL299" s="11"/>
      <c r="WYM299" s="11"/>
      <c r="WYN299" s="11"/>
      <c r="WYO299" s="11"/>
      <c r="WYP299" s="11"/>
      <c r="WYQ299" s="11"/>
      <c r="WYR299" s="11"/>
      <c r="WYS299" s="11"/>
      <c r="WYT299" s="11"/>
      <c r="WYU299" s="11"/>
      <c r="WYV299" s="11"/>
      <c r="WYW299" s="11"/>
      <c r="WYX299" s="11"/>
      <c r="WYY299" s="11"/>
      <c r="WYZ299" s="11"/>
      <c r="WZA299" s="11"/>
      <c r="WZB299" s="11"/>
      <c r="WZC299" s="11"/>
      <c r="WZD299" s="11"/>
      <c r="WZE299" s="11"/>
      <c r="WZF299" s="11"/>
      <c r="WZG299" s="11"/>
      <c r="WZH299" s="11"/>
      <c r="WZI299" s="11"/>
      <c r="WZJ299" s="11"/>
      <c r="WZK299" s="11"/>
      <c r="WZL299" s="11"/>
      <c r="WZM299" s="11"/>
      <c r="WZN299" s="11"/>
      <c r="WZO299" s="11"/>
      <c r="WZP299" s="11"/>
      <c r="WZQ299" s="11"/>
      <c r="WZR299" s="11"/>
      <c r="WZS299" s="11"/>
      <c r="WZT299" s="11"/>
      <c r="WZU299" s="11"/>
      <c r="WZV299" s="11"/>
      <c r="WZW299" s="11"/>
      <c r="WZX299" s="11"/>
      <c r="WZY299" s="11"/>
      <c r="WZZ299" s="11"/>
      <c r="XAA299" s="11"/>
      <c r="XAB299" s="11"/>
      <c r="XAC299" s="11"/>
      <c r="XAD299" s="11"/>
      <c r="XAE299" s="11"/>
      <c r="XAF299" s="11"/>
      <c r="XAG299" s="11"/>
      <c r="XAH299" s="11"/>
      <c r="XAI299" s="11"/>
      <c r="XAJ299" s="11"/>
      <c r="XAK299" s="11"/>
      <c r="XAL299" s="11"/>
      <c r="XAM299" s="11"/>
      <c r="XAN299" s="11"/>
      <c r="XAO299" s="11"/>
      <c r="XAP299" s="11"/>
      <c r="XAQ299" s="11"/>
      <c r="XAR299" s="11"/>
      <c r="XAS299" s="11"/>
      <c r="XAT299" s="11"/>
      <c r="XAU299" s="11"/>
      <c r="XAV299" s="11"/>
      <c r="XAW299" s="11"/>
      <c r="XAX299" s="11"/>
      <c r="XAY299" s="11"/>
      <c r="XAZ299" s="11"/>
      <c r="XBA299" s="11"/>
      <c r="XBB299" s="11"/>
      <c r="XBC299" s="11"/>
      <c r="XBD299" s="11"/>
      <c r="XBE299" s="11"/>
      <c r="XBF299" s="11"/>
      <c r="XBG299" s="11"/>
      <c r="XBH299" s="11"/>
      <c r="XBI299" s="11"/>
      <c r="XBJ299" s="11"/>
      <c r="XBK299" s="11"/>
      <c r="XBL299" s="11"/>
      <c r="XBM299" s="11"/>
      <c r="XBN299" s="11"/>
      <c r="XBO299" s="11"/>
      <c r="XBP299" s="11"/>
      <c r="XBQ299" s="11"/>
      <c r="XBR299" s="11"/>
      <c r="XBS299" s="11"/>
      <c r="XBT299" s="11"/>
      <c r="XBU299" s="11"/>
      <c r="XBV299" s="11"/>
      <c r="XBW299" s="11"/>
      <c r="XBX299" s="11"/>
      <c r="XBY299" s="11"/>
      <c r="XBZ299" s="11"/>
      <c r="XCA299" s="11"/>
      <c r="XCB299" s="11"/>
      <c r="XCC299" s="11"/>
      <c r="XCD299" s="11"/>
      <c r="XCE299" s="11"/>
      <c r="XCF299" s="11"/>
      <c r="XCG299" s="11"/>
      <c r="XCH299" s="11"/>
      <c r="XCI299" s="11"/>
      <c r="XCJ299" s="11"/>
      <c r="XCK299" s="11"/>
      <c r="XCL299" s="11"/>
      <c r="XCM299" s="11"/>
      <c r="XCN299" s="11"/>
      <c r="XCO299" s="11"/>
      <c r="XCP299" s="11"/>
      <c r="XCQ299" s="11"/>
      <c r="XCR299" s="11"/>
      <c r="XCS299" s="11"/>
      <c r="XCT299" s="11"/>
      <c r="XCU299" s="11"/>
      <c r="XCV299" s="11"/>
      <c r="XCW299" s="11"/>
      <c r="XCX299" s="11"/>
      <c r="XCY299" s="11"/>
      <c r="XCZ299" s="11"/>
      <c r="XDA299" s="11"/>
      <c r="XDB299" s="11"/>
      <c r="XDC299" s="11"/>
      <c r="XDD299" s="11"/>
      <c r="XDE299" s="11"/>
      <c r="XDF299" s="11"/>
      <c r="XDG299" s="11"/>
      <c r="XDH299" s="11"/>
      <c r="XDI299" s="11"/>
      <c r="XDJ299" s="11"/>
      <c r="XDK299" s="11"/>
      <c r="XDL299" s="11"/>
      <c r="XDM299" s="11"/>
      <c r="XDN299" s="11"/>
      <c r="XDO299" s="11"/>
      <c r="XDP299" s="11"/>
      <c r="XDQ299" s="11"/>
      <c r="XDR299" s="11"/>
      <c r="XDS299" s="11"/>
      <c r="XDT299" s="11"/>
      <c r="XDU299" s="11"/>
      <c r="XDV299" s="11"/>
      <c r="XDW299" s="11"/>
      <c r="XDX299" s="11"/>
      <c r="XDY299" s="11"/>
      <c r="XDZ299" s="11"/>
      <c r="XEA299" s="11"/>
      <c r="XEB299" s="11"/>
      <c r="XEC299" s="11"/>
      <c r="XED299" s="11"/>
      <c r="XEE299" s="11"/>
      <c r="XEF299" s="11"/>
      <c r="XEG299" s="11"/>
      <c r="XEH299" s="11"/>
      <c r="XEI299" s="11"/>
      <c r="XEJ299" s="11"/>
      <c r="XEK299" s="11"/>
      <c r="XEL299" s="11"/>
      <c r="XEM299" s="11"/>
      <c r="XEN299" s="11"/>
      <c r="XEO299" s="11"/>
      <c r="XEP299" s="11"/>
      <c r="XEQ299" s="11"/>
    </row>
    <row r="300" spans="1:16371" hidden="1" x14ac:dyDescent="0.4">
      <c r="A300" t="e">
        <f>_xlfn.TEXTBEFORE(#REF!," ",)</f>
        <v>#REF!</v>
      </c>
      <c r="B300" t="e">
        <f>_xlfn.TEXTAFTER(#REF!, " ", -1)</f>
        <v>#REF!</v>
      </c>
      <c r="C300" t="s">
        <v>28</v>
      </c>
      <c r="D300" t="s">
        <v>1</v>
      </c>
      <c r="E300" s="3">
        <v>12088</v>
      </c>
      <c r="F300" s="3">
        <v>0</v>
      </c>
      <c r="G300" s="3">
        <v>0</v>
      </c>
      <c r="H300" s="3">
        <v>0</v>
      </c>
      <c r="I300" s="3">
        <v>0</v>
      </c>
      <c r="J300" s="3" t="str">
        <f>IF(AND(tbl_attendance[[#This Row],[R1 Pts]]&gt;0, tbl_attendance[[#This Row],[R2 Pts]]&gt;0,tbl_attendance[[#This Row],[R3 Pts]]&gt;0,tbl_attendance[[#This Row],[R4 Pts]]&gt;0),"YES", "NO")</f>
        <v>NO</v>
      </c>
      <c r="K300" s="3" t="str">
        <f>IF(AND(tbl_attendance[[#This Row],[R2 Pts]]&gt;0, tbl_attendance[[#This Row],[R4 Pts]]&gt;0), "YES", "NO")</f>
        <v>NO</v>
      </c>
      <c r="L300" s="3" t="str">
        <f>IF(
(tbl_attendance[[#This Row],[R1 Pts]]&gt;0)+(tbl_attendance[[#This Row],[R2 Pts]]&gt;0)+(tbl_attendance[[#This Row],[R3 Pts]]&gt;0)+(tbl_attendance[[#This Row],[R4 Pts]]&gt;0)&gt;=3,"YES", "NO")</f>
        <v>NO</v>
      </c>
      <c r="M300" s="3" t="str">
        <f>IF(AND(tbl_attendance[[#This Row],[R1 Pts]]=0, tbl_attendance[[#This Row],[R2 Pts]]=0,tbl_attendance[[#This Row],[R3 Pts]]=0,tbl_attendance[[#This Row],[R4 Pts]]=0),"YES", "NO")</f>
        <v>YES</v>
      </c>
    </row>
    <row r="301" spans="1:16371" hidden="1" x14ac:dyDescent="0.4">
      <c r="A301" t="e">
        <f>_xlfn.TEXTBEFORE(#REF!," ",)</f>
        <v>#REF!</v>
      </c>
      <c r="B301" t="e">
        <f>_xlfn.TEXTAFTER(#REF!, " ", -1)</f>
        <v>#REF!</v>
      </c>
      <c r="C301" t="s">
        <v>28</v>
      </c>
      <c r="D301" t="s">
        <v>1</v>
      </c>
      <c r="E301" s="3">
        <v>12089</v>
      </c>
      <c r="F301" s="3">
        <v>0</v>
      </c>
      <c r="G301" s="3">
        <v>40</v>
      </c>
      <c r="H301" s="3">
        <v>14</v>
      </c>
      <c r="I301" s="3">
        <v>49</v>
      </c>
      <c r="J301" s="3" t="str">
        <f>IF(AND(tbl_attendance[[#This Row],[R1 Pts]]&gt;0, tbl_attendance[[#This Row],[R2 Pts]]&gt;0,tbl_attendance[[#This Row],[R3 Pts]]&gt;0,tbl_attendance[[#This Row],[R4 Pts]]&gt;0),"YES", "NO")</f>
        <v>NO</v>
      </c>
      <c r="K301" s="3" t="str">
        <f>IF(AND(tbl_attendance[[#This Row],[R2 Pts]]&gt;0, tbl_attendance[[#This Row],[R4 Pts]]&gt;0), "YES", "NO")</f>
        <v>YES</v>
      </c>
      <c r="L301" s="3" t="str">
        <f>IF(
(tbl_attendance[[#This Row],[R1 Pts]]&gt;0)+(tbl_attendance[[#This Row],[R2 Pts]]&gt;0)+(tbl_attendance[[#This Row],[R3 Pts]]&gt;0)+(tbl_attendance[[#This Row],[R4 Pts]]&gt;0)&gt;=3,"YES", "NO")</f>
        <v>YES</v>
      </c>
      <c r="M301" s="3" t="str">
        <f>IF(AND(tbl_attendance[[#This Row],[R1 Pts]]=0, tbl_attendance[[#This Row],[R2 Pts]]=0,tbl_attendance[[#This Row],[R3 Pts]]=0,tbl_attendance[[#This Row],[R4 Pts]]=0),"YES", "NO")</f>
        <v>NO</v>
      </c>
    </row>
    <row r="302" spans="1:16371" hidden="1" x14ac:dyDescent="0.4">
      <c r="A302" t="e">
        <f>_xlfn.TEXTBEFORE(#REF!," ",)</f>
        <v>#REF!</v>
      </c>
      <c r="B302" t="e">
        <f>_xlfn.TEXTAFTER(#REF!, " ", -1)</f>
        <v>#REF!</v>
      </c>
      <c r="C302" t="s">
        <v>28</v>
      </c>
      <c r="D302" t="s">
        <v>1</v>
      </c>
      <c r="E302" s="3">
        <v>12090</v>
      </c>
      <c r="F302" s="3">
        <v>55</v>
      </c>
      <c r="G302" s="3">
        <v>55</v>
      </c>
      <c r="H302" s="3">
        <v>45</v>
      </c>
      <c r="I302" s="3">
        <v>70</v>
      </c>
      <c r="J302" s="3" t="str">
        <f>IF(AND(tbl_attendance[[#This Row],[R1 Pts]]&gt;0, tbl_attendance[[#This Row],[R2 Pts]]&gt;0,tbl_attendance[[#This Row],[R3 Pts]]&gt;0,tbl_attendance[[#This Row],[R4 Pts]]&gt;0),"YES", "NO")</f>
        <v>YES</v>
      </c>
      <c r="K302" s="3" t="str">
        <f>IF(AND(tbl_attendance[[#This Row],[R2 Pts]]&gt;0, tbl_attendance[[#This Row],[R4 Pts]]&gt;0), "YES", "NO")</f>
        <v>YES</v>
      </c>
      <c r="L302" s="3" t="str">
        <f>IF(
(tbl_attendance[[#This Row],[R1 Pts]]&gt;0)+(tbl_attendance[[#This Row],[R2 Pts]]&gt;0)+(tbl_attendance[[#This Row],[R3 Pts]]&gt;0)+(tbl_attendance[[#This Row],[R4 Pts]]&gt;0)&gt;=3,"YES", "NO")</f>
        <v>YES</v>
      </c>
      <c r="M302" s="3" t="str">
        <f>IF(AND(tbl_attendance[[#This Row],[R1 Pts]]=0, tbl_attendance[[#This Row],[R2 Pts]]=0,tbl_attendance[[#This Row],[R3 Pts]]=0,tbl_attendance[[#This Row],[R4 Pts]]=0),"YES", "NO")</f>
        <v>NO</v>
      </c>
    </row>
    <row r="303" spans="1:16371" hidden="1" x14ac:dyDescent="0.4">
      <c r="A303" t="e">
        <f>_xlfn.TEXTBEFORE(#REF!," ",)</f>
        <v>#REF!</v>
      </c>
      <c r="B303" t="e">
        <f>_xlfn.TEXTAFTER(#REF!, " ", -1)</f>
        <v>#REF!</v>
      </c>
      <c r="C303" t="s">
        <v>28</v>
      </c>
      <c r="D303" t="s">
        <v>1</v>
      </c>
      <c r="E303" s="3">
        <v>12091</v>
      </c>
      <c r="F303" s="3">
        <v>0</v>
      </c>
      <c r="G303" s="3">
        <v>17</v>
      </c>
      <c r="H303" s="3">
        <v>0</v>
      </c>
      <c r="I303" s="3">
        <v>36</v>
      </c>
      <c r="J303" s="3" t="str">
        <f>IF(AND(tbl_attendance[[#This Row],[R1 Pts]]&gt;0, tbl_attendance[[#This Row],[R2 Pts]]&gt;0,tbl_attendance[[#This Row],[R3 Pts]]&gt;0,tbl_attendance[[#This Row],[R4 Pts]]&gt;0),"YES", "NO")</f>
        <v>NO</v>
      </c>
      <c r="K303" s="3" t="str">
        <f>IF(AND(tbl_attendance[[#This Row],[R2 Pts]]&gt;0, tbl_attendance[[#This Row],[R4 Pts]]&gt;0), "YES", "NO")</f>
        <v>YES</v>
      </c>
      <c r="L303" s="3" t="str">
        <f>IF(
(tbl_attendance[[#This Row],[R1 Pts]]&gt;0)+(tbl_attendance[[#This Row],[R2 Pts]]&gt;0)+(tbl_attendance[[#This Row],[R3 Pts]]&gt;0)+(tbl_attendance[[#This Row],[R4 Pts]]&gt;0)&gt;=3,"YES", "NO")</f>
        <v>NO</v>
      </c>
      <c r="M303" s="3" t="str">
        <f>IF(AND(tbl_attendance[[#This Row],[R1 Pts]]=0, tbl_attendance[[#This Row],[R2 Pts]]=0,tbl_attendance[[#This Row],[R3 Pts]]=0,tbl_attendance[[#This Row],[R4 Pts]]=0),"YES", "NO")</f>
        <v>NO</v>
      </c>
    </row>
    <row r="304" spans="1:16371" hidden="1" x14ac:dyDescent="0.4">
      <c r="A304" t="e">
        <f>_xlfn.TEXTBEFORE(#REF!," ",)</f>
        <v>#REF!</v>
      </c>
      <c r="B304" t="e">
        <f>_xlfn.TEXTAFTER(#REF!, " ", -1)</f>
        <v>#REF!</v>
      </c>
      <c r="C304" t="s">
        <v>28</v>
      </c>
      <c r="D304" t="s">
        <v>1</v>
      </c>
      <c r="E304" s="3">
        <v>12092</v>
      </c>
      <c r="F304" s="3">
        <v>27</v>
      </c>
      <c r="G304" s="3">
        <v>33</v>
      </c>
      <c r="H304" s="3">
        <v>34</v>
      </c>
      <c r="I304" s="3">
        <v>32</v>
      </c>
      <c r="J304" s="3" t="str">
        <f>IF(AND(tbl_attendance[[#This Row],[R1 Pts]]&gt;0, tbl_attendance[[#This Row],[R2 Pts]]&gt;0,tbl_attendance[[#This Row],[R3 Pts]]&gt;0,tbl_attendance[[#This Row],[R4 Pts]]&gt;0),"YES", "NO")</f>
        <v>YES</v>
      </c>
      <c r="K304" s="3" t="str">
        <f>IF(AND(tbl_attendance[[#This Row],[R2 Pts]]&gt;0, tbl_attendance[[#This Row],[R4 Pts]]&gt;0), "YES", "NO")</f>
        <v>YES</v>
      </c>
      <c r="L304" s="3" t="str">
        <f>IF(
(tbl_attendance[[#This Row],[R1 Pts]]&gt;0)+(tbl_attendance[[#This Row],[R2 Pts]]&gt;0)+(tbl_attendance[[#This Row],[R3 Pts]]&gt;0)+(tbl_attendance[[#This Row],[R4 Pts]]&gt;0)&gt;=3,"YES", "NO")</f>
        <v>YES</v>
      </c>
      <c r="M304" s="3" t="str">
        <f>IF(AND(tbl_attendance[[#This Row],[R1 Pts]]=0, tbl_attendance[[#This Row],[R2 Pts]]=0,tbl_attendance[[#This Row],[R3 Pts]]=0,tbl_attendance[[#This Row],[R4 Pts]]=0),"YES", "NO")</f>
        <v>NO</v>
      </c>
    </row>
    <row r="305" spans="1:13" hidden="1" x14ac:dyDescent="0.4">
      <c r="A305" t="e">
        <f>_xlfn.TEXTBEFORE(#REF!," ",)</f>
        <v>#REF!</v>
      </c>
      <c r="B305" t="e">
        <f>_xlfn.TEXTAFTER(#REF!, " ", -1)</f>
        <v>#REF!</v>
      </c>
      <c r="C305" t="s">
        <v>28</v>
      </c>
      <c r="D305" t="s">
        <v>1</v>
      </c>
      <c r="E305" s="3">
        <v>12093</v>
      </c>
      <c r="F305" s="3">
        <v>0</v>
      </c>
      <c r="G305" s="3">
        <v>1</v>
      </c>
      <c r="H305" s="3">
        <v>0</v>
      </c>
      <c r="I305" s="3">
        <v>33</v>
      </c>
      <c r="J305" s="3" t="str">
        <f>IF(AND(tbl_attendance[[#This Row],[R1 Pts]]&gt;0, tbl_attendance[[#This Row],[R2 Pts]]&gt;0,tbl_attendance[[#This Row],[R3 Pts]]&gt;0,tbl_attendance[[#This Row],[R4 Pts]]&gt;0),"YES", "NO")</f>
        <v>NO</v>
      </c>
      <c r="K305" s="3" t="str">
        <f>IF(AND(tbl_attendance[[#This Row],[R2 Pts]]&gt;0, tbl_attendance[[#This Row],[R4 Pts]]&gt;0), "YES", "NO")</f>
        <v>YES</v>
      </c>
      <c r="L305" s="3" t="str">
        <f>IF(
(tbl_attendance[[#This Row],[R1 Pts]]&gt;0)+(tbl_attendance[[#This Row],[R2 Pts]]&gt;0)+(tbl_attendance[[#This Row],[R3 Pts]]&gt;0)+(tbl_attendance[[#This Row],[R4 Pts]]&gt;0)&gt;=3,"YES", "NO")</f>
        <v>NO</v>
      </c>
      <c r="M305" s="3" t="str">
        <f>IF(AND(tbl_attendance[[#This Row],[R1 Pts]]=0, tbl_attendance[[#This Row],[R2 Pts]]=0,tbl_attendance[[#This Row],[R3 Pts]]=0,tbl_attendance[[#This Row],[R4 Pts]]=0),"YES", "NO")</f>
        <v>NO</v>
      </c>
    </row>
    <row r="306" spans="1:13" hidden="1" x14ac:dyDescent="0.4">
      <c r="A306" t="e">
        <f>_xlfn.TEXTBEFORE(#REF!," ",)</f>
        <v>#REF!</v>
      </c>
      <c r="B306" t="e">
        <f>_xlfn.TEXTAFTER(#REF!, " ", -1)</f>
        <v>#REF!</v>
      </c>
      <c r="C306" t="s">
        <v>28</v>
      </c>
      <c r="D306" t="s">
        <v>1</v>
      </c>
      <c r="E306" s="3">
        <v>12094</v>
      </c>
      <c r="F306" s="3">
        <v>39</v>
      </c>
      <c r="G306" s="3">
        <v>25</v>
      </c>
      <c r="H306" s="3">
        <v>36</v>
      </c>
      <c r="I306" s="3">
        <v>17</v>
      </c>
      <c r="J306" s="3" t="str">
        <f>IF(AND(tbl_attendance[[#This Row],[R1 Pts]]&gt;0, tbl_attendance[[#This Row],[R2 Pts]]&gt;0,tbl_attendance[[#This Row],[R3 Pts]]&gt;0,tbl_attendance[[#This Row],[R4 Pts]]&gt;0),"YES", "NO")</f>
        <v>YES</v>
      </c>
      <c r="K306" s="3" t="str">
        <f>IF(AND(tbl_attendance[[#This Row],[R2 Pts]]&gt;0, tbl_attendance[[#This Row],[R4 Pts]]&gt;0), "YES", "NO")</f>
        <v>YES</v>
      </c>
      <c r="L306" s="3" t="str">
        <f>IF(
(tbl_attendance[[#This Row],[R1 Pts]]&gt;0)+(tbl_attendance[[#This Row],[R2 Pts]]&gt;0)+(tbl_attendance[[#This Row],[R3 Pts]]&gt;0)+(tbl_attendance[[#This Row],[R4 Pts]]&gt;0)&gt;=3,"YES", "NO")</f>
        <v>YES</v>
      </c>
      <c r="M306" s="3" t="str">
        <f>IF(AND(tbl_attendance[[#This Row],[R1 Pts]]=0, tbl_attendance[[#This Row],[R2 Pts]]=0,tbl_attendance[[#This Row],[R3 Pts]]=0,tbl_attendance[[#This Row],[R4 Pts]]=0),"YES", "NO")</f>
        <v>NO</v>
      </c>
    </row>
    <row r="307" spans="1:13" hidden="1" x14ac:dyDescent="0.4">
      <c r="A307" t="e">
        <f>_xlfn.TEXTBEFORE(#REF!," ",)</f>
        <v>#REF!</v>
      </c>
      <c r="B307" t="e">
        <f>_xlfn.TEXTAFTER(#REF!, " ", -1)</f>
        <v>#REF!</v>
      </c>
      <c r="C307" t="s">
        <v>29</v>
      </c>
      <c r="D307" t="s">
        <v>7</v>
      </c>
      <c r="E307" s="3">
        <v>831</v>
      </c>
      <c r="F307" s="3">
        <v>75</v>
      </c>
      <c r="G307" s="3">
        <v>49</v>
      </c>
      <c r="H307" s="3">
        <v>80</v>
      </c>
      <c r="I307" s="3">
        <v>75</v>
      </c>
      <c r="J307" s="3" t="str">
        <f>IF(AND(tbl_attendance[[#This Row],[R1 Pts]]&gt;0, tbl_attendance[[#This Row],[R2 Pts]]&gt;0,tbl_attendance[[#This Row],[R3 Pts]]&gt;0,tbl_attendance[[#This Row],[R4 Pts]]&gt;0),"YES", "NO")</f>
        <v>YES</v>
      </c>
      <c r="K307" s="3" t="str">
        <f>IF(AND(tbl_attendance[[#This Row],[R2 Pts]]&gt;0, tbl_attendance[[#This Row],[R4 Pts]]&gt;0), "YES", "NO")</f>
        <v>YES</v>
      </c>
      <c r="L307" s="3" t="str">
        <f>IF(
(tbl_attendance[[#This Row],[R1 Pts]]&gt;0)+(tbl_attendance[[#This Row],[R2 Pts]]&gt;0)+(tbl_attendance[[#This Row],[R3 Pts]]&gt;0)+(tbl_attendance[[#This Row],[R4 Pts]]&gt;0)&gt;=3,"YES", "NO")</f>
        <v>YES</v>
      </c>
      <c r="M307" s="3" t="str">
        <f>IF(AND(tbl_attendance[[#This Row],[R1 Pts]]=0, tbl_attendance[[#This Row],[R2 Pts]]=0,tbl_attendance[[#This Row],[R3 Pts]]=0,tbl_attendance[[#This Row],[R4 Pts]]=0),"YES", "NO")</f>
        <v>NO</v>
      </c>
    </row>
    <row r="308" spans="1:13" hidden="1" x14ac:dyDescent="0.4">
      <c r="A308" t="e">
        <f>_xlfn.TEXTBEFORE(#REF!," ",)</f>
        <v>#REF!</v>
      </c>
      <c r="B308" t="e">
        <f>_xlfn.TEXTAFTER(#REF!, " ", -1)</f>
        <v>#REF!</v>
      </c>
      <c r="C308" t="s">
        <v>29</v>
      </c>
      <c r="D308" t="s">
        <v>7</v>
      </c>
      <c r="E308" s="3">
        <v>832</v>
      </c>
      <c r="F308" s="3">
        <v>70</v>
      </c>
      <c r="G308" s="3">
        <v>70</v>
      </c>
      <c r="H308" s="3">
        <v>75</v>
      </c>
      <c r="I308" s="3">
        <v>53</v>
      </c>
      <c r="J308" s="3" t="str">
        <f>IF(AND(tbl_attendance[[#This Row],[R1 Pts]]&gt;0, tbl_attendance[[#This Row],[R2 Pts]]&gt;0,tbl_attendance[[#This Row],[R3 Pts]]&gt;0,tbl_attendance[[#This Row],[R4 Pts]]&gt;0),"YES", "NO")</f>
        <v>YES</v>
      </c>
      <c r="K308" s="3" t="str">
        <f>IF(AND(tbl_attendance[[#This Row],[R2 Pts]]&gt;0, tbl_attendance[[#This Row],[R4 Pts]]&gt;0), "YES", "NO")</f>
        <v>YES</v>
      </c>
      <c r="L308" s="3" t="str">
        <f>IF(
(tbl_attendance[[#This Row],[R1 Pts]]&gt;0)+(tbl_attendance[[#This Row],[R2 Pts]]&gt;0)+(tbl_attendance[[#This Row],[R3 Pts]]&gt;0)+(tbl_attendance[[#This Row],[R4 Pts]]&gt;0)&gt;=3,"YES", "NO")</f>
        <v>YES</v>
      </c>
      <c r="M308" s="3" t="str">
        <f>IF(AND(tbl_attendance[[#This Row],[R1 Pts]]=0, tbl_attendance[[#This Row],[R2 Pts]]=0,tbl_attendance[[#This Row],[R3 Pts]]=0,tbl_attendance[[#This Row],[R4 Pts]]=0),"YES", "NO")</f>
        <v>NO</v>
      </c>
    </row>
    <row r="309" spans="1:13" hidden="1" x14ac:dyDescent="0.4">
      <c r="A309" t="e">
        <f>_xlfn.TEXTBEFORE(#REF!," ",)</f>
        <v>#REF!</v>
      </c>
      <c r="B309" t="e">
        <f>_xlfn.TEXTAFTER(#REF!, " ", -1)</f>
        <v>#REF!</v>
      </c>
      <c r="C309" t="s">
        <v>29</v>
      </c>
      <c r="D309" t="s">
        <v>5</v>
      </c>
      <c r="E309" s="3">
        <v>950</v>
      </c>
      <c r="F309" s="3">
        <v>42</v>
      </c>
      <c r="G309" s="3">
        <v>17</v>
      </c>
      <c r="H309" s="3">
        <v>0</v>
      </c>
      <c r="I309" s="3">
        <v>18</v>
      </c>
      <c r="J309" s="3" t="str">
        <f>IF(AND(tbl_attendance[[#This Row],[R1 Pts]]&gt;0, tbl_attendance[[#This Row],[R2 Pts]]&gt;0,tbl_attendance[[#This Row],[R3 Pts]]&gt;0,tbl_attendance[[#This Row],[R4 Pts]]&gt;0),"YES", "NO")</f>
        <v>NO</v>
      </c>
      <c r="K309" s="3" t="str">
        <f>IF(AND(tbl_attendance[[#This Row],[R2 Pts]]&gt;0, tbl_attendance[[#This Row],[R4 Pts]]&gt;0), "YES", "NO")</f>
        <v>YES</v>
      </c>
      <c r="L309" s="3" t="str">
        <f>IF(
(tbl_attendance[[#This Row],[R1 Pts]]&gt;0)+(tbl_attendance[[#This Row],[R2 Pts]]&gt;0)+(tbl_attendance[[#This Row],[R3 Pts]]&gt;0)+(tbl_attendance[[#This Row],[R4 Pts]]&gt;0)&gt;=3,"YES", "NO")</f>
        <v>YES</v>
      </c>
      <c r="M309" s="3" t="str">
        <f>IF(AND(tbl_attendance[[#This Row],[R1 Pts]]=0, tbl_attendance[[#This Row],[R2 Pts]]=0,tbl_attendance[[#This Row],[R3 Pts]]=0,tbl_attendance[[#This Row],[R4 Pts]]=0),"YES", "NO")</f>
        <v>NO</v>
      </c>
    </row>
    <row r="310" spans="1:13" hidden="1" x14ac:dyDescent="0.4">
      <c r="A310" t="e">
        <f>_xlfn.TEXTBEFORE(#REF!," ",)</f>
        <v>#REF!</v>
      </c>
      <c r="B310" t="e">
        <f>_xlfn.TEXTAFTER(#REF!, " ", -1)</f>
        <v>#REF!</v>
      </c>
      <c r="C310" t="s">
        <v>29</v>
      </c>
      <c r="D310" t="s">
        <v>5</v>
      </c>
      <c r="E310" s="3">
        <v>951</v>
      </c>
      <c r="F310" s="3">
        <v>41</v>
      </c>
      <c r="G310" s="3">
        <v>15</v>
      </c>
      <c r="H310" s="3">
        <v>55</v>
      </c>
      <c r="I310" s="3">
        <v>16</v>
      </c>
      <c r="J310" s="3" t="str">
        <f>IF(AND(tbl_attendance[[#This Row],[R1 Pts]]&gt;0, tbl_attendance[[#This Row],[R2 Pts]]&gt;0,tbl_attendance[[#This Row],[R3 Pts]]&gt;0,tbl_attendance[[#This Row],[R4 Pts]]&gt;0),"YES", "NO")</f>
        <v>YES</v>
      </c>
      <c r="K310" s="3" t="str">
        <f>IF(AND(tbl_attendance[[#This Row],[R2 Pts]]&gt;0, tbl_attendance[[#This Row],[R4 Pts]]&gt;0), "YES", "NO")</f>
        <v>YES</v>
      </c>
      <c r="L310" s="3" t="str">
        <f>IF(
(tbl_attendance[[#This Row],[R1 Pts]]&gt;0)+(tbl_attendance[[#This Row],[R2 Pts]]&gt;0)+(tbl_attendance[[#This Row],[R3 Pts]]&gt;0)+(tbl_attendance[[#This Row],[R4 Pts]]&gt;0)&gt;=3,"YES", "NO")</f>
        <v>YES</v>
      </c>
      <c r="M310" s="3" t="str">
        <f>IF(AND(tbl_attendance[[#This Row],[R1 Pts]]=0, tbl_attendance[[#This Row],[R2 Pts]]=0,tbl_attendance[[#This Row],[R3 Pts]]=0,tbl_attendance[[#This Row],[R4 Pts]]=0),"YES", "NO")</f>
        <v>NO</v>
      </c>
    </row>
    <row r="311" spans="1:13" hidden="1" x14ac:dyDescent="0.4">
      <c r="A311" t="e">
        <f>_xlfn.TEXTBEFORE(#REF!," ",)</f>
        <v>#REF!</v>
      </c>
      <c r="B311" t="e">
        <f>_xlfn.TEXTAFTER(#REF!, " ", -1)</f>
        <v>#REF!</v>
      </c>
      <c r="C311" t="s">
        <v>29</v>
      </c>
      <c r="D311" t="s">
        <v>5</v>
      </c>
      <c r="E311" s="3">
        <v>962</v>
      </c>
      <c r="F311" s="3">
        <v>0</v>
      </c>
      <c r="G311" s="3">
        <v>18</v>
      </c>
      <c r="H311" s="3">
        <v>31</v>
      </c>
      <c r="I311" s="3">
        <v>15</v>
      </c>
      <c r="J311" s="3" t="str">
        <f>IF(AND(tbl_attendance[[#This Row],[R1 Pts]]&gt;0, tbl_attendance[[#This Row],[R2 Pts]]&gt;0,tbl_attendance[[#This Row],[R3 Pts]]&gt;0,tbl_attendance[[#This Row],[R4 Pts]]&gt;0),"YES", "NO")</f>
        <v>NO</v>
      </c>
      <c r="K311" s="3" t="str">
        <f>IF(AND(tbl_attendance[[#This Row],[R2 Pts]]&gt;0, tbl_attendance[[#This Row],[R4 Pts]]&gt;0), "YES", "NO")</f>
        <v>YES</v>
      </c>
      <c r="L311" s="3" t="str">
        <f>IF(
(tbl_attendance[[#This Row],[R1 Pts]]&gt;0)+(tbl_attendance[[#This Row],[R2 Pts]]&gt;0)+(tbl_attendance[[#This Row],[R3 Pts]]&gt;0)+(tbl_attendance[[#This Row],[R4 Pts]]&gt;0)&gt;=3,"YES", "NO")</f>
        <v>YES</v>
      </c>
      <c r="M311" s="3" t="str">
        <f>IF(AND(tbl_attendance[[#This Row],[R1 Pts]]=0, tbl_attendance[[#This Row],[R2 Pts]]=0,tbl_attendance[[#This Row],[R3 Pts]]=0,tbl_attendance[[#This Row],[R4 Pts]]=0),"YES", "NO")</f>
        <v>NO</v>
      </c>
    </row>
    <row r="312" spans="1:13" hidden="1" x14ac:dyDescent="0.4">
      <c r="A312" t="e">
        <f>_xlfn.TEXTBEFORE(#REF!," ",)</f>
        <v>#REF!</v>
      </c>
      <c r="B312" t="e">
        <f>_xlfn.TEXTAFTER(#REF!, " ", -1)</f>
        <v>#REF!</v>
      </c>
      <c r="C312" t="s">
        <v>29</v>
      </c>
      <c r="D312" t="s">
        <v>3</v>
      </c>
      <c r="E312" s="3">
        <v>10208</v>
      </c>
      <c r="F312" s="3">
        <v>0</v>
      </c>
      <c r="G312" s="3">
        <v>0</v>
      </c>
      <c r="H312" s="3">
        <v>34</v>
      </c>
      <c r="I312" s="3">
        <v>16</v>
      </c>
      <c r="J312" s="3" t="str">
        <f>IF(AND(tbl_attendance[[#This Row],[R1 Pts]]&gt;0, tbl_attendance[[#This Row],[R2 Pts]]&gt;0,tbl_attendance[[#This Row],[R3 Pts]]&gt;0,tbl_attendance[[#This Row],[R4 Pts]]&gt;0),"YES", "NO")</f>
        <v>NO</v>
      </c>
      <c r="K312" s="3" t="str">
        <f>IF(AND(tbl_attendance[[#This Row],[R2 Pts]]&gt;0, tbl_attendance[[#This Row],[R4 Pts]]&gt;0), "YES", "NO")</f>
        <v>NO</v>
      </c>
      <c r="L312" s="3" t="str">
        <f>IF(
(tbl_attendance[[#This Row],[R1 Pts]]&gt;0)+(tbl_attendance[[#This Row],[R2 Pts]]&gt;0)+(tbl_attendance[[#This Row],[R3 Pts]]&gt;0)+(tbl_attendance[[#This Row],[R4 Pts]]&gt;0)&gt;=3,"YES", "NO")</f>
        <v>NO</v>
      </c>
      <c r="M312" s="3" t="str">
        <f>IF(AND(tbl_attendance[[#This Row],[R1 Pts]]=0, tbl_attendance[[#This Row],[R2 Pts]]=0,tbl_attendance[[#This Row],[R3 Pts]]=0,tbl_attendance[[#This Row],[R4 Pts]]=0),"YES", "NO")</f>
        <v>NO</v>
      </c>
    </row>
    <row r="313" spans="1:13" hidden="1" x14ac:dyDescent="0.4">
      <c r="A313" t="e">
        <f>_xlfn.TEXTBEFORE(#REF!," ",)</f>
        <v>#REF!</v>
      </c>
      <c r="B313" t="e">
        <f>_xlfn.TEXTAFTER(#REF!, " ", -1)</f>
        <v>#REF!</v>
      </c>
      <c r="C313" t="s">
        <v>29</v>
      </c>
      <c r="D313" t="s">
        <v>1</v>
      </c>
      <c r="E313" s="3">
        <v>12095</v>
      </c>
      <c r="F313" s="3">
        <v>0</v>
      </c>
      <c r="G313" s="3">
        <v>8</v>
      </c>
      <c r="H313" s="3">
        <v>37</v>
      </c>
      <c r="I313" s="3">
        <v>27</v>
      </c>
      <c r="J313" s="3" t="str">
        <f>IF(AND(tbl_attendance[[#This Row],[R1 Pts]]&gt;0, tbl_attendance[[#This Row],[R2 Pts]]&gt;0,tbl_attendance[[#This Row],[R3 Pts]]&gt;0,tbl_attendance[[#This Row],[R4 Pts]]&gt;0),"YES", "NO")</f>
        <v>NO</v>
      </c>
      <c r="K313" s="3" t="str">
        <f>IF(AND(tbl_attendance[[#This Row],[R2 Pts]]&gt;0, tbl_attendance[[#This Row],[R4 Pts]]&gt;0), "YES", "NO")</f>
        <v>YES</v>
      </c>
      <c r="L313" s="3" t="str">
        <f>IF(
(tbl_attendance[[#This Row],[R1 Pts]]&gt;0)+(tbl_attendance[[#This Row],[R2 Pts]]&gt;0)+(tbl_attendance[[#This Row],[R3 Pts]]&gt;0)+(tbl_attendance[[#This Row],[R4 Pts]]&gt;0)&gt;=3,"YES", "NO")</f>
        <v>YES</v>
      </c>
      <c r="M313" s="3" t="str">
        <f>IF(AND(tbl_attendance[[#This Row],[R1 Pts]]=0, tbl_attendance[[#This Row],[R2 Pts]]=0,tbl_attendance[[#This Row],[R3 Pts]]=0,tbl_attendance[[#This Row],[R4 Pts]]=0),"YES", "NO")</f>
        <v>NO</v>
      </c>
    </row>
    <row r="314" spans="1:13" hidden="1" x14ac:dyDescent="0.4">
      <c r="A314" t="e">
        <f>_xlfn.TEXTBEFORE(#REF!," ",)</f>
        <v>#REF!</v>
      </c>
      <c r="B314" t="e">
        <f>_xlfn.TEXTAFTER(#REF!, " ", -1)</f>
        <v>#REF!</v>
      </c>
      <c r="C314" t="s">
        <v>30</v>
      </c>
      <c r="D314" t="s">
        <v>7</v>
      </c>
      <c r="E314" s="3">
        <v>833</v>
      </c>
      <c r="F314" s="3">
        <v>45</v>
      </c>
      <c r="G314" s="3">
        <v>44</v>
      </c>
      <c r="H314" s="3">
        <v>0</v>
      </c>
      <c r="I314" s="3">
        <v>26</v>
      </c>
      <c r="J314" s="3" t="str">
        <f>IF(AND(tbl_attendance[[#This Row],[R1 Pts]]&gt;0, tbl_attendance[[#This Row],[R2 Pts]]&gt;0,tbl_attendance[[#This Row],[R3 Pts]]&gt;0,tbl_attendance[[#This Row],[R4 Pts]]&gt;0),"YES", "NO")</f>
        <v>NO</v>
      </c>
      <c r="K314" s="3" t="str">
        <f>IF(AND(tbl_attendance[[#This Row],[R2 Pts]]&gt;0, tbl_attendance[[#This Row],[R4 Pts]]&gt;0), "YES", "NO")</f>
        <v>YES</v>
      </c>
      <c r="L314" s="3" t="str">
        <f>IF(
(tbl_attendance[[#This Row],[R1 Pts]]&gt;0)+(tbl_attendance[[#This Row],[R2 Pts]]&gt;0)+(tbl_attendance[[#This Row],[R3 Pts]]&gt;0)+(tbl_attendance[[#This Row],[R4 Pts]]&gt;0)&gt;=3,"YES", "NO")</f>
        <v>YES</v>
      </c>
      <c r="M314" s="3" t="str">
        <f>IF(AND(tbl_attendance[[#This Row],[R1 Pts]]=0, tbl_attendance[[#This Row],[R2 Pts]]=0,tbl_attendance[[#This Row],[R3 Pts]]=0,tbl_attendance[[#This Row],[R4 Pts]]=0),"YES", "NO")</f>
        <v>NO</v>
      </c>
    </row>
    <row r="315" spans="1:13" hidden="1" x14ac:dyDescent="0.4">
      <c r="A315" t="e">
        <f>_xlfn.TEXTBEFORE(#REF!," ",)</f>
        <v>#REF!</v>
      </c>
      <c r="B315" t="e">
        <f>_xlfn.TEXTAFTER(#REF!, " ", -1)</f>
        <v>#REF!</v>
      </c>
      <c r="C315" t="s">
        <v>30</v>
      </c>
      <c r="D315" t="s">
        <v>7</v>
      </c>
      <c r="E315" s="3">
        <v>834</v>
      </c>
      <c r="F315" s="3">
        <v>0</v>
      </c>
      <c r="G315" s="3">
        <v>85</v>
      </c>
      <c r="H315" s="3">
        <v>0</v>
      </c>
      <c r="I315" s="3">
        <v>0</v>
      </c>
      <c r="J315" s="3" t="str">
        <f>IF(AND(tbl_attendance[[#This Row],[R1 Pts]]&gt;0, tbl_attendance[[#This Row],[R2 Pts]]&gt;0,tbl_attendance[[#This Row],[R3 Pts]]&gt;0,tbl_attendance[[#This Row],[R4 Pts]]&gt;0),"YES", "NO")</f>
        <v>NO</v>
      </c>
      <c r="K315" s="3" t="str">
        <f>IF(AND(tbl_attendance[[#This Row],[R2 Pts]]&gt;0, tbl_attendance[[#This Row],[R4 Pts]]&gt;0), "YES", "NO")</f>
        <v>NO</v>
      </c>
      <c r="L315" s="3" t="str">
        <f>IF(
(tbl_attendance[[#This Row],[R1 Pts]]&gt;0)+(tbl_attendance[[#This Row],[R2 Pts]]&gt;0)+(tbl_attendance[[#This Row],[R3 Pts]]&gt;0)+(tbl_attendance[[#This Row],[R4 Pts]]&gt;0)&gt;=3,"YES", "NO")</f>
        <v>NO</v>
      </c>
      <c r="M315" s="3" t="str">
        <f>IF(AND(tbl_attendance[[#This Row],[R1 Pts]]=0, tbl_attendance[[#This Row],[R2 Pts]]=0,tbl_attendance[[#This Row],[R3 Pts]]=0,tbl_attendance[[#This Row],[R4 Pts]]=0),"YES", "NO")</f>
        <v>NO</v>
      </c>
    </row>
    <row r="316" spans="1:13" hidden="1" x14ac:dyDescent="0.4">
      <c r="A316" t="e">
        <f>_xlfn.TEXTBEFORE(#REF!," ",)</f>
        <v>#REF!</v>
      </c>
      <c r="B316" t="e">
        <f>_xlfn.TEXTAFTER(#REF!, " ", -1)</f>
        <v>#REF!</v>
      </c>
      <c r="C316" t="s">
        <v>30</v>
      </c>
      <c r="D316" t="s">
        <v>7</v>
      </c>
      <c r="E316" s="3">
        <v>835</v>
      </c>
      <c r="F316" s="3">
        <v>0</v>
      </c>
      <c r="G316" s="3">
        <v>47</v>
      </c>
      <c r="H316" s="3">
        <v>53</v>
      </c>
      <c r="I316" s="3">
        <v>49</v>
      </c>
      <c r="J316" s="3" t="str">
        <f>IF(AND(tbl_attendance[[#This Row],[R1 Pts]]&gt;0, tbl_attendance[[#This Row],[R2 Pts]]&gt;0,tbl_attendance[[#This Row],[R3 Pts]]&gt;0,tbl_attendance[[#This Row],[R4 Pts]]&gt;0),"YES", "NO")</f>
        <v>NO</v>
      </c>
      <c r="K316" s="3" t="str">
        <f>IF(AND(tbl_attendance[[#This Row],[R2 Pts]]&gt;0, tbl_attendance[[#This Row],[R4 Pts]]&gt;0), "YES", "NO")</f>
        <v>YES</v>
      </c>
      <c r="L316" s="3" t="str">
        <f>IF(
(tbl_attendance[[#This Row],[R1 Pts]]&gt;0)+(tbl_attendance[[#This Row],[R2 Pts]]&gt;0)+(tbl_attendance[[#This Row],[R3 Pts]]&gt;0)+(tbl_attendance[[#This Row],[R4 Pts]]&gt;0)&gt;=3,"YES", "NO")</f>
        <v>YES</v>
      </c>
      <c r="M316" s="3" t="str">
        <f>IF(AND(tbl_attendance[[#This Row],[R1 Pts]]=0, tbl_attendance[[#This Row],[R2 Pts]]=0,tbl_attendance[[#This Row],[R3 Pts]]=0,tbl_attendance[[#This Row],[R4 Pts]]=0),"YES", "NO")</f>
        <v>NO</v>
      </c>
    </row>
    <row r="317" spans="1:13" hidden="1" x14ac:dyDescent="0.4">
      <c r="A317" t="e">
        <f>_xlfn.TEXTBEFORE(#REF!," ",)</f>
        <v>#REF!</v>
      </c>
      <c r="B317" t="e">
        <f>_xlfn.TEXTAFTER(#REF!, " ", -1)</f>
        <v>#REF!</v>
      </c>
      <c r="C317" t="s">
        <v>30</v>
      </c>
      <c r="D317" t="s">
        <v>7</v>
      </c>
      <c r="E317" s="3">
        <v>836</v>
      </c>
      <c r="F317" s="3">
        <v>28</v>
      </c>
      <c r="G317" s="3">
        <v>0</v>
      </c>
      <c r="H317" s="3">
        <v>28</v>
      </c>
      <c r="I317" s="3">
        <v>0</v>
      </c>
      <c r="J317" s="3" t="str">
        <f>IF(AND(tbl_attendance[[#This Row],[R1 Pts]]&gt;0, tbl_attendance[[#This Row],[R2 Pts]]&gt;0,tbl_attendance[[#This Row],[R3 Pts]]&gt;0,tbl_attendance[[#This Row],[R4 Pts]]&gt;0),"YES", "NO")</f>
        <v>NO</v>
      </c>
      <c r="K317" s="3" t="str">
        <f>IF(AND(tbl_attendance[[#This Row],[R2 Pts]]&gt;0, tbl_attendance[[#This Row],[R4 Pts]]&gt;0), "YES", "NO")</f>
        <v>NO</v>
      </c>
      <c r="L317" s="3" t="str">
        <f>IF(
(tbl_attendance[[#This Row],[R1 Pts]]&gt;0)+(tbl_attendance[[#This Row],[R2 Pts]]&gt;0)+(tbl_attendance[[#This Row],[R3 Pts]]&gt;0)+(tbl_attendance[[#This Row],[R4 Pts]]&gt;0)&gt;=3,"YES", "NO")</f>
        <v>NO</v>
      </c>
      <c r="M317" s="3" t="str">
        <f>IF(AND(tbl_attendance[[#This Row],[R1 Pts]]=0, tbl_attendance[[#This Row],[R2 Pts]]=0,tbl_attendance[[#This Row],[R3 Pts]]=0,tbl_attendance[[#This Row],[R4 Pts]]=0),"YES", "NO")</f>
        <v>NO</v>
      </c>
    </row>
    <row r="318" spans="1:13" hidden="1" x14ac:dyDescent="0.4">
      <c r="A318" t="e">
        <f>_xlfn.TEXTBEFORE(#REF!," ",)</f>
        <v>#REF!</v>
      </c>
      <c r="B318" t="e">
        <f>_xlfn.TEXTAFTER(#REF!, " ", -1)</f>
        <v>#REF!</v>
      </c>
      <c r="C318" t="s">
        <v>30</v>
      </c>
      <c r="D318" t="s">
        <v>4</v>
      </c>
      <c r="E318" s="3">
        <v>1041</v>
      </c>
      <c r="F318" s="3">
        <v>1</v>
      </c>
      <c r="G318" s="3">
        <v>85</v>
      </c>
      <c r="H318" s="3">
        <v>0</v>
      </c>
      <c r="I318" s="3">
        <v>90</v>
      </c>
      <c r="J318" s="3" t="str">
        <f>IF(AND(tbl_attendance[[#This Row],[R1 Pts]]&gt;0, tbl_attendance[[#This Row],[R2 Pts]]&gt;0,tbl_attendance[[#This Row],[R3 Pts]]&gt;0,tbl_attendance[[#This Row],[R4 Pts]]&gt;0),"YES", "NO")</f>
        <v>NO</v>
      </c>
      <c r="K318" s="3" t="str">
        <f>IF(AND(tbl_attendance[[#This Row],[R2 Pts]]&gt;0, tbl_attendance[[#This Row],[R4 Pts]]&gt;0), "YES", "NO")</f>
        <v>YES</v>
      </c>
      <c r="L318" s="3" t="str">
        <f>IF(
(tbl_attendance[[#This Row],[R1 Pts]]&gt;0)+(tbl_attendance[[#This Row],[R2 Pts]]&gt;0)+(tbl_attendance[[#This Row],[R3 Pts]]&gt;0)+(tbl_attendance[[#This Row],[R4 Pts]]&gt;0)&gt;=3,"YES", "NO")</f>
        <v>YES</v>
      </c>
      <c r="M318" s="3" t="str">
        <f>IF(AND(tbl_attendance[[#This Row],[R1 Pts]]=0, tbl_attendance[[#This Row],[R2 Pts]]=0,tbl_attendance[[#This Row],[R3 Pts]]=0,tbl_attendance[[#This Row],[R4 Pts]]=0),"YES", "NO")</f>
        <v>NO</v>
      </c>
    </row>
    <row r="319" spans="1:13" hidden="1" x14ac:dyDescent="0.4">
      <c r="A319" t="e">
        <f>_xlfn.TEXTBEFORE(#REF!," ",)</f>
        <v>#REF!</v>
      </c>
      <c r="B319" t="e">
        <f>_xlfn.TEXTAFTER(#REF!, " ", -1)</f>
        <v>#REF!</v>
      </c>
      <c r="C319" t="s">
        <v>30</v>
      </c>
      <c r="D319" t="s">
        <v>4</v>
      </c>
      <c r="E319" s="3">
        <v>1042</v>
      </c>
      <c r="F319" s="3">
        <v>0</v>
      </c>
      <c r="G319" s="3">
        <v>49</v>
      </c>
      <c r="H319" s="3">
        <v>0</v>
      </c>
      <c r="I319" s="3">
        <v>1</v>
      </c>
      <c r="J319" s="3" t="str">
        <f>IF(AND(tbl_attendance[[#This Row],[R1 Pts]]&gt;0, tbl_attendance[[#This Row],[R2 Pts]]&gt;0,tbl_attendance[[#This Row],[R3 Pts]]&gt;0,tbl_attendance[[#This Row],[R4 Pts]]&gt;0),"YES", "NO")</f>
        <v>NO</v>
      </c>
      <c r="K319" s="3" t="str">
        <f>IF(AND(tbl_attendance[[#This Row],[R2 Pts]]&gt;0, tbl_attendance[[#This Row],[R4 Pts]]&gt;0), "YES", "NO")</f>
        <v>YES</v>
      </c>
      <c r="L319" s="3" t="str">
        <f>IF(
(tbl_attendance[[#This Row],[R1 Pts]]&gt;0)+(tbl_attendance[[#This Row],[R2 Pts]]&gt;0)+(tbl_attendance[[#This Row],[R3 Pts]]&gt;0)+(tbl_attendance[[#This Row],[R4 Pts]]&gt;0)&gt;=3,"YES", "NO")</f>
        <v>NO</v>
      </c>
      <c r="M319" s="3" t="str">
        <f>IF(AND(tbl_attendance[[#This Row],[R1 Pts]]=0, tbl_attendance[[#This Row],[R2 Pts]]=0,tbl_attendance[[#This Row],[R3 Pts]]=0,tbl_attendance[[#This Row],[R4 Pts]]=0),"YES", "NO")</f>
        <v>NO</v>
      </c>
    </row>
    <row r="320" spans="1:13" hidden="1" x14ac:dyDescent="0.4">
      <c r="A320" t="e">
        <f>_xlfn.TEXTBEFORE(#REF!," ",)</f>
        <v>#REF!</v>
      </c>
      <c r="B320" t="e">
        <f>_xlfn.TEXTAFTER(#REF!, " ", -1)</f>
        <v>#REF!</v>
      </c>
      <c r="C320" t="s">
        <v>30</v>
      </c>
      <c r="D320" t="s">
        <v>4</v>
      </c>
      <c r="E320" s="3">
        <v>1043</v>
      </c>
      <c r="F320" s="3">
        <v>0</v>
      </c>
      <c r="G320" s="3">
        <v>0</v>
      </c>
      <c r="H320" s="3">
        <v>0</v>
      </c>
      <c r="I320" s="3">
        <v>75</v>
      </c>
      <c r="J320" s="3" t="str">
        <f>IF(AND(tbl_attendance[[#This Row],[R1 Pts]]&gt;0, tbl_attendance[[#This Row],[R2 Pts]]&gt;0,tbl_attendance[[#This Row],[R3 Pts]]&gt;0,tbl_attendance[[#This Row],[R4 Pts]]&gt;0),"YES", "NO")</f>
        <v>NO</v>
      </c>
      <c r="K320" s="3" t="str">
        <f>IF(AND(tbl_attendance[[#This Row],[R2 Pts]]&gt;0, tbl_attendance[[#This Row],[R4 Pts]]&gt;0), "YES", "NO")</f>
        <v>NO</v>
      </c>
      <c r="L320" s="3" t="str">
        <f>IF(
(tbl_attendance[[#This Row],[R1 Pts]]&gt;0)+(tbl_attendance[[#This Row],[R2 Pts]]&gt;0)+(tbl_attendance[[#This Row],[R3 Pts]]&gt;0)+(tbl_attendance[[#This Row],[R4 Pts]]&gt;0)&gt;=3,"YES", "NO")</f>
        <v>NO</v>
      </c>
      <c r="M320" s="3" t="str">
        <f>IF(AND(tbl_attendance[[#This Row],[R1 Pts]]=0, tbl_attendance[[#This Row],[R2 Pts]]=0,tbl_attendance[[#This Row],[R3 Pts]]=0,tbl_attendance[[#This Row],[R4 Pts]]=0),"YES", "NO")</f>
        <v>NO</v>
      </c>
    </row>
    <row r="321" spans="1:13" hidden="1" x14ac:dyDescent="0.4">
      <c r="A321" t="e">
        <f>_xlfn.TEXTBEFORE(#REF!," ",)</f>
        <v>#REF!</v>
      </c>
      <c r="B321" t="e">
        <f>_xlfn.TEXTAFTER(#REF!, " ", -1)</f>
        <v>#REF!</v>
      </c>
      <c r="C321" t="s">
        <v>30</v>
      </c>
      <c r="D321" t="s">
        <v>2</v>
      </c>
      <c r="E321" s="3">
        <v>1245</v>
      </c>
      <c r="F321" s="3">
        <v>80</v>
      </c>
      <c r="G321" s="3">
        <v>53</v>
      </c>
      <c r="H321" s="3">
        <v>85</v>
      </c>
      <c r="I321" s="3">
        <v>75</v>
      </c>
      <c r="J321" s="3" t="str">
        <f>IF(AND(tbl_attendance[[#This Row],[R1 Pts]]&gt;0, tbl_attendance[[#This Row],[R2 Pts]]&gt;0,tbl_attendance[[#This Row],[R3 Pts]]&gt;0,tbl_attendance[[#This Row],[R4 Pts]]&gt;0),"YES", "NO")</f>
        <v>YES</v>
      </c>
      <c r="K321" s="3" t="str">
        <f>IF(AND(tbl_attendance[[#This Row],[R2 Pts]]&gt;0, tbl_attendance[[#This Row],[R4 Pts]]&gt;0), "YES", "NO")</f>
        <v>YES</v>
      </c>
      <c r="L321" s="3" t="str">
        <f>IF(
(tbl_attendance[[#This Row],[R1 Pts]]&gt;0)+(tbl_attendance[[#This Row],[R2 Pts]]&gt;0)+(tbl_attendance[[#This Row],[R3 Pts]]&gt;0)+(tbl_attendance[[#This Row],[R4 Pts]]&gt;0)&gt;=3,"YES", "NO")</f>
        <v>YES</v>
      </c>
      <c r="M321" s="3" t="str">
        <f>IF(AND(tbl_attendance[[#This Row],[R1 Pts]]=0, tbl_attendance[[#This Row],[R2 Pts]]=0,tbl_attendance[[#This Row],[R3 Pts]]=0,tbl_attendance[[#This Row],[R4 Pts]]=0),"YES", "NO")</f>
        <v>NO</v>
      </c>
    </row>
    <row r="322" spans="1:13" hidden="1" x14ac:dyDescent="0.4">
      <c r="A322" t="e">
        <f>_xlfn.TEXTBEFORE(#REF!," ",)</f>
        <v>#REF!</v>
      </c>
      <c r="B322" t="e">
        <f>_xlfn.TEXTAFTER(#REF!, " ", -1)</f>
        <v>#REF!</v>
      </c>
      <c r="C322" t="s">
        <v>30</v>
      </c>
      <c r="D322" t="s">
        <v>2</v>
      </c>
      <c r="E322" s="3">
        <v>1246</v>
      </c>
      <c r="F322" s="3">
        <v>51</v>
      </c>
      <c r="G322" s="3">
        <v>0</v>
      </c>
      <c r="H322" s="3">
        <v>0</v>
      </c>
      <c r="I322" s="3">
        <v>60</v>
      </c>
      <c r="J322" s="3" t="str">
        <f>IF(AND(tbl_attendance[[#This Row],[R1 Pts]]&gt;0, tbl_attendance[[#This Row],[R2 Pts]]&gt;0,tbl_attendance[[#This Row],[R3 Pts]]&gt;0,tbl_attendance[[#This Row],[R4 Pts]]&gt;0),"YES", "NO")</f>
        <v>NO</v>
      </c>
      <c r="K322" s="3" t="str">
        <f>IF(AND(tbl_attendance[[#This Row],[R2 Pts]]&gt;0, tbl_attendance[[#This Row],[R4 Pts]]&gt;0), "YES", "NO")</f>
        <v>NO</v>
      </c>
      <c r="L322" s="3" t="str">
        <f>IF(
(tbl_attendance[[#This Row],[R1 Pts]]&gt;0)+(tbl_attendance[[#This Row],[R2 Pts]]&gt;0)+(tbl_attendance[[#This Row],[R3 Pts]]&gt;0)+(tbl_attendance[[#This Row],[R4 Pts]]&gt;0)&gt;=3,"YES", "NO")</f>
        <v>NO</v>
      </c>
      <c r="M322" s="3" t="str">
        <f>IF(AND(tbl_attendance[[#This Row],[R1 Pts]]=0, tbl_attendance[[#This Row],[R2 Pts]]=0,tbl_attendance[[#This Row],[R3 Pts]]=0,tbl_attendance[[#This Row],[R4 Pts]]=0),"YES", "NO")</f>
        <v>NO</v>
      </c>
    </row>
    <row r="323" spans="1:13" hidden="1" x14ac:dyDescent="0.4">
      <c r="A323" t="e">
        <f>_xlfn.TEXTBEFORE(#REF!," ",)</f>
        <v>#REF!</v>
      </c>
      <c r="B323" t="e">
        <f>_xlfn.TEXTAFTER(#REF!, " ", -1)</f>
        <v>#REF!</v>
      </c>
      <c r="C323" t="s">
        <v>30</v>
      </c>
      <c r="D323" t="s">
        <v>2</v>
      </c>
      <c r="E323" s="3">
        <v>1247</v>
      </c>
      <c r="F323" s="3">
        <v>0</v>
      </c>
      <c r="G323" s="3">
        <v>51</v>
      </c>
      <c r="H323" s="3">
        <v>0</v>
      </c>
      <c r="I323" s="3">
        <v>0</v>
      </c>
      <c r="J323" s="3" t="str">
        <f>IF(AND(tbl_attendance[[#This Row],[R1 Pts]]&gt;0, tbl_attendance[[#This Row],[R2 Pts]]&gt;0,tbl_attendance[[#This Row],[R3 Pts]]&gt;0,tbl_attendance[[#This Row],[R4 Pts]]&gt;0),"YES", "NO")</f>
        <v>NO</v>
      </c>
      <c r="K323" s="3" t="str">
        <f>IF(AND(tbl_attendance[[#This Row],[R2 Pts]]&gt;0, tbl_attendance[[#This Row],[R4 Pts]]&gt;0), "YES", "NO")</f>
        <v>NO</v>
      </c>
      <c r="L323" s="3" t="str">
        <f>IF(
(tbl_attendance[[#This Row],[R1 Pts]]&gt;0)+(tbl_attendance[[#This Row],[R2 Pts]]&gt;0)+(tbl_attendance[[#This Row],[R3 Pts]]&gt;0)+(tbl_attendance[[#This Row],[R4 Pts]]&gt;0)&gt;=3,"YES", "NO")</f>
        <v>NO</v>
      </c>
      <c r="M323" s="3" t="str">
        <f>IF(AND(tbl_attendance[[#This Row],[R1 Pts]]=0, tbl_attendance[[#This Row],[R2 Pts]]=0,tbl_attendance[[#This Row],[R3 Pts]]=0,tbl_attendance[[#This Row],[R4 Pts]]=0),"YES", "NO")</f>
        <v>NO</v>
      </c>
    </row>
    <row r="324" spans="1:13" hidden="1" x14ac:dyDescent="0.4">
      <c r="A324" t="e">
        <f>_xlfn.TEXTBEFORE(#REF!," ",)</f>
        <v>#REF!</v>
      </c>
      <c r="B324" t="e">
        <f>_xlfn.TEXTAFTER(#REF!, " ", -1)</f>
        <v>#REF!</v>
      </c>
      <c r="C324" t="s">
        <v>30</v>
      </c>
      <c r="D324" t="s">
        <v>6</v>
      </c>
      <c r="E324" s="3">
        <v>9310</v>
      </c>
      <c r="F324" s="3">
        <v>51</v>
      </c>
      <c r="G324" s="3">
        <v>80</v>
      </c>
      <c r="H324" s="3">
        <v>53</v>
      </c>
      <c r="I324" s="3">
        <v>60</v>
      </c>
      <c r="J324" s="3" t="str">
        <f>IF(AND(tbl_attendance[[#This Row],[R1 Pts]]&gt;0, tbl_attendance[[#This Row],[R2 Pts]]&gt;0,tbl_attendance[[#This Row],[R3 Pts]]&gt;0,tbl_attendance[[#This Row],[R4 Pts]]&gt;0),"YES", "NO")</f>
        <v>YES</v>
      </c>
      <c r="K324" s="3" t="str">
        <f>IF(AND(tbl_attendance[[#This Row],[R2 Pts]]&gt;0, tbl_attendance[[#This Row],[R4 Pts]]&gt;0), "YES", "NO")</f>
        <v>YES</v>
      </c>
      <c r="L324" s="3" t="str">
        <f>IF(
(tbl_attendance[[#This Row],[R1 Pts]]&gt;0)+(tbl_attendance[[#This Row],[R2 Pts]]&gt;0)+(tbl_attendance[[#This Row],[R3 Pts]]&gt;0)+(tbl_attendance[[#This Row],[R4 Pts]]&gt;0)&gt;=3,"YES", "NO")</f>
        <v>YES</v>
      </c>
      <c r="M324" s="3" t="str">
        <f>IF(AND(tbl_attendance[[#This Row],[R1 Pts]]=0, tbl_attendance[[#This Row],[R2 Pts]]=0,tbl_attendance[[#This Row],[R3 Pts]]=0,tbl_attendance[[#This Row],[R4 Pts]]=0),"YES", "NO")</f>
        <v>NO</v>
      </c>
    </row>
    <row r="325" spans="1:13" hidden="1" x14ac:dyDescent="0.4">
      <c r="A325" t="e">
        <f>_xlfn.TEXTBEFORE(#REF!," ",)</f>
        <v>#REF!</v>
      </c>
      <c r="B325" t="e">
        <f>_xlfn.TEXTAFTER(#REF!, " ", -1)</f>
        <v>#REF!</v>
      </c>
      <c r="C325" t="s">
        <v>30</v>
      </c>
      <c r="D325" t="s">
        <v>6</v>
      </c>
      <c r="E325" s="3">
        <v>9320</v>
      </c>
      <c r="F325" s="3">
        <v>0</v>
      </c>
      <c r="G325" s="3">
        <v>85</v>
      </c>
      <c r="H325" s="3">
        <v>0</v>
      </c>
      <c r="I325" s="3">
        <v>0</v>
      </c>
      <c r="J325" s="3" t="str">
        <f>IF(AND(tbl_attendance[[#This Row],[R1 Pts]]&gt;0, tbl_attendance[[#This Row],[R2 Pts]]&gt;0,tbl_attendance[[#This Row],[R3 Pts]]&gt;0,tbl_attendance[[#This Row],[R4 Pts]]&gt;0),"YES", "NO")</f>
        <v>NO</v>
      </c>
      <c r="K325" s="3" t="str">
        <f>IF(AND(tbl_attendance[[#This Row],[R2 Pts]]&gt;0, tbl_attendance[[#This Row],[R4 Pts]]&gt;0), "YES", "NO")</f>
        <v>NO</v>
      </c>
      <c r="L325" s="3" t="str">
        <f>IF(
(tbl_attendance[[#This Row],[R1 Pts]]&gt;0)+(tbl_attendance[[#This Row],[R2 Pts]]&gt;0)+(tbl_attendance[[#This Row],[R3 Pts]]&gt;0)+(tbl_attendance[[#This Row],[R4 Pts]]&gt;0)&gt;=3,"YES", "NO")</f>
        <v>NO</v>
      </c>
      <c r="M325" s="3" t="str">
        <f>IF(AND(tbl_attendance[[#This Row],[R1 Pts]]=0, tbl_attendance[[#This Row],[R2 Pts]]=0,tbl_attendance[[#This Row],[R3 Pts]]=0,tbl_attendance[[#This Row],[R4 Pts]]=0),"YES", "NO")</f>
        <v>NO</v>
      </c>
    </row>
    <row r="326" spans="1:13" hidden="1" x14ac:dyDescent="0.4">
      <c r="A326" t="e">
        <f>_xlfn.TEXTBEFORE(#REF!," ",)</f>
        <v>#REF!</v>
      </c>
      <c r="B326" t="e">
        <f>_xlfn.TEXTAFTER(#REF!, " ", -1)</f>
        <v>#REF!</v>
      </c>
      <c r="C326" t="s">
        <v>30</v>
      </c>
      <c r="D326" t="s">
        <v>6</v>
      </c>
      <c r="E326" s="3">
        <v>9330</v>
      </c>
      <c r="F326" s="3">
        <v>100</v>
      </c>
      <c r="G326" s="3">
        <v>100</v>
      </c>
      <c r="H326" s="3">
        <v>100</v>
      </c>
      <c r="I326" s="3">
        <v>100</v>
      </c>
      <c r="J326" s="3" t="str">
        <f>IF(AND(tbl_attendance[[#This Row],[R1 Pts]]&gt;0, tbl_attendance[[#This Row],[R2 Pts]]&gt;0,tbl_attendance[[#This Row],[R3 Pts]]&gt;0,tbl_attendance[[#This Row],[R4 Pts]]&gt;0),"YES", "NO")</f>
        <v>YES</v>
      </c>
      <c r="K326" s="3" t="str">
        <f>IF(AND(tbl_attendance[[#This Row],[R2 Pts]]&gt;0, tbl_attendance[[#This Row],[R4 Pts]]&gt;0), "YES", "NO")</f>
        <v>YES</v>
      </c>
      <c r="L326" s="3" t="str">
        <f>IF(
(tbl_attendance[[#This Row],[R1 Pts]]&gt;0)+(tbl_attendance[[#This Row],[R2 Pts]]&gt;0)+(tbl_attendance[[#This Row],[R3 Pts]]&gt;0)+(tbl_attendance[[#This Row],[R4 Pts]]&gt;0)&gt;=3,"YES", "NO")</f>
        <v>YES</v>
      </c>
      <c r="M326" s="3" t="str">
        <f>IF(AND(tbl_attendance[[#This Row],[R1 Pts]]=0, tbl_attendance[[#This Row],[R2 Pts]]=0,tbl_attendance[[#This Row],[R3 Pts]]=0,tbl_attendance[[#This Row],[R4 Pts]]=0),"YES", "NO")</f>
        <v>NO</v>
      </c>
    </row>
    <row r="327" spans="1:13" hidden="1" x14ac:dyDescent="0.4">
      <c r="A327" t="e">
        <f>_xlfn.TEXTBEFORE(#REF!," ",)</f>
        <v>#REF!</v>
      </c>
      <c r="B327" t="e">
        <f>_xlfn.TEXTAFTER(#REF!, " ", -1)</f>
        <v>#REF!</v>
      </c>
      <c r="C327" t="s">
        <v>30</v>
      </c>
      <c r="D327" t="s">
        <v>6</v>
      </c>
      <c r="E327" s="3">
        <v>9340</v>
      </c>
      <c r="F327" s="3">
        <v>0</v>
      </c>
      <c r="G327" s="3">
        <v>0</v>
      </c>
      <c r="H327" s="3">
        <v>0</v>
      </c>
      <c r="I327" s="3">
        <v>0</v>
      </c>
      <c r="J327" s="3" t="str">
        <f>IF(AND(tbl_attendance[[#This Row],[R1 Pts]]&gt;0, tbl_attendance[[#This Row],[R2 Pts]]&gt;0,tbl_attendance[[#This Row],[R3 Pts]]&gt;0,tbl_attendance[[#This Row],[R4 Pts]]&gt;0),"YES", "NO")</f>
        <v>NO</v>
      </c>
      <c r="K327" s="3" t="str">
        <f>IF(AND(tbl_attendance[[#This Row],[R2 Pts]]&gt;0, tbl_attendance[[#This Row],[R4 Pts]]&gt;0), "YES", "NO")</f>
        <v>NO</v>
      </c>
      <c r="L327" s="3" t="str">
        <f>IF(
(tbl_attendance[[#This Row],[R1 Pts]]&gt;0)+(tbl_attendance[[#This Row],[R2 Pts]]&gt;0)+(tbl_attendance[[#This Row],[R3 Pts]]&gt;0)+(tbl_attendance[[#This Row],[R4 Pts]]&gt;0)&gt;=3,"YES", "NO")</f>
        <v>NO</v>
      </c>
      <c r="M327" s="3" t="str">
        <f>IF(AND(tbl_attendance[[#This Row],[R1 Pts]]=0, tbl_attendance[[#This Row],[R2 Pts]]=0,tbl_attendance[[#This Row],[R3 Pts]]=0,tbl_attendance[[#This Row],[R4 Pts]]=0),"YES", "NO")</f>
        <v>YES</v>
      </c>
    </row>
    <row r="328" spans="1:13" hidden="1" x14ac:dyDescent="0.4">
      <c r="A328" t="e">
        <f>_xlfn.TEXTBEFORE(#REF!," ",)</f>
        <v>#REF!</v>
      </c>
      <c r="B328" t="e">
        <f>_xlfn.TEXTAFTER(#REF!, " ", -1)</f>
        <v>#REF!</v>
      </c>
      <c r="C328" t="s">
        <v>30</v>
      </c>
      <c r="D328" t="s">
        <v>6</v>
      </c>
      <c r="E328" s="3">
        <v>9350</v>
      </c>
      <c r="F328" s="3">
        <v>95</v>
      </c>
      <c r="G328" s="3">
        <v>53</v>
      </c>
      <c r="H328" s="3">
        <v>95</v>
      </c>
      <c r="I328" s="3">
        <v>55</v>
      </c>
      <c r="J328" s="3" t="str">
        <f>IF(AND(tbl_attendance[[#This Row],[R1 Pts]]&gt;0, tbl_attendance[[#This Row],[R2 Pts]]&gt;0,tbl_attendance[[#This Row],[R3 Pts]]&gt;0,tbl_attendance[[#This Row],[R4 Pts]]&gt;0),"YES", "NO")</f>
        <v>YES</v>
      </c>
      <c r="K328" s="3" t="str">
        <f>IF(AND(tbl_attendance[[#This Row],[R2 Pts]]&gt;0, tbl_attendance[[#This Row],[R4 Pts]]&gt;0), "YES", "NO")</f>
        <v>YES</v>
      </c>
      <c r="L328" s="3" t="str">
        <f>IF(
(tbl_attendance[[#This Row],[R1 Pts]]&gt;0)+(tbl_attendance[[#This Row],[R2 Pts]]&gt;0)+(tbl_attendance[[#This Row],[R3 Pts]]&gt;0)+(tbl_attendance[[#This Row],[R4 Pts]]&gt;0)&gt;=3,"YES", "NO")</f>
        <v>YES</v>
      </c>
      <c r="M328" s="3" t="str">
        <f>IF(AND(tbl_attendance[[#This Row],[R1 Pts]]=0, tbl_attendance[[#This Row],[R2 Pts]]=0,tbl_attendance[[#This Row],[R3 Pts]]=0,tbl_attendance[[#This Row],[R4 Pts]]=0),"YES", "NO")</f>
        <v>NO</v>
      </c>
    </row>
    <row r="329" spans="1:13" hidden="1" x14ac:dyDescent="0.4">
      <c r="A329" t="e">
        <f>_xlfn.TEXTBEFORE(#REF!," ",)</f>
        <v>#REF!</v>
      </c>
      <c r="B329" t="e">
        <f>_xlfn.TEXTAFTER(#REF!, " ", -1)</f>
        <v>#REF!</v>
      </c>
      <c r="C329" t="s">
        <v>30</v>
      </c>
      <c r="D329" t="s">
        <v>3</v>
      </c>
      <c r="E329" s="3">
        <v>10193</v>
      </c>
      <c r="F329" s="3">
        <v>53</v>
      </c>
      <c r="G329" s="3">
        <v>34</v>
      </c>
      <c r="H329" s="3">
        <v>70</v>
      </c>
      <c r="I329" s="3">
        <v>100</v>
      </c>
      <c r="J329" s="3" t="str">
        <f>IF(AND(tbl_attendance[[#This Row],[R1 Pts]]&gt;0, tbl_attendance[[#This Row],[R2 Pts]]&gt;0,tbl_attendance[[#This Row],[R3 Pts]]&gt;0,tbl_attendance[[#This Row],[R4 Pts]]&gt;0),"YES", "NO")</f>
        <v>YES</v>
      </c>
      <c r="K329" s="3" t="str">
        <f>IF(AND(tbl_attendance[[#This Row],[R2 Pts]]&gt;0, tbl_attendance[[#This Row],[R4 Pts]]&gt;0), "YES", "NO")</f>
        <v>YES</v>
      </c>
      <c r="L329" s="3" t="str">
        <f>IF(
(tbl_attendance[[#This Row],[R1 Pts]]&gt;0)+(tbl_attendance[[#This Row],[R2 Pts]]&gt;0)+(tbl_attendance[[#This Row],[R3 Pts]]&gt;0)+(tbl_attendance[[#This Row],[R4 Pts]]&gt;0)&gt;=3,"YES", "NO")</f>
        <v>YES</v>
      </c>
      <c r="M329" s="3" t="str">
        <f>IF(AND(tbl_attendance[[#This Row],[R1 Pts]]=0, tbl_attendance[[#This Row],[R2 Pts]]=0,tbl_attendance[[#This Row],[R3 Pts]]=0,tbl_attendance[[#This Row],[R4 Pts]]=0),"YES", "NO")</f>
        <v>NO</v>
      </c>
    </row>
    <row r="330" spans="1:13" hidden="1" x14ac:dyDescent="0.4">
      <c r="A330" t="e">
        <f>_xlfn.TEXTBEFORE(#REF!," ",)</f>
        <v>#REF!</v>
      </c>
      <c r="B330" t="e">
        <f>_xlfn.TEXTAFTER(#REF!, " ", -1)</f>
        <v>#REF!</v>
      </c>
      <c r="C330" t="s">
        <v>30</v>
      </c>
      <c r="D330" t="s">
        <v>3</v>
      </c>
      <c r="E330" s="3">
        <v>10194</v>
      </c>
      <c r="F330" s="3">
        <v>70</v>
      </c>
      <c r="G330" s="3">
        <v>20</v>
      </c>
      <c r="H330" s="3">
        <v>95</v>
      </c>
      <c r="I330" s="3">
        <v>26</v>
      </c>
      <c r="J330" s="3" t="str">
        <f>IF(AND(tbl_attendance[[#This Row],[R1 Pts]]&gt;0, tbl_attendance[[#This Row],[R2 Pts]]&gt;0,tbl_attendance[[#This Row],[R3 Pts]]&gt;0,tbl_attendance[[#This Row],[R4 Pts]]&gt;0),"YES", "NO")</f>
        <v>YES</v>
      </c>
      <c r="K330" s="3" t="str">
        <f>IF(AND(tbl_attendance[[#This Row],[R2 Pts]]&gt;0, tbl_attendance[[#This Row],[R4 Pts]]&gt;0), "YES", "NO")</f>
        <v>YES</v>
      </c>
      <c r="L330" s="3" t="str">
        <f>IF(
(tbl_attendance[[#This Row],[R1 Pts]]&gt;0)+(tbl_attendance[[#This Row],[R2 Pts]]&gt;0)+(tbl_attendance[[#This Row],[R3 Pts]]&gt;0)+(tbl_attendance[[#This Row],[R4 Pts]]&gt;0)&gt;=3,"YES", "NO")</f>
        <v>YES</v>
      </c>
      <c r="M330" s="3" t="str">
        <f>IF(AND(tbl_attendance[[#This Row],[R1 Pts]]=0, tbl_attendance[[#This Row],[R2 Pts]]=0,tbl_attendance[[#This Row],[R3 Pts]]=0,tbl_attendance[[#This Row],[R4 Pts]]=0),"YES", "NO")</f>
        <v>NO</v>
      </c>
    </row>
    <row r="331" spans="1:13" hidden="1" x14ac:dyDescent="0.4">
      <c r="A331" t="e">
        <f>_xlfn.TEXTBEFORE(#REF!," ",)</f>
        <v>#REF!</v>
      </c>
      <c r="B331" t="e">
        <f>_xlfn.TEXTAFTER(#REF!, " ", -1)</f>
        <v>#REF!</v>
      </c>
      <c r="C331" t="s">
        <v>30</v>
      </c>
      <c r="D331" t="s">
        <v>3</v>
      </c>
      <c r="E331" s="3">
        <v>10195</v>
      </c>
      <c r="F331" s="3">
        <v>0</v>
      </c>
      <c r="G331" s="3">
        <v>0</v>
      </c>
      <c r="H331" s="3">
        <v>17</v>
      </c>
      <c r="I331" s="3">
        <v>23</v>
      </c>
      <c r="J331" s="3" t="str">
        <f>IF(AND(tbl_attendance[[#This Row],[R1 Pts]]&gt;0, tbl_attendance[[#This Row],[R2 Pts]]&gt;0,tbl_attendance[[#This Row],[R3 Pts]]&gt;0,tbl_attendance[[#This Row],[R4 Pts]]&gt;0),"YES", "NO")</f>
        <v>NO</v>
      </c>
      <c r="K331" s="3" t="str">
        <f>IF(AND(tbl_attendance[[#This Row],[R2 Pts]]&gt;0, tbl_attendance[[#This Row],[R4 Pts]]&gt;0), "YES", "NO")</f>
        <v>NO</v>
      </c>
      <c r="L331" s="3" t="str">
        <f>IF(
(tbl_attendance[[#This Row],[R1 Pts]]&gt;0)+(tbl_attendance[[#This Row],[R2 Pts]]&gt;0)+(tbl_attendance[[#This Row],[R3 Pts]]&gt;0)+(tbl_attendance[[#This Row],[R4 Pts]]&gt;0)&gt;=3,"YES", "NO")</f>
        <v>NO</v>
      </c>
      <c r="M331" s="3" t="str">
        <f>IF(AND(tbl_attendance[[#This Row],[R1 Pts]]=0, tbl_attendance[[#This Row],[R2 Pts]]=0,tbl_attendance[[#This Row],[R3 Pts]]=0,tbl_attendance[[#This Row],[R4 Pts]]=0),"YES", "NO")</f>
        <v>NO</v>
      </c>
    </row>
    <row r="332" spans="1:13" hidden="1" x14ac:dyDescent="0.4">
      <c r="A332" t="e">
        <f>_xlfn.TEXTBEFORE(#REF!," ",)</f>
        <v>#REF!</v>
      </c>
      <c r="B332" t="e">
        <f>_xlfn.TEXTAFTER(#REF!, " ", -1)</f>
        <v>#REF!</v>
      </c>
      <c r="C332" t="s">
        <v>30</v>
      </c>
      <c r="D332" t="s">
        <v>3</v>
      </c>
      <c r="E332" s="3">
        <v>10196</v>
      </c>
      <c r="F332" s="3">
        <v>35</v>
      </c>
      <c r="G332" s="3">
        <v>35</v>
      </c>
      <c r="H332" s="3">
        <v>42</v>
      </c>
      <c r="I332" s="3">
        <v>27</v>
      </c>
      <c r="J332" s="3" t="str">
        <f>IF(AND(tbl_attendance[[#This Row],[R1 Pts]]&gt;0, tbl_attendance[[#This Row],[R2 Pts]]&gt;0,tbl_attendance[[#This Row],[R3 Pts]]&gt;0,tbl_attendance[[#This Row],[R4 Pts]]&gt;0),"YES", "NO")</f>
        <v>YES</v>
      </c>
      <c r="K332" s="3" t="str">
        <f>IF(AND(tbl_attendance[[#This Row],[R2 Pts]]&gt;0, tbl_attendance[[#This Row],[R4 Pts]]&gt;0), "YES", "NO")</f>
        <v>YES</v>
      </c>
      <c r="L332" s="3" t="str">
        <f>IF(
(tbl_attendance[[#This Row],[R1 Pts]]&gt;0)+(tbl_attendance[[#This Row],[R2 Pts]]&gt;0)+(tbl_attendance[[#This Row],[R3 Pts]]&gt;0)+(tbl_attendance[[#This Row],[R4 Pts]]&gt;0)&gt;=3,"YES", "NO")</f>
        <v>YES</v>
      </c>
      <c r="M332" s="3" t="str">
        <f>IF(AND(tbl_attendance[[#This Row],[R1 Pts]]=0, tbl_attendance[[#This Row],[R2 Pts]]=0,tbl_attendance[[#This Row],[R3 Pts]]=0,tbl_attendance[[#This Row],[R4 Pts]]=0),"YES", "NO")</f>
        <v>NO</v>
      </c>
    </row>
    <row r="333" spans="1:13" hidden="1" x14ac:dyDescent="0.4">
      <c r="A333" t="e">
        <f>_xlfn.TEXTBEFORE(#REF!," ",)</f>
        <v>#REF!</v>
      </c>
      <c r="B333" t="e">
        <f>_xlfn.TEXTAFTER(#REF!, " ", -1)</f>
        <v>#REF!</v>
      </c>
      <c r="C333" t="s">
        <v>30</v>
      </c>
      <c r="D333" t="s">
        <v>3</v>
      </c>
      <c r="E333" s="3">
        <v>10197</v>
      </c>
      <c r="F333" s="3">
        <v>1</v>
      </c>
      <c r="G333" s="3">
        <v>25</v>
      </c>
      <c r="H333" s="3">
        <v>21</v>
      </c>
      <c r="I333" s="3">
        <v>14</v>
      </c>
      <c r="J333" s="3" t="str">
        <f>IF(AND(tbl_attendance[[#This Row],[R1 Pts]]&gt;0, tbl_attendance[[#This Row],[R2 Pts]]&gt;0,tbl_attendance[[#This Row],[R3 Pts]]&gt;0,tbl_attendance[[#This Row],[R4 Pts]]&gt;0),"YES", "NO")</f>
        <v>YES</v>
      </c>
      <c r="K333" s="3" t="str">
        <f>IF(AND(tbl_attendance[[#This Row],[R2 Pts]]&gt;0, tbl_attendance[[#This Row],[R4 Pts]]&gt;0), "YES", "NO")</f>
        <v>YES</v>
      </c>
      <c r="L333" s="3" t="str">
        <f>IF(
(tbl_attendance[[#This Row],[R1 Pts]]&gt;0)+(tbl_attendance[[#This Row],[R2 Pts]]&gt;0)+(tbl_attendance[[#This Row],[R3 Pts]]&gt;0)+(tbl_attendance[[#This Row],[R4 Pts]]&gt;0)&gt;=3,"YES", "NO")</f>
        <v>YES</v>
      </c>
      <c r="M333" s="3" t="str">
        <f>IF(AND(tbl_attendance[[#This Row],[R1 Pts]]=0, tbl_attendance[[#This Row],[R2 Pts]]=0,tbl_attendance[[#This Row],[R3 Pts]]=0,tbl_attendance[[#This Row],[R4 Pts]]=0),"YES", "NO")</f>
        <v>NO</v>
      </c>
    </row>
    <row r="334" spans="1:13" hidden="1" x14ac:dyDescent="0.4">
      <c r="A334" t="e">
        <f>_xlfn.TEXTBEFORE(#REF!," ",)</f>
        <v>#REF!</v>
      </c>
      <c r="B334" t="e">
        <f>_xlfn.TEXTAFTER(#REF!, " ", -1)</f>
        <v>#REF!</v>
      </c>
      <c r="C334" t="s">
        <v>30</v>
      </c>
      <c r="D334" t="s">
        <v>3</v>
      </c>
      <c r="E334" s="3">
        <v>10199</v>
      </c>
      <c r="F334" s="3">
        <v>0</v>
      </c>
      <c r="G334" s="3">
        <v>0</v>
      </c>
      <c r="H334" s="3">
        <v>0</v>
      </c>
      <c r="I334" s="3">
        <v>21</v>
      </c>
      <c r="J334" s="3" t="str">
        <f>IF(AND(tbl_attendance[[#This Row],[R1 Pts]]&gt;0, tbl_attendance[[#This Row],[R2 Pts]]&gt;0,tbl_attendance[[#This Row],[R3 Pts]]&gt;0,tbl_attendance[[#This Row],[R4 Pts]]&gt;0),"YES", "NO")</f>
        <v>NO</v>
      </c>
      <c r="K334" s="3" t="str">
        <f>IF(AND(tbl_attendance[[#This Row],[R2 Pts]]&gt;0, tbl_attendance[[#This Row],[R4 Pts]]&gt;0), "YES", "NO")</f>
        <v>NO</v>
      </c>
      <c r="L334" s="3" t="str">
        <f>IF(
(tbl_attendance[[#This Row],[R1 Pts]]&gt;0)+(tbl_attendance[[#This Row],[R2 Pts]]&gt;0)+(tbl_attendance[[#This Row],[R3 Pts]]&gt;0)+(tbl_attendance[[#This Row],[R4 Pts]]&gt;0)&gt;=3,"YES", "NO")</f>
        <v>NO</v>
      </c>
      <c r="M334" s="3" t="str">
        <f>IF(AND(tbl_attendance[[#This Row],[R1 Pts]]=0, tbl_attendance[[#This Row],[R2 Pts]]=0,tbl_attendance[[#This Row],[R3 Pts]]=0,tbl_attendance[[#This Row],[R4 Pts]]=0),"YES", "NO")</f>
        <v>NO</v>
      </c>
    </row>
    <row r="335" spans="1:13" hidden="1" x14ac:dyDescent="0.4">
      <c r="A335" t="e">
        <f>_xlfn.TEXTBEFORE(#REF!," ",)</f>
        <v>#REF!</v>
      </c>
      <c r="B335" t="e">
        <f>_xlfn.TEXTAFTER(#REF!, " ", -1)</f>
        <v>#REF!</v>
      </c>
      <c r="C335" t="s">
        <v>30</v>
      </c>
      <c r="D335" t="s">
        <v>3</v>
      </c>
      <c r="E335" s="3">
        <v>10200</v>
      </c>
      <c r="F335" s="3">
        <v>0</v>
      </c>
      <c r="G335" s="3">
        <v>29</v>
      </c>
      <c r="H335" s="3">
        <v>0</v>
      </c>
      <c r="I335" s="3">
        <v>40</v>
      </c>
      <c r="J335" s="3" t="str">
        <f>IF(AND(tbl_attendance[[#This Row],[R1 Pts]]&gt;0, tbl_attendance[[#This Row],[R2 Pts]]&gt;0,tbl_attendance[[#This Row],[R3 Pts]]&gt;0,tbl_attendance[[#This Row],[R4 Pts]]&gt;0),"YES", "NO")</f>
        <v>NO</v>
      </c>
      <c r="K335" s="3" t="str">
        <f>IF(AND(tbl_attendance[[#This Row],[R2 Pts]]&gt;0, tbl_attendance[[#This Row],[R4 Pts]]&gt;0), "YES", "NO")</f>
        <v>YES</v>
      </c>
      <c r="L335" s="3" t="str">
        <f>IF(
(tbl_attendance[[#This Row],[R1 Pts]]&gt;0)+(tbl_attendance[[#This Row],[R2 Pts]]&gt;0)+(tbl_attendance[[#This Row],[R3 Pts]]&gt;0)+(tbl_attendance[[#This Row],[R4 Pts]]&gt;0)&gt;=3,"YES", "NO")</f>
        <v>NO</v>
      </c>
      <c r="M335" s="3" t="str">
        <f>IF(AND(tbl_attendance[[#This Row],[R1 Pts]]=0, tbl_attendance[[#This Row],[R2 Pts]]=0,tbl_attendance[[#This Row],[R3 Pts]]=0,tbl_attendance[[#This Row],[R4 Pts]]=0),"YES", "NO")</f>
        <v>NO</v>
      </c>
    </row>
    <row r="336" spans="1:13" hidden="1" x14ac:dyDescent="0.4">
      <c r="A336" t="e">
        <f>_xlfn.TEXTBEFORE(#REF!," ",)</f>
        <v>#REF!</v>
      </c>
      <c r="B336" t="e">
        <f>_xlfn.TEXTAFTER(#REF!, " ", -1)</f>
        <v>#REF!</v>
      </c>
      <c r="C336" t="s">
        <v>30</v>
      </c>
      <c r="D336" t="s">
        <v>3</v>
      </c>
      <c r="E336" s="3">
        <v>10201</v>
      </c>
      <c r="F336" s="3">
        <v>0</v>
      </c>
      <c r="G336" s="3">
        <v>15</v>
      </c>
      <c r="H336" s="3">
        <v>0</v>
      </c>
      <c r="I336" s="3">
        <v>65</v>
      </c>
      <c r="J336" s="3" t="str">
        <f>IF(AND(tbl_attendance[[#This Row],[R1 Pts]]&gt;0, tbl_attendance[[#This Row],[R2 Pts]]&gt;0,tbl_attendance[[#This Row],[R3 Pts]]&gt;0,tbl_attendance[[#This Row],[R4 Pts]]&gt;0),"YES", "NO")</f>
        <v>NO</v>
      </c>
      <c r="K336" s="3" t="str">
        <f>IF(AND(tbl_attendance[[#This Row],[R2 Pts]]&gt;0, tbl_attendance[[#This Row],[R4 Pts]]&gt;0), "YES", "NO")</f>
        <v>YES</v>
      </c>
      <c r="L336" s="3" t="str">
        <f>IF(
(tbl_attendance[[#This Row],[R1 Pts]]&gt;0)+(tbl_attendance[[#This Row],[R2 Pts]]&gt;0)+(tbl_attendance[[#This Row],[R3 Pts]]&gt;0)+(tbl_attendance[[#This Row],[R4 Pts]]&gt;0)&gt;=3,"YES", "NO")</f>
        <v>NO</v>
      </c>
      <c r="M336" s="3" t="str">
        <f>IF(AND(tbl_attendance[[#This Row],[R1 Pts]]=0, tbl_attendance[[#This Row],[R2 Pts]]=0,tbl_attendance[[#This Row],[R3 Pts]]=0,tbl_attendance[[#This Row],[R4 Pts]]=0),"YES", "NO")</f>
        <v>NO</v>
      </c>
    </row>
    <row r="337" spans="1:13" hidden="1" x14ac:dyDescent="0.4">
      <c r="A337" t="e">
        <f>_xlfn.TEXTBEFORE(#REF!," ",)</f>
        <v>#REF!</v>
      </c>
      <c r="B337" t="e">
        <f>_xlfn.TEXTAFTER(#REF!, " ", -1)</f>
        <v>#REF!</v>
      </c>
      <c r="C337" t="s">
        <v>30</v>
      </c>
      <c r="D337" t="s">
        <v>1</v>
      </c>
      <c r="E337" s="3">
        <v>12097</v>
      </c>
      <c r="F337" s="3">
        <v>0</v>
      </c>
      <c r="G337" s="3">
        <v>35</v>
      </c>
      <c r="H337" s="3">
        <v>0</v>
      </c>
      <c r="I337" s="3">
        <v>35</v>
      </c>
      <c r="J337" s="3" t="str">
        <f>IF(AND(tbl_attendance[[#This Row],[R1 Pts]]&gt;0, tbl_attendance[[#This Row],[R2 Pts]]&gt;0,tbl_attendance[[#This Row],[R3 Pts]]&gt;0,tbl_attendance[[#This Row],[R4 Pts]]&gt;0),"YES", "NO")</f>
        <v>NO</v>
      </c>
      <c r="K337" s="3" t="str">
        <f>IF(AND(tbl_attendance[[#This Row],[R2 Pts]]&gt;0, tbl_attendance[[#This Row],[R4 Pts]]&gt;0), "YES", "NO")</f>
        <v>YES</v>
      </c>
      <c r="L337" s="3" t="str">
        <f>IF(
(tbl_attendance[[#This Row],[R1 Pts]]&gt;0)+(tbl_attendance[[#This Row],[R2 Pts]]&gt;0)+(tbl_attendance[[#This Row],[R3 Pts]]&gt;0)+(tbl_attendance[[#This Row],[R4 Pts]]&gt;0)&gt;=3,"YES", "NO")</f>
        <v>NO</v>
      </c>
      <c r="M337" s="3" t="str">
        <f>IF(AND(tbl_attendance[[#This Row],[R1 Pts]]=0, tbl_attendance[[#This Row],[R2 Pts]]=0,tbl_attendance[[#This Row],[R3 Pts]]=0,tbl_attendance[[#This Row],[R4 Pts]]=0),"YES", "NO")</f>
        <v>NO</v>
      </c>
    </row>
    <row r="338" spans="1:13" hidden="1" x14ac:dyDescent="0.4">
      <c r="A338" t="e">
        <f>_xlfn.TEXTBEFORE(#REF!," ",)</f>
        <v>#REF!</v>
      </c>
      <c r="B338" t="e">
        <f>_xlfn.TEXTAFTER(#REF!, " ", -1)</f>
        <v>#REF!</v>
      </c>
      <c r="C338" t="s">
        <v>30</v>
      </c>
      <c r="D338" t="s">
        <v>1</v>
      </c>
      <c r="E338" s="3">
        <v>12098</v>
      </c>
      <c r="F338" s="3">
        <v>40</v>
      </c>
      <c r="G338" s="3">
        <v>38</v>
      </c>
      <c r="H338" s="3">
        <v>35</v>
      </c>
      <c r="I338" s="3">
        <v>41</v>
      </c>
      <c r="J338" s="3" t="str">
        <f>IF(AND(tbl_attendance[[#This Row],[R1 Pts]]&gt;0, tbl_attendance[[#This Row],[R2 Pts]]&gt;0,tbl_attendance[[#This Row],[R3 Pts]]&gt;0,tbl_attendance[[#This Row],[R4 Pts]]&gt;0),"YES", "NO")</f>
        <v>YES</v>
      </c>
      <c r="K338" s="3" t="str">
        <f>IF(AND(tbl_attendance[[#This Row],[R2 Pts]]&gt;0, tbl_attendance[[#This Row],[R4 Pts]]&gt;0), "YES", "NO")</f>
        <v>YES</v>
      </c>
      <c r="L338" s="3" t="str">
        <f>IF(
(tbl_attendance[[#This Row],[R1 Pts]]&gt;0)+(tbl_attendance[[#This Row],[R2 Pts]]&gt;0)+(tbl_attendance[[#This Row],[R3 Pts]]&gt;0)+(tbl_attendance[[#This Row],[R4 Pts]]&gt;0)&gt;=3,"YES", "NO")</f>
        <v>YES</v>
      </c>
      <c r="M338" s="3" t="str">
        <f>IF(AND(tbl_attendance[[#This Row],[R1 Pts]]=0, tbl_attendance[[#This Row],[R2 Pts]]=0,tbl_attendance[[#This Row],[R3 Pts]]=0,tbl_attendance[[#This Row],[R4 Pts]]=0),"YES", "NO")</f>
        <v>NO</v>
      </c>
    </row>
    <row r="339" spans="1:13" hidden="1" x14ac:dyDescent="0.4">
      <c r="A339" t="e">
        <f>_xlfn.TEXTBEFORE(#REF!," ",)</f>
        <v>#REF!</v>
      </c>
      <c r="B339" t="e">
        <f>_xlfn.TEXTAFTER(#REF!, " ", -1)</f>
        <v>#REF!</v>
      </c>
      <c r="C339" t="s">
        <v>30</v>
      </c>
      <c r="D339" t="s">
        <v>1</v>
      </c>
      <c r="E339" s="3">
        <v>12099</v>
      </c>
      <c r="F339" s="3">
        <v>45</v>
      </c>
      <c r="G339" s="3">
        <v>39</v>
      </c>
      <c r="H339" s="3">
        <v>0</v>
      </c>
      <c r="I339" s="3">
        <v>45</v>
      </c>
      <c r="J339" s="3" t="str">
        <f>IF(AND(tbl_attendance[[#This Row],[R1 Pts]]&gt;0, tbl_attendance[[#This Row],[R2 Pts]]&gt;0,tbl_attendance[[#This Row],[R3 Pts]]&gt;0,tbl_attendance[[#This Row],[R4 Pts]]&gt;0),"YES", "NO")</f>
        <v>NO</v>
      </c>
      <c r="K339" s="3" t="str">
        <f>IF(AND(tbl_attendance[[#This Row],[R2 Pts]]&gt;0, tbl_attendance[[#This Row],[R4 Pts]]&gt;0), "YES", "NO")</f>
        <v>YES</v>
      </c>
      <c r="L339" s="3" t="str">
        <f>IF(
(tbl_attendance[[#This Row],[R1 Pts]]&gt;0)+(tbl_attendance[[#This Row],[R2 Pts]]&gt;0)+(tbl_attendance[[#This Row],[R3 Pts]]&gt;0)+(tbl_attendance[[#This Row],[R4 Pts]]&gt;0)&gt;=3,"YES", "NO")</f>
        <v>YES</v>
      </c>
      <c r="M339" s="3" t="str">
        <f>IF(AND(tbl_attendance[[#This Row],[R1 Pts]]=0, tbl_attendance[[#This Row],[R2 Pts]]=0,tbl_attendance[[#This Row],[R3 Pts]]=0,tbl_attendance[[#This Row],[R4 Pts]]=0),"YES", "NO")</f>
        <v>NO</v>
      </c>
    </row>
    <row r="340" spans="1:13" hidden="1" x14ac:dyDescent="0.4">
      <c r="A340" t="e">
        <f>_xlfn.TEXTBEFORE(#REF!," ",)</f>
        <v>#REF!</v>
      </c>
      <c r="B340" t="e">
        <f>_xlfn.TEXTAFTER(#REF!, " ", -1)</f>
        <v>#REF!</v>
      </c>
      <c r="C340" t="s">
        <v>30</v>
      </c>
      <c r="D340" t="s">
        <v>1</v>
      </c>
      <c r="E340" s="3">
        <v>12100</v>
      </c>
      <c r="F340" s="3">
        <v>0</v>
      </c>
      <c r="G340" s="3">
        <v>80</v>
      </c>
      <c r="H340" s="3">
        <v>80</v>
      </c>
      <c r="I340" s="3">
        <v>65</v>
      </c>
      <c r="J340" s="3" t="str">
        <f>IF(AND(tbl_attendance[[#This Row],[R1 Pts]]&gt;0, tbl_attendance[[#This Row],[R2 Pts]]&gt;0,tbl_attendance[[#This Row],[R3 Pts]]&gt;0,tbl_attendance[[#This Row],[R4 Pts]]&gt;0),"YES", "NO")</f>
        <v>NO</v>
      </c>
      <c r="K340" s="3" t="str">
        <f>IF(AND(tbl_attendance[[#This Row],[R2 Pts]]&gt;0, tbl_attendance[[#This Row],[R4 Pts]]&gt;0), "YES", "NO")</f>
        <v>YES</v>
      </c>
      <c r="L340" s="3" t="str">
        <f>IF(
(tbl_attendance[[#This Row],[R1 Pts]]&gt;0)+(tbl_attendance[[#This Row],[R2 Pts]]&gt;0)+(tbl_attendance[[#This Row],[R3 Pts]]&gt;0)+(tbl_attendance[[#This Row],[R4 Pts]]&gt;0)&gt;=3,"YES", "NO")</f>
        <v>YES</v>
      </c>
      <c r="M340" s="3" t="str">
        <f>IF(AND(tbl_attendance[[#This Row],[R1 Pts]]=0, tbl_attendance[[#This Row],[R2 Pts]]=0,tbl_attendance[[#This Row],[R3 Pts]]=0,tbl_attendance[[#This Row],[R4 Pts]]=0),"YES", "NO")</f>
        <v>NO</v>
      </c>
    </row>
    <row r="341" spans="1:13" hidden="1" x14ac:dyDescent="0.4">
      <c r="A341" t="e">
        <f>_xlfn.TEXTBEFORE(#REF!," ",)</f>
        <v>#REF!</v>
      </c>
      <c r="B341" t="e">
        <f>_xlfn.TEXTAFTER(#REF!, " ", -1)</f>
        <v>#REF!</v>
      </c>
      <c r="C341" t="s">
        <v>30</v>
      </c>
      <c r="D341" t="s">
        <v>1</v>
      </c>
      <c r="E341" s="3">
        <v>12906</v>
      </c>
      <c r="F341" s="3">
        <v>0</v>
      </c>
      <c r="G341" s="3">
        <v>0</v>
      </c>
      <c r="H341" s="3">
        <v>0</v>
      </c>
      <c r="I341" s="3">
        <v>85</v>
      </c>
      <c r="J341" s="3" t="str">
        <f>IF(AND(tbl_attendance[[#This Row],[R1 Pts]]&gt;0, tbl_attendance[[#This Row],[R2 Pts]]&gt;0,tbl_attendance[[#This Row],[R3 Pts]]&gt;0,tbl_attendance[[#This Row],[R4 Pts]]&gt;0),"YES", "NO")</f>
        <v>NO</v>
      </c>
      <c r="K341" s="3" t="str">
        <f>IF(AND(tbl_attendance[[#This Row],[R2 Pts]]&gt;0, tbl_attendance[[#This Row],[R4 Pts]]&gt;0), "YES", "NO")</f>
        <v>NO</v>
      </c>
      <c r="L341" s="3" t="str">
        <f>IF(
(tbl_attendance[[#This Row],[R1 Pts]]&gt;0)+(tbl_attendance[[#This Row],[R2 Pts]]&gt;0)+(tbl_attendance[[#This Row],[R3 Pts]]&gt;0)+(tbl_attendance[[#This Row],[R4 Pts]]&gt;0)&gt;=3,"YES", "NO")</f>
        <v>NO</v>
      </c>
      <c r="M341" s="3" t="str">
        <f>IF(AND(tbl_attendance[[#This Row],[R1 Pts]]=0, tbl_attendance[[#This Row],[R2 Pts]]=0,tbl_attendance[[#This Row],[R3 Pts]]=0,tbl_attendance[[#This Row],[R4 Pts]]=0),"YES", "NO")</f>
        <v>NO</v>
      </c>
    </row>
    <row r="342" spans="1:13" hidden="1" x14ac:dyDescent="0.4">
      <c r="A342" t="e">
        <f>_xlfn.TEXTBEFORE(#REF!," ",)</f>
        <v>#REF!</v>
      </c>
      <c r="B342" t="e">
        <f>_xlfn.TEXTAFTER(#REF!, " ", -1)</f>
        <v>#REF!</v>
      </c>
      <c r="C342" t="s">
        <v>31</v>
      </c>
      <c r="D342" t="s">
        <v>5</v>
      </c>
      <c r="E342" s="3">
        <v>952</v>
      </c>
      <c r="F342" s="3">
        <v>0</v>
      </c>
      <c r="G342" s="3">
        <v>0</v>
      </c>
      <c r="H342" s="3">
        <v>0</v>
      </c>
      <c r="I342" s="3">
        <v>0</v>
      </c>
      <c r="J342" s="3" t="str">
        <f>IF(AND(tbl_attendance[[#This Row],[R1 Pts]]&gt;0, tbl_attendance[[#This Row],[R2 Pts]]&gt;0,tbl_attendance[[#This Row],[R3 Pts]]&gt;0,tbl_attendance[[#This Row],[R4 Pts]]&gt;0),"YES", "NO")</f>
        <v>NO</v>
      </c>
      <c r="K342" s="3" t="str">
        <f>IF(AND(tbl_attendance[[#This Row],[R2 Pts]]&gt;0, tbl_attendance[[#This Row],[R4 Pts]]&gt;0), "YES", "NO")</f>
        <v>NO</v>
      </c>
      <c r="L342" s="3" t="str">
        <f>IF(
(tbl_attendance[[#This Row],[R1 Pts]]&gt;0)+(tbl_attendance[[#This Row],[R2 Pts]]&gt;0)+(tbl_attendance[[#This Row],[R3 Pts]]&gt;0)+(tbl_attendance[[#This Row],[R4 Pts]]&gt;0)&gt;=3,"YES", "NO")</f>
        <v>NO</v>
      </c>
      <c r="M342" s="3" t="str">
        <f>IF(AND(tbl_attendance[[#This Row],[R1 Pts]]=0, tbl_attendance[[#This Row],[R2 Pts]]=0,tbl_attendance[[#This Row],[R3 Pts]]=0,tbl_attendance[[#This Row],[R4 Pts]]=0),"YES", "NO")</f>
        <v>YES</v>
      </c>
    </row>
    <row r="343" spans="1:13" hidden="1" x14ac:dyDescent="0.4">
      <c r="A343" t="e">
        <f>_xlfn.TEXTBEFORE(#REF!," ",)</f>
        <v>#REF!</v>
      </c>
      <c r="B343" t="e">
        <f>_xlfn.TEXTAFTER(#REF!, " ", -1)</f>
        <v>#REF!</v>
      </c>
      <c r="C343" t="s">
        <v>31</v>
      </c>
      <c r="D343" t="s">
        <v>5</v>
      </c>
      <c r="E343" s="3">
        <v>953</v>
      </c>
      <c r="F343" s="3">
        <v>0</v>
      </c>
      <c r="G343" s="3">
        <v>0</v>
      </c>
      <c r="H343" s="3">
        <v>0</v>
      </c>
      <c r="I343" s="3">
        <v>0</v>
      </c>
      <c r="J343" s="3" t="str">
        <f>IF(AND(tbl_attendance[[#This Row],[R1 Pts]]&gt;0, tbl_attendance[[#This Row],[R2 Pts]]&gt;0,tbl_attendance[[#This Row],[R3 Pts]]&gt;0,tbl_attendance[[#This Row],[R4 Pts]]&gt;0),"YES", "NO")</f>
        <v>NO</v>
      </c>
      <c r="K343" s="3" t="str">
        <f>IF(AND(tbl_attendance[[#This Row],[R2 Pts]]&gt;0, tbl_attendance[[#This Row],[R4 Pts]]&gt;0), "YES", "NO")</f>
        <v>NO</v>
      </c>
      <c r="L343" s="3" t="str">
        <f>IF(
(tbl_attendance[[#This Row],[R1 Pts]]&gt;0)+(tbl_attendance[[#This Row],[R2 Pts]]&gt;0)+(tbl_attendance[[#This Row],[R3 Pts]]&gt;0)+(tbl_attendance[[#This Row],[R4 Pts]]&gt;0)&gt;=3,"YES", "NO")</f>
        <v>NO</v>
      </c>
      <c r="M343" s="3" t="str">
        <f>IF(AND(tbl_attendance[[#This Row],[R1 Pts]]=0, tbl_attendance[[#This Row],[R2 Pts]]=0,tbl_attendance[[#This Row],[R3 Pts]]=0,tbl_attendance[[#This Row],[R4 Pts]]=0),"YES", "NO")</f>
        <v>YES</v>
      </c>
    </row>
    <row r="344" spans="1:13" hidden="1" x14ac:dyDescent="0.4">
      <c r="A344" t="e">
        <f>_xlfn.TEXTBEFORE(#REF!," ",)</f>
        <v>#REF!</v>
      </c>
      <c r="B344" t="e">
        <f>_xlfn.TEXTAFTER(#REF!, " ", -1)</f>
        <v>#REF!</v>
      </c>
      <c r="C344" t="s">
        <v>31</v>
      </c>
      <c r="D344" t="s">
        <v>5</v>
      </c>
      <c r="E344" s="3">
        <v>954</v>
      </c>
      <c r="F344" s="3">
        <v>21</v>
      </c>
      <c r="G344" s="3">
        <v>24</v>
      </c>
      <c r="H344" s="3">
        <v>0</v>
      </c>
      <c r="I344" s="3">
        <v>29</v>
      </c>
      <c r="J344" s="3" t="str">
        <f>IF(AND(tbl_attendance[[#This Row],[R1 Pts]]&gt;0, tbl_attendance[[#This Row],[R2 Pts]]&gt;0,tbl_attendance[[#This Row],[R3 Pts]]&gt;0,tbl_attendance[[#This Row],[R4 Pts]]&gt;0),"YES", "NO")</f>
        <v>NO</v>
      </c>
      <c r="K344" s="3" t="str">
        <f>IF(AND(tbl_attendance[[#This Row],[R2 Pts]]&gt;0, tbl_attendance[[#This Row],[R4 Pts]]&gt;0), "YES", "NO")</f>
        <v>YES</v>
      </c>
      <c r="L344" s="3" t="str">
        <f>IF(
(tbl_attendance[[#This Row],[R1 Pts]]&gt;0)+(tbl_attendance[[#This Row],[R2 Pts]]&gt;0)+(tbl_attendance[[#This Row],[R3 Pts]]&gt;0)+(tbl_attendance[[#This Row],[R4 Pts]]&gt;0)&gt;=3,"YES", "NO")</f>
        <v>YES</v>
      </c>
      <c r="M344" s="3" t="str">
        <f>IF(AND(tbl_attendance[[#This Row],[R1 Pts]]=0, tbl_attendance[[#This Row],[R2 Pts]]=0,tbl_attendance[[#This Row],[R3 Pts]]=0,tbl_attendance[[#This Row],[R4 Pts]]=0),"YES", "NO")</f>
        <v>NO</v>
      </c>
    </row>
    <row r="345" spans="1:13" hidden="1" x14ac:dyDescent="0.4">
      <c r="A345" t="e">
        <f>_xlfn.TEXTBEFORE(#REF!," ",)</f>
        <v>#REF!</v>
      </c>
      <c r="B345" t="e">
        <f>_xlfn.TEXTAFTER(#REF!, " ", -1)</f>
        <v>#REF!</v>
      </c>
      <c r="C345" t="s">
        <v>31</v>
      </c>
      <c r="D345" t="s">
        <v>4</v>
      </c>
      <c r="E345" s="3">
        <v>1044</v>
      </c>
      <c r="F345" s="3">
        <v>0</v>
      </c>
      <c r="G345" s="3">
        <v>80</v>
      </c>
      <c r="H345" s="3">
        <v>75</v>
      </c>
      <c r="I345" s="3">
        <v>60</v>
      </c>
      <c r="J345" s="3" t="str">
        <f>IF(AND(tbl_attendance[[#This Row],[R1 Pts]]&gt;0, tbl_attendance[[#This Row],[R2 Pts]]&gt;0,tbl_attendance[[#This Row],[R3 Pts]]&gt;0,tbl_attendance[[#This Row],[R4 Pts]]&gt;0),"YES", "NO")</f>
        <v>NO</v>
      </c>
      <c r="K345" s="3" t="str">
        <f>IF(AND(tbl_attendance[[#This Row],[R2 Pts]]&gt;0, tbl_attendance[[#This Row],[R4 Pts]]&gt;0), "YES", "NO")</f>
        <v>YES</v>
      </c>
      <c r="L345" s="3" t="str">
        <f>IF(
(tbl_attendance[[#This Row],[R1 Pts]]&gt;0)+(tbl_attendance[[#This Row],[R2 Pts]]&gt;0)+(tbl_attendance[[#This Row],[R3 Pts]]&gt;0)+(tbl_attendance[[#This Row],[R4 Pts]]&gt;0)&gt;=3,"YES", "NO")</f>
        <v>YES</v>
      </c>
      <c r="M345" s="3" t="str">
        <f>IF(AND(tbl_attendance[[#This Row],[R1 Pts]]=0, tbl_attendance[[#This Row],[R2 Pts]]=0,tbl_attendance[[#This Row],[R3 Pts]]=0,tbl_attendance[[#This Row],[R4 Pts]]=0),"YES", "NO")</f>
        <v>NO</v>
      </c>
    </row>
    <row r="346" spans="1:13" hidden="1" x14ac:dyDescent="0.4">
      <c r="A346" t="e">
        <f>_xlfn.TEXTBEFORE(#REF!," ",)</f>
        <v>#REF!</v>
      </c>
      <c r="B346" t="e">
        <f>_xlfn.TEXTAFTER(#REF!, " ", -1)</f>
        <v>#REF!</v>
      </c>
      <c r="C346" t="s">
        <v>31</v>
      </c>
      <c r="D346" t="s">
        <v>2</v>
      </c>
      <c r="E346" s="3">
        <v>1248</v>
      </c>
      <c r="F346" s="3">
        <v>100</v>
      </c>
      <c r="G346" s="3">
        <v>85</v>
      </c>
      <c r="H346" s="3">
        <v>100</v>
      </c>
      <c r="I346" s="3">
        <v>85</v>
      </c>
      <c r="J346" s="3" t="str">
        <f>IF(AND(tbl_attendance[[#This Row],[R1 Pts]]&gt;0, tbl_attendance[[#This Row],[R2 Pts]]&gt;0,tbl_attendance[[#This Row],[R3 Pts]]&gt;0,tbl_attendance[[#This Row],[R4 Pts]]&gt;0),"YES", "NO")</f>
        <v>YES</v>
      </c>
      <c r="K346" s="3" t="str">
        <f>IF(AND(tbl_attendance[[#This Row],[R2 Pts]]&gt;0, tbl_attendance[[#This Row],[R4 Pts]]&gt;0), "YES", "NO")</f>
        <v>YES</v>
      </c>
      <c r="L346" s="3" t="str">
        <f>IF(
(tbl_attendance[[#This Row],[R1 Pts]]&gt;0)+(tbl_attendance[[#This Row],[R2 Pts]]&gt;0)+(tbl_attendance[[#This Row],[R3 Pts]]&gt;0)+(tbl_attendance[[#This Row],[R4 Pts]]&gt;0)&gt;=3,"YES", "NO")</f>
        <v>YES</v>
      </c>
      <c r="M346" s="3" t="str">
        <f>IF(AND(tbl_attendance[[#This Row],[R1 Pts]]=0, tbl_attendance[[#This Row],[R2 Pts]]=0,tbl_attendance[[#This Row],[R3 Pts]]=0,tbl_attendance[[#This Row],[R4 Pts]]=0),"YES", "NO")</f>
        <v>NO</v>
      </c>
    </row>
    <row r="347" spans="1:13" hidden="1" x14ac:dyDescent="0.4">
      <c r="A347" t="e">
        <f>_xlfn.TEXTBEFORE(#REF!," ",)</f>
        <v>#REF!</v>
      </c>
      <c r="B347" t="e">
        <f>_xlfn.TEXTAFTER(#REF!, " ", -1)</f>
        <v>#REF!</v>
      </c>
      <c r="C347" t="s">
        <v>31</v>
      </c>
      <c r="D347" t="s">
        <v>2</v>
      </c>
      <c r="E347" s="3">
        <v>1249</v>
      </c>
      <c r="F347" s="3">
        <v>75</v>
      </c>
      <c r="G347" s="3">
        <v>60</v>
      </c>
      <c r="H347" s="3">
        <v>90</v>
      </c>
      <c r="I347" s="3">
        <v>80</v>
      </c>
      <c r="J347" s="3" t="str">
        <f>IF(AND(tbl_attendance[[#This Row],[R1 Pts]]&gt;0, tbl_attendance[[#This Row],[R2 Pts]]&gt;0,tbl_attendance[[#This Row],[R3 Pts]]&gt;0,tbl_attendance[[#This Row],[R4 Pts]]&gt;0),"YES", "NO")</f>
        <v>YES</v>
      </c>
      <c r="K347" s="3" t="str">
        <f>IF(AND(tbl_attendance[[#This Row],[R2 Pts]]&gt;0, tbl_attendance[[#This Row],[R4 Pts]]&gt;0), "YES", "NO")</f>
        <v>YES</v>
      </c>
      <c r="L347" s="3" t="str">
        <f>IF(
(tbl_attendance[[#This Row],[R1 Pts]]&gt;0)+(tbl_attendance[[#This Row],[R2 Pts]]&gt;0)+(tbl_attendance[[#This Row],[R3 Pts]]&gt;0)+(tbl_attendance[[#This Row],[R4 Pts]]&gt;0)&gt;=3,"YES", "NO")</f>
        <v>YES</v>
      </c>
      <c r="M347" s="3" t="str">
        <f>IF(AND(tbl_attendance[[#This Row],[R1 Pts]]=0, tbl_attendance[[#This Row],[R2 Pts]]=0,tbl_attendance[[#This Row],[R3 Pts]]=0,tbl_attendance[[#This Row],[R4 Pts]]=0),"YES", "NO")</f>
        <v>NO</v>
      </c>
    </row>
    <row r="348" spans="1:13" hidden="1" x14ac:dyDescent="0.4">
      <c r="A348" t="e">
        <f>_xlfn.TEXTBEFORE(#REF!," ",)</f>
        <v>#REF!</v>
      </c>
      <c r="B348" t="e">
        <f>_xlfn.TEXTAFTER(#REF!, " ", -1)</f>
        <v>#REF!</v>
      </c>
      <c r="C348" t="s">
        <v>31</v>
      </c>
      <c r="D348" t="s">
        <v>7</v>
      </c>
      <c r="E348" s="3">
        <v>8084</v>
      </c>
      <c r="F348" s="3">
        <v>0</v>
      </c>
      <c r="G348" s="3">
        <v>60</v>
      </c>
      <c r="H348" s="3">
        <v>32</v>
      </c>
      <c r="I348" s="3">
        <v>55</v>
      </c>
      <c r="J348" s="3" t="str">
        <f>IF(AND(tbl_attendance[[#This Row],[R1 Pts]]&gt;0, tbl_attendance[[#This Row],[R2 Pts]]&gt;0,tbl_attendance[[#This Row],[R3 Pts]]&gt;0,tbl_attendance[[#This Row],[R4 Pts]]&gt;0),"YES", "NO")</f>
        <v>NO</v>
      </c>
      <c r="K348" s="3" t="str">
        <f>IF(AND(tbl_attendance[[#This Row],[R2 Pts]]&gt;0, tbl_attendance[[#This Row],[R4 Pts]]&gt;0), "YES", "NO")</f>
        <v>YES</v>
      </c>
      <c r="L348" s="3" t="str">
        <f>IF(
(tbl_attendance[[#This Row],[R1 Pts]]&gt;0)+(tbl_attendance[[#This Row],[R2 Pts]]&gt;0)+(tbl_attendance[[#This Row],[R3 Pts]]&gt;0)+(tbl_attendance[[#This Row],[R4 Pts]]&gt;0)&gt;=3,"YES", "NO")</f>
        <v>YES</v>
      </c>
      <c r="M348" s="3" t="str">
        <f>IF(AND(tbl_attendance[[#This Row],[R1 Pts]]=0, tbl_attendance[[#This Row],[R2 Pts]]=0,tbl_attendance[[#This Row],[R3 Pts]]=0,tbl_attendance[[#This Row],[R4 Pts]]=0),"YES", "NO")</f>
        <v>NO</v>
      </c>
    </row>
    <row r="349" spans="1:13" hidden="1" x14ac:dyDescent="0.4">
      <c r="A349" t="e">
        <f>_xlfn.TEXTBEFORE(#REF!," ",)</f>
        <v>#REF!</v>
      </c>
      <c r="B349" t="e">
        <f>_xlfn.TEXTAFTER(#REF!, " ", -1)</f>
        <v>#REF!</v>
      </c>
      <c r="C349" t="s">
        <v>31</v>
      </c>
      <c r="D349" t="s">
        <v>3</v>
      </c>
      <c r="E349" s="3">
        <v>10202</v>
      </c>
      <c r="F349" s="3">
        <v>30</v>
      </c>
      <c r="G349" s="3">
        <v>0</v>
      </c>
      <c r="H349" s="3">
        <v>0</v>
      </c>
      <c r="I349" s="3">
        <v>44</v>
      </c>
      <c r="J349" s="3" t="str">
        <f>IF(AND(tbl_attendance[[#This Row],[R1 Pts]]&gt;0, tbl_attendance[[#This Row],[R2 Pts]]&gt;0,tbl_attendance[[#This Row],[R3 Pts]]&gt;0,tbl_attendance[[#This Row],[R4 Pts]]&gt;0),"YES", "NO")</f>
        <v>NO</v>
      </c>
      <c r="K349" s="3" t="str">
        <f>IF(AND(tbl_attendance[[#This Row],[R2 Pts]]&gt;0, tbl_attendance[[#This Row],[R4 Pts]]&gt;0), "YES", "NO")</f>
        <v>NO</v>
      </c>
      <c r="L349" s="3" t="str">
        <f>IF(
(tbl_attendance[[#This Row],[R1 Pts]]&gt;0)+(tbl_attendance[[#This Row],[R2 Pts]]&gt;0)+(tbl_attendance[[#This Row],[R3 Pts]]&gt;0)+(tbl_attendance[[#This Row],[R4 Pts]]&gt;0)&gt;=3,"YES", "NO")</f>
        <v>NO</v>
      </c>
      <c r="M349" s="3" t="str">
        <f>IF(AND(tbl_attendance[[#This Row],[R1 Pts]]=0, tbl_attendance[[#This Row],[R2 Pts]]=0,tbl_attendance[[#This Row],[R3 Pts]]=0,tbl_attendance[[#This Row],[R4 Pts]]=0),"YES", "NO")</f>
        <v>NO</v>
      </c>
    </row>
    <row r="350" spans="1:13" hidden="1" x14ac:dyDescent="0.4">
      <c r="A350" t="e">
        <f>_xlfn.TEXTBEFORE(#REF!," ",)</f>
        <v>#REF!</v>
      </c>
      <c r="B350" t="e">
        <f>_xlfn.TEXTAFTER(#REF!, " ", -1)</f>
        <v>#REF!</v>
      </c>
      <c r="C350" t="s">
        <v>31</v>
      </c>
      <c r="D350" t="s">
        <v>1</v>
      </c>
      <c r="E350" s="3">
        <v>12101</v>
      </c>
      <c r="F350" s="3">
        <v>0</v>
      </c>
      <c r="G350" s="3">
        <v>47</v>
      </c>
      <c r="H350" s="3">
        <v>43</v>
      </c>
      <c r="I350" s="3">
        <v>47</v>
      </c>
      <c r="J350" s="3" t="str">
        <f>IF(AND(tbl_attendance[[#This Row],[R1 Pts]]&gt;0, tbl_attendance[[#This Row],[R2 Pts]]&gt;0,tbl_attendance[[#This Row],[R3 Pts]]&gt;0,tbl_attendance[[#This Row],[R4 Pts]]&gt;0),"YES", "NO")</f>
        <v>NO</v>
      </c>
      <c r="K350" s="3" t="str">
        <f>IF(AND(tbl_attendance[[#This Row],[R2 Pts]]&gt;0, tbl_attendance[[#This Row],[R4 Pts]]&gt;0), "YES", "NO")</f>
        <v>YES</v>
      </c>
      <c r="L350" s="3" t="str">
        <f>IF(
(tbl_attendance[[#This Row],[R1 Pts]]&gt;0)+(tbl_attendance[[#This Row],[R2 Pts]]&gt;0)+(tbl_attendance[[#This Row],[R3 Pts]]&gt;0)+(tbl_attendance[[#This Row],[R4 Pts]]&gt;0)&gt;=3,"YES", "NO")</f>
        <v>YES</v>
      </c>
      <c r="M350" s="3" t="str">
        <f>IF(AND(tbl_attendance[[#This Row],[R1 Pts]]=0, tbl_attendance[[#This Row],[R2 Pts]]=0,tbl_attendance[[#This Row],[R3 Pts]]=0,tbl_attendance[[#This Row],[R4 Pts]]=0),"YES", "NO")</f>
        <v>NO</v>
      </c>
    </row>
    <row r="351" spans="1:13" hidden="1" x14ac:dyDescent="0.4">
      <c r="A351" t="e">
        <f>_xlfn.TEXTBEFORE(#REF!," ",)</f>
        <v>#REF!</v>
      </c>
      <c r="B351" t="e">
        <f>_xlfn.TEXTAFTER(#REF!, " ", -1)</f>
        <v>#REF!</v>
      </c>
      <c r="C351" t="s">
        <v>31</v>
      </c>
      <c r="D351" t="s">
        <v>1</v>
      </c>
      <c r="E351" s="3">
        <v>12102</v>
      </c>
      <c r="F351" s="3">
        <v>0</v>
      </c>
      <c r="G351" s="3">
        <v>0</v>
      </c>
      <c r="H351" s="3">
        <v>0</v>
      </c>
      <c r="I351" s="3">
        <v>0</v>
      </c>
      <c r="J351" s="3" t="str">
        <f>IF(AND(tbl_attendance[[#This Row],[R1 Pts]]&gt;0, tbl_attendance[[#This Row],[R2 Pts]]&gt;0,tbl_attendance[[#This Row],[R3 Pts]]&gt;0,tbl_attendance[[#This Row],[R4 Pts]]&gt;0),"YES", "NO")</f>
        <v>NO</v>
      </c>
      <c r="K351" s="3" t="str">
        <f>IF(AND(tbl_attendance[[#This Row],[R2 Pts]]&gt;0, tbl_attendance[[#This Row],[R4 Pts]]&gt;0), "YES", "NO")</f>
        <v>NO</v>
      </c>
      <c r="L351" s="3" t="str">
        <f>IF(
(tbl_attendance[[#This Row],[R1 Pts]]&gt;0)+(tbl_attendance[[#This Row],[R2 Pts]]&gt;0)+(tbl_attendance[[#This Row],[R3 Pts]]&gt;0)+(tbl_attendance[[#This Row],[R4 Pts]]&gt;0)&gt;=3,"YES", "NO")</f>
        <v>NO</v>
      </c>
      <c r="M351" s="3" t="str">
        <f>IF(AND(tbl_attendance[[#This Row],[R1 Pts]]=0, tbl_attendance[[#This Row],[R2 Pts]]=0,tbl_attendance[[#This Row],[R3 Pts]]=0,tbl_attendance[[#This Row],[R4 Pts]]=0),"YES", "NO")</f>
        <v>YES</v>
      </c>
    </row>
  </sheetData>
  <conditionalFormatting sqref="E2:E366">
    <cfRule type="expression" dxfId="17" priority="11">
      <formula>$D2="Bant Boys"</formula>
    </cfRule>
    <cfRule type="expression" dxfId="16" priority="12">
      <formula>$D2="Bant Girls"</formula>
    </cfRule>
    <cfRule type="expression" dxfId="15" priority="13">
      <formula>$D2="Juv Girls"</formula>
    </cfRule>
    <cfRule type="expression" dxfId="14" priority="14">
      <formula>$D2="Juv Boys"</formula>
    </cfRule>
    <cfRule type="expression" dxfId="13" priority="15">
      <formula>$D2="Jr Girls"</formula>
    </cfRule>
    <cfRule type="expression" dxfId="12" priority="16">
      <formula>$D2="Jr Boys"</formula>
    </cfRule>
    <cfRule type="expression" dxfId="11" priority="17">
      <formula>$D2="Sr Boys"</formula>
    </cfRule>
    <cfRule type="expression" dxfId="10" priority="18">
      <formula>$D2="Sr Girls"</formula>
    </cfRule>
  </conditionalFormatting>
  <conditionalFormatting sqref="E350:E351">
    <cfRule type="expression" dxfId="9" priority="3">
      <formula>$D350="Bant Boys"</formula>
    </cfRule>
    <cfRule type="expression" dxfId="8" priority="4">
      <formula>$D350="Bant Girls"</formula>
    </cfRule>
    <cfRule type="expression" dxfId="7" priority="5">
      <formula>$D350="Juv Girls"</formula>
    </cfRule>
    <cfRule type="expression" dxfId="6" priority="6">
      <formula>$D350="Juv Boys"</formula>
    </cfRule>
    <cfRule type="expression" dxfId="5" priority="7">
      <formula>$D350="Jr Girls"</formula>
    </cfRule>
    <cfRule type="expression" dxfId="4" priority="8">
      <formula>$D350="Jr Boys"</formula>
    </cfRule>
    <cfRule type="expression" dxfId="3" priority="9">
      <formula>$D350="Sr Boys"</formula>
    </cfRule>
    <cfRule type="expression" dxfId="2" priority="10">
      <formula>$D350="Sr Girls"</formula>
    </cfRule>
  </conditionalFormatting>
  <conditionalFormatting sqref="J2:L400">
    <cfRule type="cellIs" dxfId="1" priority="1" operator="equal">
      <formula>"NO"</formula>
    </cfRule>
    <cfRule type="cellIs" dxfId="0" priority="2" operator="equal">
      <formula>"YES"</formula>
    </cfRule>
  </conditionalFormatting>
  <pageMargins left="0.7" right="0.7" top="0.75" bottom="0.75" header="0.3" footer="0.3"/>
  <pageSetup orientation="portrait" r:id="rId1"/>
  <ignoredErrors>
    <ignoredError sqref="A116:B12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8A03DCC4-DB29-4E8B-BEF9-764CC745AC1A}">
          <x14:formula1>
            <xm:f>helper!$B$2:$B$23</xm:f>
          </x14:formula1>
          <xm:sqref>C2:C351</xm:sqref>
        </x14:dataValidation>
        <x14:dataValidation type="list" allowBlank="1" showInputMessage="1" showErrorMessage="1" xr:uid="{2F6CCCA2-2D1F-41FB-9FD0-D44F1DE8FC87}">
          <x14:formula1>
            <xm:f>helper!$A$2:$A$9</xm:f>
          </x14:formula1>
          <xm:sqref>D2:D351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61"/>
  <sheetViews>
    <sheetView workbookViewId="0">
      <pane ySplit="3" topLeftCell="A4" activePane="bottomLeft" state="frozen"/>
      <selection pane="bottomLeft" activeCell="Q4" sqref="Q4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  <col min="5" max="19" width="8.69921875" style="3"/>
  </cols>
  <sheetData>
    <row r="1" spans="1:19" x14ac:dyDescent="0.4">
      <c r="A1" t="s">
        <v>36</v>
      </c>
      <c r="B1" t="s">
        <v>7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P61">IF($B$1="","",
_xlfn._xlws.SORT(
    _xlfn.CHOOSECOLS(
        _xlfn._xlws.FILTER(
            tbl_individual[],
            (tbl_individual[Division]=$B$1)*
            (tbl_individual[Status]="active")
        ),
        1,2,3,4,8,9,10,11,12,13,14,15,16,17,18,19
    ),
    16,-1
))</f>
        <v>Jackson Jones</v>
      </c>
      <c r="B4" t="str">
        <v>Coast Mtn</v>
      </c>
      <c r="C4" t="str">
        <v>Bant Boys</v>
      </c>
      <c r="D4">
        <v>800</v>
      </c>
      <c r="E4" s="3">
        <v>26</v>
      </c>
      <c r="F4" s="3">
        <v>34</v>
      </c>
      <c r="G4" s="3">
        <v>29</v>
      </c>
      <c r="H4" s="3">
        <v>31</v>
      </c>
      <c r="I4" s="3" t="str">
        <v>DNS</v>
      </c>
      <c r="J4" s="3">
        <v>0</v>
      </c>
      <c r="K4" s="3" t="str">
        <v>DNS</v>
      </c>
      <c r="L4" s="3">
        <v>0</v>
      </c>
      <c r="M4" s="3">
        <v>33</v>
      </c>
      <c r="N4" s="3">
        <v>27</v>
      </c>
      <c r="O4" s="3">
        <v>0</v>
      </c>
      <c r="P4" s="3" t="str">
        <v/>
      </c>
    </row>
    <row r="5" spans="1:19" x14ac:dyDescent="0.4">
      <c r="A5" t="str">
        <v>Cole Fraser</v>
      </c>
      <c r="B5" t="str">
        <v>Coast Mtn</v>
      </c>
      <c r="C5" t="str">
        <v>Bant Boys</v>
      </c>
      <c r="D5">
        <v>801</v>
      </c>
      <c r="E5" s="3" t="str">
        <v>DNS</v>
      </c>
      <c r="F5" s="3">
        <v>0</v>
      </c>
      <c r="G5" s="3">
        <v>25</v>
      </c>
      <c r="H5" s="3">
        <v>35</v>
      </c>
      <c r="I5" s="3" t="str">
        <v>DNS</v>
      </c>
      <c r="J5" s="3">
        <v>0</v>
      </c>
      <c r="K5" s="3" t="str">
        <v>DNS</v>
      </c>
      <c r="L5" s="3">
        <v>0</v>
      </c>
      <c r="M5" s="3" t="str">
        <v>DNS</v>
      </c>
      <c r="N5" s="3">
        <v>0</v>
      </c>
      <c r="O5" s="3">
        <v>0</v>
      </c>
      <c r="P5" s="3" t="str">
        <v/>
      </c>
    </row>
    <row r="6" spans="1:19" x14ac:dyDescent="0.4">
      <c r="A6" t="str">
        <v>Weston Morum</v>
      </c>
      <c r="B6" t="str">
        <v>Coast Mtn</v>
      </c>
      <c r="C6" t="str">
        <v>Bant Boys</v>
      </c>
      <c r="D6">
        <v>802</v>
      </c>
      <c r="E6" s="3" t="str">
        <v>DNS</v>
      </c>
      <c r="F6" s="3">
        <v>0</v>
      </c>
      <c r="G6" s="3" t="str">
        <v>DNS</v>
      </c>
      <c r="H6" s="3">
        <v>0</v>
      </c>
      <c r="I6" s="3" t="str">
        <v>DNS</v>
      </c>
      <c r="J6" s="3">
        <v>0</v>
      </c>
      <c r="K6" s="3" t="str">
        <v>DNS</v>
      </c>
      <c r="L6" s="3">
        <v>0</v>
      </c>
      <c r="M6" s="3">
        <v>28</v>
      </c>
      <c r="N6" s="3">
        <v>32</v>
      </c>
      <c r="O6" s="3">
        <v>0</v>
      </c>
      <c r="P6" s="3" t="str">
        <v/>
      </c>
    </row>
    <row r="7" spans="1:19" x14ac:dyDescent="0.4">
      <c r="A7" t="str">
        <v>Jack Burt</v>
      </c>
      <c r="B7" t="str">
        <v>Collingwood</v>
      </c>
      <c r="C7" t="str">
        <v>Bant Boys</v>
      </c>
      <c r="D7">
        <v>803</v>
      </c>
      <c r="E7" s="3" t="str">
        <v>DNS</v>
      </c>
      <c r="F7" s="3">
        <v>0</v>
      </c>
      <c r="G7" s="3">
        <v>31</v>
      </c>
      <c r="H7" s="3">
        <v>29</v>
      </c>
      <c r="I7" s="3">
        <v>22</v>
      </c>
      <c r="J7" s="3">
        <v>38</v>
      </c>
      <c r="K7" s="3" t="str">
        <v>DNS</v>
      </c>
      <c r="L7" s="3">
        <v>0</v>
      </c>
      <c r="M7" s="3">
        <v>24</v>
      </c>
      <c r="N7" s="3">
        <v>36</v>
      </c>
      <c r="O7" s="3">
        <v>0</v>
      </c>
      <c r="P7" s="3" t="str">
        <v/>
      </c>
    </row>
    <row r="8" spans="1:19" x14ac:dyDescent="0.4">
      <c r="A8" t="str">
        <v>Slater McDougall</v>
      </c>
      <c r="B8" t="str">
        <v>Collingwood</v>
      </c>
      <c r="C8" t="str">
        <v>Bant Boys</v>
      </c>
      <c r="D8">
        <v>804</v>
      </c>
      <c r="E8" s="3">
        <v>8</v>
      </c>
      <c r="F8" s="3">
        <v>65</v>
      </c>
      <c r="G8" s="3">
        <v>5</v>
      </c>
      <c r="H8" s="3">
        <v>80</v>
      </c>
      <c r="I8" s="3">
        <v>16</v>
      </c>
      <c r="J8" s="3">
        <v>44</v>
      </c>
      <c r="K8" s="3" t="str">
        <v>DNS</v>
      </c>
      <c r="L8" s="3">
        <v>0</v>
      </c>
      <c r="M8" s="3">
        <v>6</v>
      </c>
      <c r="N8" s="3">
        <v>75</v>
      </c>
      <c r="O8" s="3">
        <v>0</v>
      </c>
      <c r="P8" s="3" t="str">
        <v/>
      </c>
    </row>
    <row r="9" spans="1:19" x14ac:dyDescent="0.4">
      <c r="A9" t="str">
        <v>Jivcko Elvir Sheilds</v>
      </c>
      <c r="B9" t="str">
        <v>Elphinstone</v>
      </c>
      <c r="C9" t="str">
        <v>Bant Boys</v>
      </c>
      <c r="D9">
        <v>806</v>
      </c>
      <c r="E9" s="3" t="str">
        <v>DNS</v>
      </c>
      <c r="F9" s="3">
        <v>0</v>
      </c>
      <c r="G9" s="3" t="str">
        <v>DNS</v>
      </c>
      <c r="H9" s="3">
        <v>0</v>
      </c>
      <c r="I9" s="3">
        <v>37</v>
      </c>
      <c r="J9" s="3">
        <v>23</v>
      </c>
      <c r="K9" s="3">
        <v>40</v>
      </c>
      <c r="L9" s="3">
        <v>20</v>
      </c>
      <c r="M9" s="3">
        <v>45</v>
      </c>
      <c r="N9" s="3">
        <v>15</v>
      </c>
      <c r="O9" s="3">
        <v>0</v>
      </c>
      <c r="P9" s="3" t="str">
        <v/>
      </c>
    </row>
    <row r="10" spans="1:19" x14ac:dyDescent="0.4">
      <c r="A10" t="str">
        <v>Sean Weber</v>
      </c>
      <c r="B10" t="str">
        <v>Elphinstone</v>
      </c>
      <c r="C10" t="str">
        <v>Bant Boys</v>
      </c>
      <c r="D10">
        <v>807</v>
      </c>
      <c r="E10" s="3" t="str">
        <v>DNS</v>
      </c>
      <c r="F10" s="3">
        <v>0</v>
      </c>
      <c r="G10" s="3" t="str">
        <v>DNS</v>
      </c>
      <c r="H10" s="3">
        <v>0</v>
      </c>
      <c r="I10" s="3">
        <v>38</v>
      </c>
      <c r="J10" s="3">
        <v>22</v>
      </c>
      <c r="K10" s="3">
        <v>38</v>
      </c>
      <c r="L10" s="3">
        <v>22</v>
      </c>
      <c r="M10" s="3" t="str">
        <v>DNS</v>
      </c>
      <c r="N10" s="3">
        <v>0</v>
      </c>
      <c r="O10" s="3">
        <v>0</v>
      </c>
      <c r="P10" s="3" t="str">
        <v/>
      </c>
    </row>
    <row r="11" spans="1:19" x14ac:dyDescent="0.4">
      <c r="A11" t="str">
        <v>Arthur Scale</v>
      </c>
      <c r="B11" t="str">
        <v>Elphinstone</v>
      </c>
      <c r="C11" t="str">
        <v>Bant Boys</v>
      </c>
      <c r="D11">
        <v>808</v>
      </c>
      <c r="E11" s="3" t="str">
        <v>DNS</v>
      </c>
      <c r="F11" s="3">
        <v>0</v>
      </c>
      <c r="G11" s="3" t="str">
        <v>DNS</v>
      </c>
      <c r="H11" s="3">
        <v>0</v>
      </c>
      <c r="I11" s="3">
        <v>39</v>
      </c>
      <c r="J11" s="3">
        <v>21</v>
      </c>
      <c r="K11" s="3">
        <v>39</v>
      </c>
      <c r="L11" s="3">
        <v>21</v>
      </c>
      <c r="M11" s="3">
        <v>44</v>
      </c>
      <c r="N11" s="3">
        <v>16</v>
      </c>
      <c r="O11" s="3">
        <v>0</v>
      </c>
      <c r="P11" s="3" t="str">
        <v/>
      </c>
    </row>
    <row r="12" spans="1:19" x14ac:dyDescent="0.4">
      <c r="A12" t="str">
        <v>Marcelo Alcocer Tremari</v>
      </c>
      <c r="B12" t="str">
        <v>Handsworth</v>
      </c>
      <c r="C12" t="str">
        <v>Bant Boys</v>
      </c>
      <c r="D12">
        <v>809</v>
      </c>
      <c r="E12" s="3">
        <v>34</v>
      </c>
      <c r="F12" s="3">
        <v>26</v>
      </c>
      <c r="G12" s="3">
        <v>45</v>
      </c>
      <c r="H12" s="3">
        <v>15</v>
      </c>
      <c r="I12" s="3">
        <v>33</v>
      </c>
      <c r="J12" s="3">
        <v>27</v>
      </c>
      <c r="K12" s="3">
        <v>31</v>
      </c>
      <c r="L12" s="3">
        <v>29</v>
      </c>
      <c r="M12" s="3">
        <v>41</v>
      </c>
      <c r="N12" s="3">
        <v>19</v>
      </c>
      <c r="O12" s="3">
        <v>0</v>
      </c>
      <c r="P12" s="3" t="str">
        <v/>
      </c>
    </row>
    <row r="13" spans="1:19" x14ac:dyDescent="0.4">
      <c r="A13" t="str">
        <v>Felix Carr</v>
      </c>
      <c r="B13" t="str">
        <v>Handsworth</v>
      </c>
      <c r="C13" t="str">
        <v>Bant Boys</v>
      </c>
      <c r="D13">
        <v>810</v>
      </c>
      <c r="E13" s="3">
        <v>17</v>
      </c>
      <c r="F13" s="3">
        <v>43</v>
      </c>
      <c r="G13" s="3">
        <v>18</v>
      </c>
      <c r="H13" s="3">
        <v>42</v>
      </c>
      <c r="I13" s="3">
        <v>9</v>
      </c>
      <c r="J13" s="3">
        <v>60</v>
      </c>
      <c r="K13" s="3">
        <v>19</v>
      </c>
      <c r="L13" s="3">
        <v>41</v>
      </c>
      <c r="M13" s="3">
        <v>20</v>
      </c>
      <c r="N13" s="3">
        <v>40</v>
      </c>
      <c r="O13" s="3">
        <v>0</v>
      </c>
      <c r="P13" s="3" t="str">
        <v/>
      </c>
    </row>
    <row r="14" spans="1:19" x14ac:dyDescent="0.4">
      <c r="A14" t="str">
        <v>Miles Deely</v>
      </c>
      <c r="B14" t="str">
        <v>Handsworth</v>
      </c>
      <c r="C14" t="str">
        <v>Bant Boys</v>
      </c>
      <c r="D14">
        <v>811</v>
      </c>
      <c r="E14" s="3" t="str">
        <v>DNS</v>
      </c>
      <c r="F14" s="3">
        <v>0</v>
      </c>
      <c r="G14" s="3" t="str">
        <v>DNS</v>
      </c>
      <c r="H14" s="3">
        <v>0</v>
      </c>
      <c r="I14" s="3">
        <v>3</v>
      </c>
      <c r="J14" s="3">
        <v>90</v>
      </c>
      <c r="K14" s="3">
        <v>12</v>
      </c>
      <c r="L14" s="3">
        <v>51</v>
      </c>
      <c r="M14" s="3">
        <v>10</v>
      </c>
      <c r="N14" s="3">
        <v>55</v>
      </c>
      <c r="O14" s="3">
        <v>0</v>
      </c>
      <c r="P14" s="3" t="str">
        <v/>
      </c>
    </row>
    <row r="15" spans="1:19" x14ac:dyDescent="0.4">
      <c r="A15" t="str">
        <v>Remy Zurbuchen</v>
      </c>
      <c r="B15" t="str">
        <v>Handsworth</v>
      </c>
      <c r="C15" t="str">
        <v>Bant Boys</v>
      </c>
      <c r="D15">
        <v>812</v>
      </c>
      <c r="E15" s="3">
        <v>31</v>
      </c>
      <c r="F15" s="3">
        <v>29</v>
      </c>
      <c r="G15" s="3">
        <v>26</v>
      </c>
      <c r="H15" s="3">
        <v>34</v>
      </c>
      <c r="I15" s="3">
        <v>29</v>
      </c>
      <c r="J15" s="3">
        <v>31</v>
      </c>
      <c r="K15" s="3">
        <v>17</v>
      </c>
      <c r="L15" s="3">
        <v>43</v>
      </c>
      <c r="M15" s="3">
        <v>31</v>
      </c>
      <c r="N15" s="3">
        <v>29</v>
      </c>
      <c r="O15" s="3">
        <v>0</v>
      </c>
      <c r="P15" s="3" t="str">
        <v/>
      </c>
    </row>
    <row r="16" spans="1:19" x14ac:dyDescent="0.4">
      <c r="A16" t="str">
        <v>Jeronimo Gomez</v>
      </c>
      <c r="B16" t="str">
        <v>Mulgrave</v>
      </c>
      <c r="C16" t="str">
        <v>Bant Boys</v>
      </c>
      <c r="D16">
        <v>813</v>
      </c>
      <c r="E16" s="3" t="str">
        <v>DNS</v>
      </c>
      <c r="F16" s="3">
        <v>0</v>
      </c>
      <c r="G16" s="3">
        <v>8</v>
      </c>
      <c r="H16" s="3">
        <v>65</v>
      </c>
      <c r="I16" s="3">
        <v>17</v>
      </c>
      <c r="J16" s="3">
        <v>43</v>
      </c>
      <c r="K16" s="3" t="str">
        <v>DNS</v>
      </c>
      <c r="L16" s="3">
        <v>0</v>
      </c>
      <c r="M16" s="3">
        <v>18</v>
      </c>
      <c r="N16" s="3">
        <v>42</v>
      </c>
      <c r="O16" s="3">
        <v>0</v>
      </c>
      <c r="P16" s="3" t="str">
        <v/>
      </c>
    </row>
    <row r="17" spans="1:16" x14ac:dyDescent="0.4">
      <c r="A17" t="str">
        <v>Lennart Schilling</v>
      </c>
      <c r="B17" t="str">
        <v>Mulgrave</v>
      </c>
      <c r="C17" t="str">
        <v>Bant Boys</v>
      </c>
      <c r="D17">
        <v>814</v>
      </c>
      <c r="E17" s="3">
        <v>18</v>
      </c>
      <c r="F17" s="3">
        <v>42</v>
      </c>
      <c r="G17" s="3">
        <v>24</v>
      </c>
      <c r="H17" s="3">
        <v>36</v>
      </c>
      <c r="I17" s="3">
        <v>18</v>
      </c>
      <c r="J17" s="3">
        <v>42</v>
      </c>
      <c r="K17" s="3" t="str">
        <v>DNS</v>
      </c>
      <c r="L17" s="3">
        <v>0</v>
      </c>
      <c r="M17" s="3">
        <v>32</v>
      </c>
      <c r="N17" s="3">
        <v>28</v>
      </c>
      <c r="O17" s="3">
        <v>0</v>
      </c>
      <c r="P17" s="3" t="str">
        <v/>
      </c>
    </row>
    <row r="18" spans="1:16" x14ac:dyDescent="0.4">
      <c r="A18" t="str">
        <v>Ryan Kearnes</v>
      </c>
      <c r="B18" t="str">
        <v>Pemberton</v>
      </c>
      <c r="C18" t="str">
        <v>Bant Boys</v>
      </c>
      <c r="D18">
        <v>815</v>
      </c>
      <c r="E18" s="3">
        <v>19</v>
      </c>
      <c r="F18" s="3">
        <v>41</v>
      </c>
      <c r="G18" s="3">
        <v>33</v>
      </c>
      <c r="H18" s="3">
        <v>27</v>
      </c>
      <c r="I18" s="3">
        <v>24</v>
      </c>
      <c r="J18" s="3">
        <v>36</v>
      </c>
      <c r="K18" s="3">
        <v>26</v>
      </c>
      <c r="L18" s="3">
        <v>34</v>
      </c>
      <c r="M18" s="3">
        <v>29</v>
      </c>
      <c r="N18" s="3">
        <v>31</v>
      </c>
      <c r="O18" s="3">
        <v>0</v>
      </c>
      <c r="P18" s="3" t="str">
        <v/>
      </c>
    </row>
    <row r="19" spans="1:16" x14ac:dyDescent="0.4">
      <c r="A19" t="str">
        <v>Dash Nicoll</v>
      </c>
      <c r="B19" t="str">
        <v>Pemberton</v>
      </c>
      <c r="C19" t="str">
        <v>Bant Boys</v>
      </c>
      <c r="D19">
        <v>816</v>
      </c>
      <c r="E19" s="3">
        <v>5</v>
      </c>
      <c r="F19" s="3">
        <v>80</v>
      </c>
      <c r="G19" s="3">
        <v>1</v>
      </c>
      <c r="H19" s="3">
        <v>100</v>
      </c>
      <c r="I19" s="3">
        <v>10</v>
      </c>
      <c r="J19" s="3">
        <v>55</v>
      </c>
      <c r="K19" s="3">
        <v>2</v>
      </c>
      <c r="L19" s="3">
        <v>95</v>
      </c>
      <c r="M19" s="3">
        <v>2</v>
      </c>
      <c r="N19" s="3">
        <v>95</v>
      </c>
      <c r="O19" s="3">
        <v>0</v>
      </c>
      <c r="P19" s="3" t="str">
        <v/>
      </c>
    </row>
    <row r="20" spans="1:16" x14ac:dyDescent="0.4">
      <c r="A20" t="str">
        <v>Micah Treadway</v>
      </c>
      <c r="B20" t="str">
        <v>Pemberton</v>
      </c>
      <c r="C20" t="str">
        <v>Bant Boys</v>
      </c>
      <c r="D20">
        <v>817</v>
      </c>
      <c r="E20" s="3">
        <v>14</v>
      </c>
      <c r="F20" s="3">
        <v>47</v>
      </c>
      <c r="G20" s="3">
        <v>12</v>
      </c>
      <c r="H20" s="3">
        <v>51</v>
      </c>
      <c r="I20" s="3">
        <v>7</v>
      </c>
      <c r="J20" s="3">
        <v>70</v>
      </c>
      <c r="K20" s="3">
        <v>8</v>
      </c>
      <c r="L20" s="3">
        <v>65</v>
      </c>
      <c r="M20" s="3">
        <v>12</v>
      </c>
      <c r="N20" s="3">
        <v>51</v>
      </c>
      <c r="O20" s="3">
        <v>0</v>
      </c>
      <c r="P20" s="3" t="str">
        <v/>
      </c>
    </row>
    <row r="21" spans="1:16" x14ac:dyDescent="0.4">
      <c r="A21" t="str">
        <v>Lucas Solis</v>
      </c>
      <c r="B21" t="str">
        <v>Rockridge</v>
      </c>
      <c r="C21" t="str">
        <v>Bant Boys</v>
      </c>
      <c r="D21">
        <v>818</v>
      </c>
      <c r="E21" s="3">
        <v>30</v>
      </c>
      <c r="F21" s="3">
        <v>30</v>
      </c>
      <c r="G21" s="3" t="str">
        <v>DNS</v>
      </c>
      <c r="H21" s="3">
        <v>0</v>
      </c>
      <c r="I21" s="3">
        <v>30</v>
      </c>
      <c r="J21" s="3">
        <v>30</v>
      </c>
      <c r="K21" s="3">
        <v>36</v>
      </c>
      <c r="L21" s="3">
        <v>24</v>
      </c>
      <c r="M21" s="3">
        <v>43</v>
      </c>
      <c r="N21" s="3">
        <v>17</v>
      </c>
      <c r="O21" s="3">
        <v>0</v>
      </c>
      <c r="P21" s="3" t="str">
        <v/>
      </c>
    </row>
    <row r="22" spans="1:16" x14ac:dyDescent="0.4">
      <c r="A22" t="str">
        <v>Augusten Worsfold</v>
      </c>
      <c r="B22" t="str">
        <v>Rockridge</v>
      </c>
      <c r="C22" t="str">
        <v>Bant Boys</v>
      </c>
      <c r="D22">
        <v>819</v>
      </c>
      <c r="E22" s="3">
        <v>28</v>
      </c>
      <c r="F22" s="3">
        <v>32</v>
      </c>
      <c r="G22" s="3">
        <v>15</v>
      </c>
      <c r="H22" s="3">
        <v>45</v>
      </c>
      <c r="I22" s="3">
        <v>20</v>
      </c>
      <c r="J22" s="3">
        <v>40</v>
      </c>
      <c r="K22" s="3">
        <v>15</v>
      </c>
      <c r="L22" s="3">
        <v>45</v>
      </c>
      <c r="M22" s="3">
        <v>21</v>
      </c>
      <c r="N22" s="3">
        <v>39</v>
      </c>
      <c r="O22" s="3">
        <v>0</v>
      </c>
      <c r="P22" s="3" t="str">
        <v/>
      </c>
    </row>
    <row r="23" spans="1:16" x14ac:dyDescent="0.4">
      <c r="A23" t="str">
        <v>Tristan Cole</v>
      </c>
      <c r="B23" t="str">
        <v>St. Georges</v>
      </c>
      <c r="C23" t="str">
        <v>Bant Boys</v>
      </c>
      <c r="D23">
        <v>820</v>
      </c>
      <c r="E23" s="3">
        <v>20</v>
      </c>
      <c r="F23" s="3">
        <v>40</v>
      </c>
      <c r="G23" s="3">
        <v>44</v>
      </c>
      <c r="H23" s="3">
        <v>16</v>
      </c>
      <c r="I23" s="3" t="str">
        <v>DNS</v>
      </c>
      <c r="J23" s="3">
        <v>0</v>
      </c>
      <c r="K23" s="3">
        <v>33</v>
      </c>
      <c r="L23" s="3">
        <v>27</v>
      </c>
      <c r="M23" s="3">
        <v>46</v>
      </c>
      <c r="N23" s="3">
        <v>14</v>
      </c>
      <c r="O23" s="3">
        <v>0</v>
      </c>
      <c r="P23" s="3" t="str">
        <v/>
      </c>
    </row>
    <row r="24" spans="1:16" x14ac:dyDescent="0.4">
      <c r="A24" t="str">
        <v>Alasdair Robertson</v>
      </c>
      <c r="B24" t="str">
        <v>St. Georges</v>
      </c>
      <c r="C24" t="str">
        <v>Bant Boys</v>
      </c>
      <c r="D24">
        <v>821</v>
      </c>
      <c r="E24" s="3">
        <v>24</v>
      </c>
      <c r="F24" s="3">
        <v>36</v>
      </c>
      <c r="G24" s="3">
        <v>28</v>
      </c>
      <c r="H24" s="3">
        <v>32</v>
      </c>
      <c r="I24" s="3">
        <v>23</v>
      </c>
      <c r="J24" s="3">
        <v>37</v>
      </c>
      <c r="K24" s="3">
        <v>9</v>
      </c>
      <c r="L24" s="3">
        <v>60</v>
      </c>
      <c r="M24" s="3">
        <v>19</v>
      </c>
      <c r="N24" s="3">
        <v>41</v>
      </c>
      <c r="O24" s="3">
        <v>0</v>
      </c>
      <c r="P24" s="3" t="str">
        <v/>
      </c>
    </row>
    <row r="25" spans="1:16" x14ac:dyDescent="0.4">
      <c r="A25" t="str">
        <v>David Shilletto</v>
      </c>
      <c r="B25" t="str">
        <v>St. Georges</v>
      </c>
      <c r="C25" t="str">
        <v>Bant Boys</v>
      </c>
      <c r="D25">
        <v>822</v>
      </c>
      <c r="E25" s="3">
        <v>27</v>
      </c>
      <c r="F25" s="3">
        <v>33</v>
      </c>
      <c r="G25" s="3">
        <v>42</v>
      </c>
      <c r="H25" s="3">
        <v>18</v>
      </c>
      <c r="I25" s="3">
        <v>26</v>
      </c>
      <c r="J25" s="3">
        <v>34</v>
      </c>
      <c r="K25" s="3">
        <v>30</v>
      </c>
      <c r="L25" s="3">
        <v>30</v>
      </c>
      <c r="M25" s="3">
        <v>39</v>
      </c>
      <c r="N25" s="3">
        <v>21</v>
      </c>
      <c r="O25" s="3">
        <v>0</v>
      </c>
      <c r="P25" s="3" t="str">
        <v/>
      </c>
    </row>
    <row r="26" spans="1:16" x14ac:dyDescent="0.4">
      <c r="A26" t="str">
        <v>Andrew Wenzlaff</v>
      </c>
      <c r="B26" t="str">
        <v>St. Georges</v>
      </c>
      <c r="C26" t="str">
        <v>Bant Boys</v>
      </c>
      <c r="D26">
        <v>823</v>
      </c>
      <c r="E26" s="3">
        <v>12</v>
      </c>
      <c r="F26" s="3">
        <v>51</v>
      </c>
      <c r="G26" s="3">
        <v>37</v>
      </c>
      <c r="H26" s="3">
        <v>23</v>
      </c>
      <c r="I26" s="3">
        <v>12</v>
      </c>
      <c r="J26" s="3">
        <v>51</v>
      </c>
      <c r="K26" s="3">
        <v>27</v>
      </c>
      <c r="L26" s="3">
        <v>33</v>
      </c>
      <c r="M26" s="3">
        <v>34</v>
      </c>
      <c r="N26" s="3">
        <v>26</v>
      </c>
      <c r="O26" s="3">
        <v>0</v>
      </c>
      <c r="P26" s="3" t="str">
        <v/>
      </c>
    </row>
    <row r="27" spans="1:16" x14ac:dyDescent="0.4">
      <c r="A27" t="str">
        <v>Teo Damici</v>
      </c>
      <c r="B27" t="str">
        <v>STA</v>
      </c>
      <c r="C27" t="str">
        <v>Bant Boys</v>
      </c>
      <c r="D27">
        <v>824</v>
      </c>
      <c r="E27" s="3">
        <v>10</v>
      </c>
      <c r="F27" s="3">
        <v>55</v>
      </c>
      <c r="G27" s="3">
        <v>23</v>
      </c>
      <c r="H27" s="3">
        <v>37</v>
      </c>
      <c r="I27" s="3">
        <v>13</v>
      </c>
      <c r="J27" s="3">
        <v>49</v>
      </c>
      <c r="K27" s="3">
        <v>14</v>
      </c>
      <c r="L27" s="3">
        <v>47</v>
      </c>
      <c r="M27" s="3" t="str">
        <v>DNS</v>
      </c>
      <c r="N27" s="3">
        <v>0</v>
      </c>
      <c r="O27" s="3">
        <v>0</v>
      </c>
      <c r="P27" s="3" t="str">
        <v/>
      </c>
    </row>
    <row r="28" spans="1:16" x14ac:dyDescent="0.4">
      <c r="A28" t="str">
        <v>Rory Sykes</v>
      </c>
      <c r="B28" t="str">
        <v>STA</v>
      </c>
      <c r="C28" t="str">
        <v>Bant Boys</v>
      </c>
      <c r="D28">
        <v>825</v>
      </c>
      <c r="E28" s="3">
        <v>13</v>
      </c>
      <c r="F28" s="3">
        <v>49</v>
      </c>
      <c r="G28" s="3">
        <v>17</v>
      </c>
      <c r="H28" s="3">
        <v>43</v>
      </c>
      <c r="I28" s="3">
        <v>31</v>
      </c>
      <c r="J28" s="3">
        <v>29</v>
      </c>
      <c r="K28" s="3">
        <v>35</v>
      </c>
      <c r="L28" s="3">
        <v>25</v>
      </c>
      <c r="M28" s="3" t="str">
        <v>DNS</v>
      </c>
      <c r="N28" s="3">
        <v>0</v>
      </c>
      <c r="O28" s="3">
        <v>0</v>
      </c>
      <c r="P28" s="3" t="str">
        <v/>
      </c>
    </row>
    <row r="29" spans="1:16" x14ac:dyDescent="0.4">
      <c r="A29" t="str">
        <v>William Kolper</v>
      </c>
      <c r="B29" t="str">
        <v>Sutherland</v>
      </c>
      <c r="C29" t="str">
        <v>Bant Boys</v>
      </c>
      <c r="D29">
        <v>826</v>
      </c>
      <c r="E29" s="3">
        <v>16</v>
      </c>
      <c r="F29" s="3">
        <v>44</v>
      </c>
      <c r="G29" s="3">
        <v>6</v>
      </c>
      <c r="H29" s="3">
        <v>75</v>
      </c>
      <c r="I29" s="3">
        <v>14</v>
      </c>
      <c r="J29" s="3">
        <v>47</v>
      </c>
      <c r="K29" s="3">
        <v>4</v>
      </c>
      <c r="L29" s="3">
        <v>85</v>
      </c>
      <c r="M29" s="3">
        <v>25</v>
      </c>
      <c r="N29" s="3">
        <v>35</v>
      </c>
      <c r="O29" s="3">
        <v>0</v>
      </c>
      <c r="P29" s="3" t="str">
        <v/>
      </c>
    </row>
    <row r="30" spans="1:16" x14ac:dyDescent="0.4">
      <c r="A30" t="str">
        <v>Erik Moore</v>
      </c>
      <c r="B30" t="str">
        <v>Sutherland</v>
      </c>
      <c r="C30" t="str">
        <v>Bant Boys</v>
      </c>
      <c r="D30">
        <v>827</v>
      </c>
      <c r="E30" s="3">
        <v>35</v>
      </c>
      <c r="F30" s="3">
        <v>25</v>
      </c>
      <c r="G30" s="3" t="str">
        <v>DNS</v>
      </c>
      <c r="H30" s="3">
        <v>0</v>
      </c>
      <c r="I30" s="3">
        <v>34</v>
      </c>
      <c r="J30" s="3">
        <v>26</v>
      </c>
      <c r="K30" s="3" t="str">
        <v>DNS</v>
      </c>
      <c r="L30" s="3">
        <v>0</v>
      </c>
      <c r="M30" s="3" t="str">
        <v>DNS</v>
      </c>
      <c r="N30" s="3">
        <v>0</v>
      </c>
      <c r="O30" s="3">
        <v>0</v>
      </c>
      <c r="P30" s="3" t="str">
        <v/>
      </c>
    </row>
    <row r="31" spans="1:16" x14ac:dyDescent="0.4">
      <c r="A31" t="str">
        <v>Kaelan Percival</v>
      </c>
      <c r="B31" t="str">
        <v>Sutherland</v>
      </c>
      <c r="C31" t="str">
        <v>Bant Boys</v>
      </c>
      <c r="D31">
        <v>828</v>
      </c>
      <c r="E31" s="3">
        <v>36</v>
      </c>
      <c r="F31" s="3">
        <v>24</v>
      </c>
      <c r="G31" s="3" t="str">
        <v>DNS</v>
      </c>
      <c r="H31" s="3">
        <v>0</v>
      </c>
      <c r="I31" s="3">
        <v>36</v>
      </c>
      <c r="J31" s="3">
        <v>24</v>
      </c>
      <c r="K31" s="3" t="str">
        <v>DNS</v>
      </c>
      <c r="L31" s="3">
        <v>0</v>
      </c>
      <c r="M31" s="3" t="str">
        <v>DNS</v>
      </c>
      <c r="N31" s="3">
        <v>0</v>
      </c>
      <c r="O31" s="3">
        <v>0</v>
      </c>
      <c r="P31" s="3" t="str">
        <v/>
      </c>
    </row>
    <row r="32" spans="1:16" x14ac:dyDescent="0.4">
      <c r="A32" t="str">
        <v>Seth Andru</v>
      </c>
      <c r="B32" t="str">
        <v>Sutherland</v>
      </c>
      <c r="C32" t="str">
        <v>Bant Boys</v>
      </c>
      <c r="D32">
        <v>829</v>
      </c>
      <c r="E32" s="3">
        <v>21</v>
      </c>
      <c r="F32" s="3">
        <v>39</v>
      </c>
      <c r="G32" s="3">
        <v>21</v>
      </c>
      <c r="H32" s="3">
        <v>39</v>
      </c>
      <c r="I32" s="3">
        <v>15</v>
      </c>
      <c r="J32" s="3">
        <v>45</v>
      </c>
      <c r="K32" s="3">
        <v>18</v>
      </c>
      <c r="L32" s="3">
        <v>42</v>
      </c>
      <c r="M32" s="3">
        <v>27</v>
      </c>
      <c r="N32" s="3">
        <v>33</v>
      </c>
      <c r="O32" s="3">
        <v>0</v>
      </c>
      <c r="P32" s="3" t="str">
        <v/>
      </c>
    </row>
    <row r="33" spans="1:16" x14ac:dyDescent="0.4">
      <c r="A33" t="str">
        <v>Hayden Bristow</v>
      </c>
      <c r="B33" t="str">
        <v>West Van</v>
      </c>
      <c r="C33" t="str">
        <v>Bant Boys</v>
      </c>
      <c r="D33">
        <v>831</v>
      </c>
      <c r="E33" s="3">
        <v>6</v>
      </c>
      <c r="F33" s="3">
        <v>75</v>
      </c>
      <c r="G33" s="3">
        <v>13</v>
      </c>
      <c r="H33" s="3">
        <v>49</v>
      </c>
      <c r="I33" s="3">
        <v>5</v>
      </c>
      <c r="J33" s="3">
        <v>80</v>
      </c>
      <c r="K33" s="3">
        <v>6</v>
      </c>
      <c r="L33" s="3">
        <v>75</v>
      </c>
      <c r="M33" s="3">
        <v>4</v>
      </c>
      <c r="N33" s="3">
        <v>85</v>
      </c>
      <c r="O33" s="3">
        <v>0</v>
      </c>
      <c r="P33" s="3" t="str">
        <v/>
      </c>
    </row>
    <row r="34" spans="1:16" x14ac:dyDescent="0.4">
      <c r="A34" t="str">
        <v>Trent Bristow</v>
      </c>
      <c r="B34" t="str">
        <v>West Van</v>
      </c>
      <c r="C34" t="str">
        <v>Bant Boys</v>
      </c>
      <c r="D34">
        <v>832</v>
      </c>
      <c r="E34" s="3">
        <v>7</v>
      </c>
      <c r="F34" s="3">
        <v>70</v>
      </c>
      <c r="G34" s="3">
        <v>7</v>
      </c>
      <c r="H34" s="3">
        <v>70</v>
      </c>
      <c r="I34" s="3">
        <v>6</v>
      </c>
      <c r="J34" s="3">
        <v>75</v>
      </c>
      <c r="K34" s="3">
        <v>11</v>
      </c>
      <c r="L34" s="3">
        <v>53</v>
      </c>
      <c r="M34" s="3">
        <v>13</v>
      </c>
      <c r="N34" s="3">
        <v>49</v>
      </c>
      <c r="O34" s="3">
        <v>0</v>
      </c>
      <c r="P34" s="3" t="str">
        <v/>
      </c>
    </row>
    <row r="35" spans="1:16" x14ac:dyDescent="0.4">
      <c r="A35" t="str">
        <v>Luke McGowan</v>
      </c>
      <c r="B35" t="str">
        <v>Whistler</v>
      </c>
      <c r="C35" t="str">
        <v>Bant Boys</v>
      </c>
      <c r="D35">
        <v>833</v>
      </c>
      <c r="E35" s="3">
        <v>15</v>
      </c>
      <c r="F35" s="3">
        <v>45</v>
      </c>
      <c r="G35" s="3">
        <v>16</v>
      </c>
      <c r="H35" s="3">
        <v>44</v>
      </c>
      <c r="I35" s="3" t="str">
        <v>DNS</v>
      </c>
      <c r="J35" s="3">
        <v>0</v>
      </c>
      <c r="K35" s="3">
        <v>34</v>
      </c>
      <c r="L35" s="3">
        <v>26</v>
      </c>
      <c r="M35" s="3">
        <v>22</v>
      </c>
      <c r="N35" s="3">
        <v>38</v>
      </c>
      <c r="O35" s="3">
        <v>0</v>
      </c>
      <c r="P35" s="3" t="str">
        <v/>
      </c>
    </row>
    <row r="36" spans="1:16" x14ac:dyDescent="0.4">
      <c r="A36" t="str">
        <v>Thomas Brown</v>
      </c>
      <c r="B36" t="str">
        <v>Whistler</v>
      </c>
      <c r="C36" t="str">
        <v>Bant Boys</v>
      </c>
      <c r="D36">
        <v>834</v>
      </c>
      <c r="E36" s="3" t="str">
        <v>DNS</v>
      </c>
      <c r="F36" s="3">
        <v>0</v>
      </c>
      <c r="G36" s="3">
        <v>4</v>
      </c>
      <c r="H36" s="3">
        <v>85</v>
      </c>
      <c r="I36" s="3" t="str">
        <v>DNS</v>
      </c>
      <c r="J36" s="3">
        <v>0</v>
      </c>
      <c r="K36" s="3" t="str">
        <v>DNS</v>
      </c>
      <c r="L36" s="3">
        <v>0</v>
      </c>
      <c r="M36" s="3">
        <v>8</v>
      </c>
      <c r="N36" s="3">
        <v>65</v>
      </c>
      <c r="O36" s="3">
        <v>0</v>
      </c>
      <c r="P36" s="3" t="str">
        <v/>
      </c>
    </row>
    <row r="37" spans="1:16" x14ac:dyDescent="0.4">
      <c r="A37" t="str">
        <v>Sebastian Sturgess</v>
      </c>
      <c r="B37" t="str">
        <v>Whistler</v>
      </c>
      <c r="C37" t="str">
        <v>Bant Boys</v>
      </c>
      <c r="D37">
        <v>835</v>
      </c>
      <c r="E37" s="3" t="str">
        <v>DNS</v>
      </c>
      <c r="F37" s="3">
        <v>0</v>
      </c>
      <c r="G37" s="3">
        <v>14</v>
      </c>
      <c r="H37" s="3">
        <v>47</v>
      </c>
      <c r="I37" s="3">
        <v>11</v>
      </c>
      <c r="J37" s="3">
        <v>53</v>
      </c>
      <c r="K37" s="3">
        <v>13</v>
      </c>
      <c r="L37" s="3">
        <v>49</v>
      </c>
      <c r="M37" s="3">
        <v>11</v>
      </c>
      <c r="N37" s="3">
        <v>53</v>
      </c>
      <c r="O37" s="3">
        <v>0</v>
      </c>
      <c r="P37" s="3" t="str">
        <v/>
      </c>
    </row>
    <row r="38" spans="1:16" x14ac:dyDescent="0.4">
      <c r="A38" t="str">
        <v>Anton Anghellescu</v>
      </c>
      <c r="B38" t="str">
        <v>Whistler</v>
      </c>
      <c r="C38" t="str">
        <v>Bant Boys</v>
      </c>
      <c r="D38">
        <v>836</v>
      </c>
      <c r="E38" s="3">
        <v>32</v>
      </c>
      <c r="F38" s="3">
        <v>28</v>
      </c>
      <c r="G38" s="3" t="str">
        <v>DNS</v>
      </c>
      <c r="H38" s="3">
        <v>0</v>
      </c>
      <c r="I38" s="3">
        <v>32</v>
      </c>
      <c r="J38" s="3">
        <v>28</v>
      </c>
      <c r="K38" s="3" t="str">
        <v>DNS</v>
      </c>
      <c r="L38" s="3">
        <v>0</v>
      </c>
      <c r="M38" s="3" t="str">
        <v>DNS</v>
      </c>
      <c r="N38" s="3">
        <v>0</v>
      </c>
      <c r="O38" s="3">
        <v>0</v>
      </c>
      <c r="P38" s="3" t="str">
        <v/>
      </c>
    </row>
    <row r="39" spans="1:16" x14ac:dyDescent="0.4">
      <c r="A39" t="str">
        <v>Kelyn Horsely</v>
      </c>
      <c r="B39" t="str">
        <v>Don Ross</v>
      </c>
      <c r="C39" t="str">
        <v>Bant Boys</v>
      </c>
      <c r="D39">
        <v>837</v>
      </c>
      <c r="E39" s="3">
        <v>1</v>
      </c>
      <c r="F39" s="3">
        <v>100</v>
      </c>
      <c r="G39" s="3">
        <v>2</v>
      </c>
      <c r="H39" s="3">
        <v>95</v>
      </c>
      <c r="I39" s="3" t="str">
        <v>DNS</v>
      </c>
      <c r="J39" s="3">
        <v>0</v>
      </c>
      <c r="K39" s="3">
        <v>1</v>
      </c>
      <c r="L39" s="3">
        <v>100</v>
      </c>
      <c r="M39" s="3">
        <v>1</v>
      </c>
      <c r="N39" s="3">
        <v>100</v>
      </c>
      <c r="O39" s="3">
        <v>0</v>
      </c>
      <c r="P39" s="3" t="str">
        <v/>
      </c>
    </row>
    <row r="40" spans="1:16" x14ac:dyDescent="0.4">
      <c r="A40" t="str">
        <v>Elias Newby</v>
      </c>
      <c r="B40" t="str">
        <v>Don Ross</v>
      </c>
      <c r="C40" t="str">
        <v>Bant Boys</v>
      </c>
      <c r="D40">
        <v>838</v>
      </c>
      <c r="E40" s="3">
        <v>2</v>
      </c>
      <c r="F40" s="3">
        <v>95</v>
      </c>
      <c r="G40" s="3">
        <v>9</v>
      </c>
      <c r="H40" s="3">
        <v>60</v>
      </c>
      <c r="I40" s="3">
        <v>4</v>
      </c>
      <c r="J40" s="3">
        <v>85</v>
      </c>
      <c r="K40" s="3">
        <v>5</v>
      </c>
      <c r="L40" s="3">
        <v>80</v>
      </c>
      <c r="M40" s="3">
        <v>5</v>
      </c>
      <c r="N40" s="3">
        <v>80</v>
      </c>
      <c r="O40" s="3">
        <v>0</v>
      </c>
      <c r="P40" s="3" t="str">
        <v/>
      </c>
    </row>
    <row r="41" spans="1:16" x14ac:dyDescent="0.4">
      <c r="A41" t="str">
        <v>Tristan Clark</v>
      </c>
      <c r="B41" t="str">
        <v>Don Ross</v>
      </c>
      <c r="C41" t="str">
        <v>Bant Boys</v>
      </c>
      <c r="D41">
        <v>839</v>
      </c>
      <c r="E41" s="3">
        <v>4</v>
      </c>
      <c r="F41" s="3">
        <v>85</v>
      </c>
      <c r="G41" s="3" t="str">
        <v>DNS</v>
      </c>
      <c r="H41" s="3">
        <v>0</v>
      </c>
      <c r="I41" s="3" t="str">
        <v>DNS</v>
      </c>
      <c r="J41" s="3">
        <v>0</v>
      </c>
      <c r="K41" s="3">
        <v>3</v>
      </c>
      <c r="L41" s="3">
        <v>90</v>
      </c>
      <c r="M41" s="3">
        <v>7</v>
      </c>
      <c r="N41" s="3">
        <v>70</v>
      </c>
      <c r="O41" s="3">
        <v>0</v>
      </c>
      <c r="P41" s="3" t="str">
        <v/>
      </c>
    </row>
    <row r="42" spans="1:16" x14ac:dyDescent="0.4">
      <c r="A42" t="str">
        <v>Koji Irvine</v>
      </c>
      <c r="B42" t="str">
        <v>Coast Mtn</v>
      </c>
      <c r="C42" t="str">
        <v>Bant Boys</v>
      </c>
      <c r="D42">
        <v>840</v>
      </c>
      <c r="E42" s="3" t="str">
        <v>DNS</v>
      </c>
      <c r="F42" s="3">
        <v>0</v>
      </c>
      <c r="G42" s="3">
        <v>39</v>
      </c>
      <c r="H42" s="3">
        <v>21</v>
      </c>
      <c r="I42" s="3" t="str">
        <v>DNS</v>
      </c>
      <c r="J42" s="3">
        <v>0</v>
      </c>
      <c r="K42" s="3" t="str">
        <v>DNS</v>
      </c>
      <c r="L42" s="3">
        <v>0</v>
      </c>
      <c r="M42" s="3">
        <v>35</v>
      </c>
      <c r="N42" s="3">
        <v>25</v>
      </c>
      <c r="O42" s="3">
        <v>0</v>
      </c>
      <c r="P42" s="3" t="str">
        <v/>
      </c>
    </row>
    <row r="43" spans="1:16" x14ac:dyDescent="0.4">
      <c r="A43" t="str">
        <v>Martin Cernicka</v>
      </c>
      <c r="B43" t="str">
        <v>Don Ross</v>
      </c>
      <c r="C43" t="str">
        <v>Bant Boys</v>
      </c>
      <c r="D43">
        <v>841</v>
      </c>
      <c r="E43" s="3" t="str">
        <v>DNS</v>
      </c>
      <c r="F43" s="3">
        <v>0</v>
      </c>
      <c r="G43" s="3">
        <v>11</v>
      </c>
      <c r="H43" s="3">
        <v>53</v>
      </c>
      <c r="I43" s="3" t="str">
        <v>DNS</v>
      </c>
      <c r="J43" s="3">
        <v>0</v>
      </c>
      <c r="K43" s="3">
        <v>7</v>
      </c>
      <c r="L43" s="3">
        <v>70</v>
      </c>
      <c r="M43" s="3">
        <v>9</v>
      </c>
      <c r="N43" s="3">
        <v>60</v>
      </c>
      <c r="O43" s="3">
        <v>0</v>
      </c>
      <c r="P43" s="3" t="str">
        <v/>
      </c>
    </row>
    <row r="44" spans="1:16" x14ac:dyDescent="0.4">
      <c r="A44" t="str">
        <v>Preston Cesorso</v>
      </c>
      <c r="B44" t="str">
        <v>Chatelech</v>
      </c>
      <c r="C44" t="str">
        <v>Bant Boys</v>
      </c>
      <c r="D44">
        <v>843</v>
      </c>
      <c r="E44" s="3" t="str">
        <v>DNS</v>
      </c>
      <c r="F44" s="3">
        <v>0</v>
      </c>
      <c r="G44" s="3" t="str">
        <v>DNS</v>
      </c>
      <c r="H44" s="3">
        <v>0</v>
      </c>
      <c r="I44" s="3" t="str">
        <v>DNS</v>
      </c>
      <c r="J44" s="3">
        <v>0</v>
      </c>
      <c r="K44" s="3">
        <v>24</v>
      </c>
      <c r="L44" s="3">
        <v>36</v>
      </c>
      <c r="M44" s="3">
        <v>37</v>
      </c>
      <c r="N44" s="3">
        <v>23</v>
      </c>
      <c r="O44" s="3">
        <v>0</v>
      </c>
      <c r="P44" s="3" t="str">
        <v/>
      </c>
    </row>
    <row r="45" spans="1:16" x14ac:dyDescent="0.4">
      <c r="A45" t="str">
        <v>Callum Paul</v>
      </c>
      <c r="B45" t="str">
        <v>Coast Mtn</v>
      </c>
      <c r="C45" t="str">
        <v>Bant Boys</v>
      </c>
      <c r="D45">
        <v>8009</v>
      </c>
      <c r="E45" s="3">
        <v>9</v>
      </c>
      <c r="F45" s="3">
        <v>60</v>
      </c>
      <c r="G45" s="3" t="str">
        <v>dns</v>
      </c>
      <c r="H45" s="3">
        <v>0</v>
      </c>
      <c r="I45" s="3" t="str">
        <v>DNS</v>
      </c>
      <c r="J45" s="3">
        <v>0</v>
      </c>
      <c r="K45" s="3" t="str">
        <v>DNS</v>
      </c>
      <c r="L45" s="3">
        <v>0</v>
      </c>
      <c r="M45" s="3" t="str">
        <v>DNS</v>
      </c>
      <c r="N45" s="3">
        <v>0</v>
      </c>
      <c r="O45" s="3">
        <v>0</v>
      </c>
      <c r="P45" s="3" t="str">
        <v/>
      </c>
    </row>
    <row r="46" spans="1:16" x14ac:dyDescent="0.4">
      <c r="A46" t="str">
        <v>Laith Rifaat</v>
      </c>
      <c r="B46" t="str">
        <v>Argyle</v>
      </c>
      <c r="C46" t="str">
        <v>Bant Boys</v>
      </c>
      <c r="D46">
        <v>8049</v>
      </c>
      <c r="E46" s="3">
        <v>25</v>
      </c>
      <c r="F46" s="3">
        <v>35</v>
      </c>
      <c r="G46" s="3">
        <v>32</v>
      </c>
      <c r="H46" s="3">
        <v>28</v>
      </c>
      <c r="I46" s="3">
        <v>21</v>
      </c>
      <c r="J46" s="3">
        <v>39</v>
      </c>
      <c r="K46" s="3">
        <v>29</v>
      </c>
      <c r="L46" s="3">
        <v>31</v>
      </c>
      <c r="M46" s="3">
        <v>36</v>
      </c>
      <c r="N46" s="3">
        <v>24</v>
      </c>
      <c r="O46" s="3">
        <v>0</v>
      </c>
      <c r="P46" s="3" t="str">
        <v/>
      </c>
    </row>
    <row r="47" spans="1:16" x14ac:dyDescent="0.4">
      <c r="A47" t="str">
        <v>William Grant</v>
      </c>
      <c r="B47" t="str">
        <v>Windsor</v>
      </c>
      <c r="C47" t="str">
        <v>Bant Boys</v>
      </c>
      <c r="D47">
        <v>8084</v>
      </c>
      <c r="E47" s="3" t="str">
        <v>DNS</v>
      </c>
      <c r="F47" s="3">
        <v>0</v>
      </c>
      <c r="G47" s="3">
        <v>9</v>
      </c>
      <c r="H47" s="3">
        <v>60</v>
      </c>
      <c r="I47" s="3">
        <v>28</v>
      </c>
      <c r="J47" s="3">
        <v>32</v>
      </c>
      <c r="K47" s="3">
        <v>10</v>
      </c>
      <c r="L47" s="3">
        <v>55</v>
      </c>
      <c r="M47" s="3">
        <v>26</v>
      </c>
      <c r="N47" s="3">
        <v>34</v>
      </c>
      <c r="O47" s="3">
        <v>0</v>
      </c>
      <c r="P47" s="3" t="str">
        <v/>
      </c>
    </row>
    <row r="48" spans="1:16" x14ac:dyDescent="0.4">
      <c r="A48" t="str">
        <v>Dylan MacDondald</v>
      </c>
      <c r="B48" t="str">
        <v>Argyle</v>
      </c>
      <c r="C48" t="str">
        <v>Bant Boys</v>
      </c>
      <c r="D48">
        <v>8086</v>
      </c>
      <c r="E48" s="3" t="str">
        <v>DNS</v>
      </c>
      <c r="F48" s="3">
        <v>0</v>
      </c>
      <c r="G48" s="3">
        <v>36</v>
      </c>
      <c r="H48" s="3">
        <v>24</v>
      </c>
      <c r="I48" s="3">
        <v>27</v>
      </c>
      <c r="J48" s="3">
        <v>33</v>
      </c>
      <c r="K48" s="3">
        <v>23</v>
      </c>
      <c r="L48" s="3">
        <v>37</v>
      </c>
      <c r="M48" s="3" t="str">
        <v>DNS</v>
      </c>
      <c r="N48" s="3">
        <v>0</v>
      </c>
      <c r="O48" s="3">
        <v>0</v>
      </c>
      <c r="P48" s="3" t="str">
        <v/>
      </c>
    </row>
    <row r="49" spans="1:16" x14ac:dyDescent="0.4">
      <c r="A49" t="str">
        <v>Max Remfry</v>
      </c>
      <c r="B49" t="str">
        <v>Argyle</v>
      </c>
      <c r="C49" t="str">
        <v>Bant Boys</v>
      </c>
      <c r="D49">
        <v>8147</v>
      </c>
      <c r="E49" s="3">
        <v>23</v>
      </c>
      <c r="F49" s="3">
        <v>37</v>
      </c>
      <c r="G49" s="3">
        <v>22</v>
      </c>
      <c r="H49" s="3">
        <v>38</v>
      </c>
      <c r="I49" s="3">
        <v>19</v>
      </c>
      <c r="J49" s="3">
        <v>41</v>
      </c>
      <c r="K49" s="3">
        <v>16</v>
      </c>
      <c r="L49" s="3">
        <v>44</v>
      </c>
      <c r="M49" s="3">
        <v>17</v>
      </c>
      <c r="N49" s="3">
        <v>43</v>
      </c>
      <c r="O49" s="3">
        <v>0</v>
      </c>
      <c r="P49" s="3" t="str">
        <v/>
      </c>
    </row>
    <row r="50" spans="1:16" x14ac:dyDescent="0.4">
      <c r="A50" t="str">
        <v>Ronin Stewart</v>
      </c>
      <c r="B50" t="str">
        <v>Argyle</v>
      </c>
      <c r="C50" t="str">
        <v>Bant Boys</v>
      </c>
      <c r="D50">
        <v>8181</v>
      </c>
      <c r="E50" s="3" t="str">
        <v>DNS</v>
      </c>
      <c r="F50" s="3">
        <v>0</v>
      </c>
      <c r="G50" s="3">
        <v>41</v>
      </c>
      <c r="H50" s="3">
        <v>19</v>
      </c>
      <c r="I50" s="3">
        <v>35</v>
      </c>
      <c r="J50" s="3">
        <v>25</v>
      </c>
      <c r="K50" s="3">
        <v>28</v>
      </c>
      <c r="L50" s="3">
        <v>32</v>
      </c>
      <c r="M50" s="3" t="str">
        <v>DNS</v>
      </c>
      <c r="N50" s="3">
        <v>0</v>
      </c>
      <c r="O50" s="3">
        <v>0</v>
      </c>
      <c r="P50" s="3" t="str">
        <v/>
      </c>
    </row>
    <row r="51" spans="1:16" x14ac:dyDescent="0.4">
      <c r="A51" t="str">
        <v>Oren Purdy</v>
      </c>
      <c r="B51" t="str">
        <v>Argyle</v>
      </c>
      <c r="C51" t="str">
        <v>Bant Boys</v>
      </c>
      <c r="D51">
        <v>8185</v>
      </c>
      <c r="E51" s="3" t="str">
        <v>DNF</v>
      </c>
      <c r="F51" s="3">
        <v>1</v>
      </c>
      <c r="G51" s="3">
        <v>34</v>
      </c>
      <c r="H51" s="3">
        <v>26</v>
      </c>
      <c r="I51" s="3">
        <v>8</v>
      </c>
      <c r="J51" s="3">
        <v>65</v>
      </c>
      <c r="K51" s="3">
        <v>22</v>
      </c>
      <c r="L51" s="3">
        <v>38</v>
      </c>
      <c r="M51" s="3">
        <v>23</v>
      </c>
      <c r="N51" s="3">
        <v>37</v>
      </c>
      <c r="O51" s="3">
        <v>0</v>
      </c>
      <c r="P51" s="3" t="str">
        <v/>
      </c>
    </row>
    <row r="52" spans="1:16" x14ac:dyDescent="0.4">
      <c r="A52" t="str">
        <v>Aiden Bucci</v>
      </c>
      <c r="B52" t="str">
        <v>Brockton</v>
      </c>
      <c r="C52" t="str">
        <v>Bant Boys</v>
      </c>
      <c r="D52">
        <v>8189</v>
      </c>
      <c r="E52" s="3">
        <v>33</v>
      </c>
      <c r="F52" s="3">
        <v>27</v>
      </c>
      <c r="G52" s="3">
        <v>38</v>
      </c>
      <c r="H52" s="3">
        <v>22</v>
      </c>
      <c r="I52" s="3" t="str">
        <v>DNS</v>
      </c>
      <c r="J52" s="3">
        <v>0</v>
      </c>
      <c r="K52" s="3">
        <v>32</v>
      </c>
      <c r="L52" s="3">
        <v>28</v>
      </c>
      <c r="M52" s="3">
        <v>40</v>
      </c>
      <c r="N52" s="3">
        <v>20</v>
      </c>
      <c r="O52" s="3">
        <v>0</v>
      </c>
      <c r="P52" s="3" t="str">
        <v/>
      </c>
    </row>
    <row r="53" spans="1:16" x14ac:dyDescent="0.4">
      <c r="A53" t="str">
        <v>Henry Sparrow</v>
      </c>
      <c r="B53" t="str">
        <v>Brockton</v>
      </c>
      <c r="C53" t="str">
        <v>Bant Boys</v>
      </c>
      <c r="D53">
        <v>8190</v>
      </c>
      <c r="E53" s="3" t="str">
        <v>DNS</v>
      </c>
      <c r="F53" s="3">
        <v>0</v>
      </c>
      <c r="G53" s="3" t="str">
        <v>DNS</v>
      </c>
      <c r="H53" s="3">
        <v>0</v>
      </c>
      <c r="I53" s="3" t="str">
        <v>DNS</v>
      </c>
      <c r="J53" s="3">
        <v>0</v>
      </c>
      <c r="K53" s="3" t="str">
        <v>DNS</v>
      </c>
      <c r="L53" s="3">
        <v>0</v>
      </c>
      <c r="M53" s="3" t="str">
        <v>DNS</v>
      </c>
      <c r="N53" s="3">
        <v>0</v>
      </c>
      <c r="O53" s="3">
        <v>0</v>
      </c>
      <c r="P53" s="3" t="str">
        <v/>
      </c>
    </row>
    <row r="54" spans="1:16" x14ac:dyDescent="0.4">
      <c r="A54" t="str">
        <v>Austin Bandic</v>
      </c>
      <c r="B54" t="str">
        <v>Burnaby Mtn</v>
      </c>
      <c r="C54" t="str">
        <v>Bant Boys</v>
      </c>
      <c r="D54">
        <v>8191</v>
      </c>
      <c r="E54" s="3">
        <v>22</v>
      </c>
      <c r="F54" s="3">
        <v>38</v>
      </c>
      <c r="G54" s="3">
        <v>35</v>
      </c>
      <c r="H54" s="3">
        <v>25</v>
      </c>
      <c r="I54" s="3" t="str">
        <v>DNS</v>
      </c>
      <c r="J54" s="3">
        <v>0</v>
      </c>
      <c r="K54" s="3">
        <v>21</v>
      </c>
      <c r="L54" s="3">
        <v>39</v>
      </c>
      <c r="M54" s="3">
        <v>30</v>
      </c>
      <c r="N54" s="3">
        <v>30</v>
      </c>
      <c r="O54" s="3">
        <v>0</v>
      </c>
      <c r="P54" s="3" t="str">
        <v/>
      </c>
    </row>
    <row r="55" spans="1:16" x14ac:dyDescent="0.4">
      <c r="A55" t="str">
        <v>Yara Raouf Malayeri</v>
      </c>
      <c r="B55" t="str">
        <v>Burnaby Mtn</v>
      </c>
      <c r="C55" t="str">
        <v>Bant Boys</v>
      </c>
      <c r="D55">
        <v>8192</v>
      </c>
      <c r="E55" s="3">
        <v>29</v>
      </c>
      <c r="F55" s="3">
        <v>31</v>
      </c>
      <c r="G55" s="3">
        <v>43</v>
      </c>
      <c r="H55" s="3">
        <v>17</v>
      </c>
      <c r="I55" s="3">
        <v>25</v>
      </c>
      <c r="J55" s="3">
        <v>35</v>
      </c>
      <c r="K55" s="3">
        <v>37</v>
      </c>
      <c r="L55" s="3">
        <v>23</v>
      </c>
      <c r="M55" s="3">
        <v>42</v>
      </c>
      <c r="N55" s="3">
        <v>18</v>
      </c>
      <c r="O55" s="3">
        <v>0</v>
      </c>
      <c r="P55" s="3" t="str">
        <v/>
      </c>
    </row>
    <row r="56" spans="1:16" x14ac:dyDescent="0.4">
      <c r="A56" t="str">
        <v>James Kwong</v>
      </c>
      <c r="B56" t="str">
        <v>Carson</v>
      </c>
      <c r="C56" t="str">
        <v>Bant Boys</v>
      </c>
      <c r="D56">
        <v>8193</v>
      </c>
      <c r="E56" s="3" t="str">
        <v>DNS</v>
      </c>
      <c r="F56" s="3">
        <v>0</v>
      </c>
      <c r="G56" s="3">
        <v>30</v>
      </c>
      <c r="H56" s="3">
        <v>30</v>
      </c>
      <c r="I56" s="3" t="str">
        <v>DNS</v>
      </c>
      <c r="J56" s="3">
        <v>0</v>
      </c>
      <c r="K56" s="3">
        <v>25</v>
      </c>
      <c r="L56" s="3">
        <v>35</v>
      </c>
      <c r="M56" s="3">
        <v>38</v>
      </c>
      <c r="N56" s="3">
        <v>22</v>
      </c>
      <c r="O56" s="3">
        <v>0</v>
      </c>
      <c r="P56" s="3" t="str">
        <v/>
      </c>
    </row>
    <row r="57" spans="1:16" x14ac:dyDescent="0.4">
      <c r="A57" t="str">
        <v>Bryce Weatherly</v>
      </c>
      <c r="B57" t="str">
        <v>Carson</v>
      </c>
      <c r="C57" t="str">
        <v>Bant Boys</v>
      </c>
      <c r="D57">
        <v>8194</v>
      </c>
      <c r="E57" s="3" t="str">
        <v>DNS</v>
      </c>
      <c r="F57" s="3">
        <v>0</v>
      </c>
      <c r="G57" s="3">
        <v>20</v>
      </c>
      <c r="H57" s="3">
        <v>40</v>
      </c>
      <c r="I57" s="3" t="str">
        <v>DNS</v>
      </c>
      <c r="J57" s="3">
        <v>0</v>
      </c>
      <c r="K57" s="3">
        <v>20</v>
      </c>
      <c r="L57" s="3">
        <v>40</v>
      </c>
      <c r="M57" s="3">
        <v>15</v>
      </c>
      <c r="N57" s="3">
        <v>45</v>
      </c>
      <c r="O57" s="3">
        <v>0</v>
      </c>
      <c r="P57" s="3" t="str">
        <v/>
      </c>
    </row>
    <row r="58" spans="1:16" x14ac:dyDescent="0.4">
      <c r="A58" t="str">
        <v>Jack Walton</v>
      </c>
      <c r="B58" t="str">
        <v>Chatelech</v>
      </c>
      <c r="C58" t="str">
        <v>Bant Boys</v>
      </c>
      <c r="D58">
        <v>8195</v>
      </c>
      <c r="E58" s="3" t="str">
        <v>DNS</v>
      </c>
      <c r="F58" s="3">
        <v>0</v>
      </c>
      <c r="G58" s="3" t="str">
        <v>DNS</v>
      </c>
      <c r="H58" s="3">
        <v>0</v>
      </c>
      <c r="I58" s="3" t="str">
        <v>DNS</v>
      </c>
      <c r="J58" s="3">
        <v>0</v>
      </c>
      <c r="K58" s="3" t="str">
        <v>DNF</v>
      </c>
      <c r="L58" s="3">
        <v>1</v>
      </c>
      <c r="M58" s="3" t="str">
        <v>DNS</v>
      </c>
      <c r="N58" s="3">
        <v>0</v>
      </c>
      <c r="O58" s="3">
        <v>0</v>
      </c>
      <c r="P58" s="3" t="str">
        <v/>
      </c>
    </row>
    <row r="59" spans="1:16" x14ac:dyDescent="0.4">
      <c r="A59" t="str">
        <v>Andrew Simpson</v>
      </c>
      <c r="B59" t="str">
        <v>Coast Mtn</v>
      </c>
      <c r="C59" t="str">
        <v>Bant Boys</v>
      </c>
      <c r="D59">
        <v>8197</v>
      </c>
      <c r="E59" s="3">
        <v>11</v>
      </c>
      <c r="F59" s="3">
        <v>53</v>
      </c>
      <c r="G59" s="3">
        <v>3</v>
      </c>
      <c r="H59" s="3">
        <v>90</v>
      </c>
      <c r="I59" s="3">
        <v>1</v>
      </c>
      <c r="J59" s="3">
        <v>100</v>
      </c>
      <c r="K59" s="3" t="str">
        <v>DNS</v>
      </c>
      <c r="L59" s="3">
        <v>0</v>
      </c>
      <c r="M59" s="3">
        <v>3</v>
      </c>
      <c r="N59" s="3">
        <v>90</v>
      </c>
      <c r="O59" s="3">
        <v>0</v>
      </c>
      <c r="P59" s="3" t="str">
        <v/>
      </c>
    </row>
    <row r="60" spans="1:16" x14ac:dyDescent="0.4">
      <c r="A60" t="str">
        <v>Asher Lissett</v>
      </c>
      <c r="B60" t="str">
        <v>Coast Mtn</v>
      </c>
      <c r="C60" t="str">
        <v>Bant Boys</v>
      </c>
      <c r="D60">
        <v>8198</v>
      </c>
      <c r="E60" s="3">
        <v>3</v>
      </c>
      <c r="F60" s="3">
        <v>90</v>
      </c>
      <c r="G60" s="3">
        <v>19</v>
      </c>
      <c r="H60" s="3">
        <v>41</v>
      </c>
      <c r="I60" s="3">
        <v>2</v>
      </c>
      <c r="J60" s="3">
        <v>95</v>
      </c>
      <c r="K60" s="3" t="str">
        <v>DNS</v>
      </c>
      <c r="L60" s="3">
        <v>0</v>
      </c>
      <c r="M60" s="3">
        <v>14</v>
      </c>
      <c r="N60" s="3">
        <v>47</v>
      </c>
      <c r="O60" s="3">
        <v>0</v>
      </c>
      <c r="P60" s="3" t="str">
        <v/>
      </c>
    </row>
    <row r="61" spans="1:16" x14ac:dyDescent="0.4">
      <c r="A61" t="str">
        <v>Noah Phillips</v>
      </c>
      <c r="B61" t="str">
        <v>Coast Mtn</v>
      </c>
      <c r="C61" t="str">
        <v>Bant Boys</v>
      </c>
      <c r="D61">
        <v>8199</v>
      </c>
      <c r="E61" s="3" t="str">
        <v>DNS</v>
      </c>
      <c r="F61" s="3">
        <v>0</v>
      </c>
      <c r="G61" s="3">
        <v>27</v>
      </c>
      <c r="H61" s="3">
        <v>33</v>
      </c>
      <c r="I61" s="3" t="str">
        <v>DNS</v>
      </c>
      <c r="J61" s="3">
        <v>0</v>
      </c>
      <c r="K61" s="3" t="str">
        <v>DNS</v>
      </c>
      <c r="L61" s="3">
        <v>0</v>
      </c>
      <c r="M61" s="3">
        <v>16</v>
      </c>
      <c r="N61" s="3">
        <v>44</v>
      </c>
      <c r="O61" s="3">
        <v>0</v>
      </c>
      <c r="P61" s="3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8"/>
  <sheetViews>
    <sheetView topLeftCell="A19" workbookViewId="0">
      <selection activeCell="M28" sqref="M28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389</v>
      </c>
      <c r="D1" s="2" t="s">
        <v>390</v>
      </c>
      <c r="E1" s="2" t="s">
        <v>391</v>
      </c>
      <c r="F1" s="2" t="s">
        <v>392</v>
      </c>
      <c r="G1" s="2" t="s">
        <v>393</v>
      </c>
      <c r="H1" s="2" t="s">
        <v>394</v>
      </c>
      <c r="I1" s="2" t="s">
        <v>50</v>
      </c>
    </row>
    <row r="2" spans="1:9" x14ac:dyDescent="0.4">
      <c r="A2" t="s">
        <v>7</v>
      </c>
      <c r="B2" t="s">
        <v>23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168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E2" s="3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161</v>
      </c>
      <c r="F2" s="3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G2" s="3" cm="1">
        <f t="array" ref="G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" s="3">
        <f>SUM(tbl_teampoints[[#This Row],[Race 1]]:tbl_teampoints[[#This Row],[Race 6]])</f>
        <v>895</v>
      </c>
    </row>
    <row r="3" spans="1:9" x14ac:dyDescent="0.4">
      <c r="A3" t="s">
        <v>7</v>
      </c>
      <c r="B3" t="s">
        <v>17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280</v>
      </c>
      <c r="D3" s="3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208</v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" s="3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340</v>
      </c>
      <c r="G3" s="3" cm="1">
        <f t="array" ref="G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340</v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" s="3">
        <f>SUM(tbl_teampoints[[#This Row],[Race 1]]:tbl_teampoints[[#This Row],[Race 6]])</f>
        <v>1168</v>
      </c>
    </row>
    <row r="4" spans="1:9" x14ac:dyDescent="0.4">
      <c r="A4" t="s">
        <v>7</v>
      </c>
      <c r="B4" t="s">
        <v>15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237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199</v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" s="3">
        <f>SUM(tbl_teampoints[[#This Row],[Race 1]]:tbl_teampoints[[#This Row],[Race 6]])</f>
        <v>436</v>
      </c>
    </row>
    <row r="5" spans="1:9" x14ac:dyDescent="0.4">
      <c r="A5" t="s">
        <v>7</v>
      </c>
      <c r="B5" t="s">
        <v>26</v>
      </c>
      <c r="C5" s="3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160</v>
      </c>
      <c r="D5" s="3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89</v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122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150</v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5" s="3">
        <f>SUM(tbl_teampoints[[#This Row],[Race 1]]:tbl_teampoints[[#This Row],[Race 6]])</f>
        <v>671</v>
      </c>
    </row>
    <row r="6" spans="1:9" x14ac:dyDescent="0.4">
      <c r="A6" t="s">
        <v>7</v>
      </c>
      <c r="B6" t="s">
        <v>10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73</v>
      </c>
      <c r="D6" s="3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E6" s="3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F6" s="3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151</v>
      </c>
      <c r="G6" s="3" cm="1">
        <f t="array" ref="G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151</v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6" s="3">
        <f>SUM(tbl_teampoints[[#This Row],[Race 1]]:tbl_teampoints[[#This Row],[Race 6]])</f>
        <v>669</v>
      </c>
    </row>
    <row r="7" spans="1:9" x14ac:dyDescent="0.4">
      <c r="A7" t="s">
        <v>7</v>
      </c>
      <c r="B7" t="s">
        <v>20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98</v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208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164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164</v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7" s="3">
        <f>SUM(tbl_teampoints[[#This Row],[Race 1]]:tbl_teampoints[[#This Row],[Race 6]])</f>
        <v>634</v>
      </c>
    </row>
    <row r="8" spans="1:9" x14ac:dyDescent="0.4">
      <c r="A8" t="s">
        <v>7</v>
      </c>
      <c r="B8" t="s">
        <v>28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132</v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8" s="3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142</v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8" s="3">
        <f>SUM(tbl_teampoints[[#This Row],[Race 1]]:tbl_teampoints[[#This Row],[Race 6]])</f>
        <v>274</v>
      </c>
    </row>
    <row r="9" spans="1:9" x14ac:dyDescent="0.4">
      <c r="A9" t="s">
        <v>7</v>
      </c>
      <c r="B9" t="s">
        <v>30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9" s="3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176</v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9" s="3">
        <f>SUM(tbl_teampoints[[#This Row],[Race 1]]:tbl_teampoints[[#This Row],[Race 6]])</f>
        <v>176</v>
      </c>
    </row>
    <row r="10" spans="1:9" x14ac:dyDescent="0.4">
      <c r="A10" t="s">
        <v>7</v>
      </c>
      <c r="B10" t="s">
        <v>18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0" s="3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66</v>
      </c>
      <c r="F10" s="3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63</v>
      </c>
      <c r="G10" s="3" cm="1">
        <f t="array" ref="G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63</v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0" s="3">
        <f>SUM(tbl_teampoints[[#This Row],[Race 1]]:tbl_teampoints[[#This Row],[Race 6]])</f>
        <v>192</v>
      </c>
    </row>
    <row r="11" spans="1:9" x14ac:dyDescent="0.4">
      <c r="A11" t="s">
        <v>396</v>
      </c>
      <c r="B11" t="s">
        <v>30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246</v>
      </c>
      <c r="D11" s="3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318</v>
      </c>
      <c r="E11" s="3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248</v>
      </c>
      <c r="F11" s="3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G11" s="3" cm="1">
        <f t="array" ref="G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1" s="3">
        <f>SUM(tbl_teampoints[[#This Row],[Race 1]]:tbl_teampoints[[#This Row],[Race 6]])</f>
        <v>1242</v>
      </c>
    </row>
    <row r="12" spans="1:9" x14ac:dyDescent="0.4">
      <c r="A12" t="s">
        <v>396</v>
      </c>
      <c r="B12" t="s">
        <v>10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237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241</v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200</v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2" s="3">
        <f>SUM(tbl_teampoints[[#This Row],[Race 1]]:tbl_teampoints[[#This Row],[Race 6]])</f>
        <v>678</v>
      </c>
    </row>
    <row r="13" spans="1:9" x14ac:dyDescent="0.4">
      <c r="A13" t="s">
        <v>396</v>
      </c>
      <c r="B13" t="s">
        <v>15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D13" s="3" t="str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F13" s="3" t="str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3" s="3" t="str" cm="1">
        <f t="array" ref="G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3" s="3" t="str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3" s="3">
        <f>SUM(tbl_teampoints[[#This Row],[Race 1]]:tbl_teampoints[[#This Row],[Race 6]])</f>
        <v>440</v>
      </c>
    </row>
    <row r="14" spans="1:9" x14ac:dyDescent="0.4">
      <c r="A14" t="s">
        <v>396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4" s="3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167</v>
      </c>
      <c r="F14" s="3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G14" s="3" cm="1">
        <f t="array" ref="G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4" s="3">
        <f>SUM(tbl_teampoints[[#This Row],[Race 1]]:tbl_teampoints[[#This Row],[Race 6]])</f>
        <v>878</v>
      </c>
    </row>
    <row r="15" spans="1:9" x14ac:dyDescent="0.4">
      <c r="A15" t="s">
        <v>396</v>
      </c>
      <c r="B15" t="s">
        <v>17</v>
      </c>
      <c r="C15" s="3" t="str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5" s="3">
        <f>SUM(tbl_teampoints[[#This Row],[Race 1]]:tbl_teampoints[[#This Row],[Race 6]])</f>
        <v>0</v>
      </c>
    </row>
    <row r="16" spans="1:9" x14ac:dyDescent="0.4">
      <c r="A16" t="s">
        <v>3</v>
      </c>
      <c r="B16" t="s">
        <v>21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222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6" s="3">
        <f>SUM(tbl_teampoints[[#This Row],[Race 1]]:tbl_teampoints[[#This Row],[Race 6]])</f>
        <v>1262</v>
      </c>
    </row>
    <row r="17" spans="1:9" x14ac:dyDescent="0.4">
      <c r="A17" t="s">
        <v>3</v>
      </c>
      <c r="B17" t="s">
        <v>20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242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221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283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240</v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7" s="3">
        <f>SUM(tbl_teampoints[[#This Row],[Race 1]]:tbl_teampoints[[#This Row],[Race 6]])</f>
        <v>1226</v>
      </c>
    </row>
    <row r="18" spans="1:9" x14ac:dyDescent="0.4">
      <c r="A18" t="s">
        <v>3</v>
      </c>
      <c r="B18" t="s">
        <v>10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224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197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197</v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8" s="3">
        <f>SUM(tbl_teampoints[[#This Row],[Race 1]]:tbl_teampoints[[#This Row],[Race 6]])</f>
        <v>1138</v>
      </c>
    </row>
    <row r="19" spans="1:9" x14ac:dyDescent="0.4">
      <c r="A19" t="s">
        <v>3</v>
      </c>
      <c r="B19" t="s">
        <v>23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161</v>
      </c>
      <c r="D19" s="3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E19" s="3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F19" s="3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261</v>
      </c>
      <c r="G19" s="3" cm="1">
        <f t="array" ref="G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261</v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9" s="3">
        <f>SUM(tbl_teampoints[[#This Row],[Race 1]]:tbl_teampoints[[#This Row],[Race 6]])</f>
        <v>1066</v>
      </c>
    </row>
    <row r="20" spans="1:9" x14ac:dyDescent="0.4">
      <c r="A20" t="s">
        <v>3</v>
      </c>
      <c r="B20" t="s">
        <v>30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D20" s="3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123</v>
      </c>
      <c r="E20" s="3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228</v>
      </c>
      <c r="F20" s="3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232</v>
      </c>
      <c r="G20" s="3" cm="1">
        <f t="array" ref="G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232</v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0" s="3">
        <f>SUM(tbl_teampoints[[#This Row],[Race 1]]:tbl_teampoints[[#This Row],[Race 6]])</f>
        <v>974</v>
      </c>
    </row>
    <row r="21" spans="1:9" x14ac:dyDescent="0.4">
      <c r="A21" t="s">
        <v>3</v>
      </c>
      <c r="B21" t="s">
        <v>11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1" s="3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125</v>
      </c>
      <c r="E21" s="3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F21" s="3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97</v>
      </c>
      <c r="G21" s="3" cm="1">
        <f t="array" ref="G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97</v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1" s="3">
        <f>SUM(tbl_teampoints[[#This Row],[Race 1]]:tbl_teampoints[[#This Row],[Race 6]])</f>
        <v>421</v>
      </c>
    </row>
    <row r="22" spans="1:9" x14ac:dyDescent="0.4">
      <c r="A22" t="s">
        <v>395</v>
      </c>
      <c r="B22" t="s">
        <v>23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295</v>
      </c>
      <c r="D22" s="3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310</v>
      </c>
      <c r="E22" s="3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F22" s="3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315</v>
      </c>
      <c r="G22" s="3" cm="1">
        <f t="array" ref="G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315</v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2" s="3">
        <f>SUM(tbl_teampoints[[#This Row],[Race 1]]:tbl_teampoints[[#This Row],[Race 6]])</f>
        <v>1555</v>
      </c>
    </row>
    <row r="23" spans="1:9" x14ac:dyDescent="0.4">
      <c r="A23" t="s">
        <v>395</v>
      </c>
      <c r="B23" t="s">
        <v>10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3" s="3">
        <f>SUM(tbl_teampoints[[#This Row],[Race 1]]:tbl_teampoints[[#This Row],[Race 6]])</f>
        <v>1266</v>
      </c>
    </row>
    <row r="24" spans="1:9" x14ac:dyDescent="0.4">
      <c r="A24" t="s">
        <v>395</v>
      </c>
      <c r="B24" t="s">
        <v>31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4" s="3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265</v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4" s="3">
        <f>SUM(tbl_teampoints[[#This Row],[Race 1]]:tbl_teampoints[[#This Row],[Race 6]])</f>
        <v>940</v>
      </c>
    </row>
    <row r="25" spans="1:9" x14ac:dyDescent="0.4">
      <c r="A25" t="s">
        <v>395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D25" s="3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248</v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5" s="3">
        <f>SUM(tbl_teampoints[[#This Row],[Race 1]]:tbl_teampoints[[#This Row],[Race 6]])</f>
        <v>486</v>
      </c>
    </row>
    <row r="26" spans="1:9" x14ac:dyDescent="0.4">
      <c r="A26" t="s">
        <v>395</v>
      </c>
      <c r="B26" t="s">
        <v>30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132</v>
      </c>
      <c r="D26" s="3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6" s="3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300</v>
      </c>
      <c r="G26" s="3" cm="1">
        <f t="array" ref="G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300</v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6" s="3">
        <f>SUM(tbl_teampoints[[#This Row],[Race 1]]:tbl_teampoints[[#This Row],[Race 6]])</f>
        <v>970</v>
      </c>
    </row>
    <row r="27" spans="1:9" x14ac:dyDescent="0.4">
      <c r="A27" t="s">
        <v>395</v>
      </c>
      <c r="B27" t="s">
        <v>13</v>
      </c>
      <c r="C27" s="3" t="str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7" s="3" t="str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7" s="3">
        <f>SUM(tbl_teampoints[[#This Row],[Race 1]]:tbl_teampoints[[#This Row],[Race 6]])</f>
        <v>314</v>
      </c>
    </row>
    <row r="28" spans="1:9" x14ac:dyDescent="0.4">
      <c r="A28" t="s">
        <v>395</v>
      </c>
      <c r="B28" t="s">
        <v>20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5</v>
      </c>
      <c r="B29" t="s">
        <v>10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294</v>
      </c>
      <c r="D29" s="3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345</v>
      </c>
      <c r="E29" s="3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264</v>
      </c>
      <c r="F29" s="3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308</v>
      </c>
      <c r="G29" s="3" cm="1">
        <f t="array" ref="G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308</v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9" s="3">
        <f>SUM(tbl_teampoints[[#This Row],[Race 1]]:tbl_teampoints[[#This Row],[Race 6]])</f>
        <v>1519</v>
      </c>
    </row>
    <row r="30" spans="1:9" x14ac:dyDescent="0.4">
      <c r="A30" t="s">
        <v>5</v>
      </c>
      <c r="B30" t="s">
        <v>16</v>
      </c>
      <c r="C30" s="3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187</v>
      </c>
      <c r="D30" s="3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187</v>
      </c>
      <c r="E30" s="3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233</v>
      </c>
      <c r="F30" s="3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206</v>
      </c>
      <c r="G30" s="3" cm="1">
        <f t="array" ref="G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206</v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0" s="3">
        <f>SUM(tbl_teampoints[[#This Row],[Race 1]]:tbl_teampoints[[#This Row],[Race 6]])</f>
        <v>1019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173</v>
      </c>
      <c r="D31" s="3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E31" s="3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276</v>
      </c>
      <c r="F31" s="3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G31" s="3" cm="1">
        <f t="array" ref="G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1" s="3">
        <f>SUM(tbl_teampoints[[#This Row],[Race 1]]:tbl_teampoints[[#This Row],[Race 6]])</f>
        <v>869</v>
      </c>
    </row>
    <row r="32" spans="1:9" x14ac:dyDescent="0.4">
      <c r="A32" t="s">
        <v>5</v>
      </c>
      <c r="B32" t="s">
        <v>25</v>
      </c>
      <c r="C32" s="3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253</v>
      </c>
      <c r="D32" s="3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246</v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2" s="3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201</v>
      </c>
      <c r="G32" s="3" cm="1">
        <f t="array" ref="G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201</v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2" s="3">
        <f>SUM(tbl_teampoints[[#This Row],[Race 1]]:tbl_teampoints[[#This Row],[Race 6]])</f>
        <v>901</v>
      </c>
    </row>
    <row r="33" spans="1:9" x14ac:dyDescent="0.4">
      <c r="A33" t="s">
        <v>5</v>
      </c>
      <c r="B33" t="s">
        <v>28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148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169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162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162</v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3" s="3">
        <f>SUM(tbl_teampoints[[#This Row],[Race 1]]:tbl_teampoints[[#This Row],[Race 6]])</f>
        <v>785</v>
      </c>
    </row>
    <row r="34" spans="1:9" x14ac:dyDescent="0.4">
      <c r="A34" t="s">
        <v>5</v>
      </c>
      <c r="B34" t="s">
        <v>23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4" s="3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141</v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4" s="3">
        <f>SUM(tbl_teampoints[[#This Row],[Race 1]]:tbl_teampoints[[#This Row],[Race 6]])</f>
        <v>141</v>
      </c>
    </row>
    <row r="35" spans="1:9" x14ac:dyDescent="0.4">
      <c r="A35" t="s">
        <v>5</v>
      </c>
      <c r="B35" t="s">
        <v>17</v>
      </c>
      <c r="C35" s="3" t="str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5" s="3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216</v>
      </c>
      <c r="G35" s="3" cm="1">
        <f t="array" ref="G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216</v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5" s="3">
        <f>SUM(tbl_teampoints[[#This Row],[Race 1]]:tbl_teampoints[[#This Row],[Race 6]])</f>
        <v>432</v>
      </c>
    </row>
    <row r="36" spans="1:9" x14ac:dyDescent="0.4">
      <c r="A36" t="s">
        <v>5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31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20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235</v>
      </c>
      <c r="D38" s="3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345</v>
      </c>
      <c r="E38" s="3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256</v>
      </c>
      <c r="F38" s="3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G38" s="3" cm="1">
        <f t="array" ref="G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8" s="3">
        <f>SUM(tbl_teampoints[[#This Row],[Race 1]]:tbl_teampoints[[#This Row],[Race 6]])</f>
        <v>1476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223</v>
      </c>
      <c r="E39" s="3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283</v>
      </c>
      <c r="F39" s="3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G39" s="3" cm="1">
        <f t="array" ref="G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9" s="3">
        <f>SUM(tbl_teampoints[[#This Row],[Race 1]]:tbl_teampoints[[#This Row],[Race 6]])</f>
        <v>1275</v>
      </c>
    </row>
    <row r="40" spans="1:9" x14ac:dyDescent="0.4">
      <c r="A40" t="s">
        <v>1</v>
      </c>
      <c r="B40" t="s">
        <v>23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233</v>
      </c>
      <c r="D40" s="3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181</v>
      </c>
      <c r="E40" s="3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F40" s="3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146</v>
      </c>
      <c r="G40" s="3" cm="1">
        <f t="array" ref="G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146</v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0" s="3">
        <f>SUM(tbl_teampoints[[#This Row],[Race 1]]:tbl_teampoints[[#This Row],[Race 6]])</f>
        <v>949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182</v>
      </c>
      <c r="D41" s="3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E41" s="3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124</v>
      </c>
      <c r="F41" s="3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G41" s="3" cm="1">
        <f t="array" ref="G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1" s="3">
        <f>SUM(tbl_teampoints[[#This Row],[Race 1]]:tbl_teampoints[[#This Row],[Race 6]])</f>
        <v>732</v>
      </c>
    </row>
    <row r="42" spans="1:9" x14ac:dyDescent="0.4">
      <c r="A42" t="s">
        <v>1</v>
      </c>
      <c r="B42" t="s">
        <v>28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147</v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153</v>
      </c>
      <c r="E42" s="3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137</v>
      </c>
      <c r="F42" s="3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188</v>
      </c>
      <c r="G42" s="3" cm="1">
        <f t="array" ref="G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188</v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2" s="3">
        <f>SUM(tbl_teampoints[[#This Row],[Race 1]]:tbl_teampoints[[#This Row],[Race 6]])</f>
        <v>813</v>
      </c>
    </row>
    <row r="43" spans="1:9" x14ac:dyDescent="0.4">
      <c r="A43" t="s">
        <v>1</v>
      </c>
      <c r="B43" t="s">
        <v>27</v>
      </c>
      <c r="C43" s="3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104</v>
      </c>
      <c r="D43" s="3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127</v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104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3" s="3">
        <f>SUM(tbl_teampoints[[#This Row],[Race 1]]:tbl_teampoints[[#This Row],[Race 6]])</f>
        <v>623</v>
      </c>
    </row>
    <row r="44" spans="1:9" x14ac:dyDescent="0.4">
      <c r="A44" t="s">
        <v>1</v>
      </c>
      <c r="B44" t="s">
        <v>10</v>
      </c>
      <c r="C44" s="3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103</v>
      </c>
      <c r="D44" s="3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48</v>
      </c>
      <c r="E44" s="3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99</v>
      </c>
      <c r="F44" s="3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G44" s="3" cm="1">
        <f t="array" ref="G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4" s="3">
        <f>SUM(tbl_teampoints[[#This Row],[Race 1]]:tbl_teampoints[[#This Row],[Race 6]])</f>
        <v>430</v>
      </c>
    </row>
    <row r="45" spans="1:9" x14ac:dyDescent="0.4">
      <c r="A45" t="s">
        <v>1</v>
      </c>
      <c r="B45" t="s">
        <v>30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5" s="3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192</v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5" s="3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236</v>
      </c>
      <c r="G45" s="3" cm="1">
        <f t="array" ref="G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236</v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5" s="3">
        <f>SUM(tbl_teampoints[[#This Row],[Race 1]]:tbl_teampoints[[#This Row],[Race 6]])</f>
        <v>664</v>
      </c>
    </row>
    <row r="46" spans="1:9" x14ac:dyDescent="0.4">
      <c r="A46" t="s">
        <v>1</v>
      </c>
      <c r="B46" t="s">
        <v>12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39</v>
      </c>
      <c r="D46" s="3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</v>
      </c>
      <c r="E46" s="3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</v>
      </c>
      <c r="F46" s="3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5</v>
      </c>
      <c r="G46" s="3" cm="1">
        <f t="array" ref="G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5</v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6" s="3">
        <f>SUM(tbl_teampoints[[#This Row],[Race 1]]:tbl_teampoints[[#This Row],[Race 6]])</f>
        <v>73</v>
      </c>
    </row>
    <row r="47" spans="1:9" x14ac:dyDescent="0.4">
      <c r="A47" t="s">
        <v>1</v>
      </c>
      <c r="B47" t="s">
        <v>26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</v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</v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7" s="3">
        <f>SUM(tbl_teampoints[[#This Row],[Race 1]]:tbl_teampoints[[#This Row],[Race 6]])</f>
        <v>56</v>
      </c>
    </row>
    <row r="48" spans="1:9" x14ac:dyDescent="0.4">
      <c r="A48" t="s">
        <v>1</v>
      </c>
      <c r="B48" t="s">
        <v>24</v>
      </c>
      <c r="C48" s="3" t="str" cm="1">
        <f t="array" ref="C4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8" s="3" t="str" cm="1">
        <f t="array" ref="D4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48" s="3" t="str" cm="1">
        <f t="array" ref="E4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8" s="3" t="str" cm="1">
        <f t="array" ref="F4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8" s="3" t="str" cm="1">
        <f t="array" ref="G4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8" s="3" t="str" cm="1">
        <f t="array" ref="H4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8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A2:A48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1</v>
      </c>
    </row>
    <row r="2" spans="1:7" ht="19.95" customHeight="1" x14ac:dyDescent="0.4"/>
    <row r="3" spans="1:7" s="4" customFormat="1" ht="24" customHeight="1" x14ac:dyDescent="0.4">
      <c r="A3" s="7"/>
      <c r="B3" s="8" t="s">
        <v>397</v>
      </c>
      <c r="C3" s="8" t="s">
        <v>35</v>
      </c>
      <c r="D3" s="7" t="s">
        <v>36</v>
      </c>
      <c r="E3" s="7" t="s">
        <v>398</v>
      </c>
      <c r="F3" s="7" t="s">
        <v>399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99">_xlfn.LET(
_xlpm.data,_xlfn._xlws.FILTER(tbl_individual[],(tbl_individual[Division]=$C$1)*(tbl_individual[Status]="Active")),
_xlfn.SORTBY(
_xlfn.CHOOSECOLS(_xlpm.data,1,2,3,4),
_xlfn.CHOOSECOLS(_xlpm.data,2),1,
_xlfn.CHOOSECOLS(_xlpm.data,4),1
)
)</f>
        <v>Guy Shalev</v>
      </c>
      <c r="C4" s="10" t="str">
        <v>Argyle</v>
      </c>
      <c r="D4" s="9" t="str">
        <v>Sr Boys</v>
      </c>
      <c r="E4" s="9">
        <v>12001</v>
      </c>
      <c r="F4" s="9"/>
      <c r="G4" s="9"/>
    </row>
    <row r="5" spans="1:7" ht="24" customHeight="1" x14ac:dyDescent="0.4">
      <c r="A5" s="9">
        <v>2</v>
      </c>
      <c r="B5" s="10" t="str">
        <v>Markus Leung</v>
      </c>
      <c r="C5" s="10" t="str">
        <v>Argyle</v>
      </c>
      <c r="D5" s="9" t="str">
        <v>Sr Boys</v>
      </c>
      <c r="E5" s="9">
        <v>12005</v>
      </c>
      <c r="F5" s="9"/>
      <c r="G5" s="9"/>
    </row>
    <row r="6" spans="1:7" ht="24" customHeight="1" x14ac:dyDescent="0.4">
      <c r="A6" s="9">
        <v>3</v>
      </c>
      <c r="B6" s="10" t="str">
        <v>Satoru Yamaguchi</v>
      </c>
      <c r="C6" s="10" t="str">
        <v>Argyle</v>
      </c>
      <c r="D6" s="9" t="str">
        <v>Sr Boys</v>
      </c>
      <c r="E6" s="9">
        <v>12009</v>
      </c>
      <c r="F6" s="9"/>
      <c r="G6" s="9"/>
    </row>
    <row r="7" spans="1:7" ht="24" customHeight="1" x14ac:dyDescent="0.4">
      <c r="A7" s="9">
        <v>4</v>
      </c>
      <c r="B7" s="10" t="str">
        <v>Ruben Wright</v>
      </c>
      <c r="C7" s="10" t="str">
        <v>Argyle</v>
      </c>
      <c r="D7" s="9" t="str">
        <v>Sr Boys</v>
      </c>
      <c r="E7" s="9">
        <v>12012</v>
      </c>
      <c r="F7" s="9"/>
      <c r="G7" s="9"/>
    </row>
    <row r="8" spans="1:7" ht="24" customHeight="1" x14ac:dyDescent="0.4">
      <c r="A8" s="9">
        <v>5</v>
      </c>
      <c r="B8" s="10" t="str">
        <v>Kai Nunes</v>
      </c>
      <c r="C8" s="10" t="str">
        <v>Argyle</v>
      </c>
      <c r="D8" s="9" t="str">
        <v>Sr Boys</v>
      </c>
      <c r="E8" s="9">
        <v>12013</v>
      </c>
      <c r="F8" s="9"/>
      <c r="G8" s="9"/>
    </row>
    <row r="9" spans="1:7" ht="24" customHeight="1" x14ac:dyDescent="0.4">
      <c r="A9" s="9">
        <v>6</v>
      </c>
      <c r="B9" s="10" t="str">
        <v>Hyunseo Ryu</v>
      </c>
      <c r="C9" s="10" t="str">
        <v>Argyle</v>
      </c>
      <c r="D9" s="9" t="str">
        <v>Sr Boys</v>
      </c>
      <c r="E9" s="9">
        <v>12014</v>
      </c>
      <c r="F9" s="9"/>
      <c r="G9" s="9"/>
    </row>
    <row r="10" spans="1:7" ht="24" customHeight="1" x14ac:dyDescent="0.4">
      <c r="A10" s="9">
        <v>7</v>
      </c>
      <c r="B10" s="10" t="str">
        <v>Leif Montgomery</v>
      </c>
      <c r="C10" s="10" t="str">
        <v>Argyle</v>
      </c>
      <c r="D10" s="9" t="str">
        <v>Sr Boys</v>
      </c>
      <c r="E10" s="9">
        <v>12015</v>
      </c>
      <c r="F10" s="9"/>
      <c r="G10" s="9"/>
    </row>
    <row r="11" spans="1:7" ht="24" customHeight="1" x14ac:dyDescent="0.4">
      <c r="A11" s="9">
        <v>8</v>
      </c>
      <c r="B11" s="10" t="str">
        <v>Ben Christian</v>
      </c>
      <c r="C11" s="10" t="str">
        <v>Argyle</v>
      </c>
      <c r="D11" s="9" t="str">
        <v>Sr Boys</v>
      </c>
      <c r="E11" s="9">
        <v>12016</v>
      </c>
      <c r="F11" s="9"/>
      <c r="G11" s="9"/>
    </row>
    <row r="12" spans="1:7" ht="24" customHeight="1" x14ac:dyDescent="0.4">
      <c r="A12" s="9">
        <v>9</v>
      </c>
      <c r="B12" s="10" t="str">
        <v>Dylan Lilley</v>
      </c>
      <c r="C12" s="10" t="str">
        <v>Argyle</v>
      </c>
      <c r="D12" s="9" t="str">
        <v>Sr Boys</v>
      </c>
      <c r="E12" s="9">
        <v>12017</v>
      </c>
      <c r="F12" s="9"/>
      <c r="G12" s="9"/>
    </row>
    <row r="13" spans="1:7" ht="24" customHeight="1" x14ac:dyDescent="0.4">
      <c r="A13" s="9">
        <v>10</v>
      </c>
      <c r="B13" s="10" t="str">
        <v>Isaac Flegal</v>
      </c>
      <c r="C13" s="10" t="str">
        <v>Argyle</v>
      </c>
      <c r="D13" s="9" t="str">
        <v>Sr Boys</v>
      </c>
      <c r="E13" s="9">
        <v>12104</v>
      </c>
      <c r="F13" s="9"/>
      <c r="G13" s="9"/>
    </row>
    <row r="14" spans="1:7" ht="24" customHeight="1" x14ac:dyDescent="0.4">
      <c r="A14" s="9">
        <v>11</v>
      </c>
      <c r="B14" s="10" t="str">
        <v>Carter Bucci</v>
      </c>
      <c r="C14" s="10" t="str">
        <v>Brockton</v>
      </c>
      <c r="D14" s="9" t="str">
        <v>Sr Boys</v>
      </c>
      <c r="E14" s="9">
        <v>12018</v>
      </c>
      <c r="F14" s="9"/>
      <c r="G14" s="9"/>
    </row>
    <row r="15" spans="1:7" ht="24" customHeight="1" x14ac:dyDescent="0.4">
      <c r="A15" s="9">
        <v>12</v>
      </c>
      <c r="B15" s="10" t="str">
        <v>Harry Duess</v>
      </c>
      <c r="C15" s="10" t="str">
        <v>Brockton</v>
      </c>
      <c r="D15" s="9" t="str">
        <v>Sr Boys</v>
      </c>
      <c r="E15" s="9">
        <v>12019</v>
      </c>
      <c r="F15" s="9"/>
      <c r="G15" s="9"/>
    </row>
    <row r="16" spans="1:7" ht="24" customHeight="1" x14ac:dyDescent="0.4">
      <c r="A16" s="9">
        <v>13</v>
      </c>
      <c r="B16" s="10" t="str">
        <v>Tristan Ng</v>
      </c>
      <c r="C16" s="10" t="str">
        <v>Burnaby Mtn</v>
      </c>
      <c r="D16" s="9" t="str">
        <v>Sr Boys</v>
      </c>
      <c r="E16" s="9">
        <v>12020</v>
      </c>
      <c r="F16" s="9"/>
      <c r="G16" s="9"/>
    </row>
    <row r="17" spans="1:7" ht="24" customHeight="1" x14ac:dyDescent="0.4">
      <c r="A17" s="9">
        <v>14</v>
      </c>
      <c r="B17" s="10" t="str">
        <v>Will Burkett</v>
      </c>
      <c r="C17" s="10" t="str">
        <v>Burnaby Mtn</v>
      </c>
      <c r="D17" s="9" t="str">
        <v>Sr Boys</v>
      </c>
      <c r="E17" s="9">
        <v>12021</v>
      </c>
      <c r="F17" s="9"/>
      <c r="G17" s="9"/>
    </row>
    <row r="18" spans="1:7" ht="24" customHeight="1" x14ac:dyDescent="0.4">
      <c r="A18" s="9">
        <v>15</v>
      </c>
      <c r="B18" s="10" t="str">
        <v>Caige Udagawa</v>
      </c>
      <c r="C18" s="10" t="str">
        <v>Burnaby Mtn</v>
      </c>
      <c r="D18" s="9" t="str">
        <v>Sr Boys</v>
      </c>
      <c r="E18" s="9">
        <v>12022</v>
      </c>
      <c r="F18" s="9"/>
      <c r="G18" s="9"/>
    </row>
    <row r="19" spans="1:7" ht="24" customHeight="1" x14ac:dyDescent="0.4">
      <c r="A19" s="9">
        <v>16</v>
      </c>
      <c r="B19" s="10" t="str">
        <v>Jayin Charan</v>
      </c>
      <c r="C19" s="10" t="str">
        <v>Burnaby Mtn</v>
      </c>
      <c r="D19" s="9" t="str">
        <v>Sr Boys</v>
      </c>
      <c r="E19" s="9">
        <v>12023</v>
      </c>
      <c r="F19" s="9"/>
      <c r="G19" s="9"/>
    </row>
    <row r="20" spans="1:7" ht="24" customHeight="1" x14ac:dyDescent="0.4">
      <c r="A20" s="9">
        <v>17</v>
      </c>
      <c r="B20" s="10" t="str">
        <v>Luke Mackie</v>
      </c>
      <c r="C20" s="10" t="str">
        <v>Carson</v>
      </c>
      <c r="D20" s="9" t="str">
        <v>Sr Boys</v>
      </c>
      <c r="E20" s="9">
        <v>12024</v>
      </c>
      <c r="F20" s="9"/>
      <c r="G20" s="9"/>
    </row>
    <row r="21" spans="1:7" ht="24" customHeight="1" x14ac:dyDescent="0.4">
      <c r="A21" s="9">
        <v>18</v>
      </c>
      <c r="B21" s="10" t="str">
        <v>Jonah Rickard</v>
      </c>
      <c r="C21" s="10" t="str">
        <v>Carson</v>
      </c>
      <c r="D21" s="9" t="str">
        <v>Sr Boys</v>
      </c>
      <c r="E21" s="9">
        <v>12025</v>
      </c>
      <c r="F21" s="9"/>
      <c r="G21" s="9"/>
    </row>
    <row r="22" spans="1:7" ht="24" customHeight="1" x14ac:dyDescent="0.4">
      <c r="A22" s="9">
        <v>19</v>
      </c>
      <c r="B22" s="10" t="str">
        <v>Oscar Tschan</v>
      </c>
      <c r="C22" s="10" t="str">
        <v>Carson</v>
      </c>
      <c r="D22" s="9" t="str">
        <v>Sr Boys</v>
      </c>
      <c r="E22" s="9">
        <v>12026</v>
      </c>
      <c r="F22" s="9"/>
      <c r="G22" s="9"/>
    </row>
    <row r="23" spans="1:7" ht="24" customHeight="1" x14ac:dyDescent="0.4">
      <c r="A23" s="9">
        <v>20</v>
      </c>
      <c r="B23" s="10" t="str">
        <v>Trent McGrenera</v>
      </c>
      <c r="C23" s="10" t="str">
        <v>Carson</v>
      </c>
      <c r="D23" s="9" t="str">
        <v>Sr Boys</v>
      </c>
      <c r="E23" s="9">
        <v>12027</v>
      </c>
      <c r="F23" s="9"/>
      <c r="G23" s="9"/>
    </row>
    <row r="24" spans="1:7" ht="24" customHeight="1" x14ac:dyDescent="0.4">
      <c r="A24" s="9">
        <v>21</v>
      </c>
      <c r="B24" s="10" t="str">
        <v>Nate Morse</v>
      </c>
      <c r="C24" s="10" t="str">
        <v>Carson</v>
      </c>
      <c r="D24" s="9" t="str">
        <v>Sr Boys</v>
      </c>
      <c r="E24" s="9">
        <v>12028</v>
      </c>
      <c r="F24" s="9"/>
      <c r="G24" s="9"/>
    </row>
    <row r="25" spans="1:7" ht="24" customHeight="1" x14ac:dyDescent="0.4">
      <c r="A25" s="9">
        <v>22</v>
      </c>
      <c r="B25" s="10" t="str">
        <v>Eden Golan</v>
      </c>
      <c r="C25" s="10" t="str">
        <v>Carson</v>
      </c>
      <c r="D25" s="9" t="str">
        <v>Sr Boys</v>
      </c>
      <c r="E25" s="9">
        <v>12029</v>
      </c>
      <c r="F25" s="9"/>
      <c r="G25" s="9"/>
    </row>
    <row r="26" spans="1:7" ht="24" customHeight="1" x14ac:dyDescent="0.4">
      <c r="A26" s="9">
        <v>23</v>
      </c>
      <c r="B26" s="10" t="str">
        <v>Jake Brackenbury</v>
      </c>
      <c r="C26" s="10" t="str">
        <v>Carson</v>
      </c>
      <c r="D26" s="9" t="str">
        <v>Sr Boys</v>
      </c>
      <c r="E26" s="9">
        <v>12030</v>
      </c>
      <c r="F26" s="9"/>
      <c r="G26" s="9"/>
    </row>
    <row r="27" spans="1:7" ht="24" customHeight="1" x14ac:dyDescent="0.4">
      <c r="A27" s="9">
        <v>24</v>
      </c>
      <c r="B27" s="10" t="str">
        <v>James Pinfold</v>
      </c>
      <c r="C27" s="10" t="str">
        <v>Carson</v>
      </c>
      <c r="D27" s="9" t="str">
        <v>Sr Boys</v>
      </c>
      <c r="E27" s="9">
        <v>12103</v>
      </c>
      <c r="F27" s="9"/>
      <c r="G27" s="9"/>
    </row>
    <row r="28" spans="1:7" ht="24" customHeight="1" x14ac:dyDescent="0.4">
      <c r="A28" s="9">
        <v>25</v>
      </c>
      <c r="B28" s="10" t="str">
        <v>Quentin Bayle</v>
      </c>
      <c r="C28" s="10" t="str">
        <v>Chatelech</v>
      </c>
      <c r="D28" s="9" t="str">
        <v>Sr Boys</v>
      </c>
      <c r="E28" s="9">
        <v>12031</v>
      </c>
      <c r="F28" s="9"/>
      <c r="G28" s="9"/>
    </row>
    <row r="29" spans="1:7" ht="24" customHeight="1" x14ac:dyDescent="0.4">
      <c r="A29" s="9">
        <v>26</v>
      </c>
      <c r="B29" s="10" t="str">
        <v>Harrison Hume</v>
      </c>
      <c r="C29" s="10" t="str">
        <v>Coast Mtn</v>
      </c>
      <c r="D29" s="9" t="str">
        <v>Sr Boys</v>
      </c>
      <c r="E29" s="9">
        <v>12032</v>
      </c>
      <c r="F29" s="9"/>
      <c r="G29" s="9"/>
    </row>
    <row r="30" spans="1:7" ht="24" customHeight="1" x14ac:dyDescent="0.4">
      <c r="A30" s="9">
        <v>27</v>
      </c>
      <c r="B30" s="10" t="str">
        <v>Rafe Hudson</v>
      </c>
      <c r="C30" s="10" t="str">
        <v>Coast Mtn</v>
      </c>
      <c r="D30" s="9" t="str">
        <v>Sr Boys</v>
      </c>
      <c r="E30" s="9">
        <v>12033</v>
      </c>
      <c r="F30" s="9"/>
      <c r="G30" s="9"/>
    </row>
    <row r="31" spans="1:7" ht="24" customHeight="1" x14ac:dyDescent="0.4">
      <c r="A31" s="9">
        <v>28</v>
      </c>
      <c r="B31" s="10" t="str">
        <v>Beckett Jiminez</v>
      </c>
      <c r="C31" s="10" t="str">
        <v>Collingwood</v>
      </c>
      <c r="D31" s="9" t="str">
        <v>Sr Boys</v>
      </c>
      <c r="E31" s="9">
        <v>12034</v>
      </c>
      <c r="F31" s="9"/>
      <c r="G31" s="9"/>
    </row>
    <row r="32" spans="1:7" ht="24" customHeight="1" x14ac:dyDescent="0.4">
      <c r="A32" s="9">
        <v>29</v>
      </c>
      <c r="B32" s="10" t="str">
        <v>Zachary Jiminez</v>
      </c>
      <c r="C32" s="10" t="str">
        <v>Collingwood</v>
      </c>
      <c r="D32" s="9" t="str">
        <v>Sr Boys</v>
      </c>
      <c r="E32" s="9">
        <v>12035</v>
      </c>
      <c r="F32" s="9"/>
      <c r="G32" s="9"/>
    </row>
    <row r="33" spans="1:7" ht="24" customHeight="1" x14ac:dyDescent="0.4">
      <c r="A33" s="9">
        <v>30</v>
      </c>
      <c r="B33" s="10" t="str">
        <v>Chase Marchuk</v>
      </c>
      <c r="C33" s="10" t="str">
        <v>GW Graham</v>
      </c>
      <c r="D33" s="9" t="str">
        <v>Sr Boys</v>
      </c>
      <c r="E33" s="9">
        <v>12036</v>
      </c>
      <c r="F33" s="9"/>
      <c r="G33" s="9"/>
    </row>
    <row r="34" spans="1:7" ht="24" customHeight="1" x14ac:dyDescent="0.4">
      <c r="A34" s="9">
        <v>31</v>
      </c>
      <c r="B34" s="10" t="str">
        <v>Luke Mulyono</v>
      </c>
      <c r="C34" s="10" t="str">
        <v>GW Graham</v>
      </c>
      <c r="D34" s="9" t="str">
        <v>Sr Boys</v>
      </c>
      <c r="E34" s="9">
        <v>12037</v>
      </c>
      <c r="F34" s="9"/>
      <c r="G34" s="9"/>
    </row>
    <row r="35" spans="1:7" ht="24" customHeight="1" x14ac:dyDescent="0.4">
      <c r="A35" s="9">
        <v>32</v>
      </c>
      <c r="B35" s="10" t="str">
        <v>Hudson Baker</v>
      </c>
      <c r="C35" s="10" t="str">
        <v>Handsworth</v>
      </c>
      <c r="D35" s="9" t="str">
        <v>Sr Boys</v>
      </c>
      <c r="E35" s="9">
        <v>12038</v>
      </c>
      <c r="F35" s="9"/>
      <c r="G35" s="9"/>
    </row>
    <row r="36" spans="1:7" ht="24" customHeight="1" x14ac:dyDescent="0.4">
      <c r="A36" s="9">
        <v>33</v>
      </c>
      <c r="B36" s="10" t="str">
        <v>Jacob Bergerhoff</v>
      </c>
      <c r="C36" s="10" t="str">
        <v>Handsworth</v>
      </c>
      <c r="D36" s="9" t="str">
        <v>Sr Boys</v>
      </c>
      <c r="E36" s="9">
        <v>12039</v>
      </c>
      <c r="F36" s="9"/>
      <c r="G36" s="9"/>
    </row>
    <row r="37" spans="1:7" ht="24" customHeight="1" x14ac:dyDescent="0.4">
      <c r="A37" s="9">
        <v>34</v>
      </c>
      <c r="B37" s="10" t="str">
        <v>Russell Ferguson</v>
      </c>
      <c r="C37" s="10" t="str">
        <v>Handsworth</v>
      </c>
      <c r="D37" s="9" t="str">
        <v>Sr Boys</v>
      </c>
      <c r="E37" s="9">
        <v>12040</v>
      </c>
      <c r="F37" s="9"/>
      <c r="G37" s="9"/>
    </row>
    <row r="38" spans="1:7" ht="24" customHeight="1" x14ac:dyDescent="0.4">
      <c r="A38" s="9">
        <v>35</v>
      </c>
      <c r="B38" s="10" t="str">
        <v>Noah Gradin</v>
      </c>
      <c r="C38" s="10" t="str">
        <v>Handsworth</v>
      </c>
      <c r="D38" s="9" t="str">
        <v>Sr Boys</v>
      </c>
      <c r="E38" s="9">
        <v>12041</v>
      </c>
      <c r="F38" s="9"/>
      <c r="G38" s="9"/>
    </row>
    <row r="39" spans="1:7" ht="24" customHeight="1" x14ac:dyDescent="0.4">
      <c r="A39" s="9">
        <v>36</v>
      </c>
      <c r="B39" s="10" t="str">
        <v>Trevor Gurd</v>
      </c>
      <c r="C39" s="10" t="str">
        <v>Handsworth</v>
      </c>
      <c r="D39" s="9" t="str">
        <v>Sr Boys</v>
      </c>
      <c r="E39" s="9">
        <v>12042</v>
      </c>
      <c r="F39" s="9"/>
      <c r="G39" s="9"/>
    </row>
    <row r="40" spans="1:7" ht="24" customHeight="1" x14ac:dyDescent="0.4">
      <c r="A40" s="9">
        <v>37</v>
      </c>
      <c r="B40" s="10" t="str">
        <v>Easton Hestler</v>
      </c>
      <c r="C40" s="10" t="str">
        <v>Handsworth</v>
      </c>
      <c r="D40" s="9" t="str">
        <v>Sr Boys</v>
      </c>
      <c r="E40" s="9">
        <v>12043</v>
      </c>
      <c r="F40" s="9"/>
      <c r="G40" s="9"/>
    </row>
    <row r="41" spans="1:7" ht="24" customHeight="1" x14ac:dyDescent="0.4">
      <c r="A41" s="9">
        <v>38</v>
      </c>
      <c r="B41" s="10" t="str">
        <v>Riley Hobbs</v>
      </c>
      <c r="C41" s="10" t="str">
        <v>Handsworth</v>
      </c>
      <c r="D41" s="9" t="str">
        <v>Sr Boys</v>
      </c>
      <c r="E41" s="9">
        <v>12044</v>
      </c>
      <c r="F41" s="9"/>
      <c r="G41" s="9"/>
    </row>
    <row r="42" spans="1:7" ht="24" customHeight="1" x14ac:dyDescent="0.4">
      <c r="A42" s="9">
        <v>39</v>
      </c>
      <c r="B42" s="10" t="str">
        <v>Owen Moore</v>
      </c>
      <c r="C42" s="10" t="str">
        <v>Handsworth</v>
      </c>
      <c r="D42" s="9" t="str">
        <v>Sr Boys</v>
      </c>
      <c r="E42" s="9">
        <v>12045</v>
      </c>
      <c r="F42" s="9"/>
      <c r="G42" s="9"/>
    </row>
    <row r="43" spans="1:7" ht="24" customHeight="1" x14ac:dyDescent="0.4">
      <c r="A43" s="9">
        <v>40</v>
      </c>
      <c r="B43" s="10" t="str">
        <v>Nathaniel Pica</v>
      </c>
      <c r="C43" s="10" t="str">
        <v>Handsworth</v>
      </c>
      <c r="D43" s="9" t="str">
        <v>Sr Boys</v>
      </c>
      <c r="E43" s="9">
        <v>12046</v>
      </c>
      <c r="F43" s="9"/>
      <c r="G43" s="9"/>
    </row>
    <row r="44" spans="1:7" ht="24" customHeight="1" x14ac:dyDescent="0.4">
      <c r="A44" s="9">
        <v>41</v>
      </c>
      <c r="B44" s="10" t="str">
        <v>Max Rinzema</v>
      </c>
      <c r="C44" s="10" t="str">
        <v>Handsworth</v>
      </c>
      <c r="D44" s="9" t="str">
        <v>Sr Boys</v>
      </c>
      <c r="E44" s="9">
        <v>12047</v>
      </c>
      <c r="F44" s="9"/>
      <c r="G44" s="9"/>
    </row>
    <row r="45" spans="1:7" ht="24" customHeight="1" x14ac:dyDescent="0.4">
      <c r="A45" s="9">
        <v>42</v>
      </c>
      <c r="B45" s="10" t="str">
        <v>Ethan Stewart</v>
      </c>
      <c r="C45" s="10" t="str">
        <v>Handsworth</v>
      </c>
      <c r="D45" s="9" t="str">
        <v>Sr Boys</v>
      </c>
      <c r="E45" s="9">
        <v>12048</v>
      </c>
      <c r="F45" s="9"/>
      <c r="G45" s="9"/>
    </row>
    <row r="46" spans="1:7" ht="24" customHeight="1" x14ac:dyDescent="0.4">
      <c r="A46" s="9">
        <v>43</v>
      </c>
      <c r="B46" s="10" t="str">
        <v>Bennet Scheider</v>
      </c>
      <c r="C46" s="10" t="str">
        <v>Howe Sound</v>
      </c>
      <c r="D46" s="9" t="str">
        <v>Sr Boys</v>
      </c>
      <c r="E46" s="9">
        <v>12049</v>
      </c>
      <c r="F46" s="9"/>
      <c r="G46" s="9"/>
    </row>
    <row r="47" spans="1:7" ht="24" customHeight="1" x14ac:dyDescent="0.4">
      <c r="A47" s="9">
        <v>44</v>
      </c>
      <c r="B47" s="10" t="str">
        <v xml:space="preserve">Caelan Hooper </v>
      </c>
      <c r="C47" s="10" t="str">
        <v>Howe Sound</v>
      </c>
      <c r="D47" s="9" t="str">
        <v>Sr Boys</v>
      </c>
      <c r="E47" s="9">
        <v>12050</v>
      </c>
      <c r="F47" s="9"/>
      <c r="G47" s="9"/>
    </row>
    <row r="48" spans="1:7" ht="24" customHeight="1" x14ac:dyDescent="0.4">
      <c r="A48" s="9">
        <v>45</v>
      </c>
      <c r="B48" s="10" t="str">
        <v>Caleb Leung</v>
      </c>
      <c r="C48" s="10" t="str">
        <v>Howe Sound</v>
      </c>
      <c r="D48" s="9" t="str">
        <v>Sr Boys</v>
      </c>
      <c r="E48" s="9">
        <v>12051</v>
      </c>
      <c r="F48" s="9"/>
      <c r="G48" s="9"/>
    </row>
    <row r="49" spans="1:7" ht="24" customHeight="1" x14ac:dyDescent="0.4">
      <c r="A49" s="9">
        <v>46</v>
      </c>
      <c r="B49" s="10" t="str">
        <v xml:space="preserve">Hendrik Lorenz </v>
      </c>
      <c r="C49" s="10" t="str">
        <v>Howe Sound</v>
      </c>
      <c r="D49" s="9" t="str">
        <v>Sr Boys</v>
      </c>
      <c r="E49" s="9">
        <v>12052</v>
      </c>
      <c r="F49" s="9"/>
      <c r="G49" s="9"/>
    </row>
    <row r="50" spans="1:7" ht="24" customHeight="1" x14ac:dyDescent="0.4">
      <c r="A50" s="9">
        <v>47</v>
      </c>
      <c r="B50" s="10" t="str">
        <v>Paul Musculus</v>
      </c>
      <c r="C50" s="10" t="str">
        <v>Howe Sound</v>
      </c>
      <c r="D50" s="9" t="str">
        <v>Sr Boys</v>
      </c>
      <c r="E50" s="9">
        <v>12053</v>
      </c>
      <c r="F50" s="9"/>
      <c r="G50" s="9"/>
    </row>
    <row r="51" spans="1:7" ht="24" customHeight="1" x14ac:dyDescent="0.4">
      <c r="A51" s="9">
        <v>48</v>
      </c>
      <c r="B51" s="10" t="str">
        <v>Shu Yano</v>
      </c>
      <c r="C51" s="10" t="str">
        <v>Howe Sound</v>
      </c>
      <c r="D51" s="9" t="str">
        <v>Sr Boys</v>
      </c>
      <c r="E51" s="9">
        <v>12054</v>
      </c>
      <c r="F51" s="9"/>
      <c r="G51" s="9"/>
    </row>
    <row r="52" spans="1:7" ht="24" customHeight="1" x14ac:dyDescent="0.4">
      <c r="A52" s="9">
        <v>49</v>
      </c>
      <c r="B52" s="10" t="str">
        <v>Konrad Pfaff</v>
      </c>
      <c r="C52" s="10" t="str">
        <v>Howe Sound</v>
      </c>
      <c r="D52" s="9" t="str">
        <v>Sr Boys</v>
      </c>
      <c r="E52" s="9">
        <v>12055</v>
      </c>
      <c r="F52" s="9"/>
      <c r="G52" s="9"/>
    </row>
    <row r="53" spans="1:7" ht="24" customHeight="1" x14ac:dyDescent="0.4">
      <c r="A53" s="9">
        <v>50</v>
      </c>
      <c r="B53" s="10" t="str">
        <v>Howard Wang</v>
      </c>
      <c r="C53" s="10" t="str">
        <v>Howe Sound</v>
      </c>
      <c r="D53" s="9" t="str">
        <v>Sr Boys</v>
      </c>
      <c r="E53" s="9">
        <v>12056</v>
      </c>
      <c r="F53" s="9"/>
      <c r="G53" s="9"/>
    </row>
    <row r="54" spans="1:7" ht="24" customHeight="1" x14ac:dyDescent="0.4">
      <c r="A54" s="9">
        <v>51</v>
      </c>
      <c r="B54" s="10" t="str">
        <v>Riley Drever</v>
      </c>
      <c r="C54" s="10" t="str">
        <v>Howe Sound</v>
      </c>
      <c r="D54" s="9" t="str">
        <v>Sr Boys</v>
      </c>
      <c r="E54" s="9">
        <v>12057</v>
      </c>
      <c r="F54" s="9"/>
      <c r="G54" s="9"/>
    </row>
    <row r="55" spans="1:7" ht="24" customHeight="1" x14ac:dyDescent="0.4">
      <c r="A55" s="9">
        <v>52</v>
      </c>
      <c r="B55" s="10" t="str">
        <v>Jed Fleming</v>
      </c>
      <c r="C55" s="10" t="str">
        <v>Howe Sound</v>
      </c>
      <c r="D55" s="9" t="str">
        <v>Sr Boys</v>
      </c>
      <c r="E55" s="9">
        <v>12058</v>
      </c>
      <c r="F55" s="9"/>
      <c r="G55" s="9"/>
    </row>
    <row r="56" spans="1:7" ht="24" customHeight="1" x14ac:dyDescent="0.4">
      <c r="A56" s="9">
        <v>53</v>
      </c>
      <c r="B56" s="10" t="str">
        <v>Mateo Quist</v>
      </c>
      <c r="C56" s="10" t="str">
        <v>Howe Sound</v>
      </c>
      <c r="D56" s="9" t="str">
        <v>Sr Boys</v>
      </c>
      <c r="E56" s="9">
        <v>12059</v>
      </c>
      <c r="F56" s="9"/>
      <c r="G56" s="9"/>
    </row>
    <row r="57" spans="1:7" ht="24" customHeight="1" x14ac:dyDescent="0.4">
      <c r="A57" s="9">
        <v>54</v>
      </c>
      <c r="B57" s="10" t="str">
        <v>Florian Ruoff</v>
      </c>
      <c r="C57" s="10" t="str">
        <v>Howe Sound</v>
      </c>
      <c r="D57" s="9" t="str">
        <v>Sr Boys</v>
      </c>
      <c r="E57" s="9">
        <v>12060</v>
      </c>
      <c r="F57" s="9"/>
      <c r="G57" s="9"/>
    </row>
    <row r="58" spans="1:7" ht="24" customHeight="1" x14ac:dyDescent="0.4">
      <c r="A58" s="9">
        <v>55</v>
      </c>
      <c r="B58" s="10" t="str">
        <v>Felix LeBlanc</v>
      </c>
      <c r="C58" s="10" t="str">
        <v>Pemberton</v>
      </c>
      <c r="D58" s="9" t="str">
        <v>Sr Boys</v>
      </c>
      <c r="E58" s="9">
        <v>12061</v>
      </c>
      <c r="F58" s="9"/>
      <c r="G58" s="9"/>
    </row>
    <row r="59" spans="1:7" ht="24" customHeight="1" x14ac:dyDescent="0.4">
      <c r="A59" s="9">
        <v>56</v>
      </c>
      <c r="B59" s="10" t="str">
        <v>Hunter Ronayne</v>
      </c>
      <c r="C59" s="10" t="str">
        <v>Pemberton</v>
      </c>
      <c r="D59" s="9" t="str">
        <v>Sr Boys</v>
      </c>
      <c r="E59" s="9">
        <v>12062</v>
      </c>
      <c r="F59" s="9"/>
      <c r="G59" s="9"/>
    </row>
    <row r="60" spans="1:7" ht="24" customHeight="1" x14ac:dyDescent="0.4">
      <c r="A60" s="9">
        <v>57</v>
      </c>
      <c r="B60" s="10" t="str">
        <v>Ethan Andrew</v>
      </c>
      <c r="C60" s="10" t="str">
        <v>Pemberton</v>
      </c>
      <c r="D60" s="9" t="str">
        <v>Sr Boys</v>
      </c>
      <c r="E60" s="9">
        <v>12063</v>
      </c>
      <c r="F60" s="9"/>
      <c r="G60" s="9"/>
    </row>
    <row r="61" spans="1:7" ht="24" customHeight="1" x14ac:dyDescent="0.4">
      <c r="A61" s="9">
        <v>58</v>
      </c>
      <c r="B61" s="10" t="str">
        <v>India Becker</v>
      </c>
      <c r="C61" s="10" t="str">
        <v>Pemberton</v>
      </c>
      <c r="D61" s="9" t="str">
        <v>Sr Boys</v>
      </c>
      <c r="E61" s="9">
        <v>12064</v>
      </c>
      <c r="F61" s="9"/>
      <c r="G61" s="9"/>
    </row>
    <row r="62" spans="1:7" ht="24" customHeight="1" x14ac:dyDescent="0.4">
      <c r="A62" s="9">
        <v>59</v>
      </c>
      <c r="B62" s="10" t="str">
        <v>Tristan Benes</v>
      </c>
      <c r="C62" s="10" t="str">
        <v>Pemberton</v>
      </c>
      <c r="D62" s="9" t="str">
        <v>Sr Boys</v>
      </c>
      <c r="E62" s="9">
        <v>12065</v>
      </c>
      <c r="F62" s="9"/>
      <c r="G62" s="9"/>
    </row>
    <row r="63" spans="1:7" ht="24" customHeight="1" x14ac:dyDescent="0.4">
      <c r="A63" s="9">
        <v>60</v>
      </c>
      <c r="B63" s="10" t="str">
        <v>Finlay Bubbs</v>
      </c>
      <c r="C63" s="10" t="str">
        <v>Pemberton</v>
      </c>
      <c r="D63" s="9" t="str">
        <v>Sr Boys</v>
      </c>
      <c r="E63" s="9">
        <v>12066</v>
      </c>
      <c r="F63" s="9"/>
      <c r="G63" s="9"/>
    </row>
    <row r="64" spans="1:7" ht="24" customHeight="1" x14ac:dyDescent="0.4">
      <c r="A64" s="9">
        <v>61</v>
      </c>
      <c r="B64" s="10" t="str">
        <v>Joey Kearnes</v>
      </c>
      <c r="C64" s="10" t="str">
        <v>Pemberton</v>
      </c>
      <c r="D64" s="9" t="str">
        <v>Sr Boys</v>
      </c>
      <c r="E64" s="9">
        <v>12067</v>
      </c>
      <c r="F64" s="9"/>
      <c r="G64" s="9"/>
    </row>
    <row r="65" spans="1:7" ht="24" customHeight="1" x14ac:dyDescent="0.4">
      <c r="A65" s="9">
        <v>62</v>
      </c>
      <c r="B65" s="10" t="str">
        <v>Liam McNolty</v>
      </c>
      <c r="C65" s="10" t="str">
        <v>Pemberton</v>
      </c>
      <c r="D65" s="9" t="str">
        <v>Sr Boys</v>
      </c>
      <c r="E65" s="9">
        <v>12068</v>
      </c>
      <c r="F65" s="9"/>
      <c r="G65" s="9"/>
    </row>
    <row r="66" spans="1:7" ht="24" customHeight="1" x14ac:dyDescent="0.4">
      <c r="A66" s="9">
        <v>63</v>
      </c>
      <c r="B66" s="10" t="str">
        <v>Oscar Tarling</v>
      </c>
      <c r="C66" s="10" t="str">
        <v>Pemberton</v>
      </c>
      <c r="D66" s="9" t="str">
        <v>Sr Boys</v>
      </c>
      <c r="E66" s="9">
        <v>12069</v>
      </c>
      <c r="F66" s="9"/>
      <c r="G66" s="9"/>
    </row>
    <row r="67" spans="1:7" ht="24" customHeight="1" x14ac:dyDescent="0.4">
      <c r="A67" s="9">
        <v>64</v>
      </c>
      <c r="B67" s="10" t="str">
        <v>Rory Taylor</v>
      </c>
      <c r="C67" s="10" t="str">
        <v>Pemberton</v>
      </c>
      <c r="D67" s="9" t="str">
        <v>Sr Boys</v>
      </c>
      <c r="E67" s="9">
        <v>12070</v>
      </c>
      <c r="F67" s="9"/>
      <c r="G67" s="9"/>
    </row>
    <row r="68" spans="1:7" ht="24" customHeight="1" x14ac:dyDescent="0.4">
      <c r="A68" s="9">
        <v>65</v>
      </c>
      <c r="B68" s="10" t="str">
        <v>Deegan Wright</v>
      </c>
      <c r="C68" s="10" t="str">
        <v>Pemberton</v>
      </c>
      <c r="D68" s="9" t="str">
        <v>Sr Boys</v>
      </c>
      <c r="E68" s="9">
        <v>12071</v>
      </c>
      <c r="F68" s="9"/>
      <c r="G68" s="9"/>
    </row>
    <row r="69" spans="1:7" ht="24" customHeight="1" x14ac:dyDescent="0.4">
      <c r="A69" s="9">
        <v>66</v>
      </c>
      <c r="B69" s="10" t="str">
        <v>Ben Horswill</v>
      </c>
      <c r="C69" s="10" t="str">
        <v>Rockridge</v>
      </c>
      <c r="D69" s="9" t="str">
        <v>Sr Boys</v>
      </c>
      <c r="E69" s="9">
        <v>12072</v>
      </c>
      <c r="F69" s="9"/>
      <c r="G69" s="9"/>
    </row>
    <row r="70" spans="1:7" ht="24" customHeight="1" x14ac:dyDescent="0.4">
      <c r="A70" s="9">
        <v>67</v>
      </c>
      <c r="B70" s="10" t="str">
        <v>Oliver McKnight</v>
      </c>
      <c r="C70" s="10" t="str">
        <v>Rockridge</v>
      </c>
      <c r="D70" s="9" t="str">
        <v>Sr Boys</v>
      </c>
      <c r="E70" s="9">
        <v>12073</v>
      </c>
      <c r="F70" s="9"/>
      <c r="G70" s="9"/>
    </row>
    <row r="71" spans="1:7" ht="24" customHeight="1" x14ac:dyDescent="0.4">
      <c r="A71" s="9">
        <v>68</v>
      </c>
      <c r="B71" s="10" t="str">
        <v>Emil Reischl</v>
      </c>
      <c r="C71" s="10" t="str">
        <v>Rockridge</v>
      </c>
      <c r="D71" s="9" t="str">
        <v>Sr Boys</v>
      </c>
      <c r="E71" s="9">
        <v>12074</v>
      </c>
      <c r="F71" s="9"/>
      <c r="G71" s="9"/>
    </row>
    <row r="72" spans="1:7" ht="24" customHeight="1" x14ac:dyDescent="0.4">
      <c r="A72" s="9">
        <v>69</v>
      </c>
      <c r="B72" s="10" t="str">
        <v>Keaton Schisler</v>
      </c>
      <c r="C72" s="10" t="str">
        <v>Seycove</v>
      </c>
      <c r="D72" s="9" t="str">
        <v>Sr Boys</v>
      </c>
      <c r="E72" s="9">
        <v>12075</v>
      </c>
      <c r="F72" s="9"/>
      <c r="G72" s="9"/>
    </row>
    <row r="73" spans="1:7" ht="24" customHeight="1" x14ac:dyDescent="0.4">
      <c r="A73" s="9">
        <v>70</v>
      </c>
      <c r="B73" s="10" t="str">
        <v>Brendan Hutchinson</v>
      </c>
      <c r="C73" s="10" t="str">
        <v>Seycove</v>
      </c>
      <c r="D73" s="9" t="str">
        <v>Sr Boys</v>
      </c>
      <c r="E73" s="9">
        <v>12105</v>
      </c>
      <c r="F73" s="9"/>
      <c r="G73" s="9"/>
    </row>
    <row r="74" spans="1:7" ht="24" customHeight="1" x14ac:dyDescent="0.4">
      <c r="A74" s="9">
        <v>71</v>
      </c>
      <c r="B74" s="10" t="str">
        <v>Henry Harland</v>
      </c>
      <c r="C74" s="10" t="str">
        <v>St. Georges</v>
      </c>
      <c r="D74" s="9" t="str">
        <v>Sr Boys</v>
      </c>
      <c r="E74" s="9">
        <v>12076</v>
      </c>
      <c r="F74" s="9"/>
      <c r="G74" s="9"/>
    </row>
    <row r="75" spans="1:7" ht="24" customHeight="1" x14ac:dyDescent="0.4">
      <c r="A75" s="9">
        <v>72</v>
      </c>
      <c r="B75" s="10" t="str">
        <v>Declan Kirker</v>
      </c>
      <c r="C75" s="10" t="str">
        <v>St. Georges</v>
      </c>
      <c r="D75" s="9" t="str">
        <v>Sr Boys</v>
      </c>
      <c r="E75" s="9">
        <v>12077</v>
      </c>
      <c r="F75" s="9"/>
      <c r="G75" s="9"/>
    </row>
    <row r="76" spans="1:7" ht="24" customHeight="1" x14ac:dyDescent="0.4">
      <c r="A76" s="9">
        <v>73</v>
      </c>
      <c r="B76" s="10" t="str">
        <v xml:space="preserve">Charles Ho </v>
      </c>
      <c r="C76" s="10" t="str">
        <v>St. Georges</v>
      </c>
      <c r="D76" s="9" t="str">
        <v>Sr Boys</v>
      </c>
      <c r="E76" s="9">
        <v>12078</v>
      </c>
      <c r="F76" s="9"/>
      <c r="G76" s="9"/>
    </row>
    <row r="77" spans="1:7" ht="24" customHeight="1" x14ac:dyDescent="0.4">
      <c r="A77" s="9">
        <v>74</v>
      </c>
      <c r="B77" s="10" t="str">
        <v>Isaac Dirkson</v>
      </c>
      <c r="C77" s="10" t="str">
        <v>St. Georges</v>
      </c>
      <c r="D77" s="9" t="str">
        <v>Sr Boys</v>
      </c>
      <c r="E77" s="9">
        <v>12079</v>
      </c>
      <c r="F77" s="9"/>
      <c r="G77" s="9"/>
    </row>
    <row r="78" spans="1:7" ht="24" customHeight="1" x14ac:dyDescent="0.4">
      <c r="A78" s="9">
        <v>75</v>
      </c>
      <c r="B78" s="10" t="str">
        <v>Finn Brownlee</v>
      </c>
      <c r="C78" s="10" t="str">
        <v>STA</v>
      </c>
      <c r="D78" s="9" t="str">
        <v>Sr Boys</v>
      </c>
      <c r="E78" s="9">
        <v>12080</v>
      </c>
      <c r="F78" s="9"/>
      <c r="G78" s="9"/>
    </row>
    <row r="79" spans="1:7" ht="24" customHeight="1" x14ac:dyDescent="0.4">
      <c r="A79" s="9">
        <v>76</v>
      </c>
      <c r="B79" s="10" t="str">
        <v>William Elliott</v>
      </c>
      <c r="C79" s="10" t="str">
        <v>STA</v>
      </c>
      <c r="D79" s="9" t="str">
        <v>Sr Boys</v>
      </c>
      <c r="E79" s="9">
        <v>12081</v>
      </c>
      <c r="F79" s="9"/>
      <c r="G79" s="9"/>
    </row>
    <row r="80" spans="1:7" ht="24" customHeight="1" x14ac:dyDescent="0.4">
      <c r="A80" s="9">
        <v>77</v>
      </c>
      <c r="B80" s="10" t="str">
        <v>Miles Ferguson</v>
      </c>
      <c r="C80" s="10" t="str">
        <v>STA</v>
      </c>
      <c r="D80" s="9" t="str">
        <v>Sr Boys</v>
      </c>
      <c r="E80" s="9">
        <v>12082</v>
      </c>
      <c r="F80" s="9"/>
      <c r="G80" s="9"/>
    </row>
    <row r="81" spans="1:7" ht="24" customHeight="1" x14ac:dyDescent="0.4">
      <c r="A81" s="9">
        <v>78</v>
      </c>
      <c r="B81" s="10" t="str">
        <v>Shae O'Boyle</v>
      </c>
      <c r="C81" s="10" t="str">
        <v>STA</v>
      </c>
      <c r="D81" s="9" t="str">
        <v>Sr Boys</v>
      </c>
      <c r="E81" s="9">
        <v>12083</v>
      </c>
      <c r="F81" s="9"/>
      <c r="G81" s="9"/>
    </row>
    <row r="82" spans="1:7" ht="24" customHeight="1" x14ac:dyDescent="0.4">
      <c r="A82" s="9">
        <v>79</v>
      </c>
      <c r="B82" s="10" t="str">
        <v>Charles Suda</v>
      </c>
      <c r="C82" s="10" t="str">
        <v>STA</v>
      </c>
      <c r="D82" s="9" t="str">
        <v>Sr Boys</v>
      </c>
      <c r="E82" s="9">
        <v>12084</v>
      </c>
      <c r="F82" s="9"/>
      <c r="G82" s="9"/>
    </row>
    <row r="83" spans="1:7" ht="24" customHeight="1" x14ac:dyDescent="0.4">
      <c r="A83" s="9">
        <v>80</v>
      </c>
      <c r="B83" s="10" t="str">
        <v>Carden Tomic</v>
      </c>
      <c r="C83" s="10" t="str">
        <v>STA</v>
      </c>
      <c r="D83" s="9" t="str">
        <v>Sr Boys</v>
      </c>
      <c r="E83" s="9">
        <v>12085</v>
      </c>
      <c r="F83" s="9"/>
      <c r="G83" s="9"/>
    </row>
    <row r="84" spans="1:7" ht="24" customHeight="1" x14ac:dyDescent="0.4">
      <c r="A84" s="9">
        <v>81</v>
      </c>
      <c r="B84" s="10" t="str">
        <v>Jack Watkins</v>
      </c>
      <c r="C84" s="10" t="str">
        <v>STA</v>
      </c>
      <c r="D84" s="9" t="str">
        <v>Sr Boys</v>
      </c>
      <c r="E84" s="9">
        <v>12086</v>
      </c>
      <c r="F84" s="9"/>
      <c r="G84" s="9"/>
    </row>
    <row r="85" spans="1:7" ht="24" customHeight="1" x14ac:dyDescent="0.4">
      <c r="A85" s="9">
        <v>82</v>
      </c>
      <c r="B85" s="10" t="str">
        <v>Andrew Loutit</v>
      </c>
      <c r="C85" s="10" t="str">
        <v>Sutherland</v>
      </c>
      <c r="D85" s="9" t="str">
        <v>Sr Boys</v>
      </c>
      <c r="E85" s="9">
        <v>12087</v>
      </c>
      <c r="F85" s="9"/>
      <c r="G85" s="9"/>
    </row>
    <row r="86" spans="1:7" ht="24" customHeight="1" x14ac:dyDescent="0.4">
      <c r="A86" s="9">
        <v>83</v>
      </c>
      <c r="B86" s="10" t="str">
        <v>Carter Fincham</v>
      </c>
      <c r="C86" s="10" t="str">
        <v>Sutherland</v>
      </c>
      <c r="D86" s="9" t="str">
        <v>Sr Boys</v>
      </c>
      <c r="E86" s="9">
        <v>12089</v>
      </c>
      <c r="F86" s="9"/>
      <c r="G86" s="9"/>
    </row>
    <row r="87" spans="1:7" ht="24" customHeight="1" x14ac:dyDescent="0.4">
      <c r="A87" s="9">
        <v>84</v>
      </c>
      <c r="B87" s="10" t="str">
        <v>Jeanre Raubenheimer</v>
      </c>
      <c r="C87" s="10" t="str">
        <v>Sutherland</v>
      </c>
      <c r="D87" s="9" t="str">
        <v>Sr Boys</v>
      </c>
      <c r="E87" s="9">
        <v>12090</v>
      </c>
      <c r="F87" s="9"/>
      <c r="G87" s="9"/>
    </row>
    <row r="88" spans="1:7" ht="24" customHeight="1" x14ac:dyDescent="0.4">
      <c r="A88" s="9">
        <v>85</v>
      </c>
      <c r="B88" s="10" t="str">
        <v>Kai McLeod</v>
      </c>
      <c r="C88" s="10" t="str">
        <v>Sutherland</v>
      </c>
      <c r="D88" s="9" t="str">
        <v>Sr Boys</v>
      </c>
      <c r="E88" s="9">
        <v>12091</v>
      </c>
      <c r="F88" s="9"/>
      <c r="G88" s="9"/>
    </row>
    <row r="89" spans="1:7" ht="24" customHeight="1" x14ac:dyDescent="0.4">
      <c r="A89" s="9">
        <v>86</v>
      </c>
      <c r="B89" s="10" t="str">
        <v>Sam Roy</v>
      </c>
      <c r="C89" s="10" t="str">
        <v>Sutherland</v>
      </c>
      <c r="D89" s="9" t="str">
        <v>Sr Boys</v>
      </c>
      <c r="E89" s="9">
        <v>12092</v>
      </c>
      <c r="F89" s="9"/>
      <c r="G89" s="9"/>
    </row>
    <row r="90" spans="1:7" ht="24" customHeight="1" x14ac:dyDescent="0.4">
      <c r="A90" s="9">
        <v>87</v>
      </c>
      <c r="B90" s="10" t="str">
        <v>Mateo Ortiz</v>
      </c>
      <c r="C90" s="10" t="str">
        <v>Sutherland</v>
      </c>
      <c r="D90" s="9" t="str">
        <v>Sr Boys</v>
      </c>
      <c r="E90" s="9">
        <v>12093</v>
      </c>
      <c r="F90" s="9"/>
      <c r="G90" s="9"/>
    </row>
    <row r="91" spans="1:7" ht="24" customHeight="1" x14ac:dyDescent="0.4">
      <c r="A91" s="9">
        <v>88</v>
      </c>
      <c r="B91" s="10" t="str">
        <v>Dexter White</v>
      </c>
      <c r="C91" s="10" t="str">
        <v>Sutherland</v>
      </c>
      <c r="D91" s="9" t="str">
        <v>Sr Boys</v>
      </c>
      <c r="E91" s="9">
        <v>12094</v>
      </c>
      <c r="F91" s="9"/>
      <c r="G91" s="9"/>
    </row>
    <row r="92" spans="1:7" ht="24" customHeight="1" x14ac:dyDescent="0.4">
      <c r="A92" s="9">
        <v>89</v>
      </c>
      <c r="B92" s="10" t="str">
        <v>Oliver Kolkea</v>
      </c>
      <c r="C92" s="10" t="str">
        <v>West Van</v>
      </c>
      <c r="D92" s="9" t="str">
        <v>Sr Boys</v>
      </c>
      <c r="E92" s="9">
        <v>12095</v>
      </c>
      <c r="F92" s="9"/>
      <c r="G92" s="9"/>
    </row>
    <row r="93" spans="1:7" ht="24" customHeight="1" x14ac:dyDescent="0.4">
      <c r="A93" s="9">
        <v>90</v>
      </c>
      <c r="B93" s="10" t="str">
        <v>Damyen Bouvier</v>
      </c>
      <c r="C93" s="10" t="str">
        <v>Whistler</v>
      </c>
      <c r="D93" s="9" t="str">
        <v>Sr Boys</v>
      </c>
      <c r="E93" s="9">
        <v>12097</v>
      </c>
      <c r="F93" s="9"/>
      <c r="G93" s="9"/>
    </row>
    <row r="94" spans="1:7" ht="24" customHeight="1" x14ac:dyDescent="0.4">
      <c r="A94" s="9">
        <v>91</v>
      </c>
      <c r="B94" s="10" t="str">
        <v>Kaede Gossman</v>
      </c>
      <c r="C94" s="10" t="str">
        <v>Whistler</v>
      </c>
      <c r="D94" s="9" t="str">
        <v>Sr Boys</v>
      </c>
      <c r="E94" s="9">
        <v>12098</v>
      </c>
      <c r="F94" s="9"/>
      <c r="G94" s="9"/>
    </row>
    <row r="95" spans="1:7" ht="24" customHeight="1" x14ac:dyDescent="0.4">
      <c r="A95" s="9">
        <v>92</v>
      </c>
      <c r="B95" s="10" t="str">
        <v>Cove White</v>
      </c>
      <c r="C95" s="10" t="str">
        <v>Whistler</v>
      </c>
      <c r="D95" s="9" t="str">
        <v>Sr Boys</v>
      </c>
      <c r="E95" s="9">
        <v>12099</v>
      </c>
      <c r="F95" s="9"/>
      <c r="G95" s="9"/>
    </row>
    <row r="96" spans="1:7" ht="24" customHeight="1" x14ac:dyDescent="0.4">
      <c r="A96" s="9">
        <v>93</v>
      </c>
      <c r="B96" s="10" t="str">
        <v>Oliver Koch</v>
      </c>
      <c r="C96" s="10" t="str">
        <v>Whistler</v>
      </c>
      <c r="D96" s="9" t="str">
        <v>Sr Boys</v>
      </c>
      <c r="E96" s="9">
        <v>12100</v>
      </c>
      <c r="F96" s="9"/>
      <c r="G96" s="9"/>
    </row>
    <row r="97" spans="1:7" ht="24" customHeight="1" x14ac:dyDescent="0.4">
      <c r="A97" s="9">
        <v>94</v>
      </c>
      <c r="B97" s="10" t="str">
        <v>Theo Rothdram</v>
      </c>
      <c r="C97" s="10" t="str">
        <v>Whistler</v>
      </c>
      <c r="D97" s="9" t="str">
        <v>Sr Boys</v>
      </c>
      <c r="E97" s="9">
        <v>12906</v>
      </c>
      <c r="F97" s="9"/>
      <c r="G97" s="9"/>
    </row>
    <row r="98" spans="1:7" ht="24" customHeight="1" x14ac:dyDescent="0.4">
      <c r="A98" s="9">
        <v>95</v>
      </c>
      <c r="B98" s="10" t="str">
        <v>Sam Fort</v>
      </c>
      <c r="C98" s="10" t="str">
        <v>Windsor</v>
      </c>
      <c r="D98" s="9" t="str">
        <v>Sr Boys</v>
      </c>
      <c r="E98" s="9">
        <v>12101</v>
      </c>
      <c r="F98" s="9"/>
      <c r="G98" s="9"/>
    </row>
    <row r="99" spans="1:7" ht="24" customHeight="1" x14ac:dyDescent="0.4">
      <c r="A99" s="9">
        <v>96</v>
      </c>
      <c r="B99" s="10" t="str">
        <v>Logan Anderson</v>
      </c>
      <c r="C99" s="10" t="str">
        <v>Windsor</v>
      </c>
      <c r="D99" s="9" t="str">
        <v>Sr Boys</v>
      </c>
      <c r="E99" s="9">
        <v>12102</v>
      </c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E10" sqref="E10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69921875" style="5"/>
  </cols>
  <sheetData>
    <row r="1" spans="1:8" x14ac:dyDescent="0.4">
      <c r="B1" s="13" t="s">
        <v>417</v>
      </c>
      <c r="C1" s="13" t="s">
        <v>389</v>
      </c>
      <c r="D1" s="13" t="s">
        <v>390</v>
      </c>
      <c r="E1" s="13" t="s">
        <v>391</v>
      </c>
      <c r="F1" s="13" t="s">
        <v>392</v>
      </c>
      <c r="G1" s="13" t="s">
        <v>393</v>
      </c>
      <c r="H1" s="13" t="s">
        <v>394</v>
      </c>
    </row>
    <row r="2" spans="1:8" x14ac:dyDescent="0.4">
      <c r="A2" t="s">
        <v>7</v>
      </c>
      <c r="B2" s="5">
        <f>COUNTIF(tbl_individual[Division],A2)</f>
        <v>65</v>
      </c>
      <c r="C2" s="5">
        <v>37</v>
      </c>
      <c r="D2" s="5">
        <f>COUNTIFS(tbl_individual[Division],"Bant Boys", tbl_individual[R2 Pts], "&gt;0")</f>
        <v>44</v>
      </c>
      <c r="E2" s="5">
        <f>COUNTIFS(tbl_individual[Division],"Bant Boys", tbl_individual[R3 Pts], "&gt;0")</f>
        <v>39</v>
      </c>
    </row>
    <row r="3" spans="1:8" x14ac:dyDescent="0.4">
      <c r="A3" t="s">
        <v>8</v>
      </c>
      <c r="B3" s="5">
        <f>COUNTIF(tbl_individual[Division],A3)</f>
        <v>10</v>
      </c>
      <c r="C3" s="5">
        <v>6</v>
      </c>
      <c r="D3" s="5">
        <f>COUNTIFS(tbl_individual[Division],"Bant Girls", tbl_individual[R2 Pts], "&gt;0")</f>
        <v>2</v>
      </c>
      <c r="E3" s="5">
        <f>COUNTIFS(tbl_individual[Division],"Bant Girls", tbl_individual[R3 Pts], "&gt;0")</f>
        <v>7</v>
      </c>
    </row>
    <row r="4" spans="1:8" x14ac:dyDescent="0.4">
      <c r="A4" t="s">
        <v>5</v>
      </c>
      <c r="B4" s="5">
        <f>COUNTIF(tbl_individual[Division],A4)</f>
        <v>65</v>
      </c>
      <c r="C4" s="5">
        <v>39</v>
      </c>
      <c r="D4" s="5">
        <f>COUNTIFS(tbl_individual[Division],"Juv Boys", tbl_individual[R2 Pts], "&gt;0")</f>
        <v>49</v>
      </c>
      <c r="E4" s="5">
        <f>COUNTIFS(tbl_individual[Division],"Juv Boys", tbl_individual[R3 Place], "&gt;0")</f>
        <v>29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  <c r="D5" s="5">
        <f>COUNTIFS(tbl_individual[Division],"Juv Girls", tbl_individual[R2 Pts], "&gt;0")</f>
        <v>14</v>
      </c>
      <c r="E5" s="5">
        <f>COUNTIFS(tbl_individual[Division],"Juv Girls", tbl_individual[R3 Place], "&gt;0")</f>
        <v>9</v>
      </c>
    </row>
    <row r="6" spans="1:8" x14ac:dyDescent="0.4">
      <c r="A6" t="s">
        <v>3</v>
      </c>
      <c r="B6" s="5">
        <f>COUNTIF(tbl_individual[Division],A6)</f>
        <v>67</v>
      </c>
      <c r="C6" s="5">
        <v>45</v>
      </c>
      <c r="D6" s="5">
        <f>COUNTIFS(tbl_individual[Division],"Jr Boys", tbl_individual[R2 Pts], "&gt;0")</f>
        <v>49</v>
      </c>
      <c r="E6" s="5">
        <f>COUNTIFS(tbl_individual[Division],"Jr Boys", tbl_individual[R3 Place], "&gt;0")</f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  <c r="D7" s="5">
        <f>COUNTIFS(tbl_individual[Division],"Jr Girls", tbl_individual[R2 Pts], "&gt;0")</f>
        <v>14</v>
      </c>
      <c r="E7" s="5">
        <f>COUNTIFS(tbl_individual[Division],"Jr Girls", tbl_individual[R3 Place], "&gt;0")</f>
        <v>11</v>
      </c>
    </row>
    <row r="8" spans="1:8" x14ac:dyDescent="0.4">
      <c r="A8" t="s">
        <v>1</v>
      </c>
      <c r="B8" s="5">
        <f>COUNTIF(tbl_individual[Division],A8)</f>
        <v>96</v>
      </c>
      <c r="C8" s="5">
        <v>52</v>
      </c>
      <c r="D8" s="5">
        <f>COUNTIFS(tbl_individual[Division],"Sr Boys", tbl_individual[R2 Pts], "&gt;0")</f>
        <v>74</v>
      </c>
      <c r="E8" s="5">
        <f>COUNTIFS(tbl_individual[Division],"Sr Boys", tbl_individual[R3 Place], "&gt;0")</f>
        <v>54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  <c r="D9" s="5">
        <f>COUNTIFS(tbl_individual[Division],"Sr Girls", tbl_individual[R2 Pts], "&gt;0")</f>
        <v>12</v>
      </c>
      <c r="E9" s="5">
        <f>COUNTIFS(tbl_individual[Division],"Sr Girls", tbl_individual[R3 Place], "&gt;0")</f>
        <v>8</v>
      </c>
    </row>
    <row r="10" spans="1:8" s="1" customFormat="1" x14ac:dyDescent="0.4">
      <c r="A10" s="1" t="s">
        <v>50</v>
      </c>
      <c r="B10" s="13">
        <f>SUM(B2:B9)</f>
        <v>364</v>
      </c>
      <c r="C10" s="13">
        <f>SUM(C2:C9)</f>
        <v>216</v>
      </c>
      <c r="D10" s="13">
        <f>SUM(D2:D9)</f>
        <v>258</v>
      </c>
      <c r="E10" s="13">
        <f>SUM(E2:E9)</f>
        <v>202</v>
      </c>
      <c r="F10" s="13"/>
      <c r="G10" s="13"/>
      <c r="H10" s="13"/>
    </row>
    <row r="11" spans="1:8" x14ac:dyDescent="0.4">
      <c r="C11" s="14">
        <f>C10/B10</f>
        <v>0.59340659340659341</v>
      </c>
      <c r="D11" s="14">
        <f>D10/$B$10</f>
        <v>0.70879120879120883</v>
      </c>
      <c r="E11" s="14">
        <f>E10/$B$10</f>
        <v>0.55494505494505497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23F1B-91A5-40C3-BB4D-DC0B07FEE900}">
  <sheetPr>
    <pageSetUpPr fitToPage="1"/>
  </sheetPr>
  <dimension ref="A1:J1081"/>
  <sheetViews>
    <sheetView view="pageBreakPreview" zoomScale="110" zoomScaleNormal="100" zoomScaleSheetLayoutView="110" workbookViewId="0">
      <pane ySplit="1" topLeftCell="A347" activePane="bottomLeft" state="frozen"/>
      <selection pane="bottomLeft" activeCell="G343" sqref="G343"/>
    </sheetView>
  </sheetViews>
  <sheetFormatPr defaultColWidth="11.69921875" defaultRowHeight="24" customHeight="1" x14ac:dyDescent="0.4"/>
  <cols>
    <col min="1" max="1" width="14.5" style="20" customWidth="1"/>
    <col min="2" max="2" width="13.69921875" style="20" customWidth="1"/>
    <col min="3" max="3" width="13.8984375" style="20" customWidth="1"/>
    <col min="4" max="4" width="11.69921875" style="20"/>
    <col min="5" max="5" width="11.69921875" style="5"/>
    <col min="6" max="6" width="11.19921875" style="5" customWidth="1"/>
    <col min="7" max="7" width="9.69921875" style="13" bestFit="1" customWidth="1"/>
    <col min="8" max="16384" width="11.69921875" style="5"/>
  </cols>
  <sheetData>
    <row r="1" spans="1:10" ht="24" customHeight="1" x14ac:dyDescent="0.4">
      <c r="A1" s="24" t="s">
        <v>1167</v>
      </c>
      <c r="B1" s="25" t="s">
        <v>1168</v>
      </c>
      <c r="C1" s="25" t="s">
        <v>35</v>
      </c>
      <c r="D1" s="25" t="s">
        <v>36</v>
      </c>
      <c r="E1" s="26" t="s">
        <v>1301</v>
      </c>
      <c r="F1" s="26" t="s">
        <v>1169</v>
      </c>
      <c r="G1" s="26" t="s">
        <v>448</v>
      </c>
      <c r="H1" s="26" t="s">
        <v>1302</v>
      </c>
      <c r="I1" s="27" t="s">
        <v>1155</v>
      </c>
      <c r="J1" s="13"/>
    </row>
    <row r="2" spans="1:10" ht="24" customHeight="1" x14ac:dyDescent="0.4">
      <c r="A2" s="28" t="s">
        <v>449</v>
      </c>
      <c r="B2" s="29" t="s">
        <v>450</v>
      </c>
      <c r="C2" s="29" t="s">
        <v>10</v>
      </c>
      <c r="D2" s="29" t="s">
        <v>7</v>
      </c>
      <c r="E2" s="30">
        <v>8049</v>
      </c>
      <c r="F2" s="48" t="s">
        <v>407</v>
      </c>
      <c r="G2" s="44"/>
      <c r="H2" s="9"/>
      <c r="I2" s="31"/>
    </row>
    <row r="3" spans="1:10" ht="24" customHeight="1" x14ac:dyDescent="0.4">
      <c r="A3" s="28" t="s">
        <v>451</v>
      </c>
      <c r="B3" s="29" t="s">
        <v>452</v>
      </c>
      <c r="C3" s="29" t="s">
        <v>10</v>
      </c>
      <c r="D3" s="29" t="s">
        <v>7</v>
      </c>
      <c r="E3" s="30">
        <v>8086</v>
      </c>
      <c r="F3" s="48" t="s">
        <v>407</v>
      </c>
      <c r="G3" s="44"/>
      <c r="H3" s="9"/>
      <c r="I3" s="31"/>
    </row>
    <row r="4" spans="1:10" ht="24" customHeight="1" x14ac:dyDescent="0.4">
      <c r="A4" s="28" t="s">
        <v>453</v>
      </c>
      <c r="B4" s="29" t="s">
        <v>454</v>
      </c>
      <c r="C4" s="29" t="s">
        <v>10</v>
      </c>
      <c r="D4" s="29" t="s">
        <v>7</v>
      </c>
      <c r="E4" s="30">
        <v>8147</v>
      </c>
      <c r="F4" s="48" t="s">
        <v>403</v>
      </c>
      <c r="G4" s="45" t="s">
        <v>1198</v>
      </c>
      <c r="H4" s="9"/>
      <c r="I4" s="31"/>
    </row>
    <row r="5" spans="1:10" ht="24" customHeight="1" x14ac:dyDescent="0.4">
      <c r="A5" s="28" t="s">
        <v>455</v>
      </c>
      <c r="B5" s="29" t="s">
        <v>456</v>
      </c>
      <c r="C5" s="29" t="s">
        <v>10</v>
      </c>
      <c r="D5" s="29" t="s">
        <v>7</v>
      </c>
      <c r="E5" s="30">
        <v>8181</v>
      </c>
      <c r="F5" s="48" t="s">
        <v>407</v>
      </c>
      <c r="G5" s="44"/>
      <c r="H5" s="9"/>
      <c r="I5" s="31"/>
    </row>
    <row r="6" spans="1:10" ht="24" customHeight="1" x14ac:dyDescent="0.4">
      <c r="A6" s="28" t="s">
        <v>457</v>
      </c>
      <c r="B6" s="29" t="s">
        <v>458</v>
      </c>
      <c r="C6" s="29" t="s">
        <v>10</v>
      </c>
      <c r="D6" s="29" t="s">
        <v>7</v>
      </c>
      <c r="E6" s="30">
        <v>8185</v>
      </c>
      <c r="F6" s="48" t="s">
        <v>403</v>
      </c>
      <c r="G6" s="45" t="s">
        <v>1199</v>
      </c>
      <c r="H6" s="9"/>
      <c r="I6" s="31"/>
    </row>
    <row r="7" spans="1:10" ht="24" customHeight="1" x14ac:dyDescent="0.4">
      <c r="A7" s="28"/>
      <c r="B7" s="29"/>
      <c r="C7" s="29"/>
      <c r="D7" s="29"/>
      <c r="E7" s="45"/>
      <c r="F7" s="50"/>
      <c r="G7" s="45"/>
      <c r="H7" s="51"/>
      <c r="I7" s="31"/>
    </row>
    <row r="8" spans="1:10" ht="24" customHeight="1" x14ac:dyDescent="0.4">
      <c r="A8" s="28" t="s">
        <v>478</v>
      </c>
      <c r="B8" s="29" t="s">
        <v>490</v>
      </c>
      <c r="C8" s="29" t="s">
        <v>10</v>
      </c>
      <c r="D8" s="29" t="s">
        <v>5</v>
      </c>
      <c r="E8" s="32">
        <v>900</v>
      </c>
      <c r="F8" s="48" t="s">
        <v>403</v>
      </c>
      <c r="G8" s="45" t="s">
        <v>1188</v>
      </c>
      <c r="H8" s="9"/>
      <c r="I8" s="31"/>
    </row>
    <row r="9" spans="1:10" ht="24" customHeight="1" x14ac:dyDescent="0.4">
      <c r="A9" s="28" t="s">
        <v>491</v>
      </c>
      <c r="B9" s="29" t="s">
        <v>492</v>
      </c>
      <c r="C9" s="29" t="s">
        <v>10</v>
      </c>
      <c r="D9" s="29" t="s">
        <v>5</v>
      </c>
      <c r="E9" s="32">
        <v>901</v>
      </c>
      <c r="F9" s="48" t="s">
        <v>403</v>
      </c>
      <c r="G9" s="45" t="s">
        <v>1189</v>
      </c>
      <c r="H9" s="9"/>
      <c r="I9" s="31"/>
    </row>
    <row r="10" spans="1:10" ht="24" customHeight="1" x14ac:dyDescent="0.4">
      <c r="A10" s="28" t="s">
        <v>532</v>
      </c>
      <c r="B10" s="29" t="s">
        <v>533</v>
      </c>
      <c r="C10" s="29" t="s">
        <v>10</v>
      </c>
      <c r="D10" s="29" t="s">
        <v>5</v>
      </c>
      <c r="E10" s="32">
        <v>902</v>
      </c>
      <c r="F10" s="48" t="s">
        <v>403</v>
      </c>
      <c r="G10" s="45" t="s">
        <v>1190</v>
      </c>
      <c r="H10" s="9"/>
      <c r="I10" s="31"/>
    </row>
    <row r="11" spans="1:10" ht="24" customHeight="1" x14ac:dyDescent="0.4">
      <c r="A11" s="28" t="s">
        <v>493</v>
      </c>
      <c r="B11" s="29" t="s">
        <v>494</v>
      </c>
      <c r="C11" s="29" t="s">
        <v>10</v>
      </c>
      <c r="D11" s="29" t="s">
        <v>5</v>
      </c>
      <c r="E11" s="32">
        <v>903</v>
      </c>
      <c r="F11" s="48" t="s">
        <v>403</v>
      </c>
      <c r="G11" s="45" t="s">
        <v>1191</v>
      </c>
      <c r="H11" s="9"/>
      <c r="I11" s="31"/>
    </row>
    <row r="12" spans="1:10" ht="24" customHeight="1" x14ac:dyDescent="0.4">
      <c r="A12" s="28" t="s">
        <v>495</v>
      </c>
      <c r="B12" s="29" t="s">
        <v>496</v>
      </c>
      <c r="C12" s="29" t="s">
        <v>10</v>
      </c>
      <c r="D12" s="29" t="s">
        <v>5</v>
      </c>
      <c r="E12" s="32">
        <v>904</v>
      </c>
      <c r="F12" s="48" t="s">
        <v>403</v>
      </c>
      <c r="G12" s="45" t="s">
        <v>1192</v>
      </c>
      <c r="H12" s="9"/>
      <c r="I12" s="31"/>
    </row>
    <row r="13" spans="1:10" ht="24" customHeight="1" x14ac:dyDescent="0.4">
      <c r="A13" s="28" t="s">
        <v>497</v>
      </c>
      <c r="B13" s="29" t="s">
        <v>498</v>
      </c>
      <c r="C13" s="29" t="s">
        <v>10</v>
      </c>
      <c r="D13" s="29" t="s">
        <v>5</v>
      </c>
      <c r="E13" s="32">
        <v>905</v>
      </c>
      <c r="F13" s="48" t="s">
        <v>403</v>
      </c>
      <c r="G13" s="45" t="s">
        <v>1193</v>
      </c>
      <c r="H13" s="9"/>
      <c r="I13" s="31"/>
    </row>
    <row r="14" spans="1:10" ht="24" customHeight="1" x14ac:dyDescent="0.4">
      <c r="A14" s="28" t="s">
        <v>499</v>
      </c>
      <c r="B14" s="29" t="s">
        <v>500</v>
      </c>
      <c r="C14" s="29" t="s">
        <v>10</v>
      </c>
      <c r="D14" s="29" t="s">
        <v>5</v>
      </c>
      <c r="E14" s="32">
        <v>906</v>
      </c>
      <c r="F14" s="48" t="s">
        <v>403</v>
      </c>
      <c r="G14" s="45" t="s">
        <v>1194</v>
      </c>
      <c r="H14" s="9"/>
      <c r="I14" s="31"/>
    </row>
    <row r="15" spans="1:10" ht="24" customHeight="1" x14ac:dyDescent="0.4">
      <c r="A15" s="28" t="s">
        <v>501</v>
      </c>
      <c r="B15" s="29" t="s">
        <v>502</v>
      </c>
      <c r="C15" s="29" t="s">
        <v>10</v>
      </c>
      <c r="D15" s="29" t="s">
        <v>5</v>
      </c>
      <c r="E15" s="32">
        <v>907</v>
      </c>
      <c r="F15" s="48" t="s">
        <v>403</v>
      </c>
      <c r="G15" s="45" t="s">
        <v>1195</v>
      </c>
      <c r="H15" s="9"/>
      <c r="I15" s="31"/>
    </row>
    <row r="16" spans="1:10" ht="24" customHeight="1" x14ac:dyDescent="0.4">
      <c r="A16" s="28" t="s">
        <v>534</v>
      </c>
      <c r="B16" s="29" t="s">
        <v>535</v>
      </c>
      <c r="C16" s="29" t="s">
        <v>10</v>
      </c>
      <c r="D16" s="29" t="s">
        <v>5</v>
      </c>
      <c r="E16" s="32">
        <v>909</v>
      </c>
      <c r="F16" s="48" t="s">
        <v>407</v>
      </c>
      <c r="G16" s="44"/>
      <c r="H16" s="9"/>
      <c r="I16" s="31"/>
    </row>
    <row r="17" spans="1:9" ht="24" customHeight="1" x14ac:dyDescent="0.4">
      <c r="A17" s="28" t="s">
        <v>503</v>
      </c>
      <c r="B17" s="29" t="s">
        <v>504</v>
      </c>
      <c r="C17" s="29" t="s">
        <v>10</v>
      </c>
      <c r="D17" s="29" t="s">
        <v>5</v>
      </c>
      <c r="E17" s="32">
        <v>910</v>
      </c>
      <c r="F17" s="48" t="s">
        <v>403</v>
      </c>
      <c r="G17" s="45" t="s">
        <v>1196</v>
      </c>
      <c r="H17" s="9"/>
      <c r="I17" s="31"/>
    </row>
    <row r="18" spans="1:9" ht="24" customHeight="1" x14ac:dyDescent="0.4">
      <c r="A18" s="28" t="s">
        <v>505</v>
      </c>
      <c r="B18" s="29" t="s">
        <v>506</v>
      </c>
      <c r="C18" s="29" t="s">
        <v>10</v>
      </c>
      <c r="D18" s="29" t="s">
        <v>5</v>
      </c>
      <c r="E18" s="32">
        <v>960</v>
      </c>
      <c r="F18" s="48" t="s">
        <v>403</v>
      </c>
      <c r="G18" s="45" t="s">
        <v>1197</v>
      </c>
      <c r="H18" s="9"/>
      <c r="I18" s="31"/>
    </row>
    <row r="19" spans="1:9" ht="24" customHeight="1" x14ac:dyDescent="0.4">
      <c r="A19" s="28"/>
      <c r="B19" s="29"/>
      <c r="C19" s="29"/>
      <c r="D19" s="29"/>
      <c r="E19" s="45"/>
      <c r="F19" s="50"/>
      <c r="G19" s="45"/>
      <c r="H19" s="51"/>
      <c r="I19" s="31"/>
    </row>
    <row r="20" spans="1:9" ht="24" customHeight="1" x14ac:dyDescent="0.4">
      <c r="A20" s="28" t="s">
        <v>507</v>
      </c>
      <c r="B20" s="29" t="s">
        <v>508</v>
      </c>
      <c r="C20" s="29" t="s">
        <v>10</v>
      </c>
      <c r="D20" s="29" t="s">
        <v>6</v>
      </c>
      <c r="E20" s="33">
        <v>9180</v>
      </c>
      <c r="F20" s="48" t="s">
        <v>403</v>
      </c>
      <c r="G20" s="45" t="s">
        <v>1200</v>
      </c>
      <c r="H20" s="9"/>
      <c r="I20" s="31"/>
    </row>
    <row r="21" spans="1:9" ht="24" customHeight="1" x14ac:dyDescent="0.4">
      <c r="A21" s="28" t="s">
        <v>536</v>
      </c>
      <c r="B21" s="29" t="s">
        <v>537</v>
      </c>
      <c r="C21" s="29" t="s">
        <v>10</v>
      </c>
      <c r="D21" s="29" t="s">
        <v>6</v>
      </c>
      <c r="E21" s="33">
        <v>9421</v>
      </c>
      <c r="F21" s="48" t="s">
        <v>403</v>
      </c>
      <c r="G21" s="45" t="s">
        <v>1201</v>
      </c>
      <c r="H21" s="9"/>
      <c r="I21" s="31"/>
    </row>
    <row r="22" spans="1:9" ht="24" customHeight="1" x14ac:dyDescent="0.4">
      <c r="A22" s="28" t="s">
        <v>509</v>
      </c>
      <c r="B22" s="29" t="s">
        <v>510</v>
      </c>
      <c r="C22" s="29" t="s">
        <v>10</v>
      </c>
      <c r="D22" s="29" t="s">
        <v>6</v>
      </c>
      <c r="E22" s="33">
        <v>9451</v>
      </c>
      <c r="F22" s="48" t="s">
        <v>403</v>
      </c>
      <c r="G22" s="45" t="s">
        <v>1202</v>
      </c>
      <c r="H22" s="9"/>
      <c r="I22" s="31"/>
    </row>
    <row r="23" spans="1:9" ht="24" customHeight="1" x14ac:dyDescent="0.4">
      <c r="A23" s="28" t="s">
        <v>538</v>
      </c>
      <c r="B23" s="29" t="s">
        <v>539</v>
      </c>
      <c r="C23" s="29" t="s">
        <v>10</v>
      </c>
      <c r="D23" s="29" t="s">
        <v>6</v>
      </c>
      <c r="E23" s="33">
        <v>9471</v>
      </c>
      <c r="F23" s="48" t="s">
        <v>407</v>
      </c>
      <c r="G23" s="44"/>
      <c r="H23" s="9"/>
      <c r="I23" s="31"/>
    </row>
    <row r="24" spans="1:9" ht="24" customHeight="1" x14ac:dyDescent="0.4">
      <c r="A24" s="28" t="s">
        <v>511</v>
      </c>
      <c r="B24" s="29" t="s">
        <v>512</v>
      </c>
      <c r="C24" s="29" t="s">
        <v>10</v>
      </c>
      <c r="D24" s="29" t="s">
        <v>6</v>
      </c>
      <c r="E24" s="33">
        <v>9481</v>
      </c>
      <c r="F24" s="48" t="s">
        <v>407</v>
      </c>
      <c r="G24" s="44"/>
      <c r="H24" s="9"/>
      <c r="I24" s="31"/>
    </row>
    <row r="25" spans="1:9" ht="24" customHeight="1" x14ac:dyDescent="0.4">
      <c r="A25" s="28"/>
      <c r="B25" s="29"/>
      <c r="C25" s="29"/>
      <c r="D25" s="29"/>
      <c r="E25" s="45"/>
      <c r="F25" s="50"/>
      <c r="G25" s="45"/>
      <c r="H25" s="51"/>
      <c r="I25" s="31"/>
    </row>
    <row r="26" spans="1:9" ht="24" customHeight="1" x14ac:dyDescent="0.4">
      <c r="A26" s="28" t="s">
        <v>459</v>
      </c>
      <c r="B26" s="29" t="s">
        <v>460</v>
      </c>
      <c r="C26" s="29" t="s">
        <v>10</v>
      </c>
      <c r="D26" s="29" t="s">
        <v>3</v>
      </c>
      <c r="E26" s="34">
        <v>10110</v>
      </c>
      <c r="F26" s="48" t="s">
        <v>407</v>
      </c>
      <c r="G26" s="44"/>
      <c r="H26" s="9"/>
      <c r="I26" s="31"/>
    </row>
    <row r="27" spans="1:9" ht="24" customHeight="1" x14ac:dyDescent="0.4">
      <c r="A27" s="28" t="s">
        <v>461</v>
      </c>
      <c r="B27" s="29" t="s">
        <v>462</v>
      </c>
      <c r="C27" s="29" t="s">
        <v>10</v>
      </c>
      <c r="D27" s="29" t="s">
        <v>3</v>
      </c>
      <c r="E27" s="34">
        <v>10111</v>
      </c>
      <c r="F27" s="48" t="s">
        <v>403</v>
      </c>
      <c r="G27" s="45" t="s">
        <v>1175</v>
      </c>
      <c r="H27" s="9"/>
      <c r="I27" s="31"/>
    </row>
    <row r="28" spans="1:9" ht="24" customHeight="1" x14ac:dyDescent="0.4">
      <c r="A28" s="28" t="s">
        <v>463</v>
      </c>
      <c r="B28" s="29" t="s">
        <v>464</v>
      </c>
      <c r="C28" s="29" t="s">
        <v>10</v>
      </c>
      <c r="D28" s="29" t="s">
        <v>3</v>
      </c>
      <c r="E28" s="34">
        <v>10114</v>
      </c>
      <c r="F28" s="48" t="s">
        <v>403</v>
      </c>
      <c r="G28" s="45" t="s">
        <v>1176</v>
      </c>
      <c r="H28" s="9"/>
      <c r="I28" s="31"/>
    </row>
    <row r="29" spans="1:9" ht="24" customHeight="1" x14ac:dyDescent="0.4">
      <c r="A29" s="28" t="s">
        <v>465</v>
      </c>
      <c r="B29" s="29" t="s">
        <v>466</v>
      </c>
      <c r="C29" s="29" t="s">
        <v>10</v>
      </c>
      <c r="D29" s="29" t="s">
        <v>3</v>
      </c>
      <c r="E29" s="34">
        <v>10115</v>
      </c>
      <c r="F29" s="48" t="s">
        <v>403</v>
      </c>
      <c r="G29" s="45" t="s">
        <v>1177</v>
      </c>
      <c r="H29" s="9"/>
      <c r="I29" s="31"/>
    </row>
    <row r="30" spans="1:9" ht="24" customHeight="1" x14ac:dyDescent="0.4">
      <c r="A30" s="28" t="s">
        <v>459</v>
      </c>
      <c r="B30" s="29" t="s">
        <v>467</v>
      </c>
      <c r="C30" s="29" t="s">
        <v>10</v>
      </c>
      <c r="D30" s="29" t="s">
        <v>3</v>
      </c>
      <c r="E30" s="34">
        <v>10117</v>
      </c>
      <c r="F30" s="48" t="s">
        <v>407</v>
      </c>
      <c r="G30" s="44"/>
      <c r="H30" s="9"/>
      <c r="I30" s="31"/>
    </row>
    <row r="31" spans="1:9" ht="24" customHeight="1" x14ac:dyDescent="0.4">
      <c r="A31" s="28" t="s">
        <v>468</v>
      </c>
      <c r="B31" s="29" t="s">
        <v>469</v>
      </c>
      <c r="C31" s="29" t="s">
        <v>10</v>
      </c>
      <c r="D31" s="29" t="s">
        <v>3</v>
      </c>
      <c r="E31" s="34">
        <v>10119</v>
      </c>
      <c r="F31" s="48" t="s">
        <v>403</v>
      </c>
      <c r="G31" s="45" t="s">
        <v>1178</v>
      </c>
      <c r="H31" s="9"/>
      <c r="I31" s="31"/>
    </row>
    <row r="32" spans="1:9" ht="24" customHeight="1" x14ac:dyDescent="0.4">
      <c r="A32" s="28" t="s">
        <v>470</v>
      </c>
      <c r="B32" s="29" t="s">
        <v>471</v>
      </c>
      <c r="C32" s="29" t="s">
        <v>10</v>
      </c>
      <c r="D32" s="29" t="s">
        <v>3</v>
      </c>
      <c r="E32" s="34">
        <v>10126</v>
      </c>
      <c r="F32" s="48" t="s">
        <v>403</v>
      </c>
      <c r="G32" s="45" t="s">
        <v>1179</v>
      </c>
      <c r="H32" s="9"/>
      <c r="I32" s="31"/>
    </row>
    <row r="33" spans="1:9" ht="24" customHeight="1" x14ac:dyDescent="0.4">
      <c r="A33" s="28" t="s">
        <v>472</v>
      </c>
      <c r="B33" s="29" t="s">
        <v>473</v>
      </c>
      <c r="C33" s="29" t="s">
        <v>10</v>
      </c>
      <c r="D33" s="29" t="s">
        <v>3</v>
      </c>
      <c r="E33" s="34">
        <v>10150</v>
      </c>
      <c r="F33" s="48" t="s">
        <v>403</v>
      </c>
      <c r="G33" s="45" t="s">
        <v>1180</v>
      </c>
      <c r="H33" s="9"/>
      <c r="I33" s="31"/>
    </row>
    <row r="34" spans="1:9" ht="24" customHeight="1" x14ac:dyDescent="0.4">
      <c r="A34" s="28" t="s">
        <v>474</v>
      </c>
      <c r="B34" s="29" t="s">
        <v>475</v>
      </c>
      <c r="C34" s="29" t="s">
        <v>10</v>
      </c>
      <c r="D34" s="29" t="s">
        <v>3</v>
      </c>
      <c r="E34" s="34">
        <v>10151</v>
      </c>
      <c r="F34" s="48" t="s">
        <v>403</v>
      </c>
      <c r="G34" s="45" t="s">
        <v>1181</v>
      </c>
      <c r="H34" s="9"/>
      <c r="I34" s="31"/>
    </row>
    <row r="35" spans="1:9" ht="24" customHeight="1" x14ac:dyDescent="0.4">
      <c r="A35" s="28" t="s">
        <v>476</v>
      </c>
      <c r="B35" s="29" t="s">
        <v>477</v>
      </c>
      <c r="C35" s="29" t="s">
        <v>10</v>
      </c>
      <c r="D35" s="29" t="s">
        <v>3</v>
      </c>
      <c r="E35" s="34">
        <v>10161</v>
      </c>
      <c r="F35" s="48" t="s">
        <v>407</v>
      </c>
      <c r="G35" s="44"/>
      <c r="H35" s="9"/>
      <c r="I35" s="31"/>
    </row>
    <row r="36" spans="1:9" ht="24" customHeight="1" x14ac:dyDescent="0.4">
      <c r="A36" s="28" t="s">
        <v>478</v>
      </c>
      <c r="B36" s="29" t="s">
        <v>479</v>
      </c>
      <c r="C36" s="29" t="s">
        <v>10</v>
      </c>
      <c r="D36" s="29" t="s">
        <v>3</v>
      </c>
      <c r="E36" s="34">
        <v>10198</v>
      </c>
      <c r="F36" s="48" t="s">
        <v>403</v>
      </c>
      <c r="G36" s="45" t="s">
        <v>1187</v>
      </c>
      <c r="H36" s="9"/>
      <c r="I36" s="31"/>
    </row>
    <row r="37" spans="1:9" ht="24" customHeight="1" x14ac:dyDescent="0.4">
      <c r="A37" s="28" t="s">
        <v>480</v>
      </c>
      <c r="B37" s="29" t="s">
        <v>481</v>
      </c>
      <c r="C37" s="29" t="s">
        <v>10</v>
      </c>
      <c r="D37" s="29" t="s">
        <v>3</v>
      </c>
      <c r="E37" s="34">
        <v>10205</v>
      </c>
      <c r="F37" s="48" t="s">
        <v>407</v>
      </c>
      <c r="G37" s="44"/>
      <c r="H37" s="9"/>
      <c r="I37" s="31"/>
    </row>
    <row r="38" spans="1:9" ht="24" customHeight="1" x14ac:dyDescent="0.4">
      <c r="A38" s="28"/>
      <c r="B38" s="29"/>
      <c r="C38" s="29"/>
      <c r="D38" s="29"/>
      <c r="E38" s="45"/>
      <c r="F38" s="50"/>
      <c r="G38" s="45"/>
      <c r="H38" s="51"/>
      <c r="I38" s="31"/>
    </row>
    <row r="39" spans="1:9" ht="24" customHeight="1" x14ac:dyDescent="0.4">
      <c r="A39" s="28" t="s">
        <v>529</v>
      </c>
      <c r="B39" s="29" t="s">
        <v>530</v>
      </c>
      <c r="C39" s="29" t="s">
        <v>10</v>
      </c>
      <c r="D39" s="29" t="s">
        <v>4</v>
      </c>
      <c r="E39" s="35">
        <v>1019</v>
      </c>
      <c r="F39" s="48" t="s">
        <v>407</v>
      </c>
      <c r="G39" s="44"/>
      <c r="H39" s="9"/>
      <c r="I39" s="31"/>
    </row>
    <row r="40" spans="1:9" ht="24" customHeight="1" x14ac:dyDescent="0.4">
      <c r="A40" s="28" t="s">
        <v>482</v>
      </c>
      <c r="B40" s="29" t="s">
        <v>454</v>
      </c>
      <c r="C40" s="29" t="s">
        <v>10</v>
      </c>
      <c r="D40" s="29" t="s">
        <v>4</v>
      </c>
      <c r="E40" s="35">
        <v>1020</v>
      </c>
      <c r="F40" s="48" t="s">
        <v>403</v>
      </c>
      <c r="G40" s="45" t="s">
        <v>1173</v>
      </c>
      <c r="H40" s="9"/>
      <c r="I40" s="31"/>
    </row>
    <row r="41" spans="1:9" ht="24" customHeight="1" x14ac:dyDescent="0.4">
      <c r="A41" s="28" t="s">
        <v>483</v>
      </c>
      <c r="B41" s="29" t="s">
        <v>1170</v>
      </c>
      <c r="C41" s="29" t="s">
        <v>10</v>
      </c>
      <c r="D41" s="29" t="s">
        <v>4</v>
      </c>
      <c r="E41" s="35">
        <v>1027</v>
      </c>
      <c r="F41" s="48" t="s">
        <v>407</v>
      </c>
      <c r="G41" s="44"/>
      <c r="H41" s="9"/>
      <c r="I41" s="31"/>
    </row>
    <row r="42" spans="1:9" ht="24" customHeight="1" x14ac:dyDescent="0.4">
      <c r="A42" s="28" t="s">
        <v>484</v>
      </c>
      <c r="B42" s="29" t="s">
        <v>485</v>
      </c>
      <c r="C42" s="29" t="s">
        <v>10</v>
      </c>
      <c r="D42" s="29" t="s">
        <v>4</v>
      </c>
      <c r="E42" s="35">
        <v>1028</v>
      </c>
      <c r="F42" s="48" t="s">
        <v>407</v>
      </c>
      <c r="G42" s="44"/>
      <c r="H42" s="9"/>
      <c r="I42" s="31"/>
    </row>
    <row r="43" spans="1:9" ht="24" customHeight="1" x14ac:dyDescent="0.4">
      <c r="A43" s="28" t="s">
        <v>486</v>
      </c>
      <c r="B43" s="29" t="s">
        <v>487</v>
      </c>
      <c r="C43" s="29" t="s">
        <v>10</v>
      </c>
      <c r="D43" s="29" t="s">
        <v>4</v>
      </c>
      <c r="E43" s="35">
        <v>1029</v>
      </c>
      <c r="F43" s="48" t="s">
        <v>403</v>
      </c>
      <c r="G43" s="45" t="s">
        <v>1174</v>
      </c>
      <c r="H43" s="9"/>
      <c r="I43" s="31"/>
    </row>
    <row r="44" spans="1:9" ht="24" customHeight="1" x14ac:dyDescent="0.4">
      <c r="A44" s="28" t="s">
        <v>488</v>
      </c>
      <c r="B44" s="29" t="s">
        <v>489</v>
      </c>
      <c r="C44" s="29" t="s">
        <v>10</v>
      </c>
      <c r="D44" s="29" t="s">
        <v>4</v>
      </c>
      <c r="E44" s="35">
        <v>1030</v>
      </c>
      <c r="F44" s="48" t="s">
        <v>407</v>
      </c>
      <c r="G44" s="44"/>
      <c r="H44" s="9"/>
      <c r="I44" s="31"/>
    </row>
    <row r="45" spans="1:9" ht="24" customHeight="1" x14ac:dyDescent="0.4">
      <c r="A45" s="28"/>
      <c r="B45" s="29"/>
      <c r="C45" s="29"/>
      <c r="D45" s="29"/>
      <c r="E45" s="45"/>
      <c r="F45" s="50"/>
      <c r="G45" s="45"/>
      <c r="H45" s="51"/>
      <c r="I45" s="31"/>
    </row>
    <row r="46" spans="1:9" ht="24" customHeight="1" x14ac:dyDescent="0.4">
      <c r="A46" s="28"/>
      <c r="B46" s="29"/>
      <c r="C46" s="29"/>
      <c r="D46" s="29"/>
      <c r="E46" s="45"/>
      <c r="F46" s="50"/>
      <c r="G46" s="45"/>
      <c r="H46" s="51"/>
      <c r="I46" s="31"/>
    </row>
    <row r="47" spans="1:9" ht="24" customHeight="1" x14ac:dyDescent="0.4">
      <c r="A47" s="28" t="s">
        <v>540</v>
      </c>
      <c r="B47" s="29" t="s">
        <v>541</v>
      </c>
      <c r="C47" s="29" t="s">
        <v>10</v>
      </c>
      <c r="D47" s="29" t="s">
        <v>1</v>
      </c>
      <c r="E47" s="36">
        <v>12001</v>
      </c>
      <c r="F47" s="48" t="s">
        <v>407</v>
      </c>
      <c r="G47" s="44"/>
      <c r="H47" s="9"/>
      <c r="I47" s="31"/>
    </row>
    <row r="48" spans="1:9" ht="24" customHeight="1" x14ac:dyDescent="0.4">
      <c r="A48" s="28" t="s">
        <v>513</v>
      </c>
      <c r="B48" s="29" t="s">
        <v>514</v>
      </c>
      <c r="C48" s="29" t="s">
        <v>10</v>
      </c>
      <c r="D48" s="29" t="s">
        <v>1</v>
      </c>
      <c r="E48" s="36">
        <v>12005</v>
      </c>
      <c r="F48" s="48" t="s">
        <v>403</v>
      </c>
      <c r="G48" s="45" t="s">
        <v>1182</v>
      </c>
      <c r="H48" s="9"/>
      <c r="I48" s="31"/>
    </row>
    <row r="49" spans="1:9" ht="24" customHeight="1" x14ac:dyDescent="0.4">
      <c r="A49" s="28" t="s">
        <v>515</v>
      </c>
      <c r="B49" s="29" t="s">
        <v>516</v>
      </c>
      <c r="C49" s="29" t="s">
        <v>10</v>
      </c>
      <c r="D49" s="29" t="s">
        <v>1</v>
      </c>
      <c r="E49" s="36">
        <v>12009</v>
      </c>
      <c r="F49" s="48" t="s">
        <v>407</v>
      </c>
      <c r="G49" s="44"/>
      <c r="H49" s="9"/>
      <c r="I49" s="31"/>
    </row>
    <row r="50" spans="1:9" ht="24" customHeight="1" x14ac:dyDescent="0.4">
      <c r="A50" s="28" t="s">
        <v>517</v>
      </c>
      <c r="B50" s="29" t="s">
        <v>518</v>
      </c>
      <c r="C50" s="29" t="s">
        <v>10</v>
      </c>
      <c r="D50" s="29" t="s">
        <v>1</v>
      </c>
      <c r="E50" s="36">
        <v>12012</v>
      </c>
      <c r="F50" s="48" t="s">
        <v>407</v>
      </c>
      <c r="G50" s="44"/>
      <c r="H50" s="9"/>
      <c r="I50" s="31"/>
    </row>
    <row r="51" spans="1:9" ht="24" customHeight="1" x14ac:dyDescent="0.4">
      <c r="A51" s="28" t="s">
        <v>519</v>
      </c>
      <c r="B51" s="29" t="s">
        <v>520</v>
      </c>
      <c r="C51" s="29" t="s">
        <v>10</v>
      </c>
      <c r="D51" s="29" t="s">
        <v>1</v>
      </c>
      <c r="E51" s="36">
        <v>12013</v>
      </c>
      <c r="F51" s="48" t="s">
        <v>403</v>
      </c>
      <c r="G51" s="45" t="s">
        <v>1183</v>
      </c>
      <c r="H51" s="9"/>
      <c r="I51" s="31"/>
    </row>
    <row r="52" spans="1:9" ht="24" customHeight="1" x14ac:dyDescent="0.4">
      <c r="A52" s="28" t="s">
        <v>521</v>
      </c>
      <c r="B52" s="29" t="s">
        <v>522</v>
      </c>
      <c r="C52" s="29" t="s">
        <v>10</v>
      </c>
      <c r="D52" s="29" t="s">
        <v>1</v>
      </c>
      <c r="E52" s="36">
        <v>12014</v>
      </c>
      <c r="F52" s="48" t="s">
        <v>407</v>
      </c>
      <c r="G52" s="44"/>
      <c r="H52" s="9"/>
      <c r="I52" s="31"/>
    </row>
    <row r="53" spans="1:9" ht="24" customHeight="1" x14ac:dyDescent="0.4">
      <c r="A53" s="28" t="s">
        <v>523</v>
      </c>
      <c r="B53" s="29" t="s">
        <v>524</v>
      </c>
      <c r="C53" s="29" t="s">
        <v>10</v>
      </c>
      <c r="D53" s="29" t="s">
        <v>1</v>
      </c>
      <c r="E53" s="36">
        <v>12015</v>
      </c>
      <c r="F53" s="48" t="s">
        <v>403</v>
      </c>
      <c r="G53" s="45" t="s">
        <v>1184</v>
      </c>
      <c r="H53" s="9"/>
      <c r="I53" s="31"/>
    </row>
    <row r="54" spans="1:9" ht="24" customHeight="1" x14ac:dyDescent="0.4">
      <c r="A54" s="28" t="s">
        <v>505</v>
      </c>
      <c r="B54" s="29" t="s">
        <v>525</v>
      </c>
      <c r="C54" s="29" t="s">
        <v>10</v>
      </c>
      <c r="D54" s="29" t="s">
        <v>1</v>
      </c>
      <c r="E54" s="36">
        <v>12016</v>
      </c>
      <c r="F54" s="48" t="s">
        <v>403</v>
      </c>
      <c r="G54" s="45" t="s">
        <v>1185</v>
      </c>
      <c r="H54" s="9"/>
      <c r="I54" s="31"/>
    </row>
    <row r="55" spans="1:9" ht="24" customHeight="1" x14ac:dyDescent="0.4">
      <c r="A55" s="28" t="s">
        <v>451</v>
      </c>
      <c r="B55" s="29" t="s">
        <v>526</v>
      </c>
      <c r="C55" s="29" t="s">
        <v>10</v>
      </c>
      <c r="D55" s="29" t="s">
        <v>1</v>
      </c>
      <c r="E55" s="36">
        <v>12017</v>
      </c>
      <c r="F55" s="48" t="s">
        <v>407</v>
      </c>
      <c r="G55" s="44"/>
      <c r="H55" s="9"/>
      <c r="I55" s="31"/>
    </row>
    <row r="56" spans="1:9" ht="24" customHeight="1" x14ac:dyDescent="0.4">
      <c r="A56" s="28" t="s">
        <v>527</v>
      </c>
      <c r="B56" s="29" t="s">
        <v>528</v>
      </c>
      <c r="C56" s="29" t="s">
        <v>10</v>
      </c>
      <c r="D56" s="29" t="s">
        <v>1</v>
      </c>
      <c r="E56" s="36">
        <v>12104</v>
      </c>
      <c r="F56" s="48" t="s">
        <v>403</v>
      </c>
      <c r="G56" s="45" t="s">
        <v>1186</v>
      </c>
      <c r="H56" s="9"/>
      <c r="I56" s="31"/>
    </row>
    <row r="57" spans="1:9" ht="24" customHeight="1" x14ac:dyDescent="0.4">
      <c r="A57" s="28"/>
      <c r="B57" s="29"/>
      <c r="C57" s="29"/>
      <c r="D57" s="29"/>
      <c r="E57" s="52"/>
      <c r="F57" s="50"/>
      <c r="G57" s="45"/>
      <c r="H57" s="51"/>
      <c r="I57" s="31"/>
    </row>
    <row r="58" spans="1:9" ht="24" customHeight="1" x14ac:dyDescent="0.4">
      <c r="A58" s="28"/>
      <c r="B58" s="29"/>
      <c r="C58" s="29"/>
      <c r="D58" s="29"/>
      <c r="E58" s="52"/>
      <c r="F58" s="50"/>
      <c r="G58" s="45"/>
      <c r="H58" s="51"/>
      <c r="I58" s="31"/>
    </row>
    <row r="59" spans="1:9" ht="24" customHeight="1" x14ac:dyDescent="0.4">
      <c r="A59" s="28" t="s">
        <v>542</v>
      </c>
      <c r="B59" s="29" t="s">
        <v>543</v>
      </c>
      <c r="C59" s="29" t="s">
        <v>11</v>
      </c>
      <c r="D59" s="29" t="s">
        <v>7</v>
      </c>
      <c r="E59" s="30">
        <v>8189</v>
      </c>
      <c r="F59" s="48" t="s">
        <v>1209</v>
      </c>
      <c r="G59" s="45" t="s">
        <v>1208</v>
      </c>
      <c r="H59" s="9"/>
      <c r="I59" s="31"/>
    </row>
    <row r="60" spans="1:9" ht="24" customHeight="1" x14ac:dyDescent="0.4">
      <c r="A60" s="28" t="s">
        <v>552</v>
      </c>
      <c r="B60" s="29" t="s">
        <v>553</v>
      </c>
      <c r="C60" s="29" t="s">
        <v>11</v>
      </c>
      <c r="D60" s="29" t="s">
        <v>7</v>
      </c>
      <c r="E60" s="30">
        <v>8190</v>
      </c>
      <c r="F60" s="48" t="s">
        <v>407</v>
      </c>
      <c r="G60" s="44"/>
      <c r="H60" s="9"/>
      <c r="I60" s="31"/>
    </row>
    <row r="61" spans="1:9" ht="24" customHeight="1" x14ac:dyDescent="0.4">
      <c r="A61" s="28" t="s">
        <v>549</v>
      </c>
      <c r="B61" s="29" t="s">
        <v>550</v>
      </c>
      <c r="C61" s="29" t="s">
        <v>11</v>
      </c>
      <c r="D61" s="29" t="s">
        <v>5</v>
      </c>
      <c r="E61" s="32">
        <v>911</v>
      </c>
      <c r="F61" s="48" t="s">
        <v>403</v>
      </c>
      <c r="G61" s="45" t="s">
        <v>1210</v>
      </c>
      <c r="H61" s="9"/>
      <c r="I61" s="31"/>
    </row>
    <row r="62" spans="1:9" ht="24" customHeight="1" x14ac:dyDescent="0.4">
      <c r="A62" s="28" t="s">
        <v>554</v>
      </c>
      <c r="B62" s="29" t="s">
        <v>555</v>
      </c>
      <c r="C62" s="29" t="s">
        <v>11</v>
      </c>
      <c r="D62" s="29" t="s">
        <v>6</v>
      </c>
      <c r="E62" s="33">
        <v>9290</v>
      </c>
      <c r="F62" s="48" t="s">
        <v>531</v>
      </c>
      <c r="G62" s="44"/>
      <c r="H62" s="9"/>
      <c r="I62" s="31"/>
    </row>
    <row r="63" spans="1:9" ht="24" customHeight="1" x14ac:dyDescent="0.4">
      <c r="A63" s="28" t="s">
        <v>544</v>
      </c>
      <c r="B63" s="29" t="s">
        <v>545</v>
      </c>
      <c r="C63" s="29" t="s">
        <v>11</v>
      </c>
      <c r="D63" s="29" t="s">
        <v>3</v>
      </c>
      <c r="E63" s="34">
        <v>10152</v>
      </c>
      <c r="F63" s="48" t="s">
        <v>403</v>
      </c>
      <c r="G63" s="45" t="s">
        <v>1203</v>
      </c>
      <c r="H63" s="9"/>
      <c r="I63" s="31"/>
    </row>
    <row r="64" spans="1:9" ht="24" customHeight="1" x14ac:dyDescent="0.4">
      <c r="A64" s="28" t="s">
        <v>527</v>
      </c>
      <c r="B64" s="29" t="s">
        <v>543</v>
      </c>
      <c r="C64" s="29" t="s">
        <v>11</v>
      </c>
      <c r="D64" s="29" t="s">
        <v>3</v>
      </c>
      <c r="E64" s="34">
        <v>10153</v>
      </c>
      <c r="F64" s="48" t="s">
        <v>403</v>
      </c>
      <c r="G64" s="45" t="s">
        <v>1204</v>
      </c>
      <c r="H64" s="9"/>
      <c r="I64" s="31"/>
    </row>
    <row r="65" spans="1:9" ht="24" customHeight="1" x14ac:dyDescent="0.4">
      <c r="A65" s="28" t="s">
        <v>503</v>
      </c>
      <c r="B65" s="29" t="s">
        <v>546</v>
      </c>
      <c r="C65" s="29" t="s">
        <v>11</v>
      </c>
      <c r="D65" s="29" t="s">
        <v>3</v>
      </c>
      <c r="E65" s="34">
        <v>10154</v>
      </c>
      <c r="F65" s="48" t="s">
        <v>403</v>
      </c>
      <c r="G65" s="45" t="s">
        <v>1205</v>
      </c>
      <c r="H65" s="9"/>
      <c r="I65" s="31"/>
    </row>
    <row r="66" spans="1:9" ht="24" customHeight="1" x14ac:dyDescent="0.4">
      <c r="A66" s="28" t="s">
        <v>547</v>
      </c>
      <c r="B66" s="29" t="s">
        <v>548</v>
      </c>
      <c r="C66" s="29" t="s">
        <v>11</v>
      </c>
      <c r="D66" s="29" t="s">
        <v>3</v>
      </c>
      <c r="E66" s="34">
        <v>10155</v>
      </c>
      <c r="F66" s="48" t="s">
        <v>403</v>
      </c>
      <c r="G66" s="45" t="s">
        <v>1206</v>
      </c>
      <c r="H66" s="9"/>
      <c r="I66" s="31"/>
    </row>
    <row r="67" spans="1:9" ht="24" customHeight="1" x14ac:dyDescent="0.4">
      <c r="A67" s="28" t="s">
        <v>551</v>
      </c>
      <c r="B67" s="29" t="s">
        <v>543</v>
      </c>
      <c r="C67" s="29" t="s">
        <v>11</v>
      </c>
      <c r="D67" s="29" t="s">
        <v>1</v>
      </c>
      <c r="E67" s="36">
        <v>12018</v>
      </c>
      <c r="F67" s="48" t="s">
        <v>403</v>
      </c>
      <c r="G67" s="45" t="s">
        <v>1207</v>
      </c>
      <c r="H67" s="9"/>
      <c r="I67" s="31"/>
    </row>
    <row r="68" spans="1:9" ht="24" customHeight="1" x14ac:dyDescent="0.4">
      <c r="A68" s="28" t="s">
        <v>556</v>
      </c>
      <c r="B68" s="29" t="s">
        <v>555</v>
      </c>
      <c r="C68" s="29" t="s">
        <v>11</v>
      </c>
      <c r="D68" s="29" t="s">
        <v>1</v>
      </c>
      <c r="E68" s="36">
        <v>12019</v>
      </c>
      <c r="F68" s="48" t="s">
        <v>407</v>
      </c>
      <c r="G68" s="44"/>
      <c r="H68" s="9"/>
      <c r="I68" s="31"/>
    </row>
    <row r="69" spans="1:9" ht="24" customHeight="1" x14ac:dyDescent="0.4">
      <c r="A69" s="28"/>
      <c r="B69" s="29"/>
      <c r="C69" s="29"/>
      <c r="D69" s="29"/>
      <c r="E69" s="52"/>
      <c r="F69" s="50"/>
      <c r="G69" s="45"/>
      <c r="H69" s="51"/>
      <c r="I69" s="31"/>
    </row>
    <row r="70" spans="1:9" ht="24" customHeight="1" x14ac:dyDescent="0.4">
      <c r="A70" s="28" t="s">
        <v>557</v>
      </c>
      <c r="B70" s="29" t="s">
        <v>558</v>
      </c>
      <c r="C70" s="29" t="s">
        <v>12</v>
      </c>
      <c r="D70" s="29" t="s">
        <v>7</v>
      </c>
      <c r="E70" s="30">
        <v>8191</v>
      </c>
      <c r="F70" s="48" t="s">
        <v>403</v>
      </c>
      <c r="G70" s="45" t="s">
        <v>1216</v>
      </c>
      <c r="H70" s="9"/>
      <c r="I70" s="31"/>
    </row>
    <row r="71" spans="1:9" ht="24" customHeight="1" x14ac:dyDescent="0.4">
      <c r="A71" s="28" t="s">
        <v>559</v>
      </c>
      <c r="B71" s="29" t="s">
        <v>1218</v>
      </c>
      <c r="C71" s="29" t="s">
        <v>12</v>
      </c>
      <c r="D71" s="29" t="s">
        <v>7</v>
      </c>
      <c r="E71" s="30">
        <v>8192</v>
      </c>
      <c r="F71" s="48" t="s">
        <v>403</v>
      </c>
      <c r="G71" s="45" t="s">
        <v>1217</v>
      </c>
      <c r="H71" s="9"/>
      <c r="I71" s="31"/>
    </row>
    <row r="72" spans="1:9" ht="24" customHeight="1" x14ac:dyDescent="0.4">
      <c r="A72" s="28" t="s">
        <v>560</v>
      </c>
      <c r="B72" s="29" t="s">
        <v>561</v>
      </c>
      <c r="C72" s="29" t="s">
        <v>12</v>
      </c>
      <c r="D72" s="29" t="s">
        <v>3</v>
      </c>
      <c r="E72" s="34">
        <v>10156</v>
      </c>
      <c r="F72" s="48" t="s">
        <v>403</v>
      </c>
      <c r="G72" s="45" t="s">
        <v>1211</v>
      </c>
      <c r="H72" s="9"/>
      <c r="I72" s="31"/>
    </row>
    <row r="73" spans="1:9" ht="24" customHeight="1" x14ac:dyDescent="0.4">
      <c r="A73" s="28" t="s">
        <v>571</v>
      </c>
      <c r="B73" s="29" t="s">
        <v>572</v>
      </c>
      <c r="C73" s="29" t="s">
        <v>12</v>
      </c>
      <c r="D73" s="29" t="s">
        <v>3</v>
      </c>
      <c r="E73" s="34">
        <v>10157</v>
      </c>
      <c r="F73" s="48" t="s">
        <v>403</v>
      </c>
      <c r="G73" s="45" t="s">
        <v>1212</v>
      </c>
      <c r="H73" s="9"/>
      <c r="I73" s="31"/>
    </row>
    <row r="74" spans="1:9" ht="24" customHeight="1" x14ac:dyDescent="0.4">
      <c r="A74" s="28" t="s">
        <v>562</v>
      </c>
      <c r="B74" s="29" t="s">
        <v>563</v>
      </c>
      <c r="C74" s="29" t="s">
        <v>12</v>
      </c>
      <c r="D74" s="29" t="s">
        <v>1</v>
      </c>
      <c r="E74" s="36">
        <v>12020</v>
      </c>
      <c r="F74" s="48" t="s">
        <v>403</v>
      </c>
      <c r="G74" s="45" t="s">
        <v>1213</v>
      </c>
      <c r="H74" s="9"/>
      <c r="I74" s="31"/>
    </row>
    <row r="75" spans="1:9" ht="24" customHeight="1" x14ac:dyDescent="0.4">
      <c r="A75" s="28" t="s">
        <v>564</v>
      </c>
      <c r="B75" s="29" t="s">
        <v>565</v>
      </c>
      <c r="C75" s="29" t="s">
        <v>12</v>
      </c>
      <c r="D75" s="29" t="s">
        <v>1</v>
      </c>
      <c r="E75" s="36">
        <v>12021</v>
      </c>
      <c r="F75" s="48" t="s">
        <v>403</v>
      </c>
      <c r="G75" s="45" t="s">
        <v>1214</v>
      </c>
      <c r="H75" s="9"/>
      <c r="I75" s="31"/>
    </row>
    <row r="76" spans="1:9" ht="24" customHeight="1" x14ac:dyDescent="0.4">
      <c r="A76" s="28" t="s">
        <v>566</v>
      </c>
      <c r="B76" s="29" t="s">
        <v>567</v>
      </c>
      <c r="C76" s="29" t="s">
        <v>12</v>
      </c>
      <c r="D76" s="29" t="s">
        <v>1</v>
      </c>
      <c r="E76" s="36">
        <v>12022</v>
      </c>
      <c r="F76" s="48" t="s">
        <v>407</v>
      </c>
      <c r="G76" s="44"/>
      <c r="H76" s="9"/>
      <c r="I76" s="31"/>
    </row>
    <row r="77" spans="1:9" ht="24" customHeight="1" x14ac:dyDescent="0.4">
      <c r="A77" s="28" t="s">
        <v>568</v>
      </c>
      <c r="B77" s="29" t="s">
        <v>569</v>
      </c>
      <c r="C77" s="29" t="s">
        <v>12</v>
      </c>
      <c r="D77" s="29" t="s">
        <v>1</v>
      </c>
      <c r="E77" s="36">
        <v>12023</v>
      </c>
      <c r="F77" s="48" t="s">
        <v>403</v>
      </c>
      <c r="G77" s="45" t="s">
        <v>1215</v>
      </c>
      <c r="H77" s="9"/>
      <c r="I77" s="31"/>
    </row>
    <row r="78" spans="1:9" ht="24" customHeight="1" x14ac:dyDescent="0.4">
      <c r="A78" s="28" t="s">
        <v>570</v>
      </c>
      <c r="B78" s="29" t="s">
        <v>561</v>
      </c>
      <c r="C78" s="29" t="s">
        <v>12</v>
      </c>
      <c r="D78" s="29" t="s">
        <v>2</v>
      </c>
      <c r="E78" s="37">
        <v>1227</v>
      </c>
      <c r="F78" s="48" t="s">
        <v>407</v>
      </c>
      <c r="G78" s="44"/>
      <c r="H78" s="9"/>
      <c r="I78" s="31"/>
    </row>
    <row r="79" spans="1:9" ht="24" customHeight="1" x14ac:dyDescent="0.4">
      <c r="A79" s="28"/>
      <c r="B79" s="29"/>
      <c r="C79" s="29"/>
      <c r="D79" s="29"/>
      <c r="E79" s="45"/>
      <c r="F79" s="50"/>
      <c r="G79" s="45"/>
      <c r="H79" s="51"/>
      <c r="I79" s="31"/>
    </row>
    <row r="80" spans="1:9" ht="24" customHeight="1" x14ac:dyDescent="0.4">
      <c r="A80" s="28"/>
      <c r="B80" s="29"/>
      <c r="C80" s="29"/>
      <c r="D80" s="29"/>
      <c r="E80" s="45"/>
      <c r="F80" s="50"/>
      <c r="G80" s="45"/>
      <c r="H80" s="51"/>
      <c r="I80" s="31"/>
    </row>
    <row r="81" spans="1:9" ht="24" customHeight="1" x14ac:dyDescent="0.4">
      <c r="A81" s="28" t="s">
        <v>476</v>
      </c>
      <c r="B81" s="29" t="s">
        <v>573</v>
      </c>
      <c r="C81" s="29" t="s">
        <v>13</v>
      </c>
      <c r="D81" s="29" t="s">
        <v>7</v>
      </c>
      <c r="E81" s="30">
        <v>8193</v>
      </c>
      <c r="F81" s="48" t="s">
        <v>403</v>
      </c>
      <c r="G81" s="45" t="s">
        <v>1233</v>
      </c>
      <c r="H81" s="9"/>
      <c r="I81" s="31"/>
    </row>
    <row r="82" spans="1:9" ht="24" customHeight="1" x14ac:dyDescent="0.4">
      <c r="A82" s="28" t="s">
        <v>574</v>
      </c>
      <c r="B82" s="29" t="s">
        <v>575</v>
      </c>
      <c r="C82" s="29" t="s">
        <v>13</v>
      </c>
      <c r="D82" s="29" t="s">
        <v>7</v>
      </c>
      <c r="E82" s="30">
        <v>8194</v>
      </c>
      <c r="F82" s="48" t="s">
        <v>403</v>
      </c>
      <c r="G82" s="45" t="s">
        <v>1234</v>
      </c>
      <c r="H82" s="9"/>
      <c r="I82" s="31"/>
    </row>
    <row r="83" spans="1:9" ht="24" customHeight="1" x14ac:dyDescent="0.4">
      <c r="A83" s="28" t="s">
        <v>578</v>
      </c>
      <c r="B83" s="29" t="s">
        <v>579</v>
      </c>
      <c r="C83" s="29" t="s">
        <v>13</v>
      </c>
      <c r="D83" s="29" t="s">
        <v>5</v>
      </c>
      <c r="E83" s="32">
        <v>912</v>
      </c>
      <c r="F83" s="48" t="s">
        <v>403</v>
      </c>
      <c r="G83" s="45" t="s">
        <v>1231</v>
      </c>
      <c r="H83" s="9"/>
      <c r="I83" s="31"/>
    </row>
    <row r="84" spans="1:9" ht="24" customHeight="1" x14ac:dyDescent="0.4">
      <c r="A84" s="28" t="s">
        <v>580</v>
      </c>
      <c r="B84" s="29" t="s">
        <v>581</v>
      </c>
      <c r="C84" s="29" t="s">
        <v>13</v>
      </c>
      <c r="D84" s="29" t="s">
        <v>5</v>
      </c>
      <c r="E84" s="32">
        <v>913</v>
      </c>
      <c r="F84" s="48" t="s">
        <v>403</v>
      </c>
      <c r="G84" s="45" t="s">
        <v>1232</v>
      </c>
      <c r="H84" s="9"/>
      <c r="I84" s="31"/>
    </row>
    <row r="85" spans="1:9" ht="24" customHeight="1" x14ac:dyDescent="0.4">
      <c r="A85" s="28" t="s">
        <v>576</v>
      </c>
      <c r="B85" s="29" t="s">
        <v>577</v>
      </c>
      <c r="C85" s="29" t="s">
        <v>13</v>
      </c>
      <c r="D85" s="29" t="s">
        <v>3</v>
      </c>
      <c r="E85" s="34">
        <v>10159</v>
      </c>
      <c r="F85" s="48" t="s">
        <v>403</v>
      </c>
      <c r="G85" s="45" t="s">
        <v>1220</v>
      </c>
      <c r="H85" s="9"/>
      <c r="I85" s="31"/>
    </row>
    <row r="86" spans="1:9" ht="24" customHeight="1" x14ac:dyDescent="0.4">
      <c r="A86" s="28" t="s">
        <v>582</v>
      </c>
      <c r="B86" s="29" t="s">
        <v>583</v>
      </c>
      <c r="C86" s="29" t="s">
        <v>13</v>
      </c>
      <c r="D86" s="29" t="s">
        <v>1</v>
      </c>
      <c r="E86" s="36">
        <v>12024</v>
      </c>
      <c r="F86" s="48" t="s">
        <v>403</v>
      </c>
      <c r="G86" s="45" t="s">
        <v>1221</v>
      </c>
      <c r="H86" s="9"/>
      <c r="I86" s="31"/>
    </row>
    <row r="87" spans="1:9" ht="24" customHeight="1" x14ac:dyDescent="0.4">
      <c r="A87" s="28" t="s">
        <v>584</v>
      </c>
      <c r="B87" s="29" t="s">
        <v>585</v>
      </c>
      <c r="C87" s="29" t="s">
        <v>13</v>
      </c>
      <c r="D87" s="29" t="s">
        <v>1</v>
      </c>
      <c r="E87" s="36">
        <v>12025</v>
      </c>
      <c r="F87" s="48" t="s">
        <v>403</v>
      </c>
      <c r="G87" s="45" t="s">
        <v>1222</v>
      </c>
      <c r="H87" s="9"/>
      <c r="I87" s="31"/>
    </row>
    <row r="88" spans="1:9" ht="24" customHeight="1" x14ac:dyDescent="0.4">
      <c r="A88" s="28" t="s">
        <v>586</v>
      </c>
      <c r="B88" s="29" t="s">
        <v>587</v>
      </c>
      <c r="C88" s="29" t="s">
        <v>13</v>
      </c>
      <c r="D88" s="29" t="s">
        <v>1</v>
      </c>
      <c r="E88" s="36">
        <v>12026</v>
      </c>
      <c r="F88" s="48" t="s">
        <v>403</v>
      </c>
      <c r="G88" s="45" t="s">
        <v>1229</v>
      </c>
      <c r="H88" s="9"/>
      <c r="I88" s="31"/>
    </row>
    <row r="89" spans="1:9" ht="24" customHeight="1" x14ac:dyDescent="0.4">
      <c r="A89" s="28" t="s">
        <v>588</v>
      </c>
      <c r="B89" s="29" t="s">
        <v>589</v>
      </c>
      <c r="C89" s="29" t="s">
        <v>13</v>
      </c>
      <c r="D89" s="29" t="s">
        <v>1</v>
      </c>
      <c r="E89" s="36">
        <v>12027</v>
      </c>
      <c r="F89" s="48" t="s">
        <v>403</v>
      </c>
      <c r="G89" s="45" t="s">
        <v>1226</v>
      </c>
      <c r="H89" s="9"/>
      <c r="I89" s="31"/>
    </row>
    <row r="90" spans="1:9" ht="24" customHeight="1" x14ac:dyDescent="0.4">
      <c r="A90" s="28" t="s">
        <v>590</v>
      </c>
      <c r="B90" s="29" t="s">
        <v>591</v>
      </c>
      <c r="C90" s="29" t="s">
        <v>13</v>
      </c>
      <c r="D90" s="29" t="s">
        <v>1</v>
      </c>
      <c r="E90" s="36">
        <v>12028</v>
      </c>
      <c r="F90" s="48" t="s">
        <v>403</v>
      </c>
      <c r="G90" s="45" t="s">
        <v>1223</v>
      </c>
      <c r="H90" s="9"/>
      <c r="I90" s="31"/>
    </row>
    <row r="91" spans="1:9" ht="24" customHeight="1" x14ac:dyDescent="0.4">
      <c r="A91" s="28" t="s">
        <v>592</v>
      </c>
      <c r="B91" s="29" t="s">
        <v>593</v>
      </c>
      <c r="C91" s="29" t="s">
        <v>13</v>
      </c>
      <c r="D91" s="29" t="s">
        <v>1</v>
      </c>
      <c r="E91" s="36">
        <v>12029</v>
      </c>
      <c r="F91" s="48" t="s">
        <v>403</v>
      </c>
      <c r="G91" s="45" t="s">
        <v>1230</v>
      </c>
      <c r="H91" s="9"/>
      <c r="I91" s="31"/>
    </row>
    <row r="92" spans="1:9" ht="24" customHeight="1" x14ac:dyDescent="0.4">
      <c r="A92" s="28"/>
      <c r="B92" s="29"/>
      <c r="C92" s="29"/>
      <c r="D92" s="29"/>
      <c r="E92" s="52"/>
      <c r="F92" s="50"/>
      <c r="G92" s="45"/>
      <c r="H92" s="51"/>
      <c r="I92" s="31"/>
    </row>
    <row r="93" spans="1:9" ht="24" customHeight="1" x14ac:dyDescent="0.4">
      <c r="A93" s="28" t="s">
        <v>594</v>
      </c>
      <c r="B93" s="29" t="s">
        <v>595</v>
      </c>
      <c r="C93" s="29" t="s">
        <v>13</v>
      </c>
      <c r="D93" s="29" t="s">
        <v>1</v>
      </c>
      <c r="E93" s="36">
        <v>12030</v>
      </c>
      <c r="F93" s="48" t="s">
        <v>403</v>
      </c>
      <c r="G93" s="45" t="s">
        <v>1224</v>
      </c>
      <c r="H93" s="9"/>
      <c r="I93" s="31"/>
    </row>
    <row r="94" spans="1:9" ht="24" customHeight="1" x14ac:dyDescent="0.4">
      <c r="A94" s="28" t="s">
        <v>476</v>
      </c>
      <c r="B94" s="29" t="s">
        <v>596</v>
      </c>
      <c r="C94" s="29" t="s">
        <v>13</v>
      </c>
      <c r="D94" s="29" t="s">
        <v>1</v>
      </c>
      <c r="E94" s="36">
        <v>12103</v>
      </c>
      <c r="F94" s="48" t="s">
        <v>403</v>
      </c>
      <c r="G94" s="45" t="s">
        <v>1225</v>
      </c>
      <c r="H94" s="9"/>
      <c r="I94" s="31"/>
    </row>
    <row r="95" spans="1:9" ht="24" customHeight="1" x14ac:dyDescent="0.4">
      <c r="A95" s="28" t="s">
        <v>597</v>
      </c>
      <c r="B95" s="29" t="s">
        <v>598</v>
      </c>
      <c r="C95" s="29" t="s">
        <v>13</v>
      </c>
      <c r="D95" s="29" t="s">
        <v>2</v>
      </c>
      <c r="E95" s="37">
        <v>1230</v>
      </c>
      <c r="F95" s="48" t="s">
        <v>403</v>
      </c>
      <c r="G95" s="45" t="s">
        <v>1227</v>
      </c>
      <c r="H95" s="9"/>
      <c r="I95" s="31"/>
    </row>
    <row r="96" spans="1:9" ht="24" customHeight="1" x14ac:dyDescent="0.4">
      <c r="A96" s="28" t="s">
        <v>599</v>
      </c>
      <c r="B96" s="29" t="s">
        <v>600</v>
      </c>
      <c r="C96" s="29" t="s">
        <v>13</v>
      </c>
      <c r="D96" s="29" t="s">
        <v>2</v>
      </c>
      <c r="E96" s="37">
        <v>1231</v>
      </c>
      <c r="F96" s="48" t="s">
        <v>403</v>
      </c>
      <c r="G96" s="45" t="s">
        <v>1228</v>
      </c>
      <c r="H96" s="9"/>
      <c r="I96" s="31"/>
    </row>
    <row r="97" spans="1:9" ht="24" customHeight="1" x14ac:dyDescent="0.4">
      <c r="A97" s="28" t="s">
        <v>601</v>
      </c>
      <c r="B97" s="29" t="s">
        <v>602</v>
      </c>
      <c r="C97" s="29" t="s">
        <v>13</v>
      </c>
      <c r="D97" s="29" t="s">
        <v>2</v>
      </c>
      <c r="E97" s="37">
        <v>1232</v>
      </c>
      <c r="F97" s="48" t="s">
        <v>403</v>
      </c>
      <c r="G97" s="45" t="s">
        <v>1219</v>
      </c>
      <c r="H97" s="9"/>
      <c r="I97" s="31"/>
    </row>
    <row r="98" spans="1:9" ht="24" customHeight="1" x14ac:dyDescent="0.4">
      <c r="A98" s="28" t="s">
        <v>603</v>
      </c>
      <c r="B98" s="29" t="s">
        <v>604</v>
      </c>
      <c r="C98" s="29" t="s">
        <v>13</v>
      </c>
      <c r="D98" s="29" t="s">
        <v>2</v>
      </c>
      <c r="E98" s="37">
        <v>1233</v>
      </c>
      <c r="F98" s="48" t="s">
        <v>407</v>
      </c>
      <c r="G98" s="44"/>
      <c r="H98" s="9"/>
      <c r="I98" s="31"/>
    </row>
    <row r="99" spans="1:9" ht="24" customHeight="1" x14ac:dyDescent="0.4">
      <c r="A99" s="28"/>
      <c r="B99" s="29"/>
      <c r="C99" s="29"/>
      <c r="D99" s="29"/>
      <c r="E99" s="45"/>
      <c r="F99" s="50"/>
      <c r="G99" s="45"/>
      <c r="H99" s="51"/>
      <c r="I99" s="31"/>
    </row>
    <row r="100" spans="1:9" ht="24" customHeight="1" x14ac:dyDescent="0.4">
      <c r="A100" s="28"/>
      <c r="B100" s="29"/>
      <c r="C100" s="29"/>
      <c r="D100" s="29"/>
      <c r="E100" s="45"/>
      <c r="F100" s="50"/>
      <c r="G100" s="45"/>
      <c r="H100" s="51"/>
      <c r="I100" s="31"/>
    </row>
    <row r="101" spans="1:9" ht="24" customHeight="1" x14ac:dyDescent="0.4">
      <c r="A101" s="28" t="s">
        <v>1239</v>
      </c>
      <c r="B101" s="29" t="s">
        <v>1240</v>
      </c>
      <c r="C101" s="29" t="s">
        <v>14</v>
      </c>
      <c r="D101" s="29" t="s">
        <v>7</v>
      </c>
      <c r="E101" s="30">
        <v>843</v>
      </c>
      <c r="F101" s="48" t="s">
        <v>403</v>
      </c>
      <c r="G101" s="45" t="s">
        <v>1238</v>
      </c>
      <c r="H101" s="9"/>
      <c r="I101" s="31"/>
    </row>
    <row r="102" spans="1:9" ht="24" customHeight="1" x14ac:dyDescent="0.4">
      <c r="A102" s="28" t="s">
        <v>605</v>
      </c>
      <c r="B102" s="29" t="s">
        <v>606</v>
      </c>
      <c r="C102" s="29" t="s">
        <v>14</v>
      </c>
      <c r="D102" s="29" t="s">
        <v>7</v>
      </c>
      <c r="E102" s="30">
        <v>8195</v>
      </c>
      <c r="F102" s="48" t="s">
        <v>403</v>
      </c>
      <c r="G102" s="45" t="s">
        <v>1241</v>
      </c>
      <c r="H102" s="9"/>
      <c r="I102" s="31"/>
    </row>
    <row r="103" spans="1:9" ht="24" customHeight="1" x14ac:dyDescent="0.4">
      <c r="A103" s="28" t="s">
        <v>610</v>
      </c>
      <c r="B103" s="29" t="s">
        <v>611</v>
      </c>
      <c r="C103" s="29" t="s">
        <v>14</v>
      </c>
      <c r="D103" s="29" t="s">
        <v>5</v>
      </c>
      <c r="E103" s="32">
        <v>961</v>
      </c>
      <c r="F103" s="48" t="s">
        <v>407</v>
      </c>
      <c r="G103" s="44"/>
      <c r="H103" s="9"/>
      <c r="I103" s="31"/>
    </row>
    <row r="104" spans="1:9" ht="24" customHeight="1" x14ac:dyDescent="0.4">
      <c r="A104" s="28" t="s">
        <v>495</v>
      </c>
      <c r="B104" s="29" t="s">
        <v>607</v>
      </c>
      <c r="C104" s="29" t="s">
        <v>14</v>
      </c>
      <c r="D104" s="29" t="s">
        <v>3</v>
      </c>
      <c r="E104" s="34">
        <v>10206</v>
      </c>
      <c r="F104" s="48" t="s">
        <v>403</v>
      </c>
      <c r="G104" s="45" t="s">
        <v>1237</v>
      </c>
      <c r="H104" s="9"/>
      <c r="I104" s="31"/>
    </row>
    <row r="105" spans="1:9" ht="24" customHeight="1" x14ac:dyDescent="0.4">
      <c r="A105" s="28" t="s">
        <v>608</v>
      </c>
      <c r="B105" s="29" t="s">
        <v>609</v>
      </c>
      <c r="C105" s="29" t="s">
        <v>14</v>
      </c>
      <c r="D105" s="29" t="s">
        <v>3</v>
      </c>
      <c r="E105" s="34">
        <v>10207</v>
      </c>
      <c r="F105" s="48" t="s">
        <v>403</v>
      </c>
      <c r="G105" s="45" t="s">
        <v>1235</v>
      </c>
      <c r="H105" s="9"/>
      <c r="I105" s="31"/>
    </row>
    <row r="106" spans="1:9" ht="24" customHeight="1" x14ac:dyDescent="0.4">
      <c r="A106" s="28" t="s">
        <v>612</v>
      </c>
      <c r="B106" s="29" t="s">
        <v>613</v>
      </c>
      <c r="C106" s="29" t="s">
        <v>14</v>
      </c>
      <c r="D106" s="29" t="s">
        <v>1</v>
      </c>
      <c r="E106" s="36">
        <v>12031</v>
      </c>
      <c r="F106" s="48" t="s">
        <v>403</v>
      </c>
      <c r="G106" s="45" t="s">
        <v>1236</v>
      </c>
      <c r="H106" s="9"/>
      <c r="I106" s="31"/>
    </row>
    <row r="107" spans="1:9" ht="24" customHeight="1" x14ac:dyDescent="0.4">
      <c r="A107" s="28"/>
      <c r="B107" s="29"/>
      <c r="C107" s="29"/>
      <c r="D107" s="29"/>
      <c r="E107" s="52"/>
      <c r="F107" s="50"/>
      <c r="G107" s="45"/>
      <c r="H107" s="51"/>
      <c r="I107" s="31"/>
    </row>
    <row r="108" spans="1:9" ht="24" customHeight="1" x14ac:dyDescent="0.4">
      <c r="A108" s="28"/>
      <c r="B108" s="29"/>
      <c r="C108" s="29"/>
      <c r="D108" s="29"/>
      <c r="E108" s="52"/>
      <c r="F108" s="50"/>
      <c r="G108" s="45"/>
      <c r="H108" s="51"/>
      <c r="I108" s="31"/>
    </row>
    <row r="109" spans="1:9" ht="24" customHeight="1" x14ac:dyDescent="0.4">
      <c r="A109" s="28" t="s">
        <v>1246</v>
      </c>
      <c r="B109" s="29" t="s">
        <v>614</v>
      </c>
      <c r="C109" s="29" t="s">
        <v>15</v>
      </c>
      <c r="D109" s="29" t="s">
        <v>7</v>
      </c>
      <c r="E109" s="30">
        <v>800</v>
      </c>
      <c r="F109" s="48" t="s">
        <v>403</v>
      </c>
      <c r="G109" s="45" t="s">
        <v>1245</v>
      </c>
      <c r="H109" s="9"/>
      <c r="I109" s="31"/>
    </row>
    <row r="110" spans="1:9" ht="24" customHeight="1" x14ac:dyDescent="0.4">
      <c r="A110" s="28" t="s">
        <v>615</v>
      </c>
      <c r="B110" s="29" t="s">
        <v>1172</v>
      </c>
      <c r="C110" s="29" t="s">
        <v>15</v>
      </c>
      <c r="D110" s="29" t="s">
        <v>7</v>
      </c>
      <c r="E110" s="30">
        <v>801</v>
      </c>
      <c r="F110" s="48" t="s">
        <v>407</v>
      </c>
      <c r="G110" s="44"/>
      <c r="H110" s="9"/>
      <c r="I110" s="31"/>
    </row>
    <row r="111" spans="1:9" ht="24" customHeight="1" x14ac:dyDescent="0.4">
      <c r="A111" s="28" t="s">
        <v>461</v>
      </c>
      <c r="B111" s="29" t="s">
        <v>1248</v>
      </c>
      <c r="C111" s="29" t="s">
        <v>15</v>
      </c>
      <c r="D111" s="29" t="s">
        <v>7</v>
      </c>
      <c r="E111" s="30">
        <v>802</v>
      </c>
      <c r="F111" s="48" t="s">
        <v>403</v>
      </c>
      <c r="G111" s="45" t="s">
        <v>1247</v>
      </c>
      <c r="H111" s="9"/>
      <c r="I111" s="31"/>
    </row>
    <row r="112" spans="1:9" ht="24" customHeight="1" x14ac:dyDescent="0.4">
      <c r="A112" s="28" t="s">
        <v>1250</v>
      </c>
      <c r="B112" s="29" t="s">
        <v>1251</v>
      </c>
      <c r="C112" s="29" t="s">
        <v>15</v>
      </c>
      <c r="D112" s="29" t="s">
        <v>7</v>
      </c>
      <c r="E112" s="30">
        <v>840</v>
      </c>
      <c r="F112" s="48" t="s">
        <v>403</v>
      </c>
      <c r="G112" s="45" t="s">
        <v>1249</v>
      </c>
      <c r="H112" s="9"/>
      <c r="I112" s="31"/>
    </row>
    <row r="113" spans="1:9" ht="24" customHeight="1" x14ac:dyDescent="0.4">
      <c r="A113" s="28" t="s">
        <v>472</v>
      </c>
      <c r="B113" s="29" t="s">
        <v>616</v>
      </c>
      <c r="C113" s="29" t="s">
        <v>15</v>
      </c>
      <c r="D113" s="29" t="s">
        <v>7</v>
      </c>
      <c r="E113" s="30">
        <v>8009</v>
      </c>
      <c r="F113" s="48" t="s">
        <v>407</v>
      </c>
      <c r="G113" s="44"/>
      <c r="H113" s="9"/>
      <c r="I113" s="31"/>
    </row>
    <row r="114" spans="1:9" ht="24" customHeight="1" x14ac:dyDescent="0.4">
      <c r="A114" s="28" t="s">
        <v>617</v>
      </c>
      <c r="B114" s="29" t="s">
        <v>618</v>
      </c>
      <c r="C114" s="29" t="s">
        <v>15</v>
      </c>
      <c r="D114" s="29" t="s">
        <v>7</v>
      </c>
      <c r="E114" s="30">
        <v>8197</v>
      </c>
      <c r="F114" s="48" t="s">
        <v>403</v>
      </c>
      <c r="G114" s="45" t="s">
        <v>1255</v>
      </c>
      <c r="H114" s="9"/>
      <c r="I114" s="31"/>
    </row>
    <row r="115" spans="1:9" ht="24" customHeight="1" x14ac:dyDescent="0.4">
      <c r="A115" s="28" t="s">
        <v>1257</v>
      </c>
      <c r="B115" s="29" t="s">
        <v>1258</v>
      </c>
      <c r="C115" s="29" t="s">
        <v>15</v>
      </c>
      <c r="D115" s="29" t="s">
        <v>7</v>
      </c>
      <c r="E115" s="30">
        <v>8198</v>
      </c>
      <c r="F115" s="48" t="s">
        <v>403</v>
      </c>
      <c r="G115" s="45" t="s">
        <v>1256</v>
      </c>
      <c r="H115" s="9"/>
      <c r="I115" s="31"/>
    </row>
    <row r="116" spans="1:9" ht="24" customHeight="1" x14ac:dyDescent="0.4">
      <c r="A116" s="28" t="s">
        <v>1265</v>
      </c>
      <c r="B116" s="29" t="s">
        <v>1266</v>
      </c>
      <c r="C116" s="29" t="s">
        <v>15</v>
      </c>
      <c r="D116" s="29" t="s">
        <v>7</v>
      </c>
      <c r="E116" s="30">
        <v>8199</v>
      </c>
      <c r="F116" s="48" t="s">
        <v>403</v>
      </c>
      <c r="G116" s="45" t="s">
        <v>1264</v>
      </c>
      <c r="H116" s="9"/>
      <c r="I116" s="31"/>
    </row>
    <row r="117" spans="1:9" ht="24" customHeight="1" x14ac:dyDescent="0.4">
      <c r="A117" s="28" t="s">
        <v>1253</v>
      </c>
      <c r="B117" s="29" t="s">
        <v>1254</v>
      </c>
      <c r="C117" s="29" t="s">
        <v>15</v>
      </c>
      <c r="D117" s="29" t="s">
        <v>8</v>
      </c>
      <c r="E117" s="38">
        <v>854</v>
      </c>
      <c r="F117" s="48" t="s">
        <v>403</v>
      </c>
      <c r="G117" s="45" t="s">
        <v>1252</v>
      </c>
      <c r="H117" s="9"/>
      <c r="I117" s="31"/>
    </row>
    <row r="118" spans="1:9" ht="24" customHeight="1" x14ac:dyDescent="0.4">
      <c r="A118" s="28" t="s">
        <v>1260</v>
      </c>
      <c r="B118" s="29" t="s">
        <v>1261</v>
      </c>
      <c r="C118" s="29" t="s">
        <v>15</v>
      </c>
      <c r="D118" s="29" t="s">
        <v>8</v>
      </c>
      <c r="E118" s="38">
        <v>8250</v>
      </c>
      <c r="F118" s="48" t="s">
        <v>403</v>
      </c>
      <c r="G118" s="45" t="s">
        <v>1259</v>
      </c>
      <c r="H118" s="9"/>
      <c r="I118" s="31"/>
    </row>
    <row r="119" spans="1:9" ht="24" customHeight="1" x14ac:dyDescent="0.4">
      <c r="A119" s="28" t="s">
        <v>621</v>
      </c>
      <c r="B119" s="29" t="s">
        <v>1263</v>
      </c>
      <c r="C119" s="29" t="s">
        <v>15</v>
      </c>
      <c r="D119" s="29" t="s">
        <v>6</v>
      </c>
      <c r="E119" s="33">
        <v>9491</v>
      </c>
      <c r="F119" s="48" t="s">
        <v>403</v>
      </c>
      <c r="G119" s="45" t="s">
        <v>1262</v>
      </c>
      <c r="H119" s="9"/>
      <c r="I119" s="31"/>
    </row>
    <row r="120" spans="1:9" ht="24" customHeight="1" x14ac:dyDescent="0.4">
      <c r="A120" s="28" t="s">
        <v>1243</v>
      </c>
      <c r="B120" s="29" t="s">
        <v>1244</v>
      </c>
      <c r="C120" s="29" t="s">
        <v>15</v>
      </c>
      <c r="D120" s="29" t="s">
        <v>3</v>
      </c>
      <c r="E120" s="34">
        <v>10160</v>
      </c>
      <c r="F120" s="48" t="s">
        <v>403</v>
      </c>
      <c r="G120" s="45" t="s">
        <v>1242</v>
      </c>
      <c r="H120" s="9" t="s">
        <v>410</v>
      </c>
      <c r="I120" s="31"/>
    </row>
    <row r="121" spans="1:9" ht="24" customHeight="1" x14ac:dyDescent="0.4">
      <c r="A121" s="28" t="s">
        <v>499</v>
      </c>
      <c r="B121" s="29" t="s">
        <v>1171</v>
      </c>
      <c r="C121" s="29" t="s">
        <v>15</v>
      </c>
      <c r="D121" s="29" t="s">
        <v>1</v>
      </c>
      <c r="E121" s="36">
        <v>12032</v>
      </c>
      <c r="F121" s="48" t="s">
        <v>407</v>
      </c>
      <c r="G121" s="44"/>
      <c r="H121" s="9"/>
      <c r="I121" s="31"/>
    </row>
    <row r="122" spans="1:9" ht="24" customHeight="1" x14ac:dyDescent="0.4">
      <c r="A122" s="28" t="s">
        <v>624</v>
      </c>
      <c r="B122" s="29" t="s">
        <v>625</v>
      </c>
      <c r="C122" s="29" t="s">
        <v>15</v>
      </c>
      <c r="D122" s="29" t="s">
        <v>1</v>
      </c>
      <c r="E122" s="36">
        <v>12033</v>
      </c>
      <c r="F122" s="48" t="s">
        <v>407</v>
      </c>
      <c r="G122" s="44"/>
      <c r="H122" s="9"/>
      <c r="I122" s="31"/>
    </row>
    <row r="123" spans="1:9" ht="24" customHeight="1" x14ac:dyDescent="0.4">
      <c r="A123" s="28"/>
      <c r="B123" s="29"/>
      <c r="C123" s="29"/>
      <c r="D123" s="29"/>
      <c r="E123" s="52"/>
      <c r="F123" s="50"/>
      <c r="G123" s="45"/>
      <c r="H123" s="51"/>
      <c r="I123" s="31"/>
    </row>
    <row r="124" spans="1:9" ht="24" customHeight="1" x14ac:dyDescent="0.4">
      <c r="A124" s="28"/>
      <c r="B124" s="29"/>
      <c r="C124" s="29"/>
      <c r="D124" s="29"/>
      <c r="E124" s="52"/>
      <c r="F124" s="50"/>
      <c r="G124" s="45"/>
      <c r="H124" s="51"/>
      <c r="I124" s="31"/>
    </row>
    <row r="125" spans="1:9" ht="24" customHeight="1" x14ac:dyDescent="0.4">
      <c r="A125" s="28" t="s">
        <v>605</v>
      </c>
      <c r="B125" s="29" t="s">
        <v>645</v>
      </c>
      <c r="C125" s="29" t="s">
        <v>16</v>
      </c>
      <c r="D125" s="29" t="s">
        <v>7</v>
      </c>
      <c r="E125" s="30">
        <v>803</v>
      </c>
      <c r="F125" s="48" t="s">
        <v>403</v>
      </c>
      <c r="G125" s="45" t="s">
        <v>1274</v>
      </c>
      <c r="H125" s="9"/>
      <c r="I125" s="31"/>
    </row>
    <row r="126" spans="1:9" ht="24" customHeight="1" x14ac:dyDescent="0.4">
      <c r="A126" s="28" t="s">
        <v>647</v>
      </c>
      <c r="B126" s="29" t="s">
        <v>648</v>
      </c>
      <c r="C126" s="29" t="s">
        <v>16</v>
      </c>
      <c r="D126" s="29" t="s">
        <v>7</v>
      </c>
      <c r="E126" s="30">
        <v>804</v>
      </c>
      <c r="F126" s="48" t="s">
        <v>403</v>
      </c>
      <c r="G126" s="45" t="s">
        <v>1268</v>
      </c>
      <c r="H126" s="9"/>
      <c r="I126" s="31"/>
    </row>
    <row r="127" spans="1:9" ht="24" customHeight="1" x14ac:dyDescent="0.4">
      <c r="A127" s="28" t="s">
        <v>627</v>
      </c>
      <c r="B127" s="29" t="s">
        <v>628</v>
      </c>
      <c r="C127" s="29" t="s">
        <v>16</v>
      </c>
      <c r="D127" s="29" t="s">
        <v>5</v>
      </c>
      <c r="E127" s="32">
        <v>914</v>
      </c>
      <c r="F127" s="48" t="s">
        <v>403</v>
      </c>
      <c r="G127" s="45" t="s">
        <v>1269</v>
      </c>
      <c r="H127" s="9"/>
      <c r="I127" s="31"/>
    </row>
    <row r="128" spans="1:9" ht="24" customHeight="1" x14ac:dyDescent="0.4">
      <c r="A128" s="28" t="s">
        <v>630</v>
      </c>
      <c r="B128" s="29" t="s">
        <v>631</v>
      </c>
      <c r="C128" s="29" t="s">
        <v>16</v>
      </c>
      <c r="D128" s="29" t="s">
        <v>5</v>
      </c>
      <c r="E128" s="32">
        <v>915</v>
      </c>
      <c r="F128" s="48" t="s">
        <v>403</v>
      </c>
      <c r="G128" s="45" t="s">
        <v>1270</v>
      </c>
      <c r="H128" s="9"/>
      <c r="I128" s="31"/>
    </row>
    <row r="129" spans="1:9" ht="24" customHeight="1" x14ac:dyDescent="0.4">
      <c r="A129" s="28" t="s">
        <v>633</v>
      </c>
      <c r="B129" s="29" t="s">
        <v>634</v>
      </c>
      <c r="C129" s="29" t="s">
        <v>16</v>
      </c>
      <c r="D129" s="29" t="s">
        <v>5</v>
      </c>
      <c r="E129" s="32">
        <v>916</v>
      </c>
      <c r="F129" s="48" t="s">
        <v>403</v>
      </c>
      <c r="G129" s="45" t="s">
        <v>1271</v>
      </c>
      <c r="H129" s="9"/>
      <c r="I129" s="31"/>
    </row>
    <row r="130" spans="1:9" ht="24" customHeight="1" x14ac:dyDescent="0.4">
      <c r="A130" s="28" t="s">
        <v>636</v>
      </c>
      <c r="B130" s="29" t="s">
        <v>637</v>
      </c>
      <c r="C130" s="29" t="s">
        <v>16</v>
      </c>
      <c r="D130" s="29" t="s">
        <v>5</v>
      </c>
      <c r="E130" s="32">
        <v>917</v>
      </c>
      <c r="F130" s="48" t="s">
        <v>403</v>
      </c>
      <c r="G130" s="45" t="s">
        <v>1272</v>
      </c>
      <c r="H130" s="9"/>
      <c r="I130" s="31"/>
    </row>
    <row r="131" spans="1:9" ht="24" customHeight="1" x14ac:dyDescent="0.4">
      <c r="A131" s="28" t="s">
        <v>639</v>
      </c>
      <c r="B131" s="29" t="s">
        <v>640</v>
      </c>
      <c r="C131" s="29" t="s">
        <v>16</v>
      </c>
      <c r="D131" s="29" t="s">
        <v>6</v>
      </c>
      <c r="E131" s="33">
        <v>9250</v>
      </c>
      <c r="F131" s="48" t="s">
        <v>403</v>
      </c>
      <c r="G131" s="45" t="s">
        <v>1273</v>
      </c>
      <c r="H131" s="9"/>
      <c r="I131" s="31"/>
    </row>
    <row r="132" spans="1:9" ht="24" customHeight="1" x14ac:dyDescent="0.4">
      <c r="A132" s="28" t="s">
        <v>642</v>
      </c>
      <c r="B132" s="29" t="s">
        <v>643</v>
      </c>
      <c r="C132" s="29" t="s">
        <v>16</v>
      </c>
      <c r="D132" s="29" t="s">
        <v>1</v>
      </c>
      <c r="E132" s="36">
        <v>12034</v>
      </c>
      <c r="F132" s="48" t="s">
        <v>403</v>
      </c>
      <c r="G132" s="45" t="s">
        <v>1267</v>
      </c>
      <c r="H132" s="9"/>
      <c r="I132" s="31"/>
    </row>
    <row r="133" spans="1:9" ht="24" customHeight="1" x14ac:dyDescent="0.4">
      <c r="A133" s="28" t="s">
        <v>650</v>
      </c>
      <c r="B133" s="29" t="s">
        <v>643</v>
      </c>
      <c r="C133" s="29" t="s">
        <v>16</v>
      </c>
      <c r="D133" s="29" t="s">
        <v>1</v>
      </c>
      <c r="E133" s="36">
        <v>12035</v>
      </c>
      <c r="F133" s="48" t="s">
        <v>407</v>
      </c>
      <c r="G133" s="44"/>
      <c r="H133" s="9"/>
      <c r="I133" s="31"/>
    </row>
    <row r="134" spans="1:9" ht="24" customHeight="1" x14ac:dyDescent="0.4">
      <c r="A134" s="28"/>
      <c r="B134" s="29"/>
      <c r="C134" s="29"/>
      <c r="D134" s="29"/>
      <c r="E134" s="52"/>
      <c r="F134" s="50"/>
      <c r="G134" s="45"/>
      <c r="H134" s="51"/>
      <c r="I134" s="31"/>
    </row>
    <row r="135" spans="1:9" ht="24" customHeight="1" x14ac:dyDescent="0.4">
      <c r="A135" s="28"/>
      <c r="B135" s="29"/>
      <c r="C135" s="29"/>
      <c r="D135" s="29"/>
      <c r="E135" s="52"/>
      <c r="F135" s="50"/>
      <c r="G135" s="45"/>
      <c r="H135" s="51"/>
      <c r="I135" s="31"/>
    </row>
    <row r="136" spans="1:9" ht="24" customHeight="1" x14ac:dyDescent="0.4">
      <c r="A136" s="28" t="s">
        <v>652</v>
      </c>
      <c r="B136" s="29" t="s">
        <v>653</v>
      </c>
      <c r="C136" s="29" t="s">
        <v>17</v>
      </c>
      <c r="D136" s="29" t="s">
        <v>7</v>
      </c>
      <c r="E136" s="30">
        <v>837</v>
      </c>
      <c r="F136" s="48" t="s">
        <v>403</v>
      </c>
      <c r="G136" s="45" t="s">
        <v>1275</v>
      </c>
      <c r="H136" s="9"/>
      <c r="I136" s="31"/>
    </row>
    <row r="137" spans="1:9" ht="24" customHeight="1" x14ac:dyDescent="0.4">
      <c r="A137" s="28" t="s">
        <v>655</v>
      </c>
      <c r="B137" s="29" t="s">
        <v>656</v>
      </c>
      <c r="C137" s="29" t="s">
        <v>17</v>
      </c>
      <c r="D137" s="29" t="s">
        <v>7</v>
      </c>
      <c r="E137" s="30">
        <v>838</v>
      </c>
      <c r="F137" s="48" t="s">
        <v>403</v>
      </c>
      <c r="G137" s="45" t="s">
        <v>1276</v>
      </c>
      <c r="H137" s="9"/>
      <c r="I137" s="31"/>
    </row>
    <row r="138" spans="1:9" ht="24" customHeight="1" x14ac:dyDescent="0.4">
      <c r="A138" s="28" t="s">
        <v>562</v>
      </c>
      <c r="B138" s="29" t="s">
        <v>658</v>
      </c>
      <c r="C138" s="29" t="s">
        <v>17</v>
      </c>
      <c r="D138" s="29" t="s">
        <v>7</v>
      </c>
      <c r="E138" s="30">
        <v>839</v>
      </c>
      <c r="F138" s="48" t="s">
        <v>403</v>
      </c>
      <c r="G138" s="45" t="s">
        <v>1283</v>
      </c>
      <c r="H138" s="9"/>
      <c r="I138" s="31"/>
    </row>
    <row r="139" spans="1:9" ht="24" customHeight="1" x14ac:dyDescent="0.4">
      <c r="A139" s="28" t="s">
        <v>660</v>
      </c>
      <c r="B139" s="29" t="s">
        <v>661</v>
      </c>
      <c r="C139" s="29" t="s">
        <v>17</v>
      </c>
      <c r="D139" s="29" t="s">
        <v>7</v>
      </c>
      <c r="E139" s="30">
        <v>841</v>
      </c>
      <c r="F139" s="48" t="s">
        <v>403</v>
      </c>
      <c r="G139" s="45" t="s">
        <v>1277</v>
      </c>
      <c r="H139" s="9"/>
      <c r="I139" s="31"/>
    </row>
    <row r="140" spans="1:9" ht="24" customHeight="1" x14ac:dyDescent="0.4">
      <c r="A140" s="28" t="s">
        <v>681</v>
      </c>
      <c r="B140" s="29" t="s">
        <v>682</v>
      </c>
      <c r="C140" s="29" t="s">
        <v>17</v>
      </c>
      <c r="D140" s="29" t="s">
        <v>8</v>
      </c>
      <c r="E140" s="38">
        <v>859</v>
      </c>
      <c r="F140" s="48" t="s">
        <v>403</v>
      </c>
      <c r="G140" s="45" t="s">
        <v>1284</v>
      </c>
      <c r="H140" s="9"/>
      <c r="I140" s="31"/>
    </row>
    <row r="141" spans="1:9" ht="24" customHeight="1" x14ac:dyDescent="0.4">
      <c r="A141" s="28" t="s">
        <v>663</v>
      </c>
      <c r="B141" s="29" t="s">
        <v>664</v>
      </c>
      <c r="C141" s="29" t="s">
        <v>17</v>
      </c>
      <c r="D141" s="29" t="s">
        <v>5</v>
      </c>
      <c r="E141" s="32">
        <v>955</v>
      </c>
      <c r="F141" s="48" t="s">
        <v>403</v>
      </c>
      <c r="G141" s="45" t="s">
        <v>1278</v>
      </c>
      <c r="H141" s="9"/>
      <c r="I141" s="31"/>
    </row>
    <row r="142" spans="1:9" ht="24" customHeight="1" x14ac:dyDescent="0.4">
      <c r="A142" s="28" t="s">
        <v>666</v>
      </c>
      <c r="B142" s="29" t="s">
        <v>667</v>
      </c>
      <c r="C142" s="29" t="s">
        <v>17</v>
      </c>
      <c r="D142" s="29" t="s">
        <v>5</v>
      </c>
      <c r="E142" s="32">
        <v>956</v>
      </c>
      <c r="F142" s="48" t="s">
        <v>403</v>
      </c>
      <c r="G142" s="45" t="s">
        <v>1279</v>
      </c>
      <c r="H142" s="9"/>
      <c r="I142" s="31"/>
    </row>
    <row r="143" spans="1:9" ht="24" customHeight="1" x14ac:dyDescent="0.4">
      <c r="A143" s="28" t="s">
        <v>669</v>
      </c>
      <c r="B143" s="29" t="s">
        <v>670</v>
      </c>
      <c r="C143" s="29" t="s">
        <v>17</v>
      </c>
      <c r="D143" s="29" t="s">
        <v>5</v>
      </c>
      <c r="E143" s="32">
        <v>957</v>
      </c>
      <c r="F143" s="48" t="s">
        <v>403</v>
      </c>
      <c r="G143" s="45" t="s">
        <v>1285</v>
      </c>
      <c r="H143" s="9"/>
      <c r="I143" s="31"/>
    </row>
    <row r="144" spans="1:9" ht="24" customHeight="1" x14ac:dyDescent="0.4">
      <c r="A144" s="28" t="s">
        <v>672</v>
      </c>
      <c r="B144" s="29" t="s">
        <v>673</v>
      </c>
      <c r="C144" s="29" t="s">
        <v>17</v>
      </c>
      <c r="D144" s="29" t="s">
        <v>5</v>
      </c>
      <c r="E144" s="32">
        <v>959</v>
      </c>
      <c r="F144" s="48" t="s">
        <v>403</v>
      </c>
      <c r="G144" s="45" t="s">
        <v>1280</v>
      </c>
      <c r="H144" s="9"/>
      <c r="I144" s="31"/>
    </row>
    <row r="145" spans="1:9" ht="24" customHeight="1" x14ac:dyDescent="0.4">
      <c r="A145" s="28" t="s">
        <v>675</v>
      </c>
      <c r="B145" s="29" t="s">
        <v>676</v>
      </c>
      <c r="C145" s="29" t="s">
        <v>17</v>
      </c>
      <c r="D145" s="29" t="s">
        <v>6</v>
      </c>
      <c r="E145" s="33">
        <v>9360</v>
      </c>
      <c r="F145" s="48" t="s">
        <v>403</v>
      </c>
      <c r="G145" s="45" t="s">
        <v>1281</v>
      </c>
      <c r="H145" s="9"/>
      <c r="I145" s="31"/>
    </row>
    <row r="146" spans="1:9" ht="24" customHeight="1" x14ac:dyDescent="0.4">
      <c r="A146" s="28" t="s">
        <v>678</v>
      </c>
      <c r="B146" s="29" t="s">
        <v>679</v>
      </c>
      <c r="C146" s="29" t="s">
        <v>17</v>
      </c>
      <c r="D146" s="29" t="s">
        <v>6</v>
      </c>
      <c r="E146" s="33">
        <v>9370</v>
      </c>
      <c r="F146" s="48" t="s">
        <v>403</v>
      </c>
      <c r="G146" s="45" t="s">
        <v>1282</v>
      </c>
      <c r="H146" s="9"/>
      <c r="I146" s="31"/>
    </row>
    <row r="147" spans="1:9" ht="24" customHeight="1" x14ac:dyDescent="0.4">
      <c r="A147" s="28"/>
      <c r="B147" s="29"/>
      <c r="C147" s="29"/>
      <c r="D147" s="29"/>
      <c r="E147" s="45"/>
      <c r="F147" s="50"/>
      <c r="G147" s="45"/>
      <c r="H147" s="51"/>
      <c r="I147" s="31"/>
    </row>
    <row r="148" spans="1:9" ht="24" customHeight="1" x14ac:dyDescent="0.4">
      <c r="A148" s="28"/>
      <c r="B148" s="29"/>
      <c r="C148" s="29"/>
      <c r="D148" s="29"/>
      <c r="E148" s="45"/>
      <c r="F148" s="50"/>
      <c r="G148" s="45"/>
      <c r="H148" s="51"/>
      <c r="I148" s="31"/>
    </row>
    <row r="149" spans="1:9" ht="24" customHeight="1" x14ac:dyDescent="0.4">
      <c r="A149" s="28" t="s">
        <v>687</v>
      </c>
      <c r="B149" s="29" t="s">
        <v>1288</v>
      </c>
      <c r="C149" s="29" t="s">
        <v>18</v>
      </c>
      <c r="D149" s="29" t="s">
        <v>7</v>
      </c>
      <c r="E149" s="30">
        <v>806</v>
      </c>
      <c r="F149" s="48" t="s">
        <v>403</v>
      </c>
      <c r="G149" s="45" t="s">
        <v>1287</v>
      </c>
      <c r="H149" s="9"/>
      <c r="I149" s="31"/>
    </row>
    <row r="150" spans="1:9" ht="24" customHeight="1" x14ac:dyDescent="0.4">
      <c r="A150" s="28" t="s">
        <v>689</v>
      </c>
      <c r="B150" s="29" t="s">
        <v>690</v>
      </c>
      <c r="C150" s="29" t="s">
        <v>18</v>
      </c>
      <c r="D150" s="29" t="s">
        <v>7</v>
      </c>
      <c r="E150" s="30">
        <v>807</v>
      </c>
      <c r="F150" s="48" t="s">
        <v>403</v>
      </c>
      <c r="G150" s="45" t="s">
        <v>1289</v>
      </c>
      <c r="H150" s="9"/>
      <c r="I150" s="31"/>
    </row>
    <row r="151" spans="1:9" ht="24" customHeight="1" x14ac:dyDescent="0.4">
      <c r="A151" s="28" t="s">
        <v>692</v>
      </c>
      <c r="B151" s="29" t="s">
        <v>693</v>
      </c>
      <c r="C151" s="29" t="s">
        <v>18</v>
      </c>
      <c r="D151" s="29" t="s">
        <v>7</v>
      </c>
      <c r="E151" s="30">
        <v>808</v>
      </c>
      <c r="F151" s="48" t="s">
        <v>403</v>
      </c>
      <c r="G151" s="45" t="s">
        <v>1290</v>
      </c>
      <c r="H151" s="9"/>
      <c r="I151" s="31"/>
    </row>
    <row r="152" spans="1:9" ht="24" customHeight="1" x14ac:dyDescent="0.4">
      <c r="A152" s="28" t="s">
        <v>695</v>
      </c>
      <c r="B152" s="29" t="s">
        <v>696</v>
      </c>
      <c r="C152" s="29" t="s">
        <v>18</v>
      </c>
      <c r="D152" s="29" t="s">
        <v>8</v>
      </c>
      <c r="E152" s="38">
        <v>868</v>
      </c>
      <c r="F152" s="48" t="s">
        <v>403</v>
      </c>
      <c r="G152" s="45" t="s">
        <v>1291</v>
      </c>
      <c r="H152" s="9"/>
      <c r="I152" s="31"/>
    </row>
    <row r="153" spans="1:9" ht="24" customHeight="1" x14ac:dyDescent="0.4">
      <c r="A153" s="28" t="s">
        <v>698</v>
      </c>
      <c r="B153" s="29" t="s">
        <v>699</v>
      </c>
      <c r="C153" s="29" t="s">
        <v>18</v>
      </c>
      <c r="D153" s="29" t="s">
        <v>4</v>
      </c>
      <c r="E153" s="35">
        <v>1032</v>
      </c>
      <c r="F153" s="48" t="s">
        <v>403</v>
      </c>
      <c r="G153" s="45" t="s">
        <v>1286</v>
      </c>
      <c r="H153" s="9"/>
      <c r="I153" s="31"/>
    </row>
    <row r="154" spans="1:9" ht="24" customHeight="1" x14ac:dyDescent="0.4">
      <c r="A154" s="28"/>
      <c r="B154" s="29"/>
      <c r="C154" s="29"/>
      <c r="D154" s="29"/>
      <c r="E154" s="45"/>
      <c r="F154" s="50"/>
      <c r="G154" s="45"/>
      <c r="H154" s="51"/>
      <c r="I154" s="31"/>
    </row>
    <row r="155" spans="1:9" ht="24" customHeight="1" x14ac:dyDescent="0.4">
      <c r="A155" s="28"/>
      <c r="B155" s="29"/>
      <c r="C155" s="29"/>
      <c r="D155" s="29"/>
      <c r="E155" s="45"/>
      <c r="F155" s="50"/>
      <c r="G155" s="45"/>
      <c r="H155" s="51"/>
      <c r="I155" s="31"/>
    </row>
    <row r="156" spans="1:9" ht="24" customHeight="1" x14ac:dyDescent="0.4">
      <c r="A156" s="28" t="s">
        <v>713</v>
      </c>
      <c r="B156" s="29" t="s">
        <v>714</v>
      </c>
      <c r="C156" s="29" t="s">
        <v>19</v>
      </c>
      <c r="D156" s="29" t="s">
        <v>5</v>
      </c>
      <c r="E156" s="32">
        <v>918</v>
      </c>
      <c r="F156" s="48" t="s">
        <v>407</v>
      </c>
      <c r="G156" s="44"/>
      <c r="H156" s="9"/>
      <c r="I156" s="31"/>
    </row>
    <row r="157" spans="1:9" ht="24" customHeight="1" x14ac:dyDescent="0.4">
      <c r="A157" s="28" t="s">
        <v>542</v>
      </c>
      <c r="B157" s="29" t="s">
        <v>701</v>
      </c>
      <c r="C157" s="29" t="s">
        <v>19</v>
      </c>
      <c r="D157" s="29" t="s">
        <v>3</v>
      </c>
      <c r="E157" s="34">
        <v>10162</v>
      </c>
      <c r="F157" s="48" t="s">
        <v>403</v>
      </c>
      <c r="G157" s="45" t="s">
        <v>619</v>
      </c>
      <c r="H157" s="9"/>
      <c r="I157" s="31"/>
    </row>
    <row r="158" spans="1:9" ht="24" customHeight="1" x14ac:dyDescent="0.4">
      <c r="A158" s="28" t="s">
        <v>586</v>
      </c>
      <c r="B158" s="29" t="s">
        <v>703</v>
      </c>
      <c r="C158" s="29" t="s">
        <v>19</v>
      </c>
      <c r="D158" s="29" t="s">
        <v>3</v>
      </c>
      <c r="E158" s="34">
        <v>10163</v>
      </c>
      <c r="F158" s="48" t="s">
        <v>403</v>
      </c>
      <c r="G158" s="45" t="s">
        <v>620</v>
      </c>
      <c r="H158" s="9"/>
      <c r="I158" s="31"/>
    </row>
    <row r="159" spans="1:9" ht="24" customHeight="1" x14ac:dyDescent="0.4">
      <c r="A159" s="28" t="s">
        <v>705</v>
      </c>
      <c r="B159" s="29" t="s">
        <v>706</v>
      </c>
      <c r="C159" s="29" t="s">
        <v>19</v>
      </c>
      <c r="D159" s="29" t="s">
        <v>3</v>
      </c>
      <c r="E159" s="34">
        <v>10164</v>
      </c>
      <c r="F159" s="48" t="s">
        <v>403</v>
      </c>
      <c r="G159" s="45" t="s">
        <v>622</v>
      </c>
      <c r="H159" s="9"/>
      <c r="I159" s="31"/>
    </row>
    <row r="160" spans="1:9" ht="24" customHeight="1" x14ac:dyDescent="0.4">
      <c r="A160" s="28" t="s">
        <v>708</v>
      </c>
      <c r="B160" s="29" t="s">
        <v>709</v>
      </c>
      <c r="C160" s="29" t="s">
        <v>19</v>
      </c>
      <c r="D160" s="29" t="s">
        <v>1</v>
      </c>
      <c r="E160" s="36">
        <v>12036</v>
      </c>
      <c r="F160" s="48" t="s">
        <v>407</v>
      </c>
      <c r="G160" s="44"/>
      <c r="H160" s="9"/>
      <c r="I160" s="31"/>
    </row>
    <row r="161" spans="1:9" ht="24" customHeight="1" x14ac:dyDescent="0.4">
      <c r="A161" s="28" t="s">
        <v>582</v>
      </c>
      <c r="B161" s="29" t="s">
        <v>711</v>
      </c>
      <c r="C161" s="29" t="s">
        <v>19</v>
      </c>
      <c r="D161" s="29" t="s">
        <v>1</v>
      </c>
      <c r="E161" s="36">
        <v>12037</v>
      </c>
      <c r="F161" s="48" t="s">
        <v>403</v>
      </c>
      <c r="G161" s="45" t="s">
        <v>623</v>
      </c>
      <c r="H161" s="9"/>
      <c r="I161" s="31"/>
    </row>
    <row r="162" spans="1:9" ht="24" customHeight="1" x14ac:dyDescent="0.4">
      <c r="A162" s="28"/>
      <c r="B162" s="29"/>
      <c r="C162" s="29"/>
      <c r="D162" s="29"/>
      <c r="E162" s="52"/>
      <c r="F162" s="50"/>
      <c r="G162" s="45"/>
      <c r="H162" s="51"/>
      <c r="I162" s="31"/>
    </row>
    <row r="163" spans="1:9" ht="24" customHeight="1" x14ac:dyDescent="0.4">
      <c r="A163" s="28" t="s">
        <v>578</v>
      </c>
      <c r="B163" s="29" t="s">
        <v>1292</v>
      </c>
      <c r="C163" s="29" t="s">
        <v>20</v>
      </c>
      <c r="D163" s="29" t="s">
        <v>7</v>
      </c>
      <c r="E163" s="30">
        <v>809</v>
      </c>
      <c r="F163" s="48" t="s">
        <v>403</v>
      </c>
      <c r="G163" s="45" t="s">
        <v>677</v>
      </c>
      <c r="H163" s="9"/>
      <c r="I163" s="31"/>
    </row>
    <row r="164" spans="1:9" ht="24" customHeight="1" x14ac:dyDescent="0.4">
      <c r="A164" s="28" t="s">
        <v>717</v>
      </c>
      <c r="B164" s="29" t="s">
        <v>718</v>
      </c>
      <c r="C164" s="29" t="s">
        <v>20</v>
      </c>
      <c r="D164" s="29" t="s">
        <v>7</v>
      </c>
      <c r="E164" s="30">
        <v>810</v>
      </c>
      <c r="F164" s="48" t="s">
        <v>403</v>
      </c>
      <c r="G164" s="45" t="s">
        <v>680</v>
      </c>
      <c r="H164" s="9"/>
      <c r="I164" s="31"/>
    </row>
    <row r="165" spans="1:9" ht="24" customHeight="1" x14ac:dyDescent="0.4">
      <c r="A165" s="28" t="s">
        <v>503</v>
      </c>
      <c r="B165" s="29" t="s">
        <v>720</v>
      </c>
      <c r="C165" s="29" t="s">
        <v>20</v>
      </c>
      <c r="D165" s="29" t="s">
        <v>7</v>
      </c>
      <c r="E165" s="30">
        <v>811</v>
      </c>
      <c r="F165" s="48" t="s">
        <v>403</v>
      </c>
      <c r="G165" s="45" t="s">
        <v>697</v>
      </c>
      <c r="H165" s="9"/>
      <c r="I165" s="31"/>
    </row>
    <row r="166" spans="1:9" ht="24" customHeight="1" x14ac:dyDescent="0.4">
      <c r="A166" s="28" t="s">
        <v>722</v>
      </c>
      <c r="B166" s="29" t="s">
        <v>723</v>
      </c>
      <c r="C166" s="29" t="s">
        <v>20</v>
      </c>
      <c r="D166" s="29" t="s">
        <v>7</v>
      </c>
      <c r="E166" s="30">
        <v>812</v>
      </c>
      <c r="F166" s="48" t="s">
        <v>403</v>
      </c>
      <c r="G166" s="45" t="s">
        <v>683</v>
      </c>
      <c r="H166" s="9"/>
      <c r="I166" s="31"/>
    </row>
    <row r="167" spans="1:9" ht="24" customHeight="1" x14ac:dyDescent="0.4">
      <c r="A167" s="28" t="s">
        <v>745</v>
      </c>
      <c r="B167" s="29" t="s">
        <v>775</v>
      </c>
      <c r="C167" s="29" t="s">
        <v>20</v>
      </c>
      <c r="D167" s="29" t="s">
        <v>5</v>
      </c>
      <c r="E167" s="32">
        <v>919</v>
      </c>
      <c r="F167" s="48" t="s">
        <v>403</v>
      </c>
      <c r="G167" s="45" t="s">
        <v>686</v>
      </c>
      <c r="H167" s="9"/>
      <c r="I167" s="31"/>
    </row>
    <row r="168" spans="1:9" ht="24" customHeight="1" x14ac:dyDescent="0.4">
      <c r="A168" s="28" t="s">
        <v>747</v>
      </c>
      <c r="B168" s="29" t="s">
        <v>748</v>
      </c>
      <c r="C168" s="29" t="s">
        <v>20</v>
      </c>
      <c r="D168" s="29" t="s">
        <v>5</v>
      </c>
      <c r="E168" s="32">
        <v>920</v>
      </c>
      <c r="F168" s="48" t="s">
        <v>403</v>
      </c>
      <c r="G168" s="45" t="s">
        <v>688</v>
      </c>
      <c r="H168" s="9"/>
      <c r="I168" s="31"/>
    </row>
    <row r="169" spans="1:9" ht="24" customHeight="1" x14ac:dyDescent="0.4">
      <c r="A169" s="28" t="s">
        <v>505</v>
      </c>
      <c r="B169" s="29" t="s">
        <v>600</v>
      </c>
      <c r="C169" s="29" t="s">
        <v>20</v>
      </c>
      <c r="D169" s="29" t="s">
        <v>5</v>
      </c>
      <c r="E169" s="32">
        <v>921</v>
      </c>
      <c r="F169" s="48" t="s">
        <v>403</v>
      </c>
      <c r="G169" s="45" t="s">
        <v>691</v>
      </c>
      <c r="H169" s="9"/>
      <c r="I169" s="31"/>
    </row>
    <row r="170" spans="1:9" ht="24" customHeight="1" x14ac:dyDescent="0.4">
      <c r="A170" s="28" t="s">
        <v>497</v>
      </c>
      <c r="B170" s="29" t="s">
        <v>751</v>
      </c>
      <c r="C170" s="29" t="s">
        <v>20</v>
      </c>
      <c r="D170" s="29" t="s">
        <v>5</v>
      </c>
      <c r="E170" s="32">
        <v>922</v>
      </c>
      <c r="F170" s="48" t="s">
        <v>403</v>
      </c>
      <c r="G170" s="45" t="s">
        <v>694</v>
      </c>
      <c r="H170" s="9"/>
      <c r="I170" s="31"/>
    </row>
    <row r="171" spans="1:9" ht="24" customHeight="1" x14ac:dyDescent="0.4">
      <c r="A171" s="28" t="s">
        <v>725</v>
      </c>
      <c r="B171" s="29" t="s">
        <v>726</v>
      </c>
      <c r="C171" s="29" t="s">
        <v>20</v>
      </c>
      <c r="D171" s="29" t="s">
        <v>3</v>
      </c>
      <c r="E171" s="34">
        <v>10165</v>
      </c>
      <c r="F171" s="48" t="s">
        <v>403</v>
      </c>
      <c r="G171" s="45" t="s">
        <v>632</v>
      </c>
      <c r="H171" s="9"/>
      <c r="I171" s="31"/>
    </row>
    <row r="172" spans="1:9" ht="24" customHeight="1" x14ac:dyDescent="0.4">
      <c r="A172" s="28" t="s">
        <v>728</v>
      </c>
      <c r="B172" s="29" t="s">
        <v>729</v>
      </c>
      <c r="C172" s="29" t="s">
        <v>20</v>
      </c>
      <c r="D172" s="29" t="s">
        <v>3</v>
      </c>
      <c r="E172" s="34">
        <v>10166</v>
      </c>
      <c r="F172" s="48" t="s">
        <v>403</v>
      </c>
      <c r="G172" s="45" t="s">
        <v>635</v>
      </c>
      <c r="H172" s="9"/>
      <c r="I172" s="31"/>
    </row>
    <row r="173" spans="1:9" ht="24" customHeight="1" x14ac:dyDescent="0.4">
      <c r="A173" s="28" t="s">
        <v>453</v>
      </c>
      <c r="B173" s="29" t="s">
        <v>731</v>
      </c>
      <c r="C173" s="29" t="s">
        <v>20</v>
      </c>
      <c r="D173" s="29" t="s">
        <v>3</v>
      </c>
      <c r="E173" s="34">
        <v>10167</v>
      </c>
      <c r="F173" s="48" t="s">
        <v>403</v>
      </c>
      <c r="G173" s="45" t="s">
        <v>638</v>
      </c>
      <c r="H173" s="9"/>
      <c r="I173" s="31"/>
    </row>
    <row r="174" spans="1:9" ht="24" customHeight="1" x14ac:dyDescent="0.4">
      <c r="A174" s="28" t="s">
        <v>733</v>
      </c>
      <c r="B174" s="29" t="s">
        <v>734</v>
      </c>
      <c r="C174" s="29" t="s">
        <v>20</v>
      </c>
      <c r="D174" s="29" t="s">
        <v>3</v>
      </c>
      <c r="E174" s="34">
        <v>10168</v>
      </c>
      <c r="F174" s="48" t="s">
        <v>403</v>
      </c>
      <c r="G174" s="45" t="s">
        <v>641</v>
      </c>
      <c r="H174" s="9"/>
      <c r="I174" s="31"/>
    </row>
    <row r="175" spans="1:9" ht="24" customHeight="1" x14ac:dyDescent="0.4">
      <c r="A175" s="28" t="s">
        <v>584</v>
      </c>
      <c r="B175" s="29" t="s">
        <v>736</v>
      </c>
      <c r="C175" s="29" t="s">
        <v>20</v>
      </c>
      <c r="D175" s="29" t="s">
        <v>3</v>
      </c>
      <c r="E175" s="34">
        <v>10169</v>
      </c>
      <c r="F175" s="48" t="s">
        <v>403</v>
      </c>
      <c r="G175" s="45" t="s">
        <v>644</v>
      </c>
      <c r="H175" s="9"/>
      <c r="I175" s="31"/>
    </row>
    <row r="176" spans="1:9" ht="24" customHeight="1" x14ac:dyDescent="0.4">
      <c r="A176" s="28" t="s">
        <v>738</v>
      </c>
      <c r="B176" s="29" t="s">
        <v>739</v>
      </c>
      <c r="C176" s="29" t="s">
        <v>20</v>
      </c>
      <c r="D176" s="29" t="s">
        <v>3</v>
      </c>
      <c r="E176" s="34">
        <v>10170</v>
      </c>
      <c r="F176" s="48" t="s">
        <v>403</v>
      </c>
      <c r="G176" s="45" t="s">
        <v>646</v>
      </c>
      <c r="H176" s="9"/>
      <c r="I176" s="31"/>
    </row>
    <row r="177" spans="1:9" ht="24" customHeight="1" x14ac:dyDescent="0.4">
      <c r="A177" s="28" t="s">
        <v>725</v>
      </c>
      <c r="B177" s="29" t="s">
        <v>741</v>
      </c>
      <c r="C177" s="29" t="s">
        <v>20</v>
      </c>
      <c r="D177" s="29" t="s">
        <v>3</v>
      </c>
      <c r="E177" s="34">
        <v>10171</v>
      </c>
      <c r="F177" s="48" t="s">
        <v>403</v>
      </c>
      <c r="G177" s="45" t="s">
        <v>649</v>
      </c>
      <c r="H177" s="9"/>
      <c r="I177" s="31"/>
    </row>
    <row r="178" spans="1:9" ht="24" customHeight="1" x14ac:dyDescent="0.4">
      <c r="A178" s="28" t="s">
        <v>725</v>
      </c>
      <c r="B178" s="29" t="s">
        <v>743</v>
      </c>
      <c r="C178" s="29" t="s">
        <v>20</v>
      </c>
      <c r="D178" s="29" t="s">
        <v>3</v>
      </c>
      <c r="E178" s="34">
        <v>10203</v>
      </c>
      <c r="F178" s="48" t="s">
        <v>403</v>
      </c>
      <c r="G178" s="45" t="s">
        <v>651</v>
      </c>
      <c r="H178" s="9"/>
      <c r="I178" s="31"/>
    </row>
    <row r="179" spans="1:9" ht="24" customHeight="1" x14ac:dyDescent="0.4">
      <c r="A179" s="28" t="s">
        <v>625</v>
      </c>
      <c r="B179" s="29" t="s">
        <v>753</v>
      </c>
      <c r="C179" s="29" t="s">
        <v>20</v>
      </c>
      <c r="D179" s="29" t="s">
        <v>1</v>
      </c>
      <c r="E179" s="36">
        <v>12038</v>
      </c>
      <c r="F179" s="48" t="s">
        <v>407</v>
      </c>
      <c r="G179" s="44"/>
      <c r="H179" s="9"/>
      <c r="I179" s="31"/>
    </row>
    <row r="180" spans="1:9" ht="24" customHeight="1" x14ac:dyDescent="0.4">
      <c r="A180" s="28" t="s">
        <v>608</v>
      </c>
      <c r="B180" s="29" t="s">
        <v>755</v>
      </c>
      <c r="C180" s="29" t="s">
        <v>20</v>
      </c>
      <c r="D180" s="29" t="s">
        <v>1</v>
      </c>
      <c r="E180" s="36">
        <v>12039</v>
      </c>
      <c r="F180" s="48" t="s">
        <v>403</v>
      </c>
      <c r="G180" s="45" t="s">
        <v>654</v>
      </c>
      <c r="H180" s="9"/>
      <c r="I180" s="31"/>
    </row>
    <row r="181" spans="1:9" ht="24" customHeight="1" x14ac:dyDescent="0.4">
      <c r="A181" s="28" t="s">
        <v>780</v>
      </c>
      <c r="B181" s="29" t="s">
        <v>781</v>
      </c>
      <c r="C181" s="29" t="s">
        <v>20</v>
      </c>
      <c r="D181" s="29" t="s">
        <v>1</v>
      </c>
      <c r="E181" s="36">
        <v>12040</v>
      </c>
      <c r="F181" s="48" t="s">
        <v>407</v>
      </c>
      <c r="G181" s="44"/>
      <c r="H181" s="9"/>
      <c r="I181" s="31"/>
    </row>
    <row r="182" spans="1:9" ht="24" customHeight="1" x14ac:dyDescent="0.4">
      <c r="A182" s="28" t="s">
        <v>461</v>
      </c>
      <c r="B182" s="29" t="s">
        <v>757</v>
      </c>
      <c r="C182" s="29" t="s">
        <v>20</v>
      </c>
      <c r="D182" s="29" t="s">
        <v>1</v>
      </c>
      <c r="E182" s="36">
        <v>12041</v>
      </c>
      <c r="F182" s="48" t="s">
        <v>403</v>
      </c>
      <c r="G182" s="45" t="s">
        <v>657</v>
      </c>
      <c r="H182" s="9"/>
      <c r="I182" s="31"/>
    </row>
    <row r="183" spans="1:9" ht="24" customHeight="1" x14ac:dyDescent="0.4">
      <c r="A183" s="28" t="s">
        <v>759</v>
      </c>
      <c r="B183" s="29" t="s">
        <v>760</v>
      </c>
      <c r="C183" s="29" t="s">
        <v>20</v>
      </c>
      <c r="D183" s="29" t="s">
        <v>1</v>
      </c>
      <c r="E183" s="36">
        <v>12042</v>
      </c>
      <c r="F183" s="48" t="s">
        <v>403</v>
      </c>
      <c r="G183" s="45" t="s">
        <v>674</v>
      </c>
      <c r="H183" s="9"/>
      <c r="I183" s="31"/>
    </row>
    <row r="184" spans="1:9" ht="24" customHeight="1" x14ac:dyDescent="0.4">
      <c r="A184" s="28" t="s">
        <v>762</v>
      </c>
      <c r="B184" s="29" t="s">
        <v>763</v>
      </c>
      <c r="C184" s="29" t="s">
        <v>20</v>
      </c>
      <c r="D184" s="29" t="s">
        <v>1</v>
      </c>
      <c r="E184" s="36">
        <v>12043</v>
      </c>
      <c r="F184" s="48" t="s">
        <v>403</v>
      </c>
      <c r="G184" s="45" t="s">
        <v>659</v>
      </c>
      <c r="H184" s="9"/>
      <c r="I184" s="31"/>
    </row>
    <row r="185" spans="1:9" ht="24" customHeight="1" x14ac:dyDescent="0.4">
      <c r="A185" s="28" t="s">
        <v>765</v>
      </c>
      <c r="B185" s="29" t="s">
        <v>766</v>
      </c>
      <c r="C185" s="29" t="s">
        <v>20</v>
      </c>
      <c r="D185" s="29" t="s">
        <v>1</v>
      </c>
      <c r="E185" s="36">
        <v>12044</v>
      </c>
      <c r="F185" s="48" t="s">
        <v>403</v>
      </c>
      <c r="G185" s="45" t="s">
        <v>662</v>
      </c>
      <c r="H185" s="9"/>
      <c r="I185" s="31"/>
    </row>
    <row r="186" spans="1:9" ht="24" customHeight="1" x14ac:dyDescent="0.4">
      <c r="A186" s="28" t="s">
        <v>783</v>
      </c>
      <c r="B186" s="29" t="s">
        <v>784</v>
      </c>
      <c r="C186" s="29" t="s">
        <v>20</v>
      </c>
      <c r="D186" s="29" t="s">
        <v>1</v>
      </c>
      <c r="E186" s="36">
        <v>12045</v>
      </c>
      <c r="F186" s="48" t="s">
        <v>407</v>
      </c>
      <c r="G186" s="44"/>
      <c r="H186" s="9"/>
      <c r="I186" s="31"/>
    </row>
    <row r="187" spans="1:9" ht="24" customHeight="1" x14ac:dyDescent="0.4">
      <c r="A187" s="28" t="s">
        <v>768</v>
      </c>
      <c r="B187" s="29" t="s">
        <v>769</v>
      </c>
      <c r="C187" s="29" t="s">
        <v>20</v>
      </c>
      <c r="D187" s="29" t="s">
        <v>1</v>
      </c>
      <c r="E187" s="36">
        <v>12046</v>
      </c>
      <c r="F187" s="48" t="s">
        <v>403</v>
      </c>
      <c r="G187" s="45" t="s">
        <v>665</v>
      </c>
      <c r="H187" s="9"/>
      <c r="I187" s="31"/>
    </row>
    <row r="188" spans="1:9" ht="24" customHeight="1" x14ac:dyDescent="0.4">
      <c r="A188" s="28" t="s">
        <v>453</v>
      </c>
      <c r="B188" s="29" t="s">
        <v>771</v>
      </c>
      <c r="C188" s="29" t="s">
        <v>20</v>
      </c>
      <c r="D188" s="29" t="s">
        <v>1</v>
      </c>
      <c r="E188" s="36">
        <v>12047</v>
      </c>
      <c r="F188" s="48" t="s">
        <v>403</v>
      </c>
      <c r="G188" s="45" t="s">
        <v>668</v>
      </c>
      <c r="H188" s="9"/>
      <c r="I188" s="31"/>
    </row>
    <row r="189" spans="1:9" ht="24" customHeight="1" x14ac:dyDescent="0.4">
      <c r="A189" s="28" t="s">
        <v>470</v>
      </c>
      <c r="B189" s="29" t="s">
        <v>456</v>
      </c>
      <c r="C189" s="29" t="s">
        <v>20</v>
      </c>
      <c r="D189" s="29" t="s">
        <v>1</v>
      </c>
      <c r="E189" s="36">
        <v>12048</v>
      </c>
      <c r="F189" s="48" t="s">
        <v>403</v>
      </c>
      <c r="G189" s="45" t="s">
        <v>671</v>
      </c>
      <c r="H189" s="9"/>
      <c r="I189" s="31"/>
    </row>
    <row r="190" spans="1:9" ht="24" customHeight="1" x14ac:dyDescent="0.4">
      <c r="A190" s="28" t="s">
        <v>774</v>
      </c>
      <c r="B190" s="29" t="s">
        <v>775</v>
      </c>
      <c r="C190" s="29" t="s">
        <v>20</v>
      </c>
      <c r="D190" s="29" t="s">
        <v>2</v>
      </c>
      <c r="E190" s="37">
        <v>1235</v>
      </c>
      <c r="F190" s="48" t="s">
        <v>403</v>
      </c>
      <c r="G190" s="45" t="s">
        <v>626</v>
      </c>
      <c r="H190" s="9"/>
      <c r="I190" s="31"/>
    </row>
    <row r="191" spans="1:9" ht="24" customHeight="1" x14ac:dyDescent="0.4">
      <c r="A191" s="28" t="s">
        <v>777</v>
      </c>
      <c r="B191" s="29" t="s">
        <v>778</v>
      </c>
      <c r="C191" s="29" t="s">
        <v>20</v>
      </c>
      <c r="D191" s="29" t="s">
        <v>2</v>
      </c>
      <c r="E191" s="37">
        <v>1236</v>
      </c>
      <c r="F191" s="48" t="s">
        <v>403</v>
      </c>
      <c r="G191" s="45" t="s">
        <v>629</v>
      </c>
      <c r="H191" s="9"/>
      <c r="I191" s="31"/>
    </row>
    <row r="192" spans="1:9" ht="24" customHeight="1" x14ac:dyDescent="0.4">
      <c r="A192" s="28"/>
      <c r="B192" s="29"/>
      <c r="C192" s="29"/>
      <c r="D192" s="29"/>
      <c r="E192" s="45"/>
      <c r="F192" s="50"/>
      <c r="G192" s="45"/>
      <c r="H192" s="51"/>
      <c r="I192" s="31"/>
    </row>
    <row r="193" spans="1:9" ht="24" customHeight="1" x14ac:dyDescent="0.4">
      <c r="A193" s="28"/>
      <c r="B193" s="29"/>
      <c r="C193" s="29"/>
      <c r="D193" s="29"/>
      <c r="E193" s="45"/>
      <c r="F193" s="50"/>
      <c r="G193" s="45"/>
      <c r="H193" s="51"/>
      <c r="I193" s="31"/>
    </row>
    <row r="194" spans="1:9" ht="24" customHeight="1" x14ac:dyDescent="0.4">
      <c r="A194" s="28" t="s">
        <v>828</v>
      </c>
      <c r="B194" s="29" t="s">
        <v>1294</v>
      </c>
      <c r="C194" s="29" t="s">
        <v>21</v>
      </c>
      <c r="D194" s="29" t="s">
        <v>3</v>
      </c>
      <c r="E194" s="34">
        <v>10172</v>
      </c>
      <c r="F194" s="48" t="s">
        <v>403</v>
      </c>
      <c r="G194" s="45" t="s">
        <v>727</v>
      </c>
      <c r="H194" s="9"/>
      <c r="I194" s="31"/>
    </row>
    <row r="195" spans="1:9" ht="24" customHeight="1" x14ac:dyDescent="0.4">
      <c r="A195" s="28" t="s">
        <v>580</v>
      </c>
      <c r="B195" s="29" t="s">
        <v>786</v>
      </c>
      <c r="C195" s="29" t="s">
        <v>21</v>
      </c>
      <c r="D195" s="29" t="s">
        <v>3</v>
      </c>
      <c r="E195" s="34">
        <v>10173</v>
      </c>
      <c r="F195" s="48" t="s">
        <v>403</v>
      </c>
      <c r="G195" s="45" t="s">
        <v>702</v>
      </c>
      <c r="H195" s="9"/>
      <c r="I195" s="31"/>
    </row>
    <row r="196" spans="1:9" ht="24" customHeight="1" x14ac:dyDescent="0.4">
      <c r="A196" s="28" t="s">
        <v>788</v>
      </c>
      <c r="B196" s="29" t="s">
        <v>789</v>
      </c>
      <c r="C196" s="29" t="s">
        <v>21</v>
      </c>
      <c r="D196" s="29" t="s">
        <v>3</v>
      </c>
      <c r="E196" s="34">
        <v>10174</v>
      </c>
      <c r="F196" s="48" t="s">
        <v>403</v>
      </c>
      <c r="G196" s="45" t="s">
        <v>704</v>
      </c>
      <c r="H196" s="9"/>
      <c r="I196" s="31"/>
    </row>
    <row r="197" spans="1:9" ht="24" customHeight="1" x14ac:dyDescent="0.4">
      <c r="A197" s="28" t="s">
        <v>836</v>
      </c>
      <c r="B197" s="29" t="s">
        <v>627</v>
      </c>
      <c r="C197" s="29" t="s">
        <v>21</v>
      </c>
      <c r="D197" s="29" t="s">
        <v>3</v>
      </c>
      <c r="E197" s="34">
        <v>10175</v>
      </c>
      <c r="F197" s="48" t="s">
        <v>407</v>
      </c>
      <c r="G197" s="44"/>
      <c r="H197" s="9"/>
      <c r="I197" s="31"/>
    </row>
    <row r="198" spans="1:9" ht="24" customHeight="1" x14ac:dyDescent="0.4">
      <c r="A198" s="28" t="s">
        <v>791</v>
      </c>
      <c r="B198" s="29" t="s">
        <v>792</v>
      </c>
      <c r="C198" s="29" t="s">
        <v>21</v>
      </c>
      <c r="D198" s="29" t="s">
        <v>3</v>
      </c>
      <c r="E198" s="34">
        <v>10176</v>
      </c>
      <c r="F198" s="48" t="s">
        <v>403</v>
      </c>
      <c r="G198" s="45" t="s">
        <v>707</v>
      </c>
      <c r="H198" s="9"/>
      <c r="I198" s="31"/>
    </row>
    <row r="199" spans="1:9" ht="24" customHeight="1" x14ac:dyDescent="0.4">
      <c r="A199" s="28" t="s">
        <v>794</v>
      </c>
      <c r="B199" s="29" t="s">
        <v>614</v>
      </c>
      <c r="C199" s="29" t="s">
        <v>21</v>
      </c>
      <c r="D199" s="29" t="s">
        <v>3</v>
      </c>
      <c r="E199" s="34">
        <v>10177</v>
      </c>
      <c r="F199" s="48" t="s">
        <v>403</v>
      </c>
      <c r="G199" s="45" t="s">
        <v>1293</v>
      </c>
      <c r="H199" s="9"/>
      <c r="I199" s="31"/>
    </row>
    <row r="200" spans="1:9" ht="24" customHeight="1" x14ac:dyDescent="0.4">
      <c r="A200" s="28" t="s">
        <v>796</v>
      </c>
      <c r="B200" s="29" t="s">
        <v>797</v>
      </c>
      <c r="C200" s="29" t="s">
        <v>21</v>
      </c>
      <c r="D200" s="29" t="s">
        <v>3</v>
      </c>
      <c r="E200" s="34">
        <v>10178</v>
      </c>
      <c r="F200" s="48" t="s">
        <v>403</v>
      </c>
      <c r="G200" s="45" t="s">
        <v>710</v>
      </c>
      <c r="H200" s="9"/>
      <c r="I200" s="31"/>
    </row>
    <row r="201" spans="1:9" ht="24" customHeight="1" x14ac:dyDescent="0.4">
      <c r="A201" s="28" t="s">
        <v>799</v>
      </c>
      <c r="B201" s="29" t="s">
        <v>800</v>
      </c>
      <c r="C201" s="29" t="s">
        <v>21</v>
      </c>
      <c r="D201" s="29" t="s">
        <v>4</v>
      </c>
      <c r="E201" s="35">
        <v>1033</v>
      </c>
      <c r="F201" s="48" t="s">
        <v>403</v>
      </c>
      <c r="G201" s="45" t="s">
        <v>700</v>
      </c>
      <c r="H201" s="9"/>
      <c r="I201" s="31"/>
    </row>
    <row r="202" spans="1:9" ht="24" customHeight="1" x14ac:dyDescent="0.4">
      <c r="A202" s="28" t="s">
        <v>802</v>
      </c>
      <c r="B202" s="29" t="s">
        <v>618</v>
      </c>
      <c r="C202" s="29" t="s">
        <v>21</v>
      </c>
      <c r="D202" s="29" t="s">
        <v>4</v>
      </c>
      <c r="E202" s="35">
        <v>1034</v>
      </c>
      <c r="F202" s="48" t="s">
        <v>403</v>
      </c>
      <c r="G202" s="45" t="s">
        <v>721</v>
      </c>
      <c r="H202" s="9"/>
      <c r="I202" s="31"/>
    </row>
    <row r="203" spans="1:9" ht="24" customHeight="1" x14ac:dyDescent="0.4">
      <c r="A203" s="28" t="s">
        <v>804</v>
      </c>
      <c r="B203" s="29" t="s">
        <v>805</v>
      </c>
      <c r="C203" s="29" t="s">
        <v>21</v>
      </c>
      <c r="D203" s="29" t="s">
        <v>4</v>
      </c>
      <c r="E203" s="35">
        <v>1035</v>
      </c>
      <c r="F203" s="44" t="s">
        <v>403</v>
      </c>
      <c r="G203" s="44" t="s">
        <v>848</v>
      </c>
      <c r="H203" s="9"/>
      <c r="I203" s="31"/>
    </row>
    <row r="204" spans="1:9" ht="24" customHeight="1" x14ac:dyDescent="0.4">
      <c r="A204" s="28" t="s">
        <v>807</v>
      </c>
      <c r="B204" s="29" t="s">
        <v>808</v>
      </c>
      <c r="C204" s="29" t="s">
        <v>21</v>
      </c>
      <c r="D204" s="29" t="s">
        <v>1</v>
      </c>
      <c r="E204" s="36">
        <v>12049</v>
      </c>
      <c r="F204" s="48" t="s">
        <v>403</v>
      </c>
      <c r="G204" s="45" t="s">
        <v>712</v>
      </c>
      <c r="H204" s="9"/>
      <c r="I204" s="31"/>
    </row>
    <row r="205" spans="1:9" ht="24" customHeight="1" x14ac:dyDescent="0.4">
      <c r="A205" s="28" t="s">
        <v>810</v>
      </c>
      <c r="B205" s="29" t="s">
        <v>811</v>
      </c>
      <c r="C205" s="29" t="s">
        <v>21</v>
      </c>
      <c r="D205" s="29" t="s">
        <v>1</v>
      </c>
      <c r="E205" s="36">
        <v>12050</v>
      </c>
      <c r="F205" s="48" t="s">
        <v>403</v>
      </c>
      <c r="G205" s="45" t="s">
        <v>716</v>
      </c>
      <c r="H205" s="9"/>
      <c r="I205" s="31"/>
    </row>
    <row r="206" spans="1:9" ht="24" customHeight="1" x14ac:dyDescent="0.4">
      <c r="A206" s="28" t="s">
        <v>838</v>
      </c>
      <c r="B206" s="29" t="s">
        <v>514</v>
      </c>
      <c r="C206" s="29" t="s">
        <v>21</v>
      </c>
      <c r="D206" s="29" t="s">
        <v>1</v>
      </c>
      <c r="E206" s="36">
        <v>12051</v>
      </c>
      <c r="F206" s="48" t="s">
        <v>407</v>
      </c>
      <c r="G206" s="44"/>
      <c r="H206" s="9"/>
      <c r="I206" s="31"/>
    </row>
    <row r="207" spans="1:9" ht="24" customHeight="1" x14ac:dyDescent="0.4">
      <c r="A207" s="28" t="s">
        <v>813</v>
      </c>
      <c r="B207" s="29" t="s">
        <v>1295</v>
      </c>
      <c r="C207" s="29" t="s">
        <v>21</v>
      </c>
      <c r="D207" s="29" t="s">
        <v>1</v>
      </c>
      <c r="E207" s="36">
        <v>12052</v>
      </c>
      <c r="F207" s="48" t="s">
        <v>403</v>
      </c>
      <c r="G207" s="45" t="s">
        <v>730</v>
      </c>
      <c r="H207" s="9"/>
      <c r="I207" s="31"/>
    </row>
    <row r="208" spans="1:9" ht="24" customHeight="1" x14ac:dyDescent="0.4">
      <c r="A208" s="28" t="s">
        <v>616</v>
      </c>
      <c r="B208" s="29" t="s">
        <v>815</v>
      </c>
      <c r="C208" s="29" t="s">
        <v>21</v>
      </c>
      <c r="D208" s="29" t="s">
        <v>1</v>
      </c>
      <c r="E208" s="36">
        <v>12053</v>
      </c>
      <c r="F208" s="48" t="s">
        <v>403</v>
      </c>
      <c r="G208" s="45" t="s">
        <v>732</v>
      </c>
      <c r="H208" s="9"/>
      <c r="I208" s="31"/>
    </row>
    <row r="209" spans="1:9" ht="24" customHeight="1" x14ac:dyDescent="0.4">
      <c r="A209" s="28" t="s">
        <v>840</v>
      </c>
      <c r="B209" s="29" t="s">
        <v>841</v>
      </c>
      <c r="C209" s="29" t="s">
        <v>21</v>
      </c>
      <c r="D209" s="29" t="s">
        <v>1</v>
      </c>
      <c r="E209" s="36">
        <v>12054</v>
      </c>
      <c r="F209" s="48" t="s">
        <v>407</v>
      </c>
      <c r="G209" s="44"/>
      <c r="H209" s="9"/>
      <c r="I209" s="31"/>
    </row>
    <row r="210" spans="1:9" ht="24" customHeight="1" x14ac:dyDescent="0.4">
      <c r="A210" s="28" t="s">
        <v>817</v>
      </c>
      <c r="B210" s="29" t="s">
        <v>818</v>
      </c>
      <c r="C210" s="29" t="s">
        <v>21</v>
      </c>
      <c r="D210" s="29" t="s">
        <v>1</v>
      </c>
      <c r="E210" s="36">
        <v>12055</v>
      </c>
      <c r="F210" s="48" t="s">
        <v>403</v>
      </c>
      <c r="G210" s="45" t="s">
        <v>735</v>
      </c>
      <c r="H210" s="9"/>
      <c r="I210" s="31"/>
    </row>
    <row r="211" spans="1:9" ht="24" customHeight="1" x14ac:dyDescent="0.4">
      <c r="A211" s="28" t="s">
        <v>820</v>
      </c>
      <c r="B211" s="29" t="s">
        <v>821</v>
      </c>
      <c r="C211" s="29" t="s">
        <v>21</v>
      </c>
      <c r="D211" s="29" t="s">
        <v>1</v>
      </c>
      <c r="E211" s="36">
        <v>12056</v>
      </c>
      <c r="F211" s="48" t="s">
        <v>407</v>
      </c>
      <c r="G211" s="44"/>
      <c r="H211" s="9"/>
      <c r="I211" s="31"/>
    </row>
    <row r="212" spans="1:9" ht="24" customHeight="1" x14ac:dyDescent="0.4">
      <c r="A212" s="28" t="s">
        <v>765</v>
      </c>
      <c r="B212" s="29" t="s">
        <v>823</v>
      </c>
      <c r="C212" s="29" t="s">
        <v>21</v>
      </c>
      <c r="D212" s="29" t="s">
        <v>1</v>
      </c>
      <c r="E212" s="36">
        <v>12057</v>
      </c>
      <c r="F212" s="48" t="s">
        <v>403</v>
      </c>
      <c r="G212" s="45" t="s">
        <v>715</v>
      </c>
      <c r="H212" s="9"/>
      <c r="I212" s="31"/>
    </row>
    <row r="213" spans="1:9" ht="24" customHeight="1" x14ac:dyDescent="0.4">
      <c r="A213" s="28" t="s">
        <v>830</v>
      </c>
      <c r="B213" s="29" t="s">
        <v>831</v>
      </c>
      <c r="C213" s="29" t="s">
        <v>21</v>
      </c>
      <c r="D213" s="29" t="s">
        <v>1</v>
      </c>
      <c r="E213" s="36">
        <v>12058</v>
      </c>
      <c r="F213" s="48" t="s">
        <v>403</v>
      </c>
      <c r="G213" s="45" t="s">
        <v>737</v>
      </c>
      <c r="H213" s="9"/>
      <c r="I213" s="31"/>
    </row>
    <row r="214" spans="1:9" ht="24" customHeight="1" x14ac:dyDescent="0.4">
      <c r="A214" s="28" t="s">
        <v>833</v>
      </c>
      <c r="B214" s="29" t="s">
        <v>834</v>
      </c>
      <c r="C214" s="29" t="s">
        <v>21</v>
      </c>
      <c r="D214" s="29" t="s">
        <v>1</v>
      </c>
      <c r="E214" s="36">
        <v>12059</v>
      </c>
      <c r="F214" s="48" t="s">
        <v>403</v>
      </c>
      <c r="G214" s="45" t="s">
        <v>740</v>
      </c>
      <c r="H214" s="9"/>
      <c r="I214" s="31"/>
    </row>
    <row r="215" spans="1:9" ht="24" customHeight="1" x14ac:dyDescent="0.4">
      <c r="A215" s="28" t="s">
        <v>825</v>
      </c>
      <c r="B215" s="29" t="s">
        <v>826</v>
      </c>
      <c r="C215" s="29" t="s">
        <v>21</v>
      </c>
      <c r="D215" s="29" t="s">
        <v>1</v>
      </c>
      <c r="E215" s="36">
        <v>12060</v>
      </c>
      <c r="F215" s="48" t="s">
        <v>403</v>
      </c>
      <c r="G215" s="45" t="s">
        <v>719</v>
      </c>
      <c r="H215" s="9"/>
      <c r="I215" s="31"/>
    </row>
    <row r="216" spans="1:9" ht="24" customHeight="1" x14ac:dyDescent="0.4">
      <c r="A216" s="28" t="s">
        <v>843</v>
      </c>
      <c r="B216" s="29" t="s">
        <v>844</v>
      </c>
      <c r="C216" s="29" t="s">
        <v>21</v>
      </c>
      <c r="D216" s="29" t="s">
        <v>2</v>
      </c>
      <c r="E216" s="37">
        <v>1237</v>
      </c>
      <c r="F216" s="48" t="s">
        <v>407</v>
      </c>
      <c r="G216" s="44"/>
      <c r="H216" s="9"/>
      <c r="I216" s="31"/>
    </row>
    <row r="217" spans="1:9" ht="24" customHeight="1" x14ac:dyDescent="0.4">
      <c r="A217" s="28" t="s">
        <v>846</v>
      </c>
      <c r="B217" s="29" t="s">
        <v>847</v>
      </c>
      <c r="C217" s="29" t="s">
        <v>21</v>
      </c>
      <c r="D217" s="29" t="s">
        <v>2</v>
      </c>
      <c r="E217" s="37">
        <v>1238</v>
      </c>
      <c r="F217" s="48" t="s">
        <v>403</v>
      </c>
      <c r="G217" s="45" t="s">
        <v>724</v>
      </c>
      <c r="H217" s="9"/>
      <c r="I217" s="31"/>
    </row>
    <row r="218" spans="1:9" ht="24" customHeight="1" x14ac:dyDescent="0.4">
      <c r="A218" s="28"/>
      <c r="B218" s="29"/>
      <c r="C218" s="29"/>
      <c r="D218" s="29"/>
      <c r="E218" s="45"/>
      <c r="F218" s="50"/>
      <c r="G218" s="45"/>
      <c r="H218" s="51"/>
      <c r="I218" s="31"/>
    </row>
    <row r="219" spans="1:9" ht="24" customHeight="1" x14ac:dyDescent="0.4">
      <c r="A219" s="28" t="s">
        <v>849</v>
      </c>
      <c r="B219" s="29" t="s">
        <v>850</v>
      </c>
      <c r="C219" s="29" t="s">
        <v>22</v>
      </c>
      <c r="D219" s="29" t="s">
        <v>7</v>
      </c>
      <c r="E219" s="30">
        <v>813</v>
      </c>
      <c r="F219" s="48" t="s">
        <v>403</v>
      </c>
      <c r="G219" s="45" t="s">
        <v>744</v>
      </c>
      <c r="H219" s="9"/>
      <c r="I219" s="31"/>
    </row>
    <row r="220" spans="1:9" ht="24" customHeight="1" x14ac:dyDescent="0.4">
      <c r="A220" s="28" t="s">
        <v>851</v>
      </c>
      <c r="B220" s="29" t="s">
        <v>852</v>
      </c>
      <c r="C220" s="29" t="s">
        <v>22</v>
      </c>
      <c r="D220" s="29" t="s">
        <v>7</v>
      </c>
      <c r="E220" s="30">
        <v>814</v>
      </c>
      <c r="F220" s="48" t="s">
        <v>403</v>
      </c>
      <c r="G220" s="45" t="s">
        <v>742</v>
      </c>
      <c r="H220" s="9"/>
      <c r="I220" s="31"/>
    </row>
    <row r="221" spans="1:9" ht="24" customHeight="1" x14ac:dyDescent="0.4">
      <c r="A221" s="28" t="s">
        <v>542</v>
      </c>
      <c r="B221" s="29" t="s">
        <v>859</v>
      </c>
      <c r="C221" s="29" t="s">
        <v>22</v>
      </c>
      <c r="D221" s="29" t="s">
        <v>5</v>
      </c>
      <c r="E221" s="32">
        <v>923</v>
      </c>
      <c r="F221" s="48" t="s">
        <v>403</v>
      </c>
      <c r="G221" s="45" t="s">
        <v>746</v>
      </c>
      <c r="H221" s="9"/>
      <c r="I221" s="31"/>
    </row>
    <row r="222" spans="1:9" ht="24" customHeight="1" x14ac:dyDescent="0.4">
      <c r="A222" s="28" t="s">
        <v>615</v>
      </c>
      <c r="B222" s="29" t="s">
        <v>854</v>
      </c>
      <c r="C222" s="29" t="s">
        <v>22</v>
      </c>
      <c r="D222" s="29" t="s">
        <v>3</v>
      </c>
      <c r="E222" s="34">
        <v>10179</v>
      </c>
      <c r="F222" s="48" t="s">
        <v>407</v>
      </c>
      <c r="G222" s="44"/>
      <c r="H222" s="9"/>
      <c r="I222" s="31"/>
    </row>
    <row r="223" spans="1:9" ht="24" customHeight="1" x14ac:dyDescent="0.4">
      <c r="A223" s="28" t="s">
        <v>856</v>
      </c>
      <c r="B223" s="29" t="s">
        <v>857</v>
      </c>
      <c r="C223" s="29" t="s">
        <v>22</v>
      </c>
      <c r="D223" s="29" t="s">
        <v>3</v>
      </c>
      <c r="E223" s="34">
        <v>10180</v>
      </c>
      <c r="F223" s="48" t="s">
        <v>407</v>
      </c>
      <c r="G223" s="44"/>
      <c r="H223" s="9"/>
      <c r="I223" s="31"/>
    </row>
    <row r="224" spans="1:9" ht="24" customHeight="1" x14ac:dyDescent="0.4">
      <c r="A224" s="28"/>
      <c r="B224" s="29"/>
      <c r="C224" s="29"/>
      <c r="D224" s="29"/>
      <c r="E224" s="45"/>
      <c r="F224" s="50"/>
      <c r="G224" s="45"/>
      <c r="H224" s="51"/>
      <c r="I224" s="31"/>
    </row>
    <row r="225" spans="1:9" ht="24" customHeight="1" x14ac:dyDescent="0.4">
      <c r="A225" s="28" t="s">
        <v>861</v>
      </c>
      <c r="B225" s="29" t="s">
        <v>862</v>
      </c>
      <c r="C225" s="29" t="s">
        <v>23</v>
      </c>
      <c r="D225" s="29" t="s">
        <v>7</v>
      </c>
      <c r="E225" s="30">
        <v>815</v>
      </c>
      <c r="F225" s="48" t="s">
        <v>403</v>
      </c>
      <c r="G225" s="45" t="s">
        <v>798</v>
      </c>
      <c r="H225" s="9"/>
      <c r="I225" s="31"/>
    </row>
    <row r="226" spans="1:9" ht="24" customHeight="1" x14ac:dyDescent="0.4">
      <c r="A226" s="28" t="s">
        <v>864</v>
      </c>
      <c r="B226" s="29" t="s">
        <v>865</v>
      </c>
      <c r="C226" s="29" t="s">
        <v>23</v>
      </c>
      <c r="D226" s="29" t="s">
        <v>7</v>
      </c>
      <c r="E226" s="30">
        <v>816</v>
      </c>
      <c r="F226" s="48" t="s">
        <v>403</v>
      </c>
      <c r="G226" s="45" t="s">
        <v>801</v>
      </c>
      <c r="H226" s="9"/>
      <c r="I226" s="31"/>
    </row>
    <row r="227" spans="1:9" ht="24" customHeight="1" x14ac:dyDescent="0.4">
      <c r="A227" s="28" t="s">
        <v>571</v>
      </c>
      <c r="B227" s="29" t="s">
        <v>867</v>
      </c>
      <c r="C227" s="29" t="s">
        <v>23</v>
      </c>
      <c r="D227" s="29" t="s">
        <v>7</v>
      </c>
      <c r="E227" s="30">
        <v>817</v>
      </c>
      <c r="F227" s="48" t="s">
        <v>403</v>
      </c>
      <c r="G227" s="45" t="s">
        <v>803</v>
      </c>
      <c r="H227" s="9"/>
      <c r="I227" s="31"/>
    </row>
    <row r="228" spans="1:9" ht="24" customHeight="1" x14ac:dyDescent="0.4">
      <c r="A228" s="28" t="s">
        <v>869</v>
      </c>
      <c r="B228" s="29" t="s">
        <v>870</v>
      </c>
      <c r="C228" s="29" t="s">
        <v>23</v>
      </c>
      <c r="D228" s="29" t="s">
        <v>8</v>
      </c>
      <c r="E228" s="38">
        <v>862</v>
      </c>
      <c r="F228" s="48" t="s">
        <v>403</v>
      </c>
      <c r="G228" s="45" t="s">
        <v>806</v>
      </c>
      <c r="H228" s="9"/>
      <c r="I228" s="31"/>
    </row>
    <row r="229" spans="1:9" ht="24" customHeight="1" x14ac:dyDescent="0.4">
      <c r="A229" s="28" t="s">
        <v>934</v>
      </c>
      <c r="B229" s="29" t="s">
        <v>935</v>
      </c>
      <c r="C229" s="29" t="s">
        <v>23</v>
      </c>
      <c r="D229" s="29" t="s">
        <v>8</v>
      </c>
      <c r="E229" s="38">
        <v>863</v>
      </c>
      <c r="F229" s="48" t="s">
        <v>403</v>
      </c>
      <c r="G229" s="45" t="s">
        <v>814</v>
      </c>
      <c r="H229" s="9"/>
      <c r="I229" s="31"/>
    </row>
    <row r="230" spans="1:9" ht="24" customHeight="1" x14ac:dyDescent="0.4">
      <c r="A230" s="28" t="s">
        <v>937</v>
      </c>
      <c r="B230" s="29" t="s">
        <v>886</v>
      </c>
      <c r="C230" s="29" t="s">
        <v>23</v>
      </c>
      <c r="D230" s="29" t="s">
        <v>8</v>
      </c>
      <c r="E230" s="38">
        <v>864</v>
      </c>
      <c r="F230" s="48" t="s">
        <v>403</v>
      </c>
      <c r="G230" s="45" t="s">
        <v>816</v>
      </c>
      <c r="H230" s="9"/>
      <c r="I230" s="31"/>
    </row>
    <row r="231" spans="1:9" ht="24" customHeight="1" x14ac:dyDescent="0.4">
      <c r="A231" s="28" t="s">
        <v>896</v>
      </c>
      <c r="B231" s="29" t="s">
        <v>897</v>
      </c>
      <c r="C231" s="29" t="s">
        <v>23</v>
      </c>
      <c r="D231" s="29" t="s">
        <v>5</v>
      </c>
      <c r="E231" s="32">
        <v>924</v>
      </c>
      <c r="F231" s="48" t="s">
        <v>403</v>
      </c>
      <c r="G231" s="45" t="s">
        <v>809</v>
      </c>
      <c r="H231" s="9"/>
      <c r="I231" s="31"/>
    </row>
    <row r="232" spans="1:9" ht="24" customHeight="1" x14ac:dyDescent="0.4">
      <c r="A232" s="28" t="s">
        <v>942</v>
      </c>
      <c r="B232" s="29" t="s">
        <v>876</v>
      </c>
      <c r="C232" s="29" t="s">
        <v>23</v>
      </c>
      <c r="D232" s="29" t="s">
        <v>5</v>
      </c>
      <c r="E232" s="32">
        <v>925</v>
      </c>
      <c r="F232" s="48" t="s">
        <v>407</v>
      </c>
      <c r="G232" s="44"/>
      <c r="H232" s="9"/>
      <c r="I232" s="31"/>
    </row>
    <row r="233" spans="1:9" ht="24" customHeight="1" x14ac:dyDescent="0.4">
      <c r="A233" s="28" t="s">
        <v>944</v>
      </c>
      <c r="B233" s="29" t="s">
        <v>945</v>
      </c>
      <c r="C233" s="29" t="s">
        <v>23</v>
      </c>
      <c r="D233" s="29" t="s">
        <v>5</v>
      </c>
      <c r="E233" s="32">
        <v>926</v>
      </c>
      <c r="F233" s="48" t="s">
        <v>403</v>
      </c>
      <c r="G233" s="45" t="s">
        <v>819</v>
      </c>
      <c r="H233" s="9"/>
      <c r="I233" s="31"/>
    </row>
    <row r="234" spans="1:9" ht="24" customHeight="1" x14ac:dyDescent="0.4">
      <c r="A234" s="28" t="s">
        <v>461</v>
      </c>
      <c r="B234" s="29" t="s">
        <v>899</v>
      </c>
      <c r="C234" s="29" t="s">
        <v>23</v>
      </c>
      <c r="D234" s="29" t="s">
        <v>5</v>
      </c>
      <c r="E234" s="32">
        <v>927</v>
      </c>
      <c r="F234" s="48" t="s">
        <v>403</v>
      </c>
      <c r="G234" s="45" t="s">
        <v>822</v>
      </c>
      <c r="H234" s="9"/>
      <c r="I234" s="31"/>
    </row>
    <row r="235" spans="1:9" ht="24" customHeight="1" x14ac:dyDescent="0.4">
      <c r="A235" s="28" t="s">
        <v>788</v>
      </c>
      <c r="B235" s="29" t="s">
        <v>901</v>
      </c>
      <c r="C235" s="29" t="s">
        <v>23</v>
      </c>
      <c r="D235" s="29" t="s">
        <v>5</v>
      </c>
      <c r="E235" s="32">
        <v>928</v>
      </c>
      <c r="F235" s="48" t="s">
        <v>403</v>
      </c>
      <c r="G235" s="45" t="s">
        <v>812</v>
      </c>
      <c r="H235" s="9"/>
      <c r="I235" s="31"/>
    </row>
    <row r="236" spans="1:9" ht="24" customHeight="1" x14ac:dyDescent="0.4">
      <c r="A236" s="28" t="s">
        <v>903</v>
      </c>
      <c r="B236" s="29" t="s">
        <v>904</v>
      </c>
      <c r="C236" s="29" t="s">
        <v>23</v>
      </c>
      <c r="D236" s="29" t="s">
        <v>6</v>
      </c>
      <c r="E236" s="33">
        <v>9260</v>
      </c>
      <c r="F236" s="48" t="s">
        <v>403</v>
      </c>
      <c r="G236" s="45" t="s">
        <v>824</v>
      </c>
      <c r="H236" s="9"/>
      <c r="I236" s="31"/>
    </row>
    <row r="237" spans="1:9" ht="24" customHeight="1" x14ac:dyDescent="0.4">
      <c r="A237" s="28" t="s">
        <v>451</v>
      </c>
      <c r="B237" s="29" t="s">
        <v>906</v>
      </c>
      <c r="C237" s="29" t="s">
        <v>23</v>
      </c>
      <c r="D237" s="29" t="s">
        <v>6</v>
      </c>
      <c r="E237" s="33">
        <v>9270</v>
      </c>
      <c r="F237" s="48" t="s">
        <v>403</v>
      </c>
      <c r="G237" s="45" t="s">
        <v>827</v>
      </c>
      <c r="H237" s="9"/>
      <c r="I237" s="31"/>
    </row>
    <row r="238" spans="1:9" ht="24" customHeight="1" x14ac:dyDescent="0.4">
      <c r="A238" s="28" t="s">
        <v>908</v>
      </c>
      <c r="B238" s="29" t="s">
        <v>909</v>
      </c>
      <c r="C238" s="29" t="s">
        <v>23</v>
      </c>
      <c r="D238" s="29" t="s">
        <v>6</v>
      </c>
      <c r="E238" s="33">
        <v>9280</v>
      </c>
      <c r="F238" s="48" t="s">
        <v>403</v>
      </c>
      <c r="G238" s="45" t="s">
        <v>829</v>
      </c>
      <c r="H238" s="9"/>
      <c r="I238" s="31"/>
    </row>
    <row r="239" spans="1:9" ht="24" customHeight="1" x14ac:dyDescent="0.4">
      <c r="A239" s="28" t="s">
        <v>872</v>
      </c>
      <c r="B239" s="29" t="s">
        <v>873</v>
      </c>
      <c r="C239" s="29" t="s">
        <v>23</v>
      </c>
      <c r="D239" s="29" t="s">
        <v>3</v>
      </c>
      <c r="E239" s="34">
        <v>10181</v>
      </c>
      <c r="F239" s="48" t="s">
        <v>403</v>
      </c>
      <c r="G239" s="45" t="s">
        <v>758</v>
      </c>
      <c r="H239" s="9"/>
      <c r="I239" s="31"/>
    </row>
    <row r="240" spans="1:9" ht="24" customHeight="1" x14ac:dyDescent="0.4">
      <c r="A240" s="28" t="s">
        <v>875</v>
      </c>
      <c r="B240" s="29" t="s">
        <v>876</v>
      </c>
      <c r="C240" s="29" t="s">
        <v>23</v>
      </c>
      <c r="D240" s="29" t="s">
        <v>3</v>
      </c>
      <c r="E240" s="34">
        <v>10182</v>
      </c>
      <c r="F240" s="48" t="s">
        <v>407</v>
      </c>
      <c r="G240" s="44"/>
      <c r="H240" s="9"/>
      <c r="I240" s="31"/>
    </row>
    <row r="241" spans="1:9" ht="24" customHeight="1" x14ac:dyDescent="0.4">
      <c r="A241" s="28" t="s">
        <v>605</v>
      </c>
      <c r="B241" s="29" t="s">
        <v>878</v>
      </c>
      <c r="C241" s="29" t="s">
        <v>23</v>
      </c>
      <c r="D241" s="29" t="s">
        <v>3</v>
      </c>
      <c r="E241" s="34">
        <v>10183</v>
      </c>
      <c r="F241" s="48" t="s">
        <v>403</v>
      </c>
      <c r="G241" s="45" t="s">
        <v>761</v>
      </c>
      <c r="H241" s="9"/>
      <c r="I241" s="31"/>
    </row>
    <row r="242" spans="1:9" ht="24" customHeight="1" x14ac:dyDescent="0.4">
      <c r="A242" s="28" t="s">
        <v>880</v>
      </c>
      <c r="B242" s="29" t="s">
        <v>881</v>
      </c>
      <c r="C242" s="29" t="s">
        <v>23</v>
      </c>
      <c r="D242" s="29" t="s">
        <v>3</v>
      </c>
      <c r="E242" s="34">
        <v>10184</v>
      </c>
      <c r="F242" s="48" t="s">
        <v>403</v>
      </c>
      <c r="G242" s="45" t="s">
        <v>764</v>
      </c>
      <c r="H242" s="9"/>
      <c r="I242" s="31"/>
    </row>
    <row r="243" spans="1:9" ht="24" customHeight="1" x14ac:dyDescent="0.4">
      <c r="A243" s="28" t="s">
        <v>451</v>
      </c>
      <c r="B243" s="29" t="s">
        <v>883</v>
      </c>
      <c r="C243" s="29" t="s">
        <v>23</v>
      </c>
      <c r="D243" s="29" t="s">
        <v>3</v>
      </c>
      <c r="E243" s="34">
        <v>10185</v>
      </c>
      <c r="F243" s="48" t="s">
        <v>403</v>
      </c>
      <c r="G243" s="45" t="s">
        <v>767</v>
      </c>
      <c r="H243" s="9"/>
      <c r="I243" s="31"/>
    </row>
    <row r="244" spans="1:9" ht="24" customHeight="1" x14ac:dyDescent="0.4">
      <c r="A244" s="28" t="s">
        <v>885</v>
      </c>
      <c r="B244" s="29" t="s">
        <v>886</v>
      </c>
      <c r="C244" s="29" t="s">
        <v>23</v>
      </c>
      <c r="D244" s="29" t="s">
        <v>3</v>
      </c>
      <c r="E244" s="34">
        <v>10186</v>
      </c>
      <c r="F244" s="48" t="s">
        <v>407</v>
      </c>
      <c r="G244" s="44"/>
      <c r="H244" s="9"/>
      <c r="I244" s="31"/>
    </row>
    <row r="245" spans="1:9" ht="24" customHeight="1" x14ac:dyDescent="0.4">
      <c r="A245" s="28" t="s">
        <v>888</v>
      </c>
      <c r="B245" s="29" t="s">
        <v>889</v>
      </c>
      <c r="C245" s="29" t="s">
        <v>23</v>
      </c>
      <c r="D245" s="29" t="s">
        <v>4</v>
      </c>
      <c r="E245" s="35">
        <v>1036</v>
      </c>
      <c r="F245" s="48" t="s">
        <v>403</v>
      </c>
      <c r="G245" s="45" t="s">
        <v>749</v>
      </c>
      <c r="H245" s="9"/>
      <c r="I245" s="31"/>
    </row>
    <row r="246" spans="1:9" ht="24" customHeight="1" x14ac:dyDescent="0.4">
      <c r="A246" s="28" t="s">
        <v>939</v>
      </c>
      <c r="B246" s="29" t="s">
        <v>940</v>
      </c>
      <c r="C246" s="29" t="s">
        <v>23</v>
      </c>
      <c r="D246" s="29" t="s">
        <v>4</v>
      </c>
      <c r="E246" s="35">
        <v>1037</v>
      </c>
      <c r="F246" s="48" t="s">
        <v>407</v>
      </c>
      <c r="G246" s="44"/>
      <c r="H246" s="9"/>
      <c r="I246" s="31"/>
    </row>
    <row r="247" spans="1:9" ht="24" customHeight="1" x14ac:dyDescent="0.4">
      <c r="A247" s="28" t="s">
        <v>891</v>
      </c>
      <c r="B247" s="29" t="s">
        <v>892</v>
      </c>
      <c r="C247" s="29" t="s">
        <v>23</v>
      </c>
      <c r="D247" s="29" t="s">
        <v>4</v>
      </c>
      <c r="E247" s="35">
        <v>1038</v>
      </c>
      <c r="F247" s="48" t="s">
        <v>403</v>
      </c>
      <c r="G247" s="45" t="s">
        <v>750</v>
      </c>
      <c r="H247" s="9"/>
      <c r="I247" s="31"/>
    </row>
    <row r="248" spans="1:9" ht="24" customHeight="1" x14ac:dyDescent="0.4">
      <c r="A248" s="28" t="s">
        <v>894</v>
      </c>
      <c r="B248" s="29" t="s">
        <v>554</v>
      </c>
      <c r="C248" s="29" t="s">
        <v>23</v>
      </c>
      <c r="D248" s="29" t="s">
        <v>4</v>
      </c>
      <c r="E248" s="35">
        <v>1039</v>
      </c>
      <c r="F248" s="48" t="s">
        <v>403</v>
      </c>
      <c r="G248" s="45" t="s">
        <v>752</v>
      </c>
      <c r="H248" s="9"/>
      <c r="I248" s="31"/>
    </row>
    <row r="249" spans="1:9" ht="24" customHeight="1" x14ac:dyDescent="0.4">
      <c r="A249" s="28" t="s">
        <v>717</v>
      </c>
      <c r="B249" s="29" t="s">
        <v>881</v>
      </c>
      <c r="C249" s="29" t="s">
        <v>23</v>
      </c>
      <c r="D249" s="29" t="s">
        <v>1</v>
      </c>
      <c r="E249" s="36">
        <v>12061</v>
      </c>
      <c r="F249" s="48" t="s">
        <v>403</v>
      </c>
      <c r="G249" s="45" t="s">
        <v>770</v>
      </c>
      <c r="H249" s="9"/>
      <c r="I249" s="31"/>
    </row>
    <row r="250" spans="1:9" ht="24" customHeight="1" x14ac:dyDescent="0.4">
      <c r="A250" s="28" t="s">
        <v>627</v>
      </c>
      <c r="B250" s="29" t="s">
        <v>912</v>
      </c>
      <c r="C250" s="29" t="s">
        <v>23</v>
      </c>
      <c r="D250" s="29" t="s">
        <v>1</v>
      </c>
      <c r="E250" s="36">
        <v>12062</v>
      </c>
      <c r="F250" s="48" t="s">
        <v>403</v>
      </c>
      <c r="G250" s="45" t="s">
        <v>790</v>
      </c>
      <c r="H250" s="9"/>
      <c r="I250" s="31"/>
    </row>
    <row r="251" spans="1:9" ht="24" customHeight="1" x14ac:dyDescent="0.4">
      <c r="A251" s="28" t="s">
        <v>470</v>
      </c>
      <c r="B251" s="29" t="s">
        <v>617</v>
      </c>
      <c r="C251" s="29" t="s">
        <v>23</v>
      </c>
      <c r="D251" s="29" t="s">
        <v>1</v>
      </c>
      <c r="E251" s="36">
        <v>12063</v>
      </c>
      <c r="F251" s="48" t="s">
        <v>403</v>
      </c>
      <c r="G251" s="45" t="s">
        <v>772</v>
      </c>
      <c r="H251" s="9"/>
      <c r="I251" s="31"/>
    </row>
    <row r="252" spans="1:9" ht="24" customHeight="1" x14ac:dyDescent="0.4">
      <c r="A252" s="28" t="s">
        <v>915</v>
      </c>
      <c r="B252" s="29" t="s">
        <v>916</v>
      </c>
      <c r="C252" s="29" t="s">
        <v>23</v>
      </c>
      <c r="D252" s="29" t="s">
        <v>1</v>
      </c>
      <c r="E252" s="36">
        <v>12064</v>
      </c>
      <c r="F252" s="48" t="s">
        <v>403</v>
      </c>
      <c r="G252" s="45" t="s">
        <v>793</v>
      </c>
      <c r="H252" s="9"/>
      <c r="I252" s="31"/>
    </row>
    <row r="253" spans="1:9" ht="24" customHeight="1" x14ac:dyDescent="0.4">
      <c r="A253" s="28" t="s">
        <v>562</v>
      </c>
      <c r="B253" s="29" t="s">
        <v>918</v>
      </c>
      <c r="C253" s="29" t="s">
        <v>23</v>
      </c>
      <c r="D253" s="29" t="s">
        <v>1</v>
      </c>
      <c r="E253" s="36">
        <v>12065</v>
      </c>
      <c r="F253" s="48" t="s">
        <v>403</v>
      </c>
      <c r="G253" s="45" t="s">
        <v>773</v>
      </c>
      <c r="H253" s="9"/>
      <c r="I253" s="31"/>
    </row>
    <row r="254" spans="1:9" ht="24" customHeight="1" x14ac:dyDescent="0.4">
      <c r="A254" s="28" t="s">
        <v>548</v>
      </c>
      <c r="B254" s="29" t="s">
        <v>920</v>
      </c>
      <c r="C254" s="29" t="s">
        <v>23</v>
      </c>
      <c r="D254" s="29" t="s">
        <v>1</v>
      </c>
      <c r="E254" s="36">
        <v>12066</v>
      </c>
      <c r="F254" s="48" t="s">
        <v>403</v>
      </c>
      <c r="G254" s="45" t="s">
        <v>776</v>
      </c>
      <c r="H254" s="9"/>
      <c r="I254" s="31"/>
    </row>
    <row r="255" spans="1:9" ht="24" customHeight="1" x14ac:dyDescent="0.4">
      <c r="A255" s="28" t="s">
        <v>947</v>
      </c>
      <c r="B255" s="29" t="s">
        <v>862</v>
      </c>
      <c r="C255" s="29" t="s">
        <v>23</v>
      </c>
      <c r="D255" s="29" t="s">
        <v>1</v>
      </c>
      <c r="E255" s="36">
        <v>12067</v>
      </c>
      <c r="F255" s="48" t="s">
        <v>407</v>
      </c>
      <c r="G255" s="44"/>
      <c r="H255" s="9"/>
      <c r="I255" s="31"/>
    </row>
    <row r="256" spans="1:9" ht="24" customHeight="1" x14ac:dyDescent="0.4">
      <c r="A256" s="28" t="s">
        <v>459</v>
      </c>
      <c r="B256" s="29" t="s">
        <v>922</v>
      </c>
      <c r="C256" s="29" t="s">
        <v>23</v>
      </c>
      <c r="D256" s="29" t="s">
        <v>1</v>
      </c>
      <c r="E256" s="36">
        <v>12068</v>
      </c>
      <c r="F256" s="48" t="s">
        <v>403</v>
      </c>
      <c r="G256" s="45" t="s">
        <v>779</v>
      </c>
      <c r="H256" s="9"/>
      <c r="I256" s="31"/>
    </row>
    <row r="257" spans="1:9" ht="24" customHeight="1" x14ac:dyDescent="0.4">
      <c r="A257" s="28" t="s">
        <v>586</v>
      </c>
      <c r="B257" s="29" t="s">
        <v>924</v>
      </c>
      <c r="C257" s="29" t="s">
        <v>23</v>
      </c>
      <c r="D257" s="29" t="s">
        <v>1</v>
      </c>
      <c r="E257" s="36">
        <v>12069</v>
      </c>
      <c r="F257" s="48" t="s">
        <v>403</v>
      </c>
      <c r="G257" s="45" t="s">
        <v>782</v>
      </c>
      <c r="H257" s="9"/>
      <c r="I257" s="31"/>
    </row>
    <row r="258" spans="1:9" ht="24" customHeight="1" x14ac:dyDescent="0.4">
      <c r="A258" s="28" t="s">
        <v>791</v>
      </c>
      <c r="B258" s="29" t="s">
        <v>554</v>
      </c>
      <c r="C258" s="29" t="s">
        <v>23</v>
      </c>
      <c r="D258" s="29" t="s">
        <v>1</v>
      </c>
      <c r="E258" s="36">
        <v>12070</v>
      </c>
      <c r="F258" s="48" t="s">
        <v>403</v>
      </c>
      <c r="G258" s="45" t="s">
        <v>785</v>
      </c>
      <c r="H258" s="9"/>
      <c r="I258" s="31"/>
    </row>
    <row r="259" spans="1:9" ht="24" customHeight="1" x14ac:dyDescent="0.4">
      <c r="A259" s="28" t="s">
        <v>927</v>
      </c>
      <c r="B259" s="29" t="s">
        <v>518</v>
      </c>
      <c r="C259" s="29" t="s">
        <v>23</v>
      </c>
      <c r="D259" s="29" t="s">
        <v>1</v>
      </c>
      <c r="E259" s="36">
        <v>12071</v>
      </c>
      <c r="F259" s="48" t="s">
        <v>403</v>
      </c>
      <c r="G259" s="45" t="s">
        <v>795</v>
      </c>
      <c r="H259" s="9"/>
      <c r="I259" s="31"/>
    </row>
    <row r="260" spans="1:9" ht="24" customHeight="1" x14ac:dyDescent="0.4">
      <c r="A260" s="28" t="s">
        <v>846</v>
      </c>
      <c r="B260" s="29" t="s">
        <v>949</v>
      </c>
      <c r="C260" s="29" t="s">
        <v>23</v>
      </c>
      <c r="D260" s="29" t="s">
        <v>2</v>
      </c>
      <c r="E260" s="37">
        <v>1239</v>
      </c>
      <c r="F260" s="48" t="s">
        <v>407</v>
      </c>
      <c r="G260" s="44"/>
      <c r="H260" s="9"/>
      <c r="I260" s="31"/>
    </row>
    <row r="261" spans="1:9" ht="24" customHeight="1" x14ac:dyDescent="0.4">
      <c r="A261" s="28" t="s">
        <v>929</v>
      </c>
      <c r="B261" s="29" t="s">
        <v>930</v>
      </c>
      <c r="C261" s="29" t="s">
        <v>23</v>
      </c>
      <c r="D261" s="29" t="s">
        <v>2</v>
      </c>
      <c r="E261" s="37">
        <v>1240</v>
      </c>
      <c r="F261" s="48" t="s">
        <v>403</v>
      </c>
      <c r="G261" s="45" t="s">
        <v>754</v>
      </c>
      <c r="H261" s="9"/>
      <c r="I261" s="31"/>
    </row>
    <row r="262" spans="1:9" ht="24" customHeight="1" x14ac:dyDescent="0.4">
      <c r="A262" s="28" t="s">
        <v>932</v>
      </c>
      <c r="B262" s="29" t="s">
        <v>889</v>
      </c>
      <c r="C262" s="29" t="s">
        <v>23</v>
      </c>
      <c r="D262" s="29" t="s">
        <v>2</v>
      </c>
      <c r="E262" s="37">
        <v>1241</v>
      </c>
      <c r="F262" s="48" t="s">
        <v>403</v>
      </c>
      <c r="G262" s="45" t="s">
        <v>756</v>
      </c>
      <c r="H262" s="9"/>
      <c r="I262" s="31"/>
    </row>
    <row r="263" spans="1:9" ht="24" customHeight="1" x14ac:dyDescent="0.4">
      <c r="A263" s="28" t="s">
        <v>951</v>
      </c>
      <c r="B263" s="29" t="s">
        <v>952</v>
      </c>
      <c r="C263" s="29" t="s">
        <v>23</v>
      </c>
      <c r="D263" s="29" t="s">
        <v>2</v>
      </c>
      <c r="E263" s="37">
        <v>1242</v>
      </c>
      <c r="F263" s="48" t="s">
        <v>403</v>
      </c>
      <c r="G263" s="45" t="s">
        <v>787</v>
      </c>
      <c r="H263" s="9"/>
      <c r="I263" s="31"/>
    </row>
    <row r="264" spans="1:9" ht="24" customHeight="1" x14ac:dyDescent="0.4">
      <c r="A264" s="28"/>
      <c r="B264" s="29"/>
      <c r="C264" s="29"/>
      <c r="D264" s="29"/>
      <c r="E264" s="45"/>
      <c r="F264" s="50"/>
      <c r="G264" s="45"/>
      <c r="H264" s="51"/>
      <c r="I264" s="31"/>
    </row>
    <row r="265" spans="1:9" ht="24" customHeight="1" x14ac:dyDescent="0.4">
      <c r="A265" s="28"/>
      <c r="B265" s="29"/>
      <c r="C265" s="29"/>
      <c r="D265" s="29"/>
      <c r="E265" s="45"/>
      <c r="F265" s="50"/>
      <c r="G265" s="45"/>
      <c r="H265" s="51"/>
      <c r="I265" s="31"/>
    </row>
    <row r="266" spans="1:9" ht="24" customHeight="1" x14ac:dyDescent="0.4">
      <c r="A266" s="28" t="s">
        <v>576</v>
      </c>
      <c r="B266" s="29" t="s">
        <v>954</v>
      </c>
      <c r="C266" s="29" t="s">
        <v>24</v>
      </c>
      <c r="D266" s="29" t="s">
        <v>7</v>
      </c>
      <c r="E266" s="30">
        <v>818</v>
      </c>
      <c r="F266" s="48" t="s">
        <v>403</v>
      </c>
      <c r="G266" s="45" t="s">
        <v>842</v>
      </c>
      <c r="H266" s="9"/>
      <c r="I266" s="31"/>
    </row>
    <row r="267" spans="1:9" ht="24" customHeight="1" x14ac:dyDescent="0.4">
      <c r="A267" s="28" t="s">
        <v>956</v>
      </c>
      <c r="B267" s="29" t="s">
        <v>957</v>
      </c>
      <c r="C267" s="29" t="s">
        <v>24</v>
      </c>
      <c r="D267" s="29" t="s">
        <v>7</v>
      </c>
      <c r="E267" s="30">
        <v>819</v>
      </c>
      <c r="F267" s="48" t="s">
        <v>403</v>
      </c>
      <c r="G267" s="45" t="s">
        <v>845</v>
      </c>
      <c r="H267" s="9"/>
      <c r="I267" s="31"/>
    </row>
    <row r="268" spans="1:9" ht="24" customHeight="1" x14ac:dyDescent="0.4">
      <c r="A268" s="28" t="s">
        <v>470</v>
      </c>
      <c r="B268" s="29" t="s">
        <v>959</v>
      </c>
      <c r="C268" s="29" t="s">
        <v>24</v>
      </c>
      <c r="D268" s="29" t="s">
        <v>3</v>
      </c>
      <c r="E268" s="34">
        <v>10187</v>
      </c>
      <c r="F268" s="48" t="s">
        <v>403</v>
      </c>
      <c r="G268" s="45" t="s">
        <v>832</v>
      </c>
      <c r="H268" s="9"/>
      <c r="I268" s="31"/>
    </row>
    <row r="269" spans="1:9" ht="24" customHeight="1" x14ac:dyDescent="0.4">
      <c r="A269" s="28" t="s">
        <v>505</v>
      </c>
      <c r="B269" s="29" t="s">
        <v>964</v>
      </c>
      <c r="C269" s="29" t="s">
        <v>24</v>
      </c>
      <c r="D269" s="29" t="s">
        <v>1</v>
      </c>
      <c r="E269" s="36">
        <v>12072</v>
      </c>
      <c r="F269" s="48" t="s">
        <v>403</v>
      </c>
      <c r="G269" s="45" t="s">
        <v>835</v>
      </c>
      <c r="H269" s="9"/>
      <c r="I269" s="31"/>
    </row>
    <row r="270" spans="1:9" ht="24" customHeight="1" x14ac:dyDescent="0.4">
      <c r="A270" s="28" t="s">
        <v>478</v>
      </c>
      <c r="B270" s="29" t="s">
        <v>966</v>
      </c>
      <c r="C270" s="29" t="s">
        <v>24</v>
      </c>
      <c r="D270" s="29" t="s">
        <v>1</v>
      </c>
      <c r="E270" s="36">
        <v>12073</v>
      </c>
      <c r="F270" s="48" t="s">
        <v>403</v>
      </c>
      <c r="G270" s="45" t="s">
        <v>837</v>
      </c>
      <c r="H270" s="9"/>
      <c r="I270" s="31"/>
    </row>
    <row r="271" spans="1:9" ht="24" customHeight="1" x14ac:dyDescent="0.4">
      <c r="A271" s="28" t="s">
        <v>961</v>
      </c>
      <c r="B271" s="29" t="s">
        <v>962</v>
      </c>
      <c r="C271" s="29" t="s">
        <v>24</v>
      </c>
      <c r="D271" s="29" t="s">
        <v>1</v>
      </c>
      <c r="E271" s="36">
        <v>12074</v>
      </c>
      <c r="F271" s="48" t="s">
        <v>403</v>
      </c>
      <c r="G271" s="45" t="s">
        <v>839</v>
      </c>
      <c r="H271" s="9"/>
      <c r="I271" s="31"/>
    </row>
    <row r="272" spans="1:9" ht="24" customHeight="1" x14ac:dyDescent="0.4">
      <c r="A272" s="28"/>
      <c r="B272" s="29"/>
      <c r="C272" s="29"/>
      <c r="D272" s="29"/>
      <c r="E272" s="52"/>
      <c r="F272" s="50"/>
      <c r="G272" s="45"/>
      <c r="H272" s="51"/>
      <c r="I272" s="31"/>
    </row>
    <row r="273" spans="1:9" ht="24" customHeight="1" x14ac:dyDescent="0.4">
      <c r="A273" s="28"/>
      <c r="B273" s="29"/>
      <c r="C273" s="29"/>
      <c r="D273" s="29"/>
      <c r="E273" s="52"/>
      <c r="F273" s="50"/>
      <c r="G273" s="45"/>
      <c r="H273" s="51"/>
      <c r="I273" s="31"/>
    </row>
    <row r="274" spans="1:9" ht="24" customHeight="1" x14ac:dyDescent="0.4">
      <c r="A274" s="28" t="s">
        <v>971</v>
      </c>
      <c r="B274" s="29" t="s">
        <v>972</v>
      </c>
      <c r="C274" s="29" t="s">
        <v>25</v>
      </c>
      <c r="D274" s="29" t="s">
        <v>8</v>
      </c>
      <c r="E274" s="38">
        <v>865</v>
      </c>
      <c r="F274" s="48" t="s">
        <v>407</v>
      </c>
      <c r="G274" s="44"/>
      <c r="H274" s="9"/>
      <c r="I274" s="31"/>
    </row>
    <row r="275" spans="1:9" ht="24" customHeight="1" x14ac:dyDescent="0.4">
      <c r="A275" s="28" t="s">
        <v>983</v>
      </c>
      <c r="B275" s="29" t="s">
        <v>984</v>
      </c>
      <c r="C275" s="29" t="s">
        <v>25</v>
      </c>
      <c r="D275" s="29" t="s">
        <v>5</v>
      </c>
      <c r="E275" s="32">
        <v>929</v>
      </c>
      <c r="F275" s="48" t="s">
        <v>403</v>
      </c>
      <c r="G275" s="45" t="s">
        <v>868</v>
      </c>
      <c r="H275" s="9"/>
      <c r="I275" s="31"/>
    </row>
    <row r="276" spans="1:9" ht="24" customHeight="1" x14ac:dyDescent="0.4">
      <c r="A276" s="28" t="s">
        <v>986</v>
      </c>
      <c r="B276" s="29" t="s">
        <v>987</v>
      </c>
      <c r="C276" s="29" t="s">
        <v>25</v>
      </c>
      <c r="D276" s="29" t="s">
        <v>5</v>
      </c>
      <c r="E276" s="32">
        <v>930</v>
      </c>
      <c r="F276" s="48" t="s">
        <v>403</v>
      </c>
      <c r="G276" s="45" t="s">
        <v>871</v>
      </c>
      <c r="H276" s="9"/>
      <c r="I276" s="31"/>
    </row>
    <row r="277" spans="1:9" ht="24" customHeight="1" x14ac:dyDescent="0.4">
      <c r="A277" s="28" t="s">
        <v>989</v>
      </c>
      <c r="B277" s="29" t="s">
        <v>990</v>
      </c>
      <c r="C277" s="29" t="s">
        <v>25</v>
      </c>
      <c r="D277" s="29" t="s">
        <v>5</v>
      </c>
      <c r="E277" s="32">
        <v>931</v>
      </c>
      <c r="F277" s="48" t="s">
        <v>403</v>
      </c>
      <c r="G277" s="45" t="s">
        <v>874</v>
      </c>
      <c r="H277" s="9"/>
      <c r="I277" s="31"/>
    </row>
    <row r="278" spans="1:9" ht="24" customHeight="1" x14ac:dyDescent="0.4">
      <c r="A278" s="28" t="s">
        <v>992</v>
      </c>
      <c r="B278" s="29" t="s">
        <v>850</v>
      </c>
      <c r="C278" s="29" t="s">
        <v>25</v>
      </c>
      <c r="D278" s="29" t="s">
        <v>5</v>
      </c>
      <c r="E278" s="32">
        <v>932</v>
      </c>
      <c r="F278" s="48" t="s">
        <v>403</v>
      </c>
      <c r="G278" s="45" t="s">
        <v>877</v>
      </c>
      <c r="H278" s="9"/>
      <c r="I278" s="31"/>
    </row>
    <row r="279" spans="1:9" ht="24" customHeight="1" x14ac:dyDescent="0.4">
      <c r="A279" s="28" t="s">
        <v>994</v>
      </c>
      <c r="B279" s="29" t="s">
        <v>995</v>
      </c>
      <c r="C279" s="29" t="s">
        <v>25</v>
      </c>
      <c r="D279" s="29" t="s">
        <v>5</v>
      </c>
      <c r="E279" s="32">
        <v>933</v>
      </c>
      <c r="F279" s="48" t="s">
        <v>407</v>
      </c>
      <c r="G279" s="44"/>
      <c r="H279" s="9"/>
      <c r="I279" s="31"/>
    </row>
    <row r="280" spans="1:9" ht="24" customHeight="1" x14ac:dyDescent="0.4">
      <c r="A280" s="28" t="s">
        <v>997</v>
      </c>
      <c r="B280" s="29" t="s">
        <v>998</v>
      </c>
      <c r="C280" s="29" t="s">
        <v>25</v>
      </c>
      <c r="D280" s="29" t="s">
        <v>5</v>
      </c>
      <c r="E280" s="32">
        <v>934</v>
      </c>
      <c r="F280" s="48" t="s">
        <v>403</v>
      </c>
      <c r="G280" s="45" t="s">
        <v>879</v>
      </c>
      <c r="H280" s="9"/>
      <c r="I280" s="31"/>
    </row>
    <row r="281" spans="1:9" ht="24" customHeight="1" x14ac:dyDescent="0.4">
      <c r="A281" s="28" t="s">
        <v>453</v>
      </c>
      <c r="B281" s="29" t="s">
        <v>1000</v>
      </c>
      <c r="C281" s="29" t="s">
        <v>25</v>
      </c>
      <c r="D281" s="29" t="s">
        <v>5</v>
      </c>
      <c r="E281" s="32">
        <v>935</v>
      </c>
      <c r="F281" s="48" t="s">
        <v>403</v>
      </c>
      <c r="G281" s="45" t="s">
        <v>882</v>
      </c>
      <c r="H281" s="9"/>
      <c r="I281" s="31"/>
    </row>
    <row r="282" spans="1:9" ht="24" customHeight="1" x14ac:dyDescent="0.4">
      <c r="A282" s="28" t="s">
        <v>1002</v>
      </c>
      <c r="B282" s="29" t="s">
        <v>981</v>
      </c>
      <c r="C282" s="29" t="s">
        <v>25</v>
      </c>
      <c r="D282" s="29" t="s">
        <v>5</v>
      </c>
      <c r="E282" s="32">
        <v>936</v>
      </c>
      <c r="F282" s="48" t="s">
        <v>403</v>
      </c>
      <c r="G282" s="45" t="s">
        <v>895</v>
      </c>
      <c r="H282" s="9"/>
      <c r="I282" s="31"/>
    </row>
    <row r="283" spans="1:9" ht="24" customHeight="1" x14ac:dyDescent="0.4">
      <c r="A283" s="28" t="s">
        <v>783</v>
      </c>
      <c r="B283" s="29" t="s">
        <v>1004</v>
      </c>
      <c r="C283" s="29" t="s">
        <v>25</v>
      </c>
      <c r="D283" s="29" t="s">
        <v>5</v>
      </c>
      <c r="E283" s="32">
        <v>937</v>
      </c>
      <c r="F283" s="48" t="s">
        <v>403</v>
      </c>
      <c r="G283" s="45" t="s">
        <v>884</v>
      </c>
      <c r="H283" s="9"/>
      <c r="I283" s="31"/>
    </row>
    <row r="284" spans="1:9" ht="24" customHeight="1" x14ac:dyDescent="0.4">
      <c r="A284" s="28" t="s">
        <v>576</v>
      </c>
      <c r="B284" s="29" t="s">
        <v>1006</v>
      </c>
      <c r="C284" s="29" t="s">
        <v>25</v>
      </c>
      <c r="D284" s="29" t="s">
        <v>5</v>
      </c>
      <c r="E284" s="32">
        <v>938</v>
      </c>
      <c r="F284" s="48" t="s">
        <v>403</v>
      </c>
      <c r="G284" s="45" t="s">
        <v>887</v>
      </c>
      <c r="H284" s="9"/>
      <c r="I284" s="31"/>
    </row>
    <row r="285" spans="1:9" ht="24" customHeight="1" x14ac:dyDescent="0.4">
      <c r="A285" s="28" t="s">
        <v>968</v>
      </c>
      <c r="B285" s="29" t="s">
        <v>969</v>
      </c>
      <c r="C285" s="29" t="s">
        <v>25</v>
      </c>
      <c r="D285" s="29" t="s">
        <v>5</v>
      </c>
      <c r="E285" s="32">
        <v>941</v>
      </c>
      <c r="F285" s="48" t="s">
        <v>403</v>
      </c>
      <c r="G285" s="45" t="s">
        <v>890</v>
      </c>
      <c r="H285" s="9"/>
      <c r="I285" s="31"/>
    </row>
    <row r="286" spans="1:9" ht="24" customHeight="1" x14ac:dyDescent="0.4">
      <c r="A286" s="28" t="s">
        <v>478</v>
      </c>
      <c r="B286" s="29" t="s">
        <v>1007</v>
      </c>
      <c r="C286" s="29" t="s">
        <v>25</v>
      </c>
      <c r="D286" s="29" t="s">
        <v>5</v>
      </c>
      <c r="E286" s="32">
        <v>958</v>
      </c>
      <c r="F286" s="48" t="s">
        <v>403</v>
      </c>
      <c r="G286" s="45" t="s">
        <v>898</v>
      </c>
      <c r="H286" s="9"/>
      <c r="I286" s="31"/>
    </row>
    <row r="287" spans="1:9" ht="24" customHeight="1" x14ac:dyDescent="0.4">
      <c r="A287" s="28" t="s">
        <v>1008</v>
      </c>
      <c r="B287" s="29" t="s">
        <v>1009</v>
      </c>
      <c r="C287" s="29" t="s">
        <v>25</v>
      </c>
      <c r="D287" s="29" t="s">
        <v>6</v>
      </c>
      <c r="E287" s="33">
        <v>9300</v>
      </c>
      <c r="F287" s="48" t="s">
        <v>403</v>
      </c>
      <c r="G287" s="45" t="s">
        <v>893</v>
      </c>
      <c r="H287" s="9"/>
      <c r="I287" s="31"/>
    </row>
    <row r="288" spans="1:9" ht="24" customHeight="1" x14ac:dyDescent="0.4">
      <c r="A288" s="28" t="s">
        <v>608</v>
      </c>
      <c r="B288" s="29" t="s">
        <v>974</v>
      </c>
      <c r="C288" s="29" t="s">
        <v>25</v>
      </c>
      <c r="D288" s="29" t="s">
        <v>3</v>
      </c>
      <c r="E288" s="34">
        <v>10188</v>
      </c>
      <c r="F288" s="48" t="s">
        <v>403</v>
      </c>
      <c r="G288" s="45" t="s">
        <v>863</v>
      </c>
      <c r="H288" s="9"/>
      <c r="I288" s="31"/>
    </row>
    <row r="289" spans="1:9" ht="24" customHeight="1" x14ac:dyDescent="0.4">
      <c r="A289" s="28" t="s">
        <v>783</v>
      </c>
      <c r="B289" s="29" t="s">
        <v>976</v>
      </c>
      <c r="C289" s="29" t="s">
        <v>25</v>
      </c>
      <c r="D289" s="29" t="s">
        <v>3</v>
      </c>
      <c r="E289" s="34">
        <v>10189</v>
      </c>
      <c r="F289" s="48" t="s">
        <v>403</v>
      </c>
      <c r="G289" s="45" t="s">
        <v>855</v>
      </c>
      <c r="H289" s="9"/>
      <c r="I289" s="31"/>
    </row>
    <row r="290" spans="1:9" ht="24" customHeight="1" x14ac:dyDescent="0.4">
      <c r="A290" s="28" t="s">
        <v>636</v>
      </c>
      <c r="B290" s="29" t="s">
        <v>978</v>
      </c>
      <c r="C290" s="29" t="s">
        <v>25</v>
      </c>
      <c r="D290" s="29" t="s">
        <v>3</v>
      </c>
      <c r="E290" s="34">
        <v>10204</v>
      </c>
      <c r="F290" s="48" t="s">
        <v>403</v>
      </c>
      <c r="G290" s="45" t="s">
        <v>858</v>
      </c>
      <c r="H290" s="9"/>
      <c r="I290" s="31"/>
    </row>
    <row r="291" spans="1:9" ht="24" customHeight="1" x14ac:dyDescent="0.4">
      <c r="A291" s="28" t="s">
        <v>980</v>
      </c>
      <c r="B291" s="29" t="s">
        <v>981</v>
      </c>
      <c r="C291" s="29" t="s">
        <v>25</v>
      </c>
      <c r="D291" s="29" t="s">
        <v>4</v>
      </c>
      <c r="E291" s="35">
        <v>1031</v>
      </c>
      <c r="F291" s="48" t="s">
        <v>403</v>
      </c>
      <c r="G291" s="45" t="s">
        <v>853</v>
      </c>
      <c r="H291" s="9"/>
      <c r="I291" s="31"/>
    </row>
    <row r="292" spans="1:9" ht="24" customHeight="1" x14ac:dyDescent="0.4">
      <c r="A292" s="28" t="s">
        <v>493</v>
      </c>
      <c r="B292" s="29" t="s">
        <v>972</v>
      </c>
      <c r="C292" s="29" t="s">
        <v>25</v>
      </c>
      <c r="D292" s="29" t="s">
        <v>1</v>
      </c>
      <c r="E292" s="36">
        <v>12075</v>
      </c>
      <c r="F292" s="48" t="s">
        <v>403</v>
      </c>
      <c r="G292" s="45" t="s">
        <v>860</v>
      </c>
      <c r="H292" s="9"/>
      <c r="I292" s="31"/>
    </row>
    <row r="293" spans="1:9" ht="24" customHeight="1" x14ac:dyDescent="0.4">
      <c r="A293" s="28" t="s">
        <v>1010</v>
      </c>
      <c r="B293" s="29" t="s">
        <v>1011</v>
      </c>
      <c r="C293" s="29" t="s">
        <v>25</v>
      </c>
      <c r="D293" s="29" t="s">
        <v>1</v>
      </c>
      <c r="E293" s="36">
        <v>12105</v>
      </c>
      <c r="F293" s="48" t="s">
        <v>403</v>
      </c>
      <c r="G293" s="45" t="s">
        <v>866</v>
      </c>
      <c r="H293" s="9"/>
      <c r="I293" s="31"/>
    </row>
    <row r="294" spans="1:9" ht="24" customHeight="1" x14ac:dyDescent="0.4">
      <c r="A294" s="28"/>
      <c r="B294" s="29"/>
      <c r="C294" s="29"/>
      <c r="D294" s="29"/>
      <c r="E294" s="52"/>
      <c r="F294" s="50"/>
      <c r="G294" s="45"/>
      <c r="H294" s="51"/>
      <c r="I294" s="31"/>
    </row>
    <row r="295" spans="1:9" ht="24" customHeight="1" x14ac:dyDescent="0.4">
      <c r="A295" s="28"/>
      <c r="B295" s="29"/>
      <c r="C295" s="29"/>
      <c r="D295" s="29"/>
      <c r="E295" s="52"/>
      <c r="F295" s="50"/>
      <c r="G295" s="45"/>
      <c r="H295" s="51"/>
      <c r="I295" s="31"/>
    </row>
    <row r="296" spans="1:9" ht="24" customHeight="1" x14ac:dyDescent="0.4">
      <c r="A296" s="28" t="s">
        <v>562</v>
      </c>
      <c r="B296" s="29" t="s">
        <v>615</v>
      </c>
      <c r="C296" s="29" t="s">
        <v>26</v>
      </c>
      <c r="D296" s="29" t="s">
        <v>7</v>
      </c>
      <c r="E296" s="30">
        <v>820</v>
      </c>
      <c r="F296" s="48" t="s">
        <v>403</v>
      </c>
      <c r="G296" s="45" t="s">
        <v>911</v>
      </c>
      <c r="H296" s="9"/>
      <c r="I296" s="31"/>
    </row>
    <row r="297" spans="1:9" ht="24" customHeight="1" x14ac:dyDescent="0.4">
      <c r="A297" s="28" t="s">
        <v>1012</v>
      </c>
      <c r="B297" s="29" t="s">
        <v>1013</v>
      </c>
      <c r="C297" s="29" t="s">
        <v>26</v>
      </c>
      <c r="D297" s="29" t="s">
        <v>7</v>
      </c>
      <c r="E297" s="30">
        <v>821</v>
      </c>
      <c r="F297" s="48" t="s">
        <v>403</v>
      </c>
      <c r="G297" s="45" t="s">
        <v>913</v>
      </c>
      <c r="H297" s="9"/>
      <c r="I297" s="31"/>
    </row>
    <row r="298" spans="1:9" ht="24" customHeight="1" x14ac:dyDescent="0.4">
      <c r="A298" s="28" t="s">
        <v>1014</v>
      </c>
      <c r="B298" s="29" t="s">
        <v>1015</v>
      </c>
      <c r="C298" s="29" t="s">
        <v>26</v>
      </c>
      <c r="D298" s="29" t="s">
        <v>7</v>
      </c>
      <c r="E298" s="30">
        <v>822</v>
      </c>
      <c r="F298" s="48" t="s">
        <v>403</v>
      </c>
      <c r="G298" s="45" t="s">
        <v>914</v>
      </c>
      <c r="H298" s="9"/>
      <c r="I298" s="31"/>
    </row>
    <row r="299" spans="1:9" ht="24" customHeight="1" x14ac:dyDescent="0.4">
      <c r="A299" s="28" t="s">
        <v>617</v>
      </c>
      <c r="B299" s="29" t="s">
        <v>1016</v>
      </c>
      <c r="C299" s="29" t="s">
        <v>26</v>
      </c>
      <c r="D299" s="29" t="s">
        <v>7</v>
      </c>
      <c r="E299" s="30">
        <v>823</v>
      </c>
      <c r="F299" s="48" t="s">
        <v>403</v>
      </c>
      <c r="G299" s="45" t="s">
        <v>917</v>
      </c>
      <c r="H299" s="9"/>
      <c r="I299" s="31"/>
    </row>
    <row r="300" spans="1:9" ht="24" customHeight="1" x14ac:dyDescent="0.4">
      <c r="A300" s="28" t="s">
        <v>1019</v>
      </c>
      <c r="B300" s="29" t="s">
        <v>1020</v>
      </c>
      <c r="C300" s="29" t="s">
        <v>26</v>
      </c>
      <c r="D300" s="29" t="s">
        <v>5</v>
      </c>
      <c r="E300" s="32">
        <v>939</v>
      </c>
      <c r="F300" s="48" t="s">
        <v>403</v>
      </c>
      <c r="G300" s="45" t="s">
        <v>921</v>
      </c>
      <c r="H300" s="9"/>
      <c r="I300" s="31"/>
    </row>
    <row r="301" spans="1:9" ht="24" customHeight="1" x14ac:dyDescent="0.4">
      <c r="A301" s="28" t="s">
        <v>725</v>
      </c>
      <c r="B301" s="29" t="s">
        <v>614</v>
      </c>
      <c r="C301" s="29" t="s">
        <v>26</v>
      </c>
      <c r="D301" s="29" t="s">
        <v>5</v>
      </c>
      <c r="E301" s="32">
        <v>940</v>
      </c>
      <c r="F301" s="48" t="s">
        <v>403</v>
      </c>
      <c r="G301" s="45" t="s">
        <v>923</v>
      </c>
      <c r="H301" s="9"/>
      <c r="I301" s="31"/>
    </row>
    <row r="302" spans="1:9" ht="24" customHeight="1" x14ac:dyDescent="0.4">
      <c r="A302" s="28" t="s">
        <v>1017</v>
      </c>
      <c r="B302" s="29" t="s">
        <v>1018</v>
      </c>
      <c r="C302" s="29" t="s">
        <v>26</v>
      </c>
      <c r="D302" s="29" t="s">
        <v>3</v>
      </c>
      <c r="E302" s="34">
        <v>10190</v>
      </c>
      <c r="F302" s="48" t="s">
        <v>403</v>
      </c>
      <c r="G302" s="45" t="s">
        <v>907</v>
      </c>
      <c r="H302" s="9"/>
      <c r="I302" s="31"/>
    </row>
    <row r="303" spans="1:9" ht="24" customHeight="1" x14ac:dyDescent="0.4">
      <c r="A303" s="28" t="s">
        <v>552</v>
      </c>
      <c r="B303" s="29" t="s">
        <v>1021</v>
      </c>
      <c r="C303" s="29" t="s">
        <v>26</v>
      </c>
      <c r="D303" s="29" t="s">
        <v>1</v>
      </c>
      <c r="E303" s="36">
        <v>12076</v>
      </c>
      <c r="F303" s="48" t="s">
        <v>403</v>
      </c>
      <c r="G303" s="45" t="s">
        <v>900</v>
      </c>
      <c r="H303" s="9"/>
      <c r="I303" s="31"/>
    </row>
    <row r="304" spans="1:9" ht="24" customHeight="1" x14ac:dyDescent="0.4">
      <c r="A304" s="28" t="s">
        <v>1022</v>
      </c>
      <c r="B304" s="29" t="s">
        <v>1018</v>
      </c>
      <c r="C304" s="29" t="s">
        <v>26</v>
      </c>
      <c r="D304" s="29" t="s">
        <v>1</v>
      </c>
      <c r="E304" s="36">
        <v>12077</v>
      </c>
      <c r="F304" s="48" t="s">
        <v>403</v>
      </c>
      <c r="G304" s="45" t="s">
        <v>902</v>
      </c>
      <c r="H304" s="9"/>
      <c r="I304" s="31"/>
    </row>
    <row r="305" spans="1:9" ht="24" customHeight="1" x14ac:dyDescent="0.4">
      <c r="A305" s="28" t="s">
        <v>1023</v>
      </c>
      <c r="B305" s="29" t="s">
        <v>1024</v>
      </c>
      <c r="C305" s="29" t="s">
        <v>26</v>
      </c>
      <c r="D305" s="29" t="s">
        <v>1</v>
      </c>
      <c r="E305" s="36">
        <v>12078</v>
      </c>
      <c r="F305" s="48" t="s">
        <v>403</v>
      </c>
      <c r="G305" s="45" t="s">
        <v>910</v>
      </c>
      <c r="H305" s="9"/>
      <c r="I305" s="31"/>
    </row>
    <row r="306" spans="1:9" ht="24" customHeight="1" x14ac:dyDescent="0.4">
      <c r="A306" s="28" t="s">
        <v>527</v>
      </c>
      <c r="B306" s="29" t="s">
        <v>1025</v>
      </c>
      <c r="C306" s="29" t="s">
        <v>26</v>
      </c>
      <c r="D306" s="29" t="s">
        <v>1</v>
      </c>
      <c r="E306" s="36">
        <v>12079</v>
      </c>
      <c r="F306" s="48" t="s">
        <v>403</v>
      </c>
      <c r="G306" s="45" t="s">
        <v>905</v>
      </c>
      <c r="H306" s="9"/>
      <c r="I306" s="31"/>
    </row>
    <row r="307" spans="1:9" ht="24" customHeight="1" x14ac:dyDescent="0.4">
      <c r="A307" s="28"/>
      <c r="B307" s="29"/>
      <c r="C307" s="29"/>
      <c r="D307" s="29"/>
      <c r="E307" s="52"/>
      <c r="F307" s="50"/>
      <c r="G307" s="45"/>
      <c r="H307" s="51"/>
      <c r="I307" s="31"/>
    </row>
    <row r="308" spans="1:9" ht="24" customHeight="1" x14ac:dyDescent="0.4">
      <c r="A308" s="28"/>
      <c r="B308" s="29"/>
      <c r="C308" s="29"/>
      <c r="D308" s="29"/>
      <c r="E308" s="52"/>
      <c r="F308" s="50"/>
      <c r="G308" s="45"/>
      <c r="H308" s="51"/>
      <c r="I308" s="31"/>
    </row>
    <row r="309" spans="1:9" ht="24" customHeight="1" x14ac:dyDescent="0.4">
      <c r="A309" s="28" t="s">
        <v>1026</v>
      </c>
      <c r="B309" s="29" t="s">
        <v>1027</v>
      </c>
      <c r="C309" s="29" t="s">
        <v>27</v>
      </c>
      <c r="D309" s="29" t="s">
        <v>7</v>
      </c>
      <c r="E309" s="30">
        <v>824</v>
      </c>
      <c r="F309" s="48" t="s">
        <v>407</v>
      </c>
      <c r="G309" s="44"/>
      <c r="H309" s="9"/>
      <c r="I309" s="31"/>
    </row>
    <row r="310" spans="1:9" ht="24" customHeight="1" x14ac:dyDescent="0.4">
      <c r="A310" s="28" t="s">
        <v>791</v>
      </c>
      <c r="B310" s="29" t="s">
        <v>1028</v>
      </c>
      <c r="C310" s="29" t="s">
        <v>27</v>
      </c>
      <c r="D310" s="29" t="s">
        <v>7</v>
      </c>
      <c r="E310" s="30">
        <v>825</v>
      </c>
      <c r="F310" s="48" t="s">
        <v>403</v>
      </c>
      <c r="G310" s="45" t="s">
        <v>941</v>
      </c>
      <c r="H310" s="9"/>
      <c r="I310" s="31"/>
    </row>
    <row r="311" spans="1:9" ht="24" customHeight="1" x14ac:dyDescent="0.4">
      <c r="A311" s="28" t="s">
        <v>1029</v>
      </c>
      <c r="B311" s="29" t="s">
        <v>1030</v>
      </c>
      <c r="C311" s="29" t="s">
        <v>27</v>
      </c>
      <c r="D311" s="29" t="s">
        <v>8</v>
      </c>
      <c r="E311" s="38">
        <v>866</v>
      </c>
      <c r="F311" s="48" t="s">
        <v>403</v>
      </c>
      <c r="G311" s="45" t="s">
        <v>943</v>
      </c>
      <c r="H311" s="9"/>
      <c r="I311" s="31"/>
    </row>
    <row r="312" spans="1:9" ht="24" customHeight="1" x14ac:dyDescent="0.4">
      <c r="A312" s="28" t="s">
        <v>1031</v>
      </c>
      <c r="B312" s="29" t="s">
        <v>1032</v>
      </c>
      <c r="C312" s="29" t="s">
        <v>27</v>
      </c>
      <c r="D312" s="29" t="s">
        <v>8</v>
      </c>
      <c r="E312" s="38">
        <v>867</v>
      </c>
      <c r="F312" s="48" t="s">
        <v>403</v>
      </c>
      <c r="G312" s="45" t="s">
        <v>946</v>
      </c>
      <c r="H312" s="9"/>
      <c r="I312" s="31"/>
    </row>
    <row r="313" spans="1:9" ht="24" customHeight="1" x14ac:dyDescent="0.4">
      <c r="A313" s="28" t="s">
        <v>582</v>
      </c>
      <c r="B313" s="29" t="s">
        <v>1033</v>
      </c>
      <c r="C313" s="29" t="s">
        <v>27</v>
      </c>
      <c r="D313" s="29" t="s">
        <v>5</v>
      </c>
      <c r="E313" s="32">
        <v>942</v>
      </c>
      <c r="F313" s="48" t="s">
        <v>407</v>
      </c>
      <c r="G313" s="44"/>
      <c r="H313" s="9"/>
      <c r="I313" s="31"/>
    </row>
    <row r="314" spans="1:9" ht="24" customHeight="1" x14ac:dyDescent="0.4">
      <c r="A314" s="28" t="s">
        <v>1034</v>
      </c>
      <c r="B314" s="29" t="s">
        <v>1035</v>
      </c>
      <c r="C314" s="29" t="s">
        <v>27</v>
      </c>
      <c r="D314" s="29" t="s">
        <v>5</v>
      </c>
      <c r="E314" s="32">
        <v>944</v>
      </c>
      <c r="F314" s="48" t="s">
        <v>403</v>
      </c>
      <c r="G314" s="45" t="s">
        <v>948</v>
      </c>
      <c r="H314" s="9"/>
      <c r="I314" s="31"/>
    </row>
    <row r="315" spans="1:9" ht="24" customHeight="1" x14ac:dyDescent="0.4">
      <c r="A315" s="28" t="s">
        <v>1043</v>
      </c>
      <c r="B315" s="29" t="s">
        <v>1044</v>
      </c>
      <c r="C315" s="29" t="s">
        <v>27</v>
      </c>
      <c r="D315" s="29" t="s">
        <v>4</v>
      </c>
      <c r="E315" s="35">
        <v>1040</v>
      </c>
      <c r="F315" s="48" t="s">
        <v>403</v>
      </c>
      <c r="G315" s="45" t="s">
        <v>938</v>
      </c>
      <c r="H315" s="9"/>
      <c r="I315" s="31"/>
    </row>
    <row r="316" spans="1:9" ht="24" customHeight="1" x14ac:dyDescent="0.4">
      <c r="A316" s="28" t="s">
        <v>1036</v>
      </c>
      <c r="B316" s="29" t="s">
        <v>1033</v>
      </c>
      <c r="C316" s="29" t="s">
        <v>27</v>
      </c>
      <c r="D316" s="29" t="s">
        <v>1</v>
      </c>
      <c r="E316" s="36">
        <v>12080</v>
      </c>
      <c r="F316" s="48" t="s">
        <v>407</v>
      </c>
      <c r="G316" s="44"/>
      <c r="H316" s="9"/>
      <c r="I316" s="31"/>
    </row>
    <row r="317" spans="1:9" ht="24" customHeight="1" x14ac:dyDescent="0.4">
      <c r="A317" s="28" t="s">
        <v>1037</v>
      </c>
      <c r="B317" s="29" t="s">
        <v>1038</v>
      </c>
      <c r="C317" s="29" t="s">
        <v>27</v>
      </c>
      <c r="D317" s="29" t="s">
        <v>1</v>
      </c>
      <c r="E317" s="36">
        <v>12081</v>
      </c>
      <c r="F317" s="48" t="s">
        <v>403</v>
      </c>
      <c r="G317" s="45" t="s">
        <v>925</v>
      </c>
      <c r="H317" s="9"/>
      <c r="I317" s="31"/>
    </row>
    <row r="318" spans="1:9" ht="24" customHeight="1" x14ac:dyDescent="0.4">
      <c r="A318" s="28" t="s">
        <v>503</v>
      </c>
      <c r="B318" s="29" t="s">
        <v>781</v>
      </c>
      <c r="C318" s="29" t="s">
        <v>27</v>
      </c>
      <c r="D318" s="29" t="s">
        <v>1</v>
      </c>
      <c r="E318" s="36">
        <v>12082</v>
      </c>
      <c r="F318" s="48" t="s">
        <v>403</v>
      </c>
      <c r="G318" s="45" t="s">
        <v>926</v>
      </c>
      <c r="H318" s="9"/>
      <c r="I318" s="31"/>
    </row>
    <row r="319" spans="1:9" ht="24" customHeight="1" x14ac:dyDescent="0.4">
      <c r="A319" s="28" t="s">
        <v>1039</v>
      </c>
      <c r="B319" s="29" t="s">
        <v>1040</v>
      </c>
      <c r="C319" s="29" t="s">
        <v>27</v>
      </c>
      <c r="D319" s="29" t="s">
        <v>1</v>
      </c>
      <c r="E319" s="36">
        <v>12083</v>
      </c>
      <c r="F319" s="48" t="s">
        <v>403</v>
      </c>
      <c r="G319" s="45" t="s">
        <v>928</v>
      </c>
      <c r="H319" s="9"/>
      <c r="I319" s="31"/>
    </row>
    <row r="320" spans="1:9" ht="24" customHeight="1" x14ac:dyDescent="0.4">
      <c r="A320" s="28" t="s">
        <v>1023</v>
      </c>
      <c r="B320" s="29" t="s">
        <v>637</v>
      </c>
      <c r="C320" s="29" t="s">
        <v>27</v>
      </c>
      <c r="D320" s="29" t="s">
        <v>1</v>
      </c>
      <c r="E320" s="36">
        <v>12084</v>
      </c>
      <c r="F320" s="48" t="s">
        <v>403</v>
      </c>
      <c r="G320" s="45" t="s">
        <v>931</v>
      </c>
      <c r="H320" s="9"/>
      <c r="I320" s="31"/>
    </row>
    <row r="321" spans="1:9" ht="24" customHeight="1" x14ac:dyDescent="0.4">
      <c r="A321" s="28" t="s">
        <v>1041</v>
      </c>
      <c r="B321" s="29" t="s">
        <v>1032</v>
      </c>
      <c r="C321" s="29" t="s">
        <v>27</v>
      </c>
      <c r="D321" s="29" t="s">
        <v>1</v>
      </c>
      <c r="E321" s="36">
        <v>12085</v>
      </c>
      <c r="F321" s="48" t="s">
        <v>403</v>
      </c>
      <c r="G321" s="45" t="s">
        <v>933</v>
      </c>
      <c r="H321" s="9"/>
      <c r="I321" s="31"/>
    </row>
    <row r="322" spans="1:9" ht="24" customHeight="1" x14ac:dyDescent="0.4">
      <c r="A322" s="28" t="s">
        <v>605</v>
      </c>
      <c r="B322" s="29" t="s">
        <v>1042</v>
      </c>
      <c r="C322" s="29" t="s">
        <v>27</v>
      </c>
      <c r="D322" s="29" t="s">
        <v>1</v>
      </c>
      <c r="E322" s="36">
        <v>12086</v>
      </c>
      <c r="F322" s="48" t="s">
        <v>403</v>
      </c>
      <c r="G322" s="45" t="s">
        <v>936</v>
      </c>
      <c r="H322" s="9"/>
      <c r="I322" s="31"/>
    </row>
    <row r="323" spans="1:9" ht="24" customHeight="1" x14ac:dyDescent="0.4">
      <c r="A323" s="28" t="s">
        <v>488</v>
      </c>
      <c r="B323" s="29" t="s">
        <v>1038</v>
      </c>
      <c r="C323" s="29" t="s">
        <v>27</v>
      </c>
      <c r="D323" s="29" t="s">
        <v>2</v>
      </c>
      <c r="E323" s="37">
        <v>1243</v>
      </c>
      <c r="F323" s="48" t="s">
        <v>407</v>
      </c>
      <c r="G323" s="44"/>
      <c r="H323" s="9"/>
      <c r="I323" s="31"/>
    </row>
    <row r="324" spans="1:9" ht="24" customHeight="1" x14ac:dyDescent="0.4">
      <c r="A324" s="28"/>
      <c r="B324" s="29"/>
      <c r="C324" s="29"/>
      <c r="D324" s="29"/>
      <c r="E324" s="45"/>
      <c r="F324" s="50"/>
      <c r="G324" s="45"/>
      <c r="H324" s="51"/>
      <c r="I324" s="31"/>
    </row>
    <row r="325" spans="1:9" ht="24" customHeight="1" x14ac:dyDescent="0.4">
      <c r="A325" s="28"/>
      <c r="B325" s="29"/>
      <c r="C325" s="29"/>
      <c r="D325" s="29"/>
      <c r="E325" s="45"/>
      <c r="F325" s="50"/>
      <c r="G325" s="45"/>
      <c r="H325" s="51"/>
      <c r="I325" s="31"/>
    </row>
    <row r="326" spans="1:9" ht="24" customHeight="1" x14ac:dyDescent="0.4">
      <c r="A326" s="28" t="s">
        <v>1037</v>
      </c>
      <c r="B326" s="29" t="s">
        <v>1045</v>
      </c>
      <c r="C326" s="29" t="s">
        <v>28</v>
      </c>
      <c r="D326" s="29" t="s">
        <v>7</v>
      </c>
      <c r="E326" s="30">
        <v>826</v>
      </c>
      <c r="F326" s="48" t="s">
        <v>403</v>
      </c>
      <c r="G326" s="45" t="s">
        <v>973</v>
      </c>
      <c r="H326" s="9"/>
      <c r="I326" s="31"/>
    </row>
    <row r="327" spans="1:9" ht="24" customHeight="1" x14ac:dyDescent="0.4">
      <c r="A327" s="28" t="s">
        <v>1065</v>
      </c>
      <c r="B327" s="29" t="s">
        <v>784</v>
      </c>
      <c r="C327" s="29" t="s">
        <v>28</v>
      </c>
      <c r="D327" s="29" t="s">
        <v>7</v>
      </c>
      <c r="E327" s="30">
        <v>827</v>
      </c>
      <c r="F327" s="48" t="s">
        <v>407</v>
      </c>
      <c r="G327" s="44"/>
      <c r="H327" s="9"/>
      <c r="I327" s="31"/>
    </row>
    <row r="328" spans="1:9" ht="24" customHeight="1" x14ac:dyDescent="0.4">
      <c r="A328" s="28" t="s">
        <v>1066</v>
      </c>
      <c r="B328" s="29" t="s">
        <v>1067</v>
      </c>
      <c r="C328" s="29" t="s">
        <v>28</v>
      </c>
      <c r="D328" s="29" t="s">
        <v>7</v>
      </c>
      <c r="E328" s="30">
        <v>828</v>
      </c>
      <c r="F328" s="48" t="s">
        <v>407</v>
      </c>
      <c r="G328" s="44"/>
      <c r="H328" s="9"/>
      <c r="I328" s="31"/>
    </row>
    <row r="329" spans="1:9" ht="24" customHeight="1" x14ac:dyDescent="0.4">
      <c r="A329" s="28" t="s">
        <v>1046</v>
      </c>
      <c r="B329" s="29" t="s">
        <v>1047</v>
      </c>
      <c r="C329" s="29" t="s">
        <v>28</v>
      </c>
      <c r="D329" s="29" t="s">
        <v>7</v>
      </c>
      <c r="E329" s="30">
        <v>829</v>
      </c>
      <c r="F329" s="48" t="s">
        <v>403</v>
      </c>
      <c r="G329" s="45" t="s">
        <v>975</v>
      </c>
      <c r="H329" s="9"/>
      <c r="I329" s="31"/>
    </row>
    <row r="330" spans="1:9" ht="24" customHeight="1" x14ac:dyDescent="0.4">
      <c r="A330" s="28" t="s">
        <v>1050</v>
      </c>
      <c r="B330" s="29" t="s">
        <v>1051</v>
      </c>
      <c r="C330" s="29" t="s">
        <v>28</v>
      </c>
      <c r="D330" s="29" t="s">
        <v>5</v>
      </c>
      <c r="E330" s="32">
        <v>945</v>
      </c>
      <c r="F330" s="48" t="s">
        <v>403</v>
      </c>
      <c r="G330" s="45" t="s">
        <v>977</v>
      </c>
      <c r="H330" s="9"/>
      <c r="I330" s="31"/>
    </row>
    <row r="331" spans="1:9" ht="24" customHeight="1" x14ac:dyDescent="0.4">
      <c r="A331" s="28" t="s">
        <v>478</v>
      </c>
      <c r="B331" s="29" t="s">
        <v>1052</v>
      </c>
      <c r="C331" s="29" t="s">
        <v>28</v>
      </c>
      <c r="D331" s="29" t="s">
        <v>5</v>
      </c>
      <c r="E331" s="32">
        <v>946</v>
      </c>
      <c r="F331" s="48" t="s">
        <v>403</v>
      </c>
      <c r="G331" s="45" t="s">
        <v>979</v>
      </c>
      <c r="H331" s="9"/>
      <c r="I331" s="31"/>
    </row>
    <row r="332" spans="1:9" ht="24" customHeight="1" x14ac:dyDescent="0.4">
      <c r="A332" s="28" t="s">
        <v>1053</v>
      </c>
      <c r="B332" s="29" t="s">
        <v>1054</v>
      </c>
      <c r="C332" s="29" t="s">
        <v>28</v>
      </c>
      <c r="D332" s="29" t="s">
        <v>5</v>
      </c>
      <c r="E332" s="32">
        <v>947</v>
      </c>
      <c r="F332" s="48" t="s">
        <v>403</v>
      </c>
      <c r="G332" s="45" t="s">
        <v>982</v>
      </c>
      <c r="H332" s="9"/>
      <c r="I332" s="31"/>
    </row>
    <row r="333" spans="1:9" ht="24" customHeight="1" x14ac:dyDescent="0.4">
      <c r="A333" s="28" t="s">
        <v>1055</v>
      </c>
      <c r="B333" s="29" t="s">
        <v>477</v>
      </c>
      <c r="C333" s="29" t="s">
        <v>28</v>
      </c>
      <c r="D333" s="29" t="s">
        <v>5</v>
      </c>
      <c r="E333" s="32">
        <v>948</v>
      </c>
      <c r="F333" s="48" t="s">
        <v>403</v>
      </c>
      <c r="G333" s="45" t="s">
        <v>985</v>
      </c>
      <c r="H333" s="9"/>
      <c r="I333" s="31"/>
    </row>
    <row r="334" spans="1:9" ht="24" customHeight="1" x14ac:dyDescent="0.4">
      <c r="A334" s="28" t="s">
        <v>745</v>
      </c>
      <c r="B334" s="29" t="s">
        <v>1056</v>
      </c>
      <c r="C334" s="29" t="s">
        <v>28</v>
      </c>
      <c r="D334" s="29" t="s">
        <v>5</v>
      </c>
      <c r="E334" s="32">
        <v>949</v>
      </c>
      <c r="F334" s="48" t="s">
        <v>403</v>
      </c>
      <c r="G334" s="45" t="s">
        <v>988</v>
      </c>
      <c r="H334" s="9"/>
      <c r="I334" s="31"/>
    </row>
    <row r="335" spans="1:9" ht="24" customHeight="1" x14ac:dyDescent="0.4">
      <c r="A335" s="28" t="s">
        <v>1048</v>
      </c>
      <c r="B335" s="29" t="s">
        <v>1049</v>
      </c>
      <c r="C335" s="29" t="s">
        <v>28</v>
      </c>
      <c r="D335" s="29" t="s">
        <v>3</v>
      </c>
      <c r="E335" s="34">
        <v>10192</v>
      </c>
      <c r="F335" s="48" t="s">
        <v>403</v>
      </c>
      <c r="G335" s="45" t="s">
        <v>953</v>
      </c>
      <c r="H335" s="9"/>
      <c r="I335" s="31"/>
    </row>
    <row r="336" spans="1:9" ht="24" customHeight="1" x14ac:dyDescent="0.4">
      <c r="A336" s="28" t="s">
        <v>617</v>
      </c>
      <c r="B336" s="29" t="s">
        <v>1057</v>
      </c>
      <c r="C336" s="29" t="s">
        <v>28</v>
      </c>
      <c r="D336" s="29" t="s">
        <v>1</v>
      </c>
      <c r="E336" s="36">
        <v>12087</v>
      </c>
      <c r="F336" s="48" t="s">
        <v>403</v>
      </c>
      <c r="G336" s="45" t="s">
        <v>955</v>
      </c>
      <c r="H336" s="9"/>
      <c r="I336" s="31"/>
    </row>
    <row r="337" spans="1:9" ht="24" customHeight="1" x14ac:dyDescent="0.4">
      <c r="A337" s="28" t="s">
        <v>459</v>
      </c>
      <c r="B337" s="29" t="s">
        <v>1068</v>
      </c>
      <c r="C337" s="29" t="s">
        <v>28</v>
      </c>
      <c r="D337" s="29" t="s">
        <v>1</v>
      </c>
      <c r="E337" s="36">
        <v>12088</v>
      </c>
      <c r="F337" s="48" t="s">
        <v>403</v>
      </c>
      <c r="G337" s="45" t="s">
        <v>970</v>
      </c>
      <c r="H337" s="9" t="s">
        <v>410</v>
      </c>
      <c r="I337" s="31"/>
    </row>
    <row r="338" spans="1:9" ht="24" customHeight="1" x14ac:dyDescent="0.4">
      <c r="A338" s="28" t="s">
        <v>551</v>
      </c>
      <c r="B338" s="29" t="s">
        <v>1058</v>
      </c>
      <c r="C338" s="29" t="s">
        <v>28</v>
      </c>
      <c r="D338" s="29" t="s">
        <v>1</v>
      </c>
      <c r="E338" s="36">
        <v>12089</v>
      </c>
      <c r="F338" s="48" t="s">
        <v>403</v>
      </c>
      <c r="G338" s="45" t="s">
        <v>958</v>
      </c>
      <c r="H338" s="9"/>
      <c r="I338" s="31"/>
    </row>
    <row r="339" spans="1:9" ht="24" customHeight="1" x14ac:dyDescent="0.4">
      <c r="A339" s="28" t="s">
        <v>1059</v>
      </c>
      <c r="B339" s="29" t="s">
        <v>1060</v>
      </c>
      <c r="C339" s="29" t="s">
        <v>28</v>
      </c>
      <c r="D339" s="29" t="s">
        <v>1</v>
      </c>
      <c r="E339" s="36">
        <v>12090</v>
      </c>
      <c r="F339" s="48" t="s">
        <v>403</v>
      </c>
      <c r="G339" s="45" t="s">
        <v>960</v>
      </c>
      <c r="H339" s="9"/>
      <c r="I339" s="31"/>
    </row>
    <row r="340" spans="1:9" ht="24" customHeight="1" x14ac:dyDescent="0.4">
      <c r="A340" s="28" t="s">
        <v>519</v>
      </c>
      <c r="B340" s="29" t="s">
        <v>1061</v>
      </c>
      <c r="C340" s="29" t="s">
        <v>28</v>
      </c>
      <c r="D340" s="29" t="s">
        <v>1</v>
      </c>
      <c r="E340" s="36">
        <v>12091</v>
      </c>
      <c r="F340" s="48" t="s">
        <v>403</v>
      </c>
      <c r="G340" s="45" t="s">
        <v>963</v>
      </c>
      <c r="H340" s="9"/>
      <c r="I340" s="31"/>
    </row>
    <row r="341" spans="1:9" ht="24" customHeight="1" x14ac:dyDescent="0.4">
      <c r="A341" s="28" t="s">
        <v>1062</v>
      </c>
      <c r="B341" s="29" t="s">
        <v>1056</v>
      </c>
      <c r="C341" s="29" t="s">
        <v>28</v>
      </c>
      <c r="D341" s="29" t="s">
        <v>1</v>
      </c>
      <c r="E341" s="36">
        <v>12092</v>
      </c>
      <c r="F341" s="48" t="s">
        <v>403</v>
      </c>
      <c r="G341" s="45" t="s">
        <v>965</v>
      </c>
      <c r="H341" s="9"/>
      <c r="I341" s="31"/>
    </row>
    <row r="342" spans="1:9" ht="24" customHeight="1" x14ac:dyDescent="0.4">
      <c r="A342" s="28" t="s">
        <v>833</v>
      </c>
      <c r="B342" s="29" t="s">
        <v>1063</v>
      </c>
      <c r="C342" s="29" t="s">
        <v>28</v>
      </c>
      <c r="D342" s="29" t="s">
        <v>1</v>
      </c>
      <c r="E342" s="36">
        <v>12093</v>
      </c>
      <c r="F342" s="48" t="s">
        <v>403</v>
      </c>
      <c r="G342" s="45" t="s">
        <v>967</v>
      </c>
      <c r="H342" s="9"/>
      <c r="I342" s="31"/>
    </row>
    <row r="343" spans="1:9" ht="24" customHeight="1" x14ac:dyDescent="0.4">
      <c r="A343" s="28" t="s">
        <v>1064</v>
      </c>
      <c r="B343" s="29" t="s">
        <v>640</v>
      </c>
      <c r="C343" s="29" t="s">
        <v>28</v>
      </c>
      <c r="D343" s="29" t="s">
        <v>1</v>
      </c>
      <c r="E343" s="36">
        <v>12094</v>
      </c>
      <c r="F343" s="48" t="s">
        <v>403</v>
      </c>
      <c r="G343" s="45" t="s">
        <v>919</v>
      </c>
      <c r="H343" s="9"/>
      <c r="I343" s="31"/>
    </row>
    <row r="344" spans="1:9" ht="24" customHeight="1" x14ac:dyDescent="0.4">
      <c r="A344" s="28" t="s">
        <v>1069</v>
      </c>
      <c r="B344" s="29" t="s">
        <v>1070</v>
      </c>
      <c r="C344" s="29" t="s">
        <v>28</v>
      </c>
      <c r="D344" s="29" t="s">
        <v>2</v>
      </c>
      <c r="E344" s="37">
        <v>1244</v>
      </c>
      <c r="F344" s="48" t="s">
        <v>403</v>
      </c>
      <c r="G344" s="45" t="s">
        <v>950</v>
      </c>
      <c r="H344" s="9"/>
      <c r="I344" s="31"/>
    </row>
    <row r="345" spans="1:9" ht="24" customHeight="1" x14ac:dyDescent="0.4">
      <c r="A345" s="28"/>
      <c r="B345" s="29"/>
      <c r="C345" s="29"/>
      <c r="D345" s="29"/>
      <c r="E345" s="45"/>
      <c r="F345" s="50"/>
      <c r="G345" s="45"/>
      <c r="H345" s="51"/>
      <c r="I345" s="31"/>
    </row>
    <row r="346" spans="1:9" ht="24" customHeight="1" x14ac:dyDescent="0.4">
      <c r="A346" s="28" t="s">
        <v>1071</v>
      </c>
      <c r="B346" s="29" t="s">
        <v>1072</v>
      </c>
      <c r="C346" s="29" t="s">
        <v>29</v>
      </c>
      <c r="D346" s="29" t="s">
        <v>7</v>
      </c>
      <c r="E346" s="30">
        <v>831</v>
      </c>
      <c r="F346" s="48" t="s">
        <v>403</v>
      </c>
      <c r="G346" s="45" t="s">
        <v>993</v>
      </c>
      <c r="H346" s="9"/>
      <c r="I346" s="31"/>
    </row>
    <row r="347" spans="1:9" ht="24" customHeight="1" x14ac:dyDescent="0.4">
      <c r="A347" s="28" t="s">
        <v>588</v>
      </c>
      <c r="B347" s="29" t="s">
        <v>1072</v>
      </c>
      <c r="C347" s="29" t="s">
        <v>29</v>
      </c>
      <c r="D347" s="29" t="s">
        <v>7</v>
      </c>
      <c r="E347" s="30">
        <v>832</v>
      </c>
      <c r="F347" s="48" t="s">
        <v>403</v>
      </c>
      <c r="G347" s="45" t="s">
        <v>996</v>
      </c>
      <c r="H347" s="9"/>
      <c r="I347" s="31"/>
    </row>
    <row r="348" spans="1:9" ht="24" customHeight="1" x14ac:dyDescent="0.4">
      <c r="A348" s="28" t="s">
        <v>1074</v>
      </c>
      <c r="B348" s="29" t="s">
        <v>1296</v>
      </c>
      <c r="C348" s="29" t="s">
        <v>29</v>
      </c>
      <c r="D348" s="29" t="s">
        <v>5</v>
      </c>
      <c r="E348" s="32">
        <v>950</v>
      </c>
      <c r="F348" s="48" t="s">
        <v>403</v>
      </c>
      <c r="G348" s="45" t="s">
        <v>999</v>
      </c>
      <c r="H348" s="9"/>
      <c r="I348" s="31"/>
    </row>
    <row r="349" spans="1:9" ht="24" customHeight="1" x14ac:dyDescent="0.4">
      <c r="A349" s="28" t="s">
        <v>1075</v>
      </c>
      <c r="B349" s="29" t="s">
        <v>1296</v>
      </c>
      <c r="C349" s="29" t="s">
        <v>29</v>
      </c>
      <c r="D349" s="29" t="s">
        <v>5</v>
      </c>
      <c r="E349" s="32">
        <v>951</v>
      </c>
      <c r="F349" s="48" t="s">
        <v>403</v>
      </c>
      <c r="G349" s="45" t="s">
        <v>1001</v>
      </c>
      <c r="H349" s="9"/>
      <c r="I349" s="31"/>
    </row>
    <row r="350" spans="1:9" ht="24" customHeight="1" x14ac:dyDescent="0.4">
      <c r="A350" s="28" t="s">
        <v>1076</v>
      </c>
      <c r="B350" s="29" t="s">
        <v>1077</v>
      </c>
      <c r="C350" s="29" t="s">
        <v>29</v>
      </c>
      <c r="D350" s="29" t="s">
        <v>5</v>
      </c>
      <c r="E350" s="32">
        <v>962</v>
      </c>
      <c r="F350" s="48" t="s">
        <v>403</v>
      </c>
      <c r="G350" s="45" t="s">
        <v>1003</v>
      </c>
      <c r="H350" s="9"/>
      <c r="I350" s="31"/>
    </row>
    <row r="351" spans="1:9" ht="24" customHeight="1" x14ac:dyDescent="0.4">
      <c r="A351" s="28" t="s">
        <v>1036</v>
      </c>
      <c r="B351" s="29" t="s">
        <v>1073</v>
      </c>
      <c r="C351" s="29" t="s">
        <v>29</v>
      </c>
      <c r="D351" s="29" t="s">
        <v>3</v>
      </c>
      <c r="E351" s="34">
        <v>10208</v>
      </c>
      <c r="F351" s="48" t="s">
        <v>403</v>
      </c>
      <c r="G351" s="45" t="s">
        <v>991</v>
      </c>
      <c r="H351" s="9"/>
      <c r="I351" s="31"/>
    </row>
    <row r="352" spans="1:9" ht="24" customHeight="1" x14ac:dyDescent="0.4">
      <c r="A352" s="28" t="s">
        <v>478</v>
      </c>
      <c r="B352" s="29" t="s">
        <v>1078</v>
      </c>
      <c r="C352" s="29" t="s">
        <v>29</v>
      </c>
      <c r="D352" s="29" t="s">
        <v>1</v>
      </c>
      <c r="E352" s="36">
        <v>12095</v>
      </c>
      <c r="F352" s="48" t="s">
        <v>407</v>
      </c>
      <c r="G352" s="44"/>
      <c r="H352" s="9"/>
      <c r="I352" s="31"/>
    </row>
    <row r="353" spans="1:9" ht="24" customHeight="1" x14ac:dyDescent="0.4">
      <c r="A353" s="28" t="s">
        <v>582</v>
      </c>
      <c r="B353" s="29" t="s">
        <v>1079</v>
      </c>
      <c r="C353" s="29" t="s">
        <v>30</v>
      </c>
      <c r="D353" s="29" t="s">
        <v>7</v>
      </c>
      <c r="E353" s="30">
        <v>833</v>
      </c>
      <c r="F353" s="48" t="s">
        <v>403</v>
      </c>
      <c r="G353" s="45" t="s">
        <v>1128</v>
      </c>
      <c r="H353" s="9"/>
      <c r="I353" s="31"/>
    </row>
    <row r="354" spans="1:9" ht="24" customHeight="1" x14ac:dyDescent="0.4">
      <c r="A354" s="28" t="s">
        <v>1127</v>
      </c>
      <c r="B354" s="29" t="s">
        <v>473</v>
      </c>
      <c r="C354" s="29" t="s">
        <v>30</v>
      </c>
      <c r="D354" s="29" t="s">
        <v>7</v>
      </c>
      <c r="E354" s="30">
        <v>834</v>
      </c>
      <c r="F354" s="48" t="s">
        <v>403</v>
      </c>
      <c r="G354" s="45" t="s">
        <v>1141</v>
      </c>
      <c r="H354" s="9"/>
      <c r="I354" s="31"/>
    </row>
    <row r="355" spans="1:9" ht="24" customHeight="1" x14ac:dyDescent="0.4">
      <c r="A355" s="28" t="s">
        <v>875</v>
      </c>
      <c r="B355" s="29" t="s">
        <v>1080</v>
      </c>
      <c r="C355" s="29" t="s">
        <v>30</v>
      </c>
      <c r="D355" s="29" t="s">
        <v>7</v>
      </c>
      <c r="E355" s="30">
        <v>835</v>
      </c>
      <c r="F355" s="48" t="s">
        <v>403</v>
      </c>
      <c r="G355" s="45" t="s">
        <v>1131</v>
      </c>
      <c r="H355" s="9"/>
      <c r="I355" s="31"/>
    </row>
    <row r="356" spans="1:9" ht="24" customHeight="1" x14ac:dyDescent="0.4">
      <c r="A356" s="28" t="s">
        <v>1129</v>
      </c>
      <c r="B356" s="29" t="s">
        <v>1130</v>
      </c>
      <c r="C356" s="29" t="s">
        <v>30</v>
      </c>
      <c r="D356" s="29" t="s">
        <v>7</v>
      </c>
      <c r="E356" s="30">
        <v>836</v>
      </c>
      <c r="F356" s="48" t="s">
        <v>407</v>
      </c>
      <c r="G356" s="44"/>
      <c r="H356" s="9"/>
      <c r="I356" s="31"/>
    </row>
    <row r="357" spans="1:9" ht="24" customHeight="1" x14ac:dyDescent="0.4">
      <c r="A357" s="28" t="s">
        <v>1105</v>
      </c>
      <c r="B357" s="29" t="s">
        <v>1084</v>
      </c>
      <c r="C357" s="29" t="s">
        <v>30</v>
      </c>
      <c r="D357" s="29" t="s">
        <v>6</v>
      </c>
      <c r="E357" s="33">
        <v>9310</v>
      </c>
      <c r="F357" s="48" t="s">
        <v>403</v>
      </c>
      <c r="G357" s="45" t="s">
        <v>1134</v>
      </c>
      <c r="H357" s="9"/>
      <c r="I357" s="31"/>
    </row>
    <row r="358" spans="1:9" ht="24" customHeight="1" x14ac:dyDescent="0.4">
      <c r="A358" s="28" t="s">
        <v>1107</v>
      </c>
      <c r="B358" s="29" t="s">
        <v>1108</v>
      </c>
      <c r="C358" s="29" t="s">
        <v>30</v>
      </c>
      <c r="D358" s="29" t="s">
        <v>6</v>
      </c>
      <c r="E358" s="33">
        <v>9320</v>
      </c>
      <c r="F358" s="48" t="s">
        <v>403</v>
      </c>
      <c r="G358" s="45" t="s">
        <v>1135</v>
      </c>
      <c r="H358" s="9"/>
      <c r="I358" s="31"/>
    </row>
    <row r="359" spans="1:9" ht="24" customHeight="1" x14ac:dyDescent="0.4">
      <c r="A359" s="28" t="s">
        <v>1110</v>
      </c>
      <c r="B359" s="29" t="s">
        <v>1111</v>
      </c>
      <c r="C359" s="29" t="s">
        <v>30</v>
      </c>
      <c r="D359" s="29" t="s">
        <v>6</v>
      </c>
      <c r="E359" s="33">
        <v>9330</v>
      </c>
      <c r="F359" s="48" t="s">
        <v>403</v>
      </c>
      <c r="G359" s="45" t="s">
        <v>1137</v>
      </c>
      <c r="H359" s="9"/>
      <c r="I359" s="31"/>
    </row>
    <row r="360" spans="1:9" ht="24" customHeight="1" x14ac:dyDescent="0.4">
      <c r="A360" s="28" t="s">
        <v>1132</v>
      </c>
      <c r="B360" s="29" t="s">
        <v>1133</v>
      </c>
      <c r="C360" s="29" t="s">
        <v>30</v>
      </c>
      <c r="D360" s="29" t="s">
        <v>6</v>
      </c>
      <c r="E360" s="33">
        <v>9340</v>
      </c>
      <c r="F360" s="48" t="s">
        <v>407</v>
      </c>
      <c r="G360" s="44"/>
      <c r="H360" s="9"/>
      <c r="I360" s="31"/>
    </row>
    <row r="361" spans="1:9" ht="24" customHeight="1" x14ac:dyDescent="0.4">
      <c r="A361" s="28" t="s">
        <v>557</v>
      </c>
      <c r="B361" s="29" t="s">
        <v>1113</v>
      </c>
      <c r="C361" s="29" t="s">
        <v>30</v>
      </c>
      <c r="D361" s="29" t="s">
        <v>6</v>
      </c>
      <c r="E361" s="33">
        <v>9350</v>
      </c>
      <c r="F361" s="48" t="s">
        <v>403</v>
      </c>
      <c r="G361" s="45" t="s">
        <v>1139</v>
      </c>
      <c r="H361" s="9"/>
      <c r="I361" s="31"/>
    </row>
    <row r="362" spans="1:9" ht="24" customHeight="1" x14ac:dyDescent="0.4">
      <c r="A362" s="28" t="s">
        <v>453</v>
      </c>
      <c r="B362" s="29" t="s">
        <v>1081</v>
      </c>
      <c r="C362" s="29" t="s">
        <v>30</v>
      </c>
      <c r="D362" s="29" t="s">
        <v>3</v>
      </c>
      <c r="E362" s="34">
        <v>10193</v>
      </c>
      <c r="F362" s="48" t="s">
        <v>403</v>
      </c>
      <c r="G362" s="45" t="s">
        <v>1091</v>
      </c>
      <c r="H362" s="9"/>
      <c r="I362" s="31"/>
    </row>
    <row r="363" spans="1:9" ht="24" customHeight="1" x14ac:dyDescent="0.4">
      <c r="A363" s="28" t="s">
        <v>1082</v>
      </c>
      <c r="B363" s="29" t="s">
        <v>1081</v>
      </c>
      <c r="C363" s="29" t="s">
        <v>30</v>
      </c>
      <c r="D363" s="29" t="s">
        <v>3</v>
      </c>
      <c r="E363" s="34">
        <v>10194</v>
      </c>
      <c r="F363" s="48" t="s">
        <v>403</v>
      </c>
      <c r="G363" s="45" t="s">
        <v>1094</v>
      </c>
      <c r="H363" s="9"/>
      <c r="I363" s="31"/>
    </row>
    <row r="364" spans="1:9" ht="24" customHeight="1" x14ac:dyDescent="0.4">
      <c r="A364" s="28" t="s">
        <v>783</v>
      </c>
      <c r="B364" s="29" t="s">
        <v>1083</v>
      </c>
      <c r="C364" s="29" t="s">
        <v>30</v>
      </c>
      <c r="D364" s="29" t="s">
        <v>3</v>
      </c>
      <c r="E364" s="34">
        <v>10195</v>
      </c>
      <c r="F364" s="48" t="s">
        <v>403</v>
      </c>
      <c r="G364" s="45" t="s">
        <v>1122</v>
      </c>
      <c r="H364" s="9"/>
      <c r="I364" s="31"/>
    </row>
    <row r="365" spans="1:9" ht="24" customHeight="1" x14ac:dyDescent="0.4">
      <c r="A365" s="28" t="s">
        <v>1084</v>
      </c>
      <c r="B365" s="29" t="s">
        <v>1085</v>
      </c>
      <c r="C365" s="29" t="s">
        <v>30</v>
      </c>
      <c r="D365" s="29" t="s">
        <v>3</v>
      </c>
      <c r="E365" s="34">
        <v>10196</v>
      </c>
      <c r="F365" s="48" t="s">
        <v>403</v>
      </c>
      <c r="G365" s="45" t="s">
        <v>1096</v>
      </c>
      <c r="H365" s="9"/>
      <c r="I365" s="31"/>
    </row>
    <row r="366" spans="1:9" ht="24" customHeight="1" x14ac:dyDescent="0.4">
      <c r="A366" s="28" t="s">
        <v>1086</v>
      </c>
      <c r="B366" s="29" t="s">
        <v>1087</v>
      </c>
      <c r="C366" s="29" t="s">
        <v>30</v>
      </c>
      <c r="D366" s="29" t="s">
        <v>3</v>
      </c>
      <c r="E366" s="34">
        <v>10197</v>
      </c>
      <c r="F366" s="48" t="s">
        <v>403</v>
      </c>
      <c r="G366" s="45" t="s">
        <v>1098</v>
      </c>
      <c r="H366" s="9"/>
      <c r="I366" s="31"/>
    </row>
    <row r="367" spans="1:9" ht="24" customHeight="1" x14ac:dyDescent="0.4">
      <c r="A367" s="28" t="s">
        <v>1089</v>
      </c>
      <c r="B367" s="29" t="s">
        <v>1090</v>
      </c>
      <c r="C367" s="29" t="s">
        <v>30</v>
      </c>
      <c r="D367" s="29" t="s">
        <v>3</v>
      </c>
      <c r="E367" s="34">
        <v>10199</v>
      </c>
      <c r="F367" s="48" t="s">
        <v>403</v>
      </c>
      <c r="G367" s="45" t="s">
        <v>1124</v>
      </c>
      <c r="H367" s="9"/>
      <c r="I367" s="31"/>
    </row>
    <row r="368" spans="1:9" ht="24" customHeight="1" x14ac:dyDescent="0.4">
      <c r="A368" s="28" t="s">
        <v>1092</v>
      </c>
      <c r="B368" s="29" t="s">
        <v>1093</v>
      </c>
      <c r="C368" s="29" t="s">
        <v>30</v>
      </c>
      <c r="D368" s="29" t="s">
        <v>3</v>
      </c>
      <c r="E368" s="34">
        <v>10200</v>
      </c>
      <c r="F368" s="48" t="s">
        <v>403</v>
      </c>
      <c r="G368" s="45" t="s">
        <v>1101</v>
      </c>
      <c r="H368" s="9"/>
      <c r="I368" s="31"/>
    </row>
    <row r="369" spans="1:9" ht="24" customHeight="1" x14ac:dyDescent="0.4">
      <c r="A369" s="28" t="s">
        <v>505</v>
      </c>
      <c r="B369" s="29" t="s">
        <v>1095</v>
      </c>
      <c r="C369" s="29" t="s">
        <v>30</v>
      </c>
      <c r="D369" s="29" t="s">
        <v>3</v>
      </c>
      <c r="E369" s="34">
        <v>10201</v>
      </c>
      <c r="F369" s="48" t="s">
        <v>403</v>
      </c>
      <c r="G369" s="45" t="s">
        <v>1104</v>
      </c>
      <c r="H369" s="9"/>
      <c r="I369" s="31"/>
    </row>
    <row r="370" spans="1:9" ht="24" customHeight="1" x14ac:dyDescent="0.4">
      <c r="A370" s="28" t="s">
        <v>621</v>
      </c>
      <c r="B370" s="29" t="s">
        <v>1097</v>
      </c>
      <c r="C370" s="29" t="s">
        <v>30</v>
      </c>
      <c r="D370" s="29" t="s">
        <v>4</v>
      </c>
      <c r="E370" s="35">
        <v>1041</v>
      </c>
      <c r="F370" s="48" t="s">
        <v>403</v>
      </c>
      <c r="G370" s="45" t="s">
        <v>1005</v>
      </c>
      <c r="H370" s="9"/>
      <c r="I370" s="31"/>
    </row>
    <row r="371" spans="1:9" ht="24" customHeight="1" x14ac:dyDescent="0.4">
      <c r="A371" s="28" t="s">
        <v>1099</v>
      </c>
      <c r="B371" s="29" t="s">
        <v>1100</v>
      </c>
      <c r="C371" s="29" t="s">
        <v>30</v>
      </c>
      <c r="D371" s="29" t="s">
        <v>4</v>
      </c>
      <c r="E371" s="35">
        <v>1042</v>
      </c>
      <c r="F371" s="48" t="s">
        <v>407</v>
      </c>
      <c r="G371" s="44"/>
      <c r="H371" s="9"/>
      <c r="I371" s="31"/>
    </row>
    <row r="372" spans="1:9" ht="24" customHeight="1" x14ac:dyDescent="0.4">
      <c r="A372" s="28" t="s">
        <v>1102</v>
      </c>
      <c r="B372" s="29" t="s">
        <v>1103</v>
      </c>
      <c r="C372" s="29" t="s">
        <v>30</v>
      </c>
      <c r="D372" s="29" t="s">
        <v>4</v>
      </c>
      <c r="E372" s="35">
        <v>1043</v>
      </c>
      <c r="F372" s="48" t="s">
        <v>403</v>
      </c>
      <c r="G372" s="45" t="s">
        <v>1117</v>
      </c>
      <c r="H372" s="9"/>
      <c r="I372" s="31"/>
    </row>
    <row r="373" spans="1:9" ht="24" customHeight="1" x14ac:dyDescent="0.4">
      <c r="A373" s="28" t="s">
        <v>1115</v>
      </c>
      <c r="B373" s="29" t="s">
        <v>1116</v>
      </c>
      <c r="C373" s="29" t="s">
        <v>30</v>
      </c>
      <c r="D373" s="29" t="s">
        <v>1</v>
      </c>
      <c r="E373" s="36">
        <v>12097</v>
      </c>
      <c r="F373" s="48" t="s">
        <v>403</v>
      </c>
      <c r="G373" s="45" t="s">
        <v>1106</v>
      </c>
      <c r="H373" s="9"/>
      <c r="I373" s="31"/>
    </row>
    <row r="374" spans="1:9" ht="24" customHeight="1" x14ac:dyDescent="0.4">
      <c r="A374" s="28" t="s">
        <v>1118</v>
      </c>
      <c r="B374" s="29" t="s">
        <v>1119</v>
      </c>
      <c r="C374" s="29" t="s">
        <v>30</v>
      </c>
      <c r="D374" s="29" t="s">
        <v>1</v>
      </c>
      <c r="E374" s="36">
        <v>12098</v>
      </c>
      <c r="F374" s="48" t="s">
        <v>403</v>
      </c>
      <c r="G374" s="45" t="s">
        <v>1109</v>
      </c>
      <c r="H374" s="9"/>
      <c r="I374" s="31"/>
    </row>
    <row r="375" spans="1:9" ht="24" customHeight="1" x14ac:dyDescent="0.4">
      <c r="A375" s="28" t="s">
        <v>1121</v>
      </c>
      <c r="B375" s="29" t="s">
        <v>640</v>
      </c>
      <c r="C375" s="29" t="s">
        <v>30</v>
      </c>
      <c r="D375" s="29" t="s">
        <v>1</v>
      </c>
      <c r="E375" s="36">
        <v>12099</v>
      </c>
      <c r="F375" s="48" t="s">
        <v>403</v>
      </c>
      <c r="G375" s="45" t="s">
        <v>1112</v>
      </c>
      <c r="H375" s="9"/>
      <c r="I375" s="31"/>
    </row>
    <row r="376" spans="1:9" ht="24" customHeight="1" x14ac:dyDescent="0.4">
      <c r="A376" s="28" t="s">
        <v>478</v>
      </c>
      <c r="B376" s="29" t="s">
        <v>1123</v>
      </c>
      <c r="C376" s="29" t="s">
        <v>30</v>
      </c>
      <c r="D376" s="29" t="s">
        <v>1</v>
      </c>
      <c r="E376" s="36">
        <v>12100</v>
      </c>
      <c r="F376" s="48" t="s">
        <v>403</v>
      </c>
      <c r="G376" s="45" t="s">
        <v>1114</v>
      </c>
      <c r="H376" s="9"/>
      <c r="I376" s="31"/>
    </row>
    <row r="377" spans="1:9" ht="24" customHeight="1" x14ac:dyDescent="0.4">
      <c r="A377" s="28" t="s">
        <v>532</v>
      </c>
      <c r="B377" s="29" t="s">
        <v>1125</v>
      </c>
      <c r="C377" s="29" t="s">
        <v>30</v>
      </c>
      <c r="D377" s="29" t="s">
        <v>1</v>
      </c>
      <c r="E377" s="36">
        <v>12906</v>
      </c>
      <c r="F377" s="48" t="s">
        <v>403</v>
      </c>
      <c r="G377" s="45" t="s">
        <v>1126</v>
      </c>
      <c r="H377" s="9"/>
      <c r="I377" s="31"/>
    </row>
    <row r="378" spans="1:9" ht="24" customHeight="1" x14ac:dyDescent="0.4">
      <c r="A378" s="28" t="s">
        <v>1297</v>
      </c>
      <c r="B378" s="29" t="s">
        <v>1079</v>
      </c>
      <c r="C378" s="29" t="s">
        <v>30</v>
      </c>
      <c r="D378" s="29" t="s">
        <v>2</v>
      </c>
      <c r="E378" s="37">
        <v>1245</v>
      </c>
      <c r="F378" s="48" t="s">
        <v>403</v>
      </c>
      <c r="G378" s="45" t="s">
        <v>1088</v>
      </c>
      <c r="H378" s="9"/>
      <c r="I378" s="31"/>
    </row>
    <row r="379" spans="1:9" ht="24" customHeight="1" x14ac:dyDescent="0.4">
      <c r="A379" s="28" t="s">
        <v>603</v>
      </c>
      <c r="B379" s="29" t="s">
        <v>1136</v>
      </c>
      <c r="C379" s="29" t="s">
        <v>30</v>
      </c>
      <c r="D379" s="29" t="s">
        <v>2</v>
      </c>
      <c r="E379" s="37">
        <v>1246</v>
      </c>
      <c r="F379" s="48" t="s">
        <v>403</v>
      </c>
      <c r="G379" s="45" t="s">
        <v>1120</v>
      </c>
      <c r="H379" s="9"/>
      <c r="I379" s="31"/>
    </row>
    <row r="380" spans="1:9" ht="24" customHeight="1" x14ac:dyDescent="0.4">
      <c r="A380" s="28" t="s">
        <v>1138</v>
      </c>
      <c r="B380" s="29" t="s">
        <v>1100</v>
      </c>
      <c r="C380" s="29" t="s">
        <v>30</v>
      </c>
      <c r="D380" s="29" t="s">
        <v>2</v>
      </c>
      <c r="E380" s="37">
        <v>1247</v>
      </c>
      <c r="F380" s="48" t="s">
        <v>407</v>
      </c>
      <c r="G380" s="44"/>
      <c r="H380" s="9"/>
      <c r="I380" s="31"/>
    </row>
    <row r="381" spans="1:9" ht="24" customHeight="1" x14ac:dyDescent="0.4">
      <c r="A381" s="28"/>
      <c r="B381" s="29"/>
      <c r="C381" s="29"/>
      <c r="D381" s="29"/>
      <c r="E381" s="45"/>
      <c r="F381" s="50"/>
      <c r="G381" s="45"/>
      <c r="H381" s="51"/>
      <c r="I381" s="31"/>
    </row>
    <row r="382" spans="1:9" ht="24" customHeight="1" x14ac:dyDescent="0.4">
      <c r="A382" s="28"/>
      <c r="B382" s="29"/>
      <c r="C382" s="29"/>
      <c r="D382" s="29"/>
      <c r="E382" s="45"/>
      <c r="F382" s="50"/>
      <c r="G382" s="45"/>
      <c r="H382" s="51"/>
      <c r="I382" s="31"/>
    </row>
    <row r="383" spans="1:9" ht="24" customHeight="1" x14ac:dyDescent="0.4">
      <c r="A383" s="28" t="s">
        <v>1037</v>
      </c>
      <c r="B383" s="29" t="s">
        <v>1140</v>
      </c>
      <c r="C383" s="29" t="s">
        <v>31</v>
      </c>
      <c r="D383" s="29" t="s">
        <v>7</v>
      </c>
      <c r="E383" s="30">
        <v>8084</v>
      </c>
      <c r="F383" s="48" t="s">
        <v>403</v>
      </c>
      <c r="G383" s="45" t="s">
        <v>1150</v>
      </c>
      <c r="H383" s="9"/>
      <c r="I383" s="31"/>
    </row>
    <row r="384" spans="1:9" ht="24" customHeight="1" x14ac:dyDescent="0.4">
      <c r="A384" s="28" t="s">
        <v>476</v>
      </c>
      <c r="B384" s="29" t="s">
        <v>717</v>
      </c>
      <c r="C384" s="29" t="s">
        <v>31</v>
      </c>
      <c r="D384" s="29" t="s">
        <v>5</v>
      </c>
      <c r="E384" s="32">
        <v>954</v>
      </c>
      <c r="F384" s="48" t="s">
        <v>407</v>
      </c>
      <c r="G384" s="44"/>
      <c r="H384" s="9"/>
      <c r="I384" s="31"/>
    </row>
    <row r="385" spans="1:9" ht="24" customHeight="1" x14ac:dyDescent="0.4">
      <c r="A385" s="28" t="s">
        <v>1142</v>
      </c>
      <c r="B385" s="29" t="s">
        <v>1143</v>
      </c>
      <c r="C385" s="29" t="s">
        <v>31</v>
      </c>
      <c r="D385" s="29" t="s">
        <v>3</v>
      </c>
      <c r="E385" s="34">
        <v>10202</v>
      </c>
      <c r="F385" s="48" t="s">
        <v>407</v>
      </c>
      <c r="G385" s="44"/>
      <c r="H385" s="9"/>
      <c r="I385" s="31"/>
    </row>
    <row r="386" spans="1:9" ht="24" customHeight="1" x14ac:dyDescent="0.4">
      <c r="A386" s="28" t="s">
        <v>1145</v>
      </c>
      <c r="B386" s="29" t="s">
        <v>1146</v>
      </c>
      <c r="C386" s="29" t="s">
        <v>31</v>
      </c>
      <c r="D386" s="29" t="s">
        <v>4</v>
      </c>
      <c r="E386" s="35">
        <v>1044</v>
      </c>
      <c r="F386" s="48" t="s">
        <v>403</v>
      </c>
      <c r="G386" s="45" t="s">
        <v>1144</v>
      </c>
      <c r="H386" s="9"/>
      <c r="I386" s="31"/>
    </row>
    <row r="387" spans="1:9" ht="24" customHeight="1" x14ac:dyDescent="0.4">
      <c r="A387" s="28" t="s">
        <v>1062</v>
      </c>
      <c r="B387" s="29" t="s">
        <v>1149</v>
      </c>
      <c r="C387" s="29" t="s">
        <v>31</v>
      </c>
      <c r="D387" s="29" t="s">
        <v>1</v>
      </c>
      <c r="E387" s="36">
        <v>12101</v>
      </c>
      <c r="F387" s="48" t="s">
        <v>407</v>
      </c>
      <c r="G387" s="44"/>
      <c r="H387" s="9"/>
      <c r="I387" s="31"/>
    </row>
    <row r="388" spans="1:9" ht="24" customHeight="1" x14ac:dyDescent="0.4">
      <c r="A388" s="28" t="s">
        <v>1151</v>
      </c>
      <c r="B388" s="29" t="s">
        <v>1152</v>
      </c>
      <c r="C388" s="29" t="s">
        <v>31</v>
      </c>
      <c r="D388" s="29" t="s">
        <v>2</v>
      </c>
      <c r="E388" s="37">
        <v>1248</v>
      </c>
      <c r="F388" s="48" t="s">
        <v>403</v>
      </c>
      <c r="G388" s="45" t="s">
        <v>1147</v>
      </c>
      <c r="H388" s="9"/>
      <c r="I388" s="31"/>
    </row>
    <row r="389" spans="1:9" ht="24" customHeight="1" x14ac:dyDescent="0.4">
      <c r="A389" s="39" t="s">
        <v>1153</v>
      </c>
      <c r="B389" s="40" t="s">
        <v>1154</v>
      </c>
      <c r="C389" s="40" t="s">
        <v>31</v>
      </c>
      <c r="D389" s="40" t="s">
        <v>2</v>
      </c>
      <c r="E389" s="41">
        <v>1249</v>
      </c>
      <c r="F389" s="49" t="s">
        <v>403</v>
      </c>
      <c r="G389" s="46" t="s">
        <v>1148</v>
      </c>
      <c r="H389" s="42"/>
      <c r="I389" s="43"/>
    </row>
    <row r="390" spans="1:9" ht="24" customHeight="1" x14ac:dyDescent="0.4">
      <c r="A390" s="23"/>
      <c r="B390" s="23"/>
      <c r="C390" s="23"/>
      <c r="D390" s="23"/>
      <c r="E390" s="22"/>
      <c r="F390" s="22"/>
      <c r="G390" s="47"/>
    </row>
    <row r="391" spans="1:9" ht="24" customHeight="1" x14ac:dyDescent="0.4">
      <c r="A391" s="23" t="s">
        <v>1298</v>
      </c>
      <c r="B391" s="23"/>
      <c r="C391" s="23"/>
      <c r="D391" s="23"/>
      <c r="E391" s="22"/>
      <c r="F391" s="22"/>
    </row>
    <row r="392" spans="1:9" ht="24" customHeight="1" x14ac:dyDescent="0.4">
      <c r="A392" s="23" t="s">
        <v>1303</v>
      </c>
      <c r="B392" s="23"/>
      <c r="C392" s="23"/>
      <c r="D392" s="23"/>
      <c r="E392" s="22"/>
      <c r="F392" s="22"/>
    </row>
    <row r="393" spans="1:9" ht="24" customHeight="1" x14ac:dyDescent="0.4">
      <c r="A393" s="23" t="s">
        <v>1299</v>
      </c>
      <c r="B393" s="23"/>
      <c r="C393" s="23"/>
      <c r="D393" s="23"/>
      <c r="E393" s="22"/>
      <c r="F393" s="22"/>
    </row>
    <row r="394" spans="1:9" ht="24" customHeight="1" x14ac:dyDescent="0.4">
      <c r="A394" s="23" t="s">
        <v>1300</v>
      </c>
      <c r="B394" s="23"/>
      <c r="C394" s="23"/>
      <c r="D394" s="23"/>
      <c r="E394" s="22"/>
      <c r="F394" s="22"/>
    </row>
    <row r="395" spans="1:9" ht="24" customHeight="1" x14ac:dyDescent="0.4">
      <c r="A395" s="23"/>
      <c r="B395" s="23"/>
      <c r="C395" s="23"/>
      <c r="D395" s="23"/>
      <c r="E395" s="22"/>
      <c r="F395" s="22"/>
      <c r="G395" s="47"/>
    </row>
    <row r="396" spans="1:9" ht="24" customHeight="1" x14ac:dyDescent="0.4">
      <c r="A396" s="23"/>
      <c r="B396" s="23"/>
      <c r="C396" s="23"/>
      <c r="D396" s="23"/>
      <c r="E396" s="22"/>
      <c r="F396" s="22"/>
      <c r="G396" s="47"/>
    </row>
    <row r="397" spans="1:9" ht="24" customHeight="1" x14ac:dyDescent="0.4">
      <c r="A397" s="23"/>
      <c r="B397" s="23"/>
      <c r="C397" s="23"/>
      <c r="D397" s="23"/>
      <c r="E397" s="22"/>
      <c r="F397" s="22"/>
      <c r="G397" s="47"/>
    </row>
    <row r="398" spans="1:9" ht="24" customHeight="1" x14ac:dyDescent="0.4">
      <c r="A398" s="23"/>
      <c r="B398" s="23"/>
      <c r="C398" s="23"/>
      <c r="D398" s="23"/>
      <c r="E398" s="22"/>
      <c r="F398" s="22"/>
      <c r="G398" s="47"/>
    </row>
    <row r="399" spans="1:9" ht="24" customHeight="1" x14ac:dyDescent="0.4">
      <c r="A399" s="23"/>
      <c r="B399" s="23"/>
      <c r="C399" s="23"/>
      <c r="D399" s="23"/>
      <c r="E399" s="22"/>
      <c r="F399" s="22"/>
      <c r="G399" s="47"/>
    </row>
    <row r="400" spans="1:9" ht="24" customHeight="1" x14ac:dyDescent="0.4">
      <c r="A400" s="23"/>
      <c r="B400" s="23"/>
      <c r="C400" s="23"/>
      <c r="D400" s="23"/>
      <c r="E400" s="22"/>
      <c r="F400" s="22"/>
      <c r="G400" s="47"/>
    </row>
    <row r="401" spans="1:7" ht="24" customHeight="1" x14ac:dyDescent="0.4">
      <c r="A401" s="23"/>
      <c r="B401" s="23"/>
      <c r="C401" s="23"/>
      <c r="D401" s="23"/>
      <c r="E401" s="22"/>
      <c r="F401" s="22"/>
      <c r="G401" s="47"/>
    </row>
    <row r="402" spans="1:7" ht="24" customHeight="1" x14ac:dyDescent="0.4">
      <c r="A402" s="23"/>
      <c r="B402" s="23"/>
      <c r="C402" s="23"/>
      <c r="D402" s="23"/>
      <c r="E402" s="22"/>
      <c r="F402" s="22"/>
      <c r="G402" s="47"/>
    </row>
    <row r="403" spans="1:7" ht="24" customHeight="1" x14ac:dyDescent="0.4">
      <c r="A403" s="23"/>
      <c r="B403" s="23"/>
      <c r="C403" s="23"/>
      <c r="D403" s="23"/>
      <c r="E403" s="22"/>
      <c r="F403" s="22"/>
      <c r="G403" s="47"/>
    </row>
    <row r="404" spans="1:7" ht="24" customHeight="1" x14ac:dyDescent="0.4">
      <c r="A404" s="23"/>
      <c r="B404" s="23"/>
      <c r="C404" s="23"/>
      <c r="D404" s="23"/>
      <c r="E404" s="22"/>
      <c r="F404" s="22"/>
      <c r="G404" s="47"/>
    </row>
    <row r="405" spans="1:7" ht="24" customHeight="1" x14ac:dyDescent="0.4">
      <c r="A405" s="23"/>
      <c r="B405" s="23"/>
      <c r="C405" s="23"/>
      <c r="D405" s="23"/>
      <c r="E405" s="22"/>
      <c r="F405" s="22"/>
      <c r="G405" s="47"/>
    </row>
    <row r="406" spans="1:7" ht="24" customHeight="1" x14ac:dyDescent="0.4">
      <c r="A406" s="23"/>
      <c r="B406" s="23"/>
      <c r="C406" s="23"/>
      <c r="D406" s="23"/>
      <c r="E406" s="22"/>
      <c r="F406" s="22"/>
      <c r="G406" s="47"/>
    </row>
    <row r="407" spans="1:7" ht="24" customHeight="1" x14ac:dyDescent="0.4">
      <c r="A407" s="23"/>
      <c r="B407" s="23"/>
      <c r="C407" s="23"/>
      <c r="D407" s="23"/>
      <c r="E407" s="22"/>
      <c r="F407" s="22"/>
      <c r="G407" s="47"/>
    </row>
    <row r="408" spans="1:7" ht="24" customHeight="1" x14ac:dyDescent="0.4">
      <c r="A408" s="23"/>
      <c r="B408" s="23"/>
      <c r="C408" s="23"/>
      <c r="D408" s="23"/>
      <c r="E408" s="22"/>
      <c r="F408" s="22"/>
      <c r="G408" s="47"/>
    </row>
    <row r="409" spans="1:7" ht="24" customHeight="1" x14ac:dyDescent="0.4">
      <c r="A409" s="23"/>
      <c r="B409" s="23"/>
      <c r="C409" s="23"/>
      <c r="D409" s="23"/>
      <c r="E409" s="22"/>
      <c r="F409" s="22"/>
      <c r="G409" s="47"/>
    </row>
    <row r="410" spans="1:7" ht="24" customHeight="1" x14ac:dyDescent="0.4">
      <c r="A410" s="23"/>
      <c r="B410" s="23"/>
      <c r="C410" s="23"/>
      <c r="D410" s="23"/>
      <c r="E410" s="22"/>
      <c r="F410" s="22"/>
      <c r="G410" s="47"/>
    </row>
    <row r="411" spans="1:7" ht="24" customHeight="1" x14ac:dyDescent="0.4">
      <c r="A411" s="23"/>
      <c r="B411" s="23"/>
      <c r="C411" s="23"/>
      <c r="D411" s="23"/>
      <c r="E411" s="22"/>
      <c r="F411" s="22"/>
      <c r="G411" s="47"/>
    </row>
    <row r="412" spans="1:7" ht="24" customHeight="1" x14ac:dyDescent="0.4">
      <c r="A412" s="23"/>
      <c r="B412" s="23"/>
      <c r="C412" s="23"/>
      <c r="D412" s="23"/>
      <c r="E412" s="22"/>
      <c r="F412" s="22"/>
      <c r="G412" s="47"/>
    </row>
    <row r="413" spans="1:7" ht="24" customHeight="1" x14ac:dyDescent="0.4">
      <c r="A413" s="23"/>
      <c r="B413" s="23"/>
      <c r="C413" s="23"/>
      <c r="D413" s="23"/>
      <c r="E413" s="22"/>
      <c r="F413" s="22"/>
      <c r="G413" s="47"/>
    </row>
    <row r="414" spans="1:7" ht="24" customHeight="1" x14ac:dyDescent="0.4">
      <c r="A414" s="23"/>
      <c r="B414" s="23"/>
      <c r="C414" s="23"/>
      <c r="D414" s="23"/>
      <c r="E414" s="22"/>
      <c r="F414" s="22"/>
      <c r="G414" s="47"/>
    </row>
    <row r="415" spans="1:7" ht="24" customHeight="1" x14ac:dyDescent="0.4">
      <c r="A415" s="23"/>
      <c r="B415" s="23"/>
      <c r="C415" s="23"/>
      <c r="D415" s="23"/>
      <c r="E415" s="22"/>
      <c r="F415" s="22"/>
      <c r="G415" s="47"/>
    </row>
    <row r="416" spans="1:7" ht="24" customHeight="1" x14ac:dyDescent="0.4">
      <c r="A416" s="23"/>
      <c r="B416" s="23"/>
      <c r="C416" s="23"/>
      <c r="D416" s="23"/>
      <c r="E416" s="22"/>
      <c r="F416" s="22"/>
      <c r="G416" s="47"/>
    </row>
    <row r="417" spans="1:7" ht="24" customHeight="1" x14ac:dyDescent="0.4">
      <c r="A417" s="23"/>
      <c r="B417" s="23"/>
      <c r="C417" s="23"/>
      <c r="D417" s="23"/>
      <c r="E417" s="22"/>
      <c r="F417" s="22"/>
      <c r="G417" s="47"/>
    </row>
    <row r="418" spans="1:7" ht="24" customHeight="1" x14ac:dyDescent="0.4">
      <c r="A418" s="23"/>
      <c r="B418" s="23"/>
      <c r="C418" s="23"/>
      <c r="D418" s="23"/>
      <c r="E418" s="22"/>
      <c r="F418" s="22"/>
      <c r="G418" s="47"/>
    </row>
    <row r="419" spans="1:7" ht="24" customHeight="1" x14ac:dyDescent="0.4">
      <c r="A419" s="23"/>
      <c r="B419" s="23"/>
      <c r="C419" s="23"/>
      <c r="D419" s="23"/>
      <c r="E419" s="22"/>
      <c r="F419" s="22"/>
      <c r="G419" s="47"/>
    </row>
    <row r="420" spans="1:7" ht="24" customHeight="1" x14ac:dyDescent="0.4">
      <c r="A420" s="23"/>
      <c r="B420" s="23"/>
      <c r="C420" s="23"/>
      <c r="D420" s="23"/>
      <c r="E420" s="22"/>
      <c r="F420" s="22"/>
      <c r="G420" s="47"/>
    </row>
    <row r="421" spans="1:7" ht="24" customHeight="1" x14ac:dyDescent="0.4">
      <c r="A421" s="23"/>
      <c r="B421" s="23"/>
      <c r="C421" s="23"/>
      <c r="D421" s="23"/>
      <c r="E421" s="22"/>
      <c r="F421" s="22"/>
      <c r="G421" s="47"/>
    </row>
    <row r="422" spans="1:7" ht="24" customHeight="1" x14ac:dyDescent="0.4">
      <c r="A422" s="23"/>
      <c r="B422" s="23"/>
      <c r="C422" s="23"/>
      <c r="D422" s="23"/>
      <c r="E422" s="22"/>
      <c r="F422" s="22"/>
      <c r="G422" s="47"/>
    </row>
    <row r="423" spans="1:7" ht="24" customHeight="1" x14ac:dyDescent="0.4">
      <c r="A423" s="23"/>
      <c r="B423" s="23"/>
      <c r="C423" s="23"/>
      <c r="D423" s="23"/>
      <c r="E423" s="22"/>
      <c r="F423" s="22"/>
      <c r="G423" s="47"/>
    </row>
    <row r="424" spans="1:7" ht="24" customHeight="1" x14ac:dyDescent="0.4">
      <c r="A424" s="23"/>
      <c r="B424" s="23"/>
      <c r="C424" s="23"/>
      <c r="D424" s="23"/>
      <c r="E424" s="22"/>
      <c r="F424" s="22"/>
      <c r="G424" s="47"/>
    </row>
    <row r="425" spans="1:7" ht="24" customHeight="1" x14ac:dyDescent="0.4">
      <c r="A425" s="23"/>
      <c r="B425" s="23"/>
      <c r="C425" s="23"/>
      <c r="D425" s="23"/>
      <c r="E425" s="22"/>
      <c r="F425" s="22"/>
      <c r="G425" s="47"/>
    </row>
    <row r="426" spans="1:7" ht="24" customHeight="1" x14ac:dyDescent="0.4">
      <c r="A426" s="23"/>
      <c r="B426" s="23"/>
      <c r="C426" s="23"/>
      <c r="D426" s="23"/>
      <c r="E426" s="22"/>
      <c r="F426" s="22"/>
      <c r="G426" s="47"/>
    </row>
    <row r="427" spans="1:7" ht="24" customHeight="1" x14ac:dyDescent="0.4">
      <c r="A427" s="23"/>
      <c r="B427" s="23"/>
      <c r="C427" s="23"/>
      <c r="D427" s="23"/>
      <c r="E427" s="22"/>
      <c r="F427" s="22"/>
      <c r="G427" s="47"/>
    </row>
    <row r="428" spans="1:7" ht="24" customHeight="1" x14ac:dyDescent="0.4">
      <c r="A428" s="23"/>
      <c r="B428" s="23"/>
      <c r="C428" s="23"/>
      <c r="D428" s="23"/>
      <c r="E428" s="22"/>
      <c r="F428" s="22"/>
      <c r="G428" s="47"/>
    </row>
    <row r="429" spans="1:7" ht="24" customHeight="1" x14ac:dyDescent="0.4">
      <c r="A429" s="23"/>
      <c r="B429" s="23"/>
      <c r="C429" s="23"/>
      <c r="D429" s="23"/>
      <c r="E429" s="22"/>
      <c r="F429" s="22"/>
      <c r="G429" s="47"/>
    </row>
    <row r="430" spans="1:7" ht="24" customHeight="1" x14ac:dyDescent="0.4">
      <c r="A430" s="23"/>
      <c r="B430" s="23"/>
      <c r="C430" s="23"/>
      <c r="D430" s="23"/>
      <c r="E430" s="22"/>
      <c r="F430" s="22"/>
      <c r="G430" s="47"/>
    </row>
    <row r="431" spans="1:7" ht="24" customHeight="1" x14ac:dyDescent="0.4">
      <c r="A431" s="23"/>
      <c r="B431" s="23"/>
      <c r="C431" s="23"/>
      <c r="D431" s="23"/>
      <c r="E431" s="22"/>
      <c r="F431" s="22"/>
      <c r="G431" s="47"/>
    </row>
    <row r="432" spans="1:7" ht="24" customHeight="1" x14ac:dyDescent="0.4">
      <c r="A432" s="23"/>
      <c r="B432" s="23"/>
      <c r="C432" s="23"/>
      <c r="D432" s="23"/>
      <c r="E432" s="22"/>
      <c r="F432" s="22"/>
      <c r="G432" s="47"/>
    </row>
    <row r="433" spans="1:7" ht="24" customHeight="1" x14ac:dyDescent="0.4">
      <c r="A433" s="23"/>
      <c r="B433" s="23"/>
      <c r="C433" s="23"/>
      <c r="D433" s="23"/>
      <c r="E433" s="22"/>
      <c r="F433" s="22"/>
      <c r="G433" s="47"/>
    </row>
    <row r="434" spans="1:7" ht="24" customHeight="1" x14ac:dyDescent="0.4">
      <c r="A434" s="23"/>
      <c r="B434" s="23"/>
      <c r="C434" s="23"/>
      <c r="D434" s="23"/>
      <c r="E434" s="22"/>
      <c r="F434" s="22"/>
      <c r="G434" s="47"/>
    </row>
    <row r="435" spans="1:7" ht="24" customHeight="1" x14ac:dyDescent="0.4">
      <c r="A435" s="23"/>
      <c r="B435" s="23"/>
      <c r="C435" s="23"/>
      <c r="D435" s="23"/>
      <c r="E435" s="22"/>
      <c r="F435" s="22"/>
      <c r="G435" s="47"/>
    </row>
    <row r="436" spans="1:7" ht="24" customHeight="1" x14ac:dyDescent="0.4">
      <c r="A436" s="23"/>
      <c r="B436" s="23"/>
      <c r="C436" s="23"/>
      <c r="D436" s="23"/>
      <c r="E436" s="22"/>
      <c r="F436" s="22"/>
      <c r="G436" s="47"/>
    </row>
    <row r="437" spans="1:7" ht="24" customHeight="1" x14ac:dyDescent="0.4">
      <c r="A437" s="23"/>
      <c r="B437" s="23"/>
      <c r="C437" s="23"/>
      <c r="D437" s="23"/>
      <c r="E437" s="22"/>
      <c r="F437" s="22"/>
      <c r="G437" s="47"/>
    </row>
    <row r="438" spans="1:7" ht="24" customHeight="1" x14ac:dyDescent="0.4">
      <c r="A438" s="23"/>
      <c r="B438" s="23"/>
      <c r="C438" s="23"/>
      <c r="D438" s="23"/>
      <c r="E438" s="22"/>
      <c r="F438" s="22"/>
      <c r="G438" s="47"/>
    </row>
    <row r="439" spans="1:7" ht="24" customHeight="1" x14ac:dyDescent="0.4">
      <c r="A439" s="23"/>
      <c r="B439" s="23"/>
      <c r="C439" s="23"/>
      <c r="D439" s="23"/>
      <c r="E439" s="22"/>
      <c r="F439" s="22"/>
      <c r="G439" s="47"/>
    </row>
    <row r="440" spans="1:7" ht="24" customHeight="1" x14ac:dyDescent="0.4">
      <c r="A440" s="23"/>
      <c r="B440" s="23"/>
      <c r="C440" s="23"/>
      <c r="D440" s="23"/>
      <c r="E440" s="22"/>
      <c r="F440" s="22"/>
      <c r="G440" s="47"/>
    </row>
    <row r="441" spans="1:7" ht="24" customHeight="1" x14ac:dyDescent="0.4">
      <c r="A441" s="23"/>
      <c r="B441" s="23"/>
      <c r="C441" s="23"/>
      <c r="D441" s="23"/>
      <c r="E441" s="22"/>
      <c r="F441" s="22"/>
      <c r="G441" s="47"/>
    </row>
    <row r="442" spans="1:7" ht="24" customHeight="1" x14ac:dyDescent="0.4">
      <c r="A442" s="23"/>
      <c r="B442" s="23"/>
      <c r="C442" s="23"/>
      <c r="D442" s="23"/>
      <c r="E442" s="22"/>
      <c r="F442" s="22"/>
      <c r="G442" s="47"/>
    </row>
    <row r="443" spans="1:7" ht="24" customHeight="1" x14ac:dyDescent="0.4">
      <c r="A443" s="23"/>
      <c r="B443" s="23"/>
      <c r="C443" s="23"/>
      <c r="D443" s="23"/>
      <c r="E443" s="22"/>
      <c r="F443" s="22"/>
      <c r="G443" s="47"/>
    </row>
    <row r="444" spans="1:7" ht="24" customHeight="1" x14ac:dyDescent="0.4">
      <c r="A444" s="23"/>
      <c r="B444" s="23"/>
      <c r="C444" s="23"/>
      <c r="D444" s="23"/>
      <c r="E444" s="22"/>
      <c r="F444" s="22"/>
      <c r="G444" s="47"/>
    </row>
    <row r="445" spans="1:7" ht="24" customHeight="1" x14ac:dyDescent="0.4">
      <c r="A445" s="23"/>
      <c r="B445" s="23"/>
      <c r="C445" s="23"/>
      <c r="D445" s="23"/>
      <c r="E445" s="22"/>
      <c r="F445" s="22"/>
      <c r="G445" s="47"/>
    </row>
    <row r="446" spans="1:7" ht="24" customHeight="1" x14ac:dyDescent="0.4">
      <c r="A446" s="23"/>
      <c r="B446" s="23"/>
      <c r="C446" s="23"/>
      <c r="D446" s="23"/>
      <c r="E446" s="22"/>
      <c r="F446" s="22"/>
      <c r="G446" s="47"/>
    </row>
    <row r="447" spans="1:7" ht="24" customHeight="1" x14ac:dyDescent="0.4">
      <c r="A447" s="23"/>
      <c r="B447" s="23"/>
      <c r="C447" s="23"/>
      <c r="D447" s="23"/>
      <c r="E447" s="22"/>
      <c r="F447" s="22"/>
      <c r="G447" s="47"/>
    </row>
    <row r="448" spans="1:7" ht="24" customHeight="1" x14ac:dyDescent="0.4">
      <c r="A448" s="23"/>
      <c r="B448" s="23"/>
      <c r="C448" s="23"/>
      <c r="D448" s="23"/>
      <c r="E448" s="22"/>
      <c r="F448" s="22"/>
      <c r="G448" s="47"/>
    </row>
    <row r="449" spans="1:7" ht="24" customHeight="1" x14ac:dyDescent="0.4">
      <c r="A449" s="23"/>
      <c r="B449" s="23"/>
      <c r="C449" s="23"/>
      <c r="D449" s="23"/>
      <c r="E449" s="22"/>
      <c r="F449" s="22"/>
      <c r="G449" s="47"/>
    </row>
    <row r="450" spans="1:7" ht="24" customHeight="1" x14ac:dyDescent="0.4">
      <c r="A450" s="23"/>
      <c r="B450" s="23"/>
      <c r="C450" s="23"/>
      <c r="D450" s="23"/>
      <c r="E450" s="22"/>
      <c r="F450" s="22"/>
      <c r="G450" s="47"/>
    </row>
    <row r="451" spans="1:7" ht="24" customHeight="1" x14ac:dyDescent="0.4">
      <c r="A451" s="23"/>
      <c r="B451" s="23"/>
      <c r="C451" s="23"/>
      <c r="D451" s="23"/>
      <c r="E451" s="22"/>
      <c r="F451" s="22"/>
      <c r="G451" s="47"/>
    </row>
    <row r="452" spans="1:7" ht="24" customHeight="1" x14ac:dyDescent="0.4">
      <c r="A452" s="23"/>
      <c r="B452" s="23"/>
      <c r="C452" s="23"/>
      <c r="D452" s="23"/>
      <c r="E452" s="22"/>
      <c r="F452" s="22"/>
      <c r="G452" s="47"/>
    </row>
    <row r="453" spans="1:7" ht="24" customHeight="1" x14ac:dyDescent="0.4">
      <c r="A453" s="23"/>
      <c r="B453" s="23"/>
      <c r="C453" s="23"/>
      <c r="D453" s="23"/>
      <c r="E453" s="22"/>
      <c r="F453" s="22"/>
      <c r="G453" s="47"/>
    </row>
    <row r="454" spans="1:7" ht="24" customHeight="1" x14ac:dyDescent="0.4">
      <c r="A454" s="23"/>
      <c r="B454" s="23"/>
      <c r="C454" s="23"/>
      <c r="D454" s="23"/>
      <c r="E454" s="22"/>
      <c r="F454" s="22"/>
      <c r="G454" s="47"/>
    </row>
    <row r="455" spans="1:7" ht="24" customHeight="1" x14ac:dyDescent="0.4">
      <c r="A455" s="23"/>
      <c r="B455" s="23"/>
      <c r="C455" s="23"/>
      <c r="D455" s="23"/>
      <c r="E455" s="22"/>
      <c r="F455" s="22"/>
      <c r="G455" s="47"/>
    </row>
    <row r="456" spans="1:7" ht="24" customHeight="1" x14ac:dyDescent="0.4">
      <c r="A456" s="23"/>
      <c r="B456" s="23"/>
      <c r="C456" s="23"/>
      <c r="D456" s="23"/>
      <c r="E456" s="22"/>
      <c r="F456" s="22"/>
      <c r="G456" s="47"/>
    </row>
    <row r="457" spans="1:7" ht="24" customHeight="1" x14ac:dyDescent="0.4">
      <c r="A457" s="23"/>
      <c r="B457" s="23"/>
      <c r="C457" s="23"/>
      <c r="D457" s="23"/>
      <c r="E457" s="22"/>
      <c r="F457" s="22"/>
      <c r="G457" s="47"/>
    </row>
    <row r="458" spans="1:7" ht="24" customHeight="1" x14ac:dyDescent="0.4">
      <c r="A458" s="23"/>
      <c r="B458" s="23"/>
      <c r="C458" s="23"/>
      <c r="D458" s="23"/>
      <c r="E458" s="22"/>
      <c r="F458" s="22"/>
      <c r="G458" s="47"/>
    </row>
    <row r="459" spans="1:7" ht="24" customHeight="1" x14ac:dyDescent="0.4">
      <c r="A459" s="23"/>
      <c r="B459" s="23"/>
      <c r="C459" s="23"/>
      <c r="D459" s="23"/>
      <c r="E459" s="22"/>
      <c r="F459" s="22"/>
      <c r="G459" s="47"/>
    </row>
    <row r="460" spans="1:7" ht="24" customHeight="1" x14ac:dyDescent="0.4">
      <c r="A460" s="23"/>
      <c r="B460" s="23"/>
      <c r="C460" s="23"/>
      <c r="D460" s="23"/>
      <c r="E460" s="22"/>
      <c r="F460" s="22"/>
      <c r="G460" s="47"/>
    </row>
    <row r="461" spans="1:7" ht="24" customHeight="1" x14ac:dyDescent="0.4">
      <c r="A461" s="23"/>
      <c r="B461" s="23"/>
      <c r="C461" s="23"/>
      <c r="D461" s="23"/>
      <c r="E461" s="22"/>
      <c r="F461" s="22"/>
      <c r="G461" s="47"/>
    </row>
    <row r="462" spans="1:7" ht="24" customHeight="1" x14ac:dyDescent="0.4">
      <c r="A462" s="23"/>
      <c r="B462" s="23"/>
      <c r="C462" s="23"/>
      <c r="D462" s="23"/>
      <c r="E462" s="22"/>
      <c r="F462" s="22"/>
      <c r="G462" s="47"/>
    </row>
    <row r="463" spans="1:7" ht="24" customHeight="1" x14ac:dyDescent="0.4">
      <c r="A463" s="23"/>
      <c r="B463" s="23"/>
      <c r="C463" s="23"/>
      <c r="D463" s="23"/>
      <c r="E463" s="22"/>
      <c r="F463" s="22"/>
      <c r="G463" s="47"/>
    </row>
    <row r="464" spans="1:7" ht="24" customHeight="1" x14ac:dyDescent="0.4">
      <c r="A464" s="23"/>
      <c r="B464" s="23"/>
      <c r="C464" s="23"/>
      <c r="D464" s="23"/>
      <c r="E464" s="22"/>
      <c r="F464" s="22"/>
      <c r="G464" s="47"/>
    </row>
    <row r="465" spans="1:7" ht="24" customHeight="1" x14ac:dyDescent="0.4">
      <c r="A465" s="23"/>
      <c r="B465" s="23"/>
      <c r="C465" s="23"/>
      <c r="D465" s="23"/>
      <c r="E465" s="22"/>
      <c r="F465" s="22"/>
      <c r="G465" s="47"/>
    </row>
    <row r="466" spans="1:7" ht="24" customHeight="1" x14ac:dyDescent="0.4">
      <c r="A466" s="23"/>
      <c r="B466" s="23"/>
      <c r="C466" s="23"/>
      <c r="D466" s="23"/>
      <c r="E466" s="22"/>
      <c r="F466" s="22"/>
      <c r="G466" s="47"/>
    </row>
    <row r="467" spans="1:7" ht="24" customHeight="1" x14ac:dyDescent="0.4">
      <c r="A467" s="23"/>
      <c r="B467" s="23"/>
      <c r="C467" s="23"/>
      <c r="D467" s="23"/>
      <c r="E467" s="22"/>
      <c r="F467" s="22"/>
      <c r="G467" s="47"/>
    </row>
    <row r="468" spans="1:7" ht="24" customHeight="1" x14ac:dyDescent="0.4">
      <c r="A468" s="23"/>
      <c r="B468" s="23"/>
      <c r="C468" s="23"/>
      <c r="D468" s="23"/>
      <c r="E468" s="22"/>
      <c r="F468" s="22"/>
      <c r="G468" s="47"/>
    </row>
    <row r="469" spans="1:7" ht="24" customHeight="1" x14ac:dyDescent="0.4">
      <c r="A469" s="23"/>
      <c r="B469" s="23"/>
      <c r="C469" s="23"/>
      <c r="D469" s="23"/>
      <c r="E469" s="22"/>
      <c r="F469" s="22"/>
      <c r="G469" s="47"/>
    </row>
    <row r="470" spans="1:7" ht="24" customHeight="1" x14ac:dyDescent="0.4">
      <c r="A470" s="23"/>
      <c r="B470" s="23"/>
      <c r="C470" s="23"/>
      <c r="D470" s="23"/>
      <c r="E470" s="22"/>
      <c r="F470" s="22"/>
      <c r="G470" s="47"/>
    </row>
    <row r="471" spans="1:7" ht="24" customHeight="1" x14ac:dyDescent="0.4">
      <c r="A471" s="23"/>
      <c r="B471" s="23"/>
      <c r="C471" s="23"/>
      <c r="D471" s="23"/>
      <c r="E471" s="22"/>
      <c r="F471" s="22"/>
      <c r="G471" s="47"/>
    </row>
    <row r="472" spans="1:7" ht="24" customHeight="1" x14ac:dyDescent="0.4">
      <c r="A472" s="23"/>
      <c r="B472" s="23"/>
      <c r="C472" s="23"/>
      <c r="D472" s="23"/>
      <c r="E472" s="22"/>
      <c r="F472" s="22"/>
      <c r="G472" s="47"/>
    </row>
    <row r="473" spans="1:7" ht="24" customHeight="1" x14ac:dyDescent="0.4">
      <c r="A473" s="23"/>
      <c r="B473" s="23"/>
      <c r="C473" s="23"/>
      <c r="D473" s="23"/>
      <c r="E473" s="22"/>
      <c r="F473" s="22"/>
      <c r="G473" s="47"/>
    </row>
    <row r="474" spans="1:7" ht="24" customHeight="1" x14ac:dyDescent="0.4">
      <c r="A474" s="23"/>
      <c r="B474" s="23"/>
      <c r="C474" s="23"/>
      <c r="D474" s="23"/>
      <c r="E474" s="22"/>
      <c r="F474" s="22"/>
      <c r="G474" s="47"/>
    </row>
    <row r="475" spans="1:7" ht="24" customHeight="1" x14ac:dyDescent="0.4">
      <c r="A475" s="23"/>
      <c r="B475" s="23"/>
      <c r="C475" s="23"/>
      <c r="D475" s="23"/>
      <c r="E475" s="22"/>
      <c r="F475" s="22"/>
      <c r="G475" s="47"/>
    </row>
    <row r="476" spans="1:7" ht="24" customHeight="1" x14ac:dyDescent="0.4">
      <c r="A476" s="23"/>
      <c r="B476" s="23"/>
      <c r="C476" s="23"/>
      <c r="D476" s="23"/>
      <c r="E476" s="22"/>
      <c r="F476" s="22"/>
      <c r="G476" s="47"/>
    </row>
    <row r="477" spans="1:7" ht="24" customHeight="1" x14ac:dyDescent="0.4">
      <c r="A477" s="23"/>
      <c r="B477" s="23"/>
      <c r="C477" s="23"/>
      <c r="D477" s="23"/>
      <c r="E477" s="22"/>
      <c r="F477" s="22"/>
      <c r="G477" s="47"/>
    </row>
    <row r="478" spans="1:7" ht="24" customHeight="1" x14ac:dyDescent="0.4">
      <c r="A478" s="23"/>
      <c r="B478" s="23"/>
      <c r="C478" s="23"/>
      <c r="D478" s="23"/>
      <c r="E478" s="22"/>
      <c r="F478" s="22"/>
      <c r="G478" s="47"/>
    </row>
    <row r="479" spans="1:7" ht="24" customHeight="1" x14ac:dyDescent="0.4">
      <c r="A479" s="23"/>
      <c r="B479" s="23"/>
      <c r="C479" s="23"/>
      <c r="D479" s="23"/>
      <c r="E479" s="22"/>
      <c r="F479" s="22"/>
      <c r="G479" s="47"/>
    </row>
    <row r="480" spans="1:7" ht="24" customHeight="1" x14ac:dyDescent="0.4">
      <c r="A480" s="23"/>
      <c r="B480" s="23"/>
      <c r="C480" s="23"/>
      <c r="D480" s="23"/>
      <c r="E480" s="22"/>
      <c r="F480" s="22"/>
      <c r="G480" s="47"/>
    </row>
    <row r="481" spans="1:7" ht="24" customHeight="1" x14ac:dyDescent="0.4">
      <c r="A481" s="23"/>
      <c r="B481" s="23"/>
      <c r="C481" s="23"/>
      <c r="D481" s="23"/>
      <c r="E481" s="22"/>
      <c r="F481" s="22"/>
      <c r="G481" s="47"/>
    </row>
    <row r="482" spans="1:7" ht="24" customHeight="1" x14ac:dyDescent="0.4">
      <c r="A482" s="23"/>
      <c r="B482" s="23"/>
      <c r="C482" s="23"/>
      <c r="D482" s="23"/>
      <c r="E482" s="22"/>
      <c r="F482" s="22"/>
      <c r="G482" s="47"/>
    </row>
    <row r="483" spans="1:7" ht="24" customHeight="1" x14ac:dyDescent="0.4">
      <c r="A483" s="23"/>
      <c r="B483" s="23"/>
      <c r="C483" s="23"/>
      <c r="D483" s="23"/>
      <c r="E483" s="22"/>
      <c r="F483" s="22"/>
      <c r="G483" s="47"/>
    </row>
    <row r="484" spans="1:7" ht="24" customHeight="1" x14ac:dyDescent="0.4">
      <c r="A484" s="23"/>
      <c r="B484" s="23"/>
      <c r="C484" s="23"/>
      <c r="D484" s="23"/>
      <c r="E484" s="22"/>
      <c r="F484" s="22"/>
      <c r="G484" s="47"/>
    </row>
    <row r="485" spans="1:7" ht="24" customHeight="1" x14ac:dyDescent="0.4">
      <c r="A485" s="23"/>
      <c r="B485" s="23"/>
      <c r="C485" s="23"/>
      <c r="D485" s="23"/>
      <c r="E485" s="22"/>
      <c r="F485" s="22"/>
      <c r="G485" s="47"/>
    </row>
    <row r="486" spans="1:7" ht="24" customHeight="1" x14ac:dyDescent="0.4">
      <c r="A486" s="23"/>
      <c r="B486" s="23"/>
      <c r="C486" s="23"/>
      <c r="D486" s="23"/>
      <c r="E486" s="22"/>
      <c r="F486" s="22"/>
      <c r="G486" s="47"/>
    </row>
    <row r="487" spans="1:7" ht="24" customHeight="1" x14ac:dyDescent="0.4">
      <c r="A487" s="23"/>
      <c r="B487" s="23"/>
      <c r="C487" s="23"/>
      <c r="D487" s="23"/>
      <c r="E487" s="22"/>
      <c r="F487" s="22"/>
      <c r="G487" s="47"/>
    </row>
    <row r="488" spans="1:7" ht="24" customHeight="1" x14ac:dyDescent="0.4">
      <c r="A488" s="23"/>
      <c r="B488" s="23"/>
      <c r="C488" s="23"/>
      <c r="D488" s="23"/>
      <c r="E488" s="22"/>
      <c r="F488" s="22"/>
      <c r="G488" s="47"/>
    </row>
    <row r="489" spans="1:7" ht="24" customHeight="1" x14ac:dyDescent="0.4">
      <c r="A489" s="23"/>
      <c r="B489" s="23"/>
      <c r="C489" s="23"/>
      <c r="D489" s="23"/>
      <c r="E489" s="22"/>
      <c r="F489" s="22"/>
      <c r="G489" s="47"/>
    </row>
    <row r="490" spans="1:7" ht="24" customHeight="1" x14ac:dyDescent="0.4">
      <c r="A490" s="23"/>
      <c r="B490" s="23"/>
      <c r="C490" s="23"/>
      <c r="D490" s="23"/>
      <c r="E490" s="22"/>
      <c r="F490" s="22"/>
      <c r="G490" s="47"/>
    </row>
    <row r="491" spans="1:7" ht="24" customHeight="1" x14ac:dyDescent="0.4">
      <c r="A491" s="23"/>
      <c r="B491" s="23"/>
      <c r="C491" s="23"/>
      <c r="D491" s="23"/>
      <c r="E491" s="22"/>
      <c r="F491" s="22"/>
      <c r="G491" s="47"/>
    </row>
    <row r="492" spans="1:7" ht="24" customHeight="1" x14ac:dyDescent="0.4">
      <c r="A492" s="23"/>
      <c r="B492" s="23"/>
      <c r="C492" s="23"/>
      <c r="D492" s="23"/>
      <c r="E492" s="22"/>
      <c r="F492" s="22"/>
      <c r="G492" s="47"/>
    </row>
    <row r="493" spans="1:7" ht="24" customHeight="1" x14ac:dyDescent="0.4">
      <c r="A493" s="23"/>
      <c r="B493" s="23"/>
      <c r="C493" s="23"/>
      <c r="D493" s="23"/>
      <c r="E493" s="22"/>
      <c r="F493" s="22"/>
      <c r="G493" s="47"/>
    </row>
    <row r="494" spans="1:7" ht="24" customHeight="1" x14ac:dyDescent="0.4">
      <c r="A494" s="23"/>
      <c r="B494" s="23"/>
      <c r="C494" s="23"/>
      <c r="D494" s="23"/>
      <c r="E494" s="22"/>
      <c r="F494" s="22"/>
      <c r="G494" s="47"/>
    </row>
    <row r="495" spans="1:7" ht="24" customHeight="1" x14ac:dyDescent="0.4">
      <c r="A495" s="23"/>
      <c r="B495" s="23"/>
      <c r="C495" s="23"/>
      <c r="D495" s="23"/>
      <c r="E495" s="22"/>
      <c r="F495" s="22"/>
      <c r="G495" s="47"/>
    </row>
    <row r="496" spans="1:7" ht="24" customHeight="1" x14ac:dyDescent="0.4">
      <c r="A496" s="23"/>
      <c r="B496" s="23"/>
      <c r="C496" s="23"/>
      <c r="D496" s="23"/>
      <c r="E496" s="22"/>
      <c r="F496" s="22"/>
      <c r="G496" s="47"/>
    </row>
    <row r="497" spans="1:7" ht="24" customHeight="1" x14ac:dyDescent="0.4">
      <c r="A497" s="23"/>
      <c r="B497" s="23"/>
      <c r="C497" s="23"/>
      <c r="D497" s="23"/>
      <c r="E497" s="22"/>
      <c r="F497" s="22"/>
      <c r="G497" s="47"/>
    </row>
    <row r="498" spans="1:7" ht="24" customHeight="1" x14ac:dyDescent="0.4">
      <c r="A498" s="23"/>
      <c r="B498" s="23"/>
      <c r="C498" s="23"/>
      <c r="D498" s="23"/>
      <c r="E498" s="22"/>
      <c r="F498" s="22"/>
      <c r="G498" s="47"/>
    </row>
    <row r="499" spans="1:7" ht="24" customHeight="1" x14ac:dyDescent="0.4">
      <c r="A499" s="23"/>
      <c r="B499" s="23"/>
      <c r="C499" s="23"/>
      <c r="D499" s="23"/>
      <c r="E499" s="22"/>
      <c r="F499" s="22"/>
      <c r="G499" s="47"/>
    </row>
    <row r="500" spans="1:7" ht="24" customHeight="1" x14ac:dyDescent="0.4">
      <c r="A500" s="23"/>
      <c r="B500" s="23"/>
      <c r="C500" s="23"/>
      <c r="D500" s="23"/>
      <c r="E500" s="22"/>
      <c r="F500" s="22"/>
      <c r="G500" s="47"/>
    </row>
    <row r="501" spans="1:7" ht="24" customHeight="1" x14ac:dyDescent="0.4">
      <c r="A501" s="23"/>
      <c r="B501" s="23"/>
      <c r="C501" s="23"/>
      <c r="D501" s="23"/>
      <c r="E501" s="22"/>
      <c r="F501" s="22"/>
      <c r="G501" s="47"/>
    </row>
    <row r="502" spans="1:7" ht="24" customHeight="1" x14ac:dyDescent="0.4">
      <c r="A502" s="23"/>
      <c r="B502" s="23"/>
      <c r="C502" s="23"/>
      <c r="D502" s="23"/>
      <c r="E502" s="22"/>
      <c r="F502" s="22"/>
      <c r="G502" s="47"/>
    </row>
    <row r="503" spans="1:7" ht="24" customHeight="1" x14ac:dyDescent="0.4">
      <c r="A503" s="23"/>
      <c r="B503" s="23"/>
      <c r="C503" s="23"/>
      <c r="D503" s="23"/>
      <c r="E503" s="22"/>
      <c r="F503" s="22"/>
      <c r="G503" s="47"/>
    </row>
    <row r="504" spans="1:7" ht="24" customHeight="1" x14ac:dyDescent="0.4">
      <c r="A504" s="23"/>
      <c r="B504" s="23"/>
      <c r="C504" s="23"/>
      <c r="D504" s="23"/>
      <c r="E504" s="22"/>
      <c r="F504" s="22"/>
      <c r="G504" s="47"/>
    </row>
    <row r="505" spans="1:7" ht="24" customHeight="1" x14ac:dyDescent="0.4">
      <c r="A505" s="23"/>
      <c r="B505" s="23"/>
      <c r="C505" s="23"/>
      <c r="D505" s="23"/>
      <c r="E505" s="22"/>
      <c r="F505" s="22"/>
      <c r="G505" s="47"/>
    </row>
    <row r="506" spans="1:7" ht="24" customHeight="1" x14ac:dyDescent="0.4">
      <c r="A506" s="23"/>
      <c r="B506" s="23"/>
      <c r="C506" s="23"/>
      <c r="D506" s="23"/>
      <c r="E506" s="22"/>
      <c r="F506" s="22"/>
      <c r="G506" s="47"/>
    </row>
    <row r="507" spans="1:7" ht="24" customHeight="1" x14ac:dyDescent="0.4">
      <c r="A507" s="23"/>
      <c r="B507" s="23"/>
      <c r="C507" s="23"/>
      <c r="D507" s="23"/>
      <c r="E507" s="22"/>
      <c r="F507" s="22"/>
      <c r="G507" s="47"/>
    </row>
    <row r="508" spans="1:7" ht="24" customHeight="1" x14ac:dyDescent="0.4">
      <c r="A508" s="23"/>
      <c r="B508" s="23"/>
      <c r="C508" s="23"/>
      <c r="D508" s="23"/>
      <c r="E508" s="22"/>
      <c r="F508" s="22"/>
      <c r="G508" s="47"/>
    </row>
    <row r="509" spans="1:7" ht="24" customHeight="1" x14ac:dyDescent="0.4">
      <c r="A509" s="23"/>
      <c r="B509" s="23"/>
      <c r="C509" s="23"/>
      <c r="D509" s="23"/>
      <c r="E509" s="22"/>
      <c r="F509" s="22"/>
      <c r="G509" s="47"/>
    </row>
    <row r="510" spans="1:7" ht="24" customHeight="1" x14ac:dyDescent="0.4">
      <c r="A510" s="23"/>
      <c r="B510" s="23"/>
      <c r="C510" s="23"/>
      <c r="D510" s="23"/>
      <c r="E510" s="22"/>
      <c r="F510" s="22"/>
      <c r="G510" s="47"/>
    </row>
    <row r="511" spans="1:7" ht="24" customHeight="1" x14ac:dyDescent="0.4">
      <c r="A511" s="23"/>
      <c r="B511" s="23"/>
      <c r="C511" s="23"/>
      <c r="D511" s="23"/>
      <c r="E511" s="22"/>
      <c r="F511" s="22"/>
      <c r="G511" s="47"/>
    </row>
    <row r="512" spans="1:7" ht="24" customHeight="1" x14ac:dyDescent="0.4">
      <c r="A512" s="23"/>
      <c r="B512" s="23"/>
      <c r="C512" s="23"/>
      <c r="D512" s="23"/>
      <c r="E512" s="22"/>
      <c r="F512" s="22"/>
      <c r="G512" s="47"/>
    </row>
    <row r="513" spans="1:7" ht="24" customHeight="1" x14ac:dyDescent="0.4">
      <c r="A513" s="23"/>
      <c r="B513" s="23"/>
      <c r="C513" s="23"/>
      <c r="D513" s="23"/>
      <c r="E513" s="22"/>
      <c r="F513" s="22"/>
      <c r="G513" s="47"/>
    </row>
    <row r="514" spans="1:7" ht="24" customHeight="1" x14ac:dyDescent="0.4">
      <c r="A514" s="23"/>
      <c r="B514" s="23"/>
      <c r="C514" s="23"/>
      <c r="D514" s="23"/>
      <c r="E514" s="22"/>
      <c r="F514" s="22"/>
      <c r="G514" s="47"/>
    </row>
    <row r="515" spans="1:7" ht="24" customHeight="1" x14ac:dyDescent="0.4">
      <c r="A515" s="23"/>
      <c r="B515" s="23"/>
      <c r="C515" s="23"/>
      <c r="D515" s="23"/>
      <c r="E515" s="22"/>
      <c r="F515" s="22"/>
      <c r="G515" s="47"/>
    </row>
    <row r="516" spans="1:7" ht="24" customHeight="1" x14ac:dyDescent="0.4">
      <c r="A516" s="23"/>
      <c r="B516" s="23"/>
      <c r="C516" s="23"/>
      <c r="D516" s="23"/>
      <c r="E516" s="22"/>
      <c r="F516" s="22"/>
      <c r="G516" s="47"/>
    </row>
    <row r="517" spans="1:7" ht="24" customHeight="1" x14ac:dyDescent="0.4">
      <c r="A517" s="23"/>
      <c r="B517" s="23"/>
      <c r="C517" s="23"/>
      <c r="D517" s="23"/>
      <c r="E517" s="22"/>
      <c r="F517" s="22"/>
      <c r="G517" s="47"/>
    </row>
    <row r="518" spans="1:7" ht="24" customHeight="1" x14ac:dyDescent="0.4">
      <c r="A518" s="23"/>
      <c r="B518" s="23"/>
      <c r="C518" s="23"/>
      <c r="D518" s="23"/>
      <c r="E518" s="22"/>
      <c r="F518" s="22"/>
      <c r="G518" s="47"/>
    </row>
    <row r="519" spans="1:7" ht="24" customHeight="1" x14ac:dyDescent="0.4">
      <c r="A519" s="23"/>
      <c r="B519" s="23"/>
      <c r="C519" s="23"/>
      <c r="D519" s="23"/>
      <c r="E519" s="22"/>
      <c r="F519" s="22"/>
      <c r="G519" s="47"/>
    </row>
    <row r="520" spans="1:7" ht="24" customHeight="1" x14ac:dyDescent="0.4">
      <c r="A520" s="23"/>
      <c r="B520" s="23"/>
      <c r="C520" s="23"/>
      <c r="D520" s="23"/>
      <c r="E520" s="22"/>
      <c r="F520" s="22"/>
      <c r="G520" s="47"/>
    </row>
    <row r="521" spans="1:7" ht="24" customHeight="1" x14ac:dyDescent="0.4">
      <c r="A521" s="23"/>
      <c r="B521" s="23"/>
      <c r="C521" s="23"/>
      <c r="D521" s="23"/>
      <c r="E521" s="22"/>
      <c r="F521" s="22"/>
      <c r="G521" s="47"/>
    </row>
    <row r="522" spans="1:7" ht="24" customHeight="1" x14ac:dyDescent="0.4">
      <c r="A522" s="23"/>
      <c r="B522" s="23"/>
      <c r="C522" s="23"/>
      <c r="D522" s="23"/>
      <c r="E522" s="22"/>
      <c r="F522" s="22"/>
      <c r="G522" s="47"/>
    </row>
    <row r="523" spans="1:7" ht="24" customHeight="1" x14ac:dyDescent="0.4">
      <c r="A523" s="23"/>
      <c r="B523" s="23"/>
      <c r="C523" s="23"/>
      <c r="D523" s="23"/>
      <c r="E523" s="22"/>
      <c r="F523" s="22"/>
      <c r="G523" s="47"/>
    </row>
    <row r="524" spans="1:7" ht="24" customHeight="1" x14ac:dyDescent="0.4">
      <c r="A524" s="23"/>
      <c r="B524" s="23"/>
      <c r="C524" s="23"/>
      <c r="D524" s="23"/>
      <c r="E524" s="22"/>
      <c r="F524" s="22"/>
      <c r="G524" s="47"/>
    </row>
    <row r="525" spans="1:7" ht="24" customHeight="1" x14ac:dyDescent="0.4">
      <c r="A525" s="23"/>
      <c r="B525" s="23"/>
      <c r="C525" s="23"/>
      <c r="D525" s="23"/>
      <c r="E525" s="22"/>
      <c r="F525" s="22"/>
      <c r="G525" s="47"/>
    </row>
    <row r="526" spans="1:7" ht="24" customHeight="1" x14ac:dyDescent="0.4">
      <c r="A526" s="23"/>
      <c r="B526" s="23"/>
      <c r="C526" s="23"/>
      <c r="D526" s="23"/>
      <c r="E526" s="22"/>
      <c r="F526" s="22"/>
      <c r="G526" s="47"/>
    </row>
    <row r="527" spans="1:7" ht="24" customHeight="1" x14ac:dyDescent="0.4">
      <c r="A527" s="23"/>
      <c r="B527" s="23"/>
      <c r="C527" s="23"/>
      <c r="D527" s="23"/>
      <c r="E527" s="22"/>
      <c r="F527" s="22"/>
      <c r="G527" s="47"/>
    </row>
    <row r="528" spans="1:7" ht="24" customHeight="1" x14ac:dyDescent="0.4">
      <c r="A528" s="23"/>
      <c r="B528" s="23"/>
      <c r="C528" s="23"/>
      <c r="D528" s="23"/>
      <c r="E528" s="22"/>
      <c r="F528" s="22"/>
      <c r="G528" s="47"/>
    </row>
    <row r="529" spans="1:7" ht="24" customHeight="1" x14ac:dyDescent="0.4">
      <c r="A529" s="23"/>
      <c r="B529" s="23"/>
      <c r="C529" s="23"/>
      <c r="D529" s="23"/>
      <c r="E529" s="22"/>
      <c r="F529" s="22"/>
      <c r="G529" s="47"/>
    </row>
    <row r="530" spans="1:7" ht="24" customHeight="1" x14ac:dyDescent="0.4">
      <c r="A530" s="23"/>
      <c r="B530" s="23"/>
      <c r="C530" s="23"/>
      <c r="D530" s="23"/>
      <c r="E530" s="22"/>
      <c r="F530" s="22"/>
      <c r="G530" s="47"/>
    </row>
    <row r="531" spans="1:7" ht="24" customHeight="1" x14ac:dyDescent="0.4">
      <c r="A531" s="23"/>
      <c r="B531" s="23"/>
      <c r="C531" s="23"/>
      <c r="D531" s="23"/>
      <c r="E531" s="22"/>
      <c r="F531" s="22"/>
      <c r="G531" s="47"/>
    </row>
    <row r="532" spans="1:7" ht="24" customHeight="1" x14ac:dyDescent="0.4">
      <c r="A532" s="23"/>
      <c r="B532" s="23"/>
      <c r="C532" s="23"/>
      <c r="D532" s="23"/>
      <c r="E532" s="22"/>
      <c r="F532" s="22"/>
      <c r="G532" s="47"/>
    </row>
    <row r="533" spans="1:7" ht="24" customHeight="1" x14ac:dyDescent="0.4">
      <c r="A533" s="23"/>
      <c r="B533" s="23"/>
      <c r="C533" s="23"/>
      <c r="D533" s="23"/>
      <c r="E533" s="22"/>
      <c r="F533" s="22"/>
      <c r="G533" s="47"/>
    </row>
    <row r="534" spans="1:7" ht="24" customHeight="1" x14ac:dyDescent="0.4">
      <c r="A534" s="23"/>
      <c r="B534" s="23"/>
      <c r="C534" s="23"/>
      <c r="D534" s="23"/>
      <c r="E534" s="22"/>
      <c r="F534" s="22"/>
      <c r="G534" s="47"/>
    </row>
    <row r="535" spans="1:7" ht="24" customHeight="1" x14ac:dyDescent="0.4">
      <c r="A535" s="23"/>
      <c r="B535" s="23"/>
      <c r="C535" s="23"/>
      <c r="D535" s="23"/>
      <c r="E535" s="22"/>
      <c r="F535" s="22"/>
      <c r="G535" s="47"/>
    </row>
    <row r="536" spans="1:7" ht="24" customHeight="1" x14ac:dyDescent="0.4">
      <c r="A536" s="23"/>
      <c r="B536" s="23"/>
      <c r="C536" s="23"/>
      <c r="D536" s="23"/>
      <c r="E536" s="22"/>
      <c r="F536" s="22"/>
      <c r="G536" s="47"/>
    </row>
    <row r="537" spans="1:7" ht="24" customHeight="1" x14ac:dyDescent="0.4">
      <c r="A537" s="23"/>
      <c r="B537" s="23"/>
      <c r="C537" s="23"/>
      <c r="D537" s="23"/>
      <c r="E537" s="22"/>
      <c r="F537" s="22"/>
      <c r="G537" s="47"/>
    </row>
    <row r="538" spans="1:7" ht="24" customHeight="1" x14ac:dyDescent="0.4">
      <c r="A538" s="23"/>
      <c r="B538" s="23"/>
      <c r="C538" s="23"/>
      <c r="D538" s="23"/>
      <c r="E538" s="22"/>
      <c r="F538" s="22"/>
      <c r="G538" s="47"/>
    </row>
    <row r="539" spans="1:7" ht="24" customHeight="1" x14ac:dyDescent="0.4">
      <c r="A539" s="23"/>
      <c r="B539" s="23"/>
      <c r="C539" s="23"/>
      <c r="D539" s="23"/>
      <c r="E539" s="22"/>
      <c r="F539" s="22"/>
      <c r="G539" s="47"/>
    </row>
    <row r="540" spans="1:7" ht="24" customHeight="1" x14ac:dyDescent="0.4">
      <c r="A540" s="23"/>
      <c r="B540" s="23"/>
      <c r="C540" s="23"/>
      <c r="D540" s="23"/>
      <c r="E540" s="22"/>
      <c r="F540" s="22"/>
      <c r="G540" s="47"/>
    </row>
    <row r="541" spans="1:7" ht="24" customHeight="1" x14ac:dyDescent="0.4">
      <c r="A541" s="23"/>
      <c r="B541" s="23"/>
      <c r="C541" s="23"/>
      <c r="D541" s="23"/>
      <c r="E541" s="22"/>
      <c r="F541" s="22"/>
      <c r="G541" s="47"/>
    </row>
    <row r="542" spans="1:7" ht="24" customHeight="1" x14ac:dyDescent="0.4">
      <c r="A542" s="23"/>
      <c r="B542" s="23"/>
      <c r="C542" s="23"/>
      <c r="D542" s="23"/>
      <c r="E542" s="22"/>
      <c r="F542" s="22"/>
      <c r="G542" s="47"/>
    </row>
    <row r="543" spans="1:7" ht="24" customHeight="1" x14ac:dyDescent="0.4">
      <c r="A543" s="23"/>
      <c r="B543" s="23"/>
      <c r="C543" s="23"/>
      <c r="D543" s="23"/>
      <c r="E543" s="22"/>
      <c r="F543" s="22"/>
      <c r="G543" s="47"/>
    </row>
    <row r="544" spans="1:7" ht="24" customHeight="1" x14ac:dyDescent="0.4">
      <c r="A544" s="23"/>
      <c r="B544" s="23"/>
      <c r="C544" s="23"/>
      <c r="D544" s="23"/>
      <c r="E544" s="22"/>
      <c r="F544" s="22"/>
      <c r="G544" s="47"/>
    </row>
    <row r="545" spans="1:7" ht="24" customHeight="1" x14ac:dyDescent="0.4">
      <c r="A545" s="23"/>
      <c r="B545" s="23"/>
      <c r="C545" s="23"/>
      <c r="D545" s="23"/>
      <c r="E545" s="22"/>
      <c r="F545" s="22"/>
      <c r="G545" s="47"/>
    </row>
    <row r="546" spans="1:7" ht="24" customHeight="1" x14ac:dyDescent="0.4">
      <c r="A546" s="23"/>
      <c r="B546" s="23"/>
      <c r="C546" s="23"/>
      <c r="D546" s="23"/>
      <c r="E546" s="22"/>
      <c r="F546" s="22"/>
      <c r="G546" s="47"/>
    </row>
    <row r="547" spans="1:7" ht="24" customHeight="1" x14ac:dyDescent="0.4">
      <c r="A547" s="23"/>
      <c r="B547" s="23"/>
      <c r="C547" s="23"/>
      <c r="D547" s="23"/>
      <c r="E547" s="22"/>
      <c r="F547" s="22"/>
      <c r="G547" s="47"/>
    </row>
    <row r="548" spans="1:7" ht="24" customHeight="1" x14ac:dyDescent="0.4">
      <c r="A548" s="23"/>
      <c r="B548" s="23"/>
      <c r="C548" s="23"/>
      <c r="D548" s="23"/>
      <c r="E548" s="22"/>
      <c r="F548" s="22"/>
      <c r="G548" s="47"/>
    </row>
    <row r="549" spans="1:7" ht="24" customHeight="1" x14ac:dyDescent="0.4">
      <c r="A549" s="23"/>
      <c r="B549" s="23"/>
      <c r="C549" s="23"/>
      <c r="D549" s="23"/>
      <c r="E549" s="22"/>
      <c r="F549" s="22"/>
      <c r="G549" s="47"/>
    </row>
    <row r="550" spans="1:7" ht="24" customHeight="1" x14ac:dyDescent="0.4">
      <c r="A550" s="23"/>
      <c r="B550" s="23"/>
      <c r="C550" s="23"/>
      <c r="D550" s="23"/>
      <c r="E550" s="22"/>
      <c r="F550" s="22"/>
      <c r="G550" s="47"/>
    </row>
    <row r="551" spans="1:7" ht="24" customHeight="1" x14ac:dyDescent="0.4">
      <c r="A551" s="23"/>
      <c r="B551" s="23"/>
      <c r="C551" s="23"/>
      <c r="D551" s="23"/>
      <c r="E551" s="22"/>
      <c r="F551" s="22"/>
      <c r="G551" s="47"/>
    </row>
    <row r="552" spans="1:7" ht="24" customHeight="1" x14ac:dyDescent="0.4">
      <c r="A552" s="23"/>
      <c r="B552" s="23"/>
      <c r="C552" s="23"/>
      <c r="D552" s="23"/>
      <c r="E552" s="22"/>
      <c r="F552" s="22"/>
      <c r="G552" s="47"/>
    </row>
    <row r="553" spans="1:7" ht="24" customHeight="1" x14ac:dyDescent="0.4">
      <c r="A553" s="23"/>
      <c r="B553" s="23"/>
      <c r="C553" s="23"/>
      <c r="D553" s="23"/>
      <c r="E553" s="22"/>
      <c r="F553" s="22"/>
      <c r="G553" s="47"/>
    </row>
    <row r="554" spans="1:7" ht="24" customHeight="1" x14ac:dyDescent="0.4">
      <c r="A554" s="23"/>
      <c r="B554" s="23"/>
      <c r="C554" s="23"/>
      <c r="D554" s="23"/>
      <c r="E554" s="22"/>
      <c r="F554" s="22"/>
      <c r="G554" s="47"/>
    </row>
    <row r="555" spans="1:7" ht="24" customHeight="1" x14ac:dyDescent="0.4">
      <c r="A555" s="23"/>
      <c r="B555" s="23"/>
      <c r="C555" s="23"/>
      <c r="D555" s="23"/>
      <c r="E555" s="22"/>
      <c r="F555" s="22"/>
      <c r="G555" s="47"/>
    </row>
    <row r="556" spans="1:7" ht="24" customHeight="1" x14ac:dyDescent="0.4">
      <c r="A556" s="23"/>
      <c r="B556" s="23"/>
      <c r="C556" s="23"/>
      <c r="D556" s="23"/>
      <c r="E556" s="22"/>
      <c r="F556" s="22"/>
      <c r="G556" s="47"/>
    </row>
    <row r="557" spans="1:7" ht="24" customHeight="1" x14ac:dyDescent="0.4">
      <c r="A557" s="23"/>
      <c r="B557" s="23"/>
      <c r="C557" s="23"/>
      <c r="D557" s="23"/>
      <c r="E557" s="22"/>
      <c r="F557" s="22"/>
      <c r="G557" s="47"/>
    </row>
    <row r="558" spans="1:7" ht="24" customHeight="1" x14ac:dyDescent="0.4">
      <c r="A558" s="23"/>
      <c r="B558" s="23"/>
      <c r="C558" s="23"/>
      <c r="D558" s="23"/>
      <c r="E558" s="22"/>
      <c r="F558" s="22"/>
      <c r="G558" s="47"/>
    </row>
    <row r="559" spans="1:7" ht="24" customHeight="1" x14ac:dyDescent="0.4">
      <c r="A559" s="23"/>
      <c r="B559" s="23"/>
      <c r="C559" s="23"/>
      <c r="D559" s="23"/>
      <c r="E559" s="22"/>
      <c r="F559" s="22"/>
      <c r="G559" s="47"/>
    </row>
    <row r="560" spans="1:7" ht="24" customHeight="1" x14ac:dyDescent="0.4">
      <c r="A560" s="23"/>
      <c r="B560" s="23"/>
      <c r="C560" s="23"/>
      <c r="D560" s="23"/>
      <c r="E560" s="22"/>
      <c r="F560" s="22"/>
      <c r="G560" s="47"/>
    </row>
    <row r="561" spans="1:7" ht="24" customHeight="1" x14ac:dyDescent="0.4">
      <c r="A561" s="23"/>
      <c r="B561" s="23"/>
      <c r="C561" s="23"/>
      <c r="D561" s="23"/>
      <c r="E561" s="22"/>
      <c r="F561" s="22"/>
      <c r="G561" s="47"/>
    </row>
    <row r="562" spans="1:7" ht="24" customHeight="1" x14ac:dyDescent="0.4">
      <c r="A562" s="23"/>
      <c r="B562" s="23"/>
      <c r="C562" s="23"/>
      <c r="D562" s="23"/>
      <c r="E562" s="22"/>
      <c r="F562" s="22"/>
      <c r="G562" s="47"/>
    </row>
    <row r="563" spans="1:7" ht="24" customHeight="1" x14ac:dyDescent="0.4">
      <c r="A563" s="23"/>
      <c r="B563" s="23"/>
      <c r="C563" s="23"/>
      <c r="D563" s="23"/>
      <c r="E563" s="22"/>
      <c r="F563" s="22"/>
      <c r="G563" s="47"/>
    </row>
    <row r="564" spans="1:7" ht="24" customHeight="1" x14ac:dyDescent="0.4">
      <c r="A564" s="23"/>
      <c r="B564" s="23"/>
      <c r="C564" s="23"/>
      <c r="D564" s="23"/>
      <c r="E564" s="22"/>
      <c r="F564" s="22"/>
      <c r="G564" s="47"/>
    </row>
    <row r="565" spans="1:7" ht="24" customHeight="1" x14ac:dyDescent="0.4">
      <c r="A565" s="23"/>
      <c r="B565" s="23"/>
      <c r="C565" s="23"/>
      <c r="D565" s="23"/>
      <c r="E565" s="22"/>
      <c r="F565" s="22"/>
      <c r="G565" s="47"/>
    </row>
    <row r="566" spans="1:7" ht="24" customHeight="1" x14ac:dyDescent="0.4">
      <c r="A566" s="23"/>
      <c r="B566" s="23"/>
      <c r="C566" s="23"/>
      <c r="D566" s="23"/>
      <c r="E566" s="22"/>
      <c r="F566" s="22"/>
      <c r="G566" s="47"/>
    </row>
    <row r="567" spans="1:7" ht="24" customHeight="1" x14ac:dyDescent="0.4">
      <c r="A567" s="23"/>
      <c r="B567" s="23"/>
      <c r="C567" s="23"/>
      <c r="D567" s="23"/>
      <c r="E567" s="22"/>
      <c r="F567" s="22"/>
      <c r="G567" s="47"/>
    </row>
    <row r="568" spans="1:7" ht="24" customHeight="1" x14ac:dyDescent="0.4">
      <c r="A568" s="23"/>
      <c r="B568" s="23"/>
      <c r="C568" s="23"/>
      <c r="D568" s="23"/>
      <c r="E568" s="22"/>
      <c r="F568" s="22"/>
      <c r="G568" s="47"/>
    </row>
    <row r="569" spans="1:7" ht="24" customHeight="1" x14ac:dyDescent="0.4">
      <c r="A569" s="23"/>
      <c r="B569" s="23"/>
      <c r="C569" s="23"/>
      <c r="D569" s="23"/>
      <c r="E569" s="22"/>
      <c r="F569" s="22"/>
      <c r="G569" s="47"/>
    </row>
    <row r="570" spans="1:7" ht="24" customHeight="1" x14ac:dyDescent="0.4">
      <c r="A570" s="23"/>
      <c r="B570" s="23"/>
      <c r="C570" s="23"/>
      <c r="D570" s="23"/>
      <c r="E570" s="22"/>
      <c r="F570" s="22"/>
      <c r="G570" s="47"/>
    </row>
    <row r="571" spans="1:7" ht="24" customHeight="1" x14ac:dyDescent="0.4">
      <c r="A571" s="23"/>
      <c r="B571" s="23"/>
      <c r="C571" s="23"/>
      <c r="D571" s="23"/>
      <c r="E571" s="22"/>
      <c r="F571" s="22"/>
      <c r="G571" s="47"/>
    </row>
    <row r="572" spans="1:7" ht="24" customHeight="1" x14ac:dyDescent="0.4">
      <c r="A572" s="23"/>
      <c r="B572" s="23"/>
      <c r="C572" s="23"/>
      <c r="D572" s="23"/>
      <c r="E572" s="22"/>
      <c r="F572" s="22"/>
      <c r="G572" s="47"/>
    </row>
    <row r="573" spans="1:7" ht="24" customHeight="1" x14ac:dyDescent="0.4">
      <c r="A573" s="23"/>
      <c r="B573" s="23"/>
      <c r="C573" s="23"/>
      <c r="D573" s="23"/>
      <c r="E573" s="22"/>
      <c r="F573" s="22"/>
      <c r="G573" s="47"/>
    </row>
    <row r="574" spans="1:7" ht="24" customHeight="1" x14ac:dyDescent="0.4">
      <c r="A574" s="23"/>
      <c r="B574" s="23"/>
      <c r="C574" s="23"/>
      <c r="D574" s="23"/>
      <c r="E574" s="22"/>
      <c r="F574" s="22"/>
      <c r="G574" s="47"/>
    </row>
    <row r="575" spans="1:7" ht="24" customHeight="1" x14ac:dyDescent="0.4">
      <c r="A575" s="23"/>
      <c r="B575" s="23"/>
      <c r="C575" s="23"/>
      <c r="D575" s="23"/>
      <c r="E575" s="22"/>
      <c r="F575" s="22"/>
      <c r="G575" s="47"/>
    </row>
    <row r="576" spans="1:7" ht="24" customHeight="1" x14ac:dyDescent="0.4">
      <c r="A576" s="23"/>
      <c r="B576" s="23"/>
      <c r="C576" s="23"/>
      <c r="D576" s="23"/>
      <c r="E576" s="22"/>
      <c r="F576" s="22"/>
      <c r="G576" s="47"/>
    </row>
    <row r="577" spans="1:7" ht="24" customHeight="1" x14ac:dyDescent="0.4">
      <c r="A577" s="23"/>
      <c r="B577" s="23"/>
      <c r="C577" s="23"/>
      <c r="D577" s="23"/>
      <c r="E577" s="22"/>
      <c r="F577" s="22"/>
      <c r="G577" s="47"/>
    </row>
    <row r="578" spans="1:7" ht="24" customHeight="1" x14ac:dyDescent="0.4">
      <c r="A578" s="23"/>
      <c r="B578" s="23"/>
      <c r="C578" s="23"/>
      <c r="D578" s="23"/>
      <c r="E578" s="22"/>
      <c r="F578" s="22"/>
      <c r="G578" s="47"/>
    </row>
    <row r="579" spans="1:7" ht="24" customHeight="1" x14ac:dyDescent="0.4">
      <c r="A579" s="23"/>
      <c r="B579" s="23"/>
      <c r="C579" s="23"/>
      <c r="D579" s="23"/>
      <c r="E579" s="22"/>
      <c r="F579" s="22"/>
      <c r="G579" s="47"/>
    </row>
    <row r="580" spans="1:7" ht="24" customHeight="1" x14ac:dyDescent="0.4">
      <c r="A580" s="23"/>
      <c r="B580" s="23"/>
      <c r="C580" s="23"/>
      <c r="D580" s="23"/>
      <c r="E580" s="22"/>
      <c r="F580" s="22"/>
      <c r="G580" s="47"/>
    </row>
    <row r="581" spans="1:7" ht="24" customHeight="1" x14ac:dyDescent="0.4">
      <c r="A581" s="23"/>
      <c r="B581" s="23"/>
      <c r="C581" s="23"/>
      <c r="D581" s="23"/>
      <c r="E581" s="22"/>
      <c r="F581" s="22"/>
      <c r="G581" s="47"/>
    </row>
    <row r="582" spans="1:7" ht="24" customHeight="1" x14ac:dyDescent="0.4">
      <c r="A582" s="23"/>
      <c r="B582" s="23"/>
      <c r="C582" s="23"/>
      <c r="D582" s="23"/>
      <c r="E582" s="22"/>
      <c r="F582" s="22"/>
      <c r="G582" s="47"/>
    </row>
    <row r="583" spans="1:7" ht="24" customHeight="1" x14ac:dyDescent="0.4">
      <c r="A583" s="23"/>
      <c r="B583" s="23"/>
      <c r="C583" s="23"/>
      <c r="D583" s="23"/>
      <c r="E583" s="22"/>
      <c r="F583" s="22"/>
      <c r="G583" s="47"/>
    </row>
    <row r="584" spans="1:7" ht="24" customHeight="1" x14ac:dyDescent="0.4">
      <c r="A584" s="23"/>
      <c r="B584" s="23"/>
      <c r="C584" s="23"/>
      <c r="D584" s="23"/>
      <c r="E584" s="22"/>
      <c r="F584" s="22"/>
      <c r="G584" s="47"/>
    </row>
    <row r="585" spans="1:7" ht="24" customHeight="1" x14ac:dyDescent="0.4">
      <c r="A585" s="23"/>
      <c r="B585" s="23"/>
      <c r="C585" s="23"/>
      <c r="D585" s="23"/>
      <c r="E585" s="22"/>
      <c r="F585" s="22"/>
      <c r="G585" s="47"/>
    </row>
    <row r="586" spans="1:7" ht="24" customHeight="1" x14ac:dyDescent="0.4">
      <c r="A586" s="23"/>
      <c r="B586" s="23"/>
      <c r="C586" s="23"/>
      <c r="D586" s="23"/>
      <c r="E586" s="22"/>
      <c r="F586" s="22"/>
      <c r="G586" s="47"/>
    </row>
    <row r="587" spans="1:7" ht="24" customHeight="1" x14ac:dyDescent="0.4">
      <c r="A587" s="23"/>
      <c r="B587" s="23"/>
      <c r="C587" s="23"/>
      <c r="D587" s="23"/>
      <c r="E587" s="22"/>
      <c r="F587" s="22"/>
      <c r="G587" s="47"/>
    </row>
    <row r="588" spans="1:7" ht="24" customHeight="1" x14ac:dyDescent="0.4">
      <c r="A588" s="23"/>
      <c r="B588" s="23"/>
      <c r="C588" s="23"/>
      <c r="D588" s="23"/>
      <c r="E588" s="22"/>
      <c r="F588" s="22"/>
      <c r="G588" s="47"/>
    </row>
    <row r="589" spans="1:7" ht="24" customHeight="1" x14ac:dyDescent="0.4">
      <c r="A589" s="23"/>
      <c r="B589" s="23"/>
      <c r="C589" s="23"/>
      <c r="D589" s="23"/>
      <c r="E589" s="22"/>
      <c r="F589" s="22"/>
      <c r="G589" s="47"/>
    </row>
    <row r="590" spans="1:7" ht="24" customHeight="1" x14ac:dyDescent="0.4">
      <c r="A590" s="23"/>
      <c r="B590" s="23"/>
      <c r="C590" s="23"/>
      <c r="D590" s="23"/>
      <c r="E590" s="22"/>
      <c r="F590" s="22"/>
      <c r="G590" s="47"/>
    </row>
    <row r="591" spans="1:7" ht="24" customHeight="1" x14ac:dyDescent="0.4">
      <c r="A591" s="23"/>
      <c r="B591" s="23"/>
      <c r="C591" s="23"/>
      <c r="D591" s="23"/>
      <c r="E591" s="22"/>
      <c r="F591" s="22"/>
      <c r="G591" s="47"/>
    </row>
    <row r="592" spans="1:7" ht="24" customHeight="1" x14ac:dyDescent="0.4">
      <c r="A592" s="23"/>
      <c r="B592" s="23"/>
      <c r="C592" s="23"/>
      <c r="D592" s="23"/>
      <c r="E592" s="22"/>
      <c r="F592" s="22"/>
      <c r="G592" s="47"/>
    </row>
    <row r="593" spans="1:7" ht="24" customHeight="1" x14ac:dyDescent="0.4">
      <c r="A593" s="23"/>
      <c r="B593" s="23"/>
      <c r="C593" s="23"/>
      <c r="D593" s="23"/>
      <c r="E593" s="22"/>
      <c r="F593" s="22"/>
      <c r="G593" s="47"/>
    </row>
    <row r="594" spans="1:7" ht="24" customHeight="1" x14ac:dyDescent="0.4">
      <c r="A594" s="23"/>
      <c r="B594" s="23"/>
      <c r="C594" s="23"/>
      <c r="D594" s="23"/>
      <c r="E594" s="22"/>
      <c r="F594" s="22"/>
      <c r="G594" s="47"/>
    </row>
    <row r="595" spans="1:7" ht="24" customHeight="1" x14ac:dyDescent="0.4">
      <c r="A595" s="23"/>
      <c r="B595" s="23"/>
      <c r="C595" s="23"/>
      <c r="D595" s="23"/>
      <c r="E595" s="22"/>
      <c r="F595" s="22"/>
      <c r="G595" s="47"/>
    </row>
    <row r="596" spans="1:7" ht="24" customHeight="1" x14ac:dyDescent="0.4">
      <c r="A596" s="23"/>
      <c r="B596" s="23"/>
      <c r="C596" s="23"/>
      <c r="D596" s="23"/>
      <c r="E596" s="22"/>
      <c r="F596" s="22"/>
      <c r="G596" s="47"/>
    </row>
    <row r="597" spans="1:7" ht="24" customHeight="1" x14ac:dyDescent="0.4">
      <c r="A597" s="23"/>
      <c r="B597" s="23"/>
      <c r="C597" s="23"/>
      <c r="D597" s="23"/>
      <c r="E597" s="22"/>
      <c r="F597" s="22"/>
      <c r="G597" s="47"/>
    </row>
    <row r="598" spans="1:7" ht="24" customHeight="1" x14ac:dyDescent="0.4">
      <c r="A598" s="23"/>
      <c r="B598" s="23"/>
      <c r="C598" s="23"/>
      <c r="D598" s="23"/>
      <c r="E598" s="22"/>
      <c r="F598" s="22"/>
      <c r="G598" s="47"/>
    </row>
    <row r="599" spans="1:7" ht="24" customHeight="1" x14ac:dyDescent="0.4">
      <c r="A599" s="23"/>
      <c r="B599" s="23"/>
      <c r="C599" s="23"/>
      <c r="D599" s="23"/>
      <c r="E599" s="22"/>
      <c r="F599" s="22"/>
      <c r="G599" s="47"/>
    </row>
    <row r="600" spans="1:7" ht="24" customHeight="1" x14ac:dyDescent="0.4">
      <c r="A600" s="23"/>
      <c r="B600" s="23"/>
      <c r="C600" s="23"/>
      <c r="D600" s="23"/>
      <c r="E600" s="22"/>
      <c r="F600" s="22"/>
      <c r="G600" s="47"/>
    </row>
    <row r="601" spans="1:7" ht="24" customHeight="1" x14ac:dyDescent="0.4">
      <c r="A601" s="23"/>
      <c r="B601" s="23"/>
      <c r="C601" s="23"/>
      <c r="D601" s="23"/>
      <c r="E601" s="22"/>
      <c r="F601" s="22"/>
      <c r="G601" s="47"/>
    </row>
    <row r="602" spans="1:7" ht="24" customHeight="1" x14ac:dyDescent="0.4">
      <c r="A602" s="23"/>
      <c r="B602" s="23"/>
      <c r="C602" s="23"/>
      <c r="D602" s="23"/>
      <c r="E602" s="22"/>
      <c r="F602" s="22"/>
      <c r="G602" s="47"/>
    </row>
    <row r="603" spans="1:7" ht="24" customHeight="1" x14ac:dyDescent="0.4">
      <c r="A603" s="23"/>
      <c r="B603" s="23"/>
      <c r="C603" s="23"/>
      <c r="D603" s="23"/>
      <c r="E603" s="22"/>
      <c r="F603" s="22"/>
      <c r="G603" s="47"/>
    </row>
    <row r="604" spans="1:7" ht="24" customHeight="1" x14ac:dyDescent="0.4">
      <c r="A604" s="23"/>
      <c r="B604" s="23"/>
      <c r="C604" s="23"/>
      <c r="D604" s="23"/>
      <c r="E604" s="22"/>
      <c r="F604" s="22"/>
      <c r="G604" s="47"/>
    </row>
    <row r="605" spans="1:7" ht="24" customHeight="1" x14ac:dyDescent="0.4">
      <c r="A605" s="23"/>
      <c r="B605" s="23"/>
      <c r="C605" s="23"/>
      <c r="D605" s="23"/>
      <c r="E605" s="22"/>
      <c r="F605" s="22"/>
      <c r="G605" s="47"/>
    </row>
    <row r="606" spans="1:7" ht="24" customHeight="1" x14ac:dyDescent="0.4">
      <c r="A606" s="23"/>
      <c r="B606" s="23"/>
      <c r="C606" s="23"/>
      <c r="D606" s="23"/>
      <c r="E606" s="22"/>
      <c r="F606" s="22"/>
      <c r="G606" s="47"/>
    </row>
    <row r="607" spans="1:7" ht="24" customHeight="1" x14ac:dyDescent="0.4">
      <c r="A607" s="23"/>
      <c r="B607" s="23"/>
      <c r="C607" s="23"/>
      <c r="D607" s="23"/>
      <c r="E607" s="22"/>
      <c r="F607" s="22"/>
      <c r="G607" s="47"/>
    </row>
    <row r="608" spans="1:7" ht="24" customHeight="1" x14ac:dyDescent="0.4">
      <c r="A608" s="23"/>
      <c r="B608" s="23"/>
      <c r="C608" s="23"/>
      <c r="D608" s="23"/>
      <c r="E608" s="22"/>
      <c r="F608" s="22"/>
      <c r="G608" s="47"/>
    </row>
    <row r="609" spans="1:7" ht="24" customHeight="1" x14ac:dyDescent="0.4">
      <c r="A609" s="23"/>
      <c r="B609" s="23"/>
      <c r="C609" s="23"/>
      <c r="D609" s="23"/>
      <c r="E609" s="22"/>
      <c r="F609" s="22"/>
      <c r="G609" s="47"/>
    </row>
    <row r="610" spans="1:7" ht="24" customHeight="1" x14ac:dyDescent="0.4">
      <c r="A610" s="23"/>
      <c r="B610" s="23"/>
      <c r="C610" s="23"/>
      <c r="D610" s="23"/>
      <c r="E610" s="22"/>
      <c r="F610" s="22"/>
      <c r="G610" s="47"/>
    </row>
    <row r="611" spans="1:7" ht="24" customHeight="1" x14ac:dyDescent="0.4">
      <c r="A611" s="23"/>
      <c r="B611" s="23"/>
      <c r="C611" s="23"/>
      <c r="D611" s="23"/>
      <c r="E611" s="22"/>
      <c r="F611" s="22"/>
      <c r="G611" s="47"/>
    </row>
    <row r="612" spans="1:7" ht="24" customHeight="1" x14ac:dyDescent="0.4">
      <c r="A612" s="23"/>
      <c r="B612" s="23"/>
      <c r="C612" s="23"/>
      <c r="D612" s="23"/>
      <c r="E612" s="22"/>
      <c r="F612" s="22"/>
      <c r="G612" s="47"/>
    </row>
    <row r="613" spans="1:7" ht="24" customHeight="1" x14ac:dyDescent="0.4">
      <c r="A613" s="23"/>
      <c r="B613" s="23"/>
      <c r="C613" s="23"/>
      <c r="D613" s="23"/>
      <c r="E613" s="22"/>
      <c r="F613" s="22"/>
      <c r="G613" s="47"/>
    </row>
    <row r="614" spans="1:7" ht="24" customHeight="1" x14ac:dyDescent="0.4">
      <c r="A614" s="23"/>
      <c r="B614" s="23"/>
      <c r="C614" s="23"/>
      <c r="D614" s="23"/>
      <c r="E614" s="22"/>
      <c r="F614" s="22"/>
      <c r="G614" s="47"/>
    </row>
    <row r="615" spans="1:7" ht="24" customHeight="1" x14ac:dyDescent="0.4">
      <c r="A615" s="23"/>
      <c r="B615" s="23"/>
      <c r="C615" s="23"/>
      <c r="D615" s="23"/>
      <c r="E615" s="22"/>
      <c r="F615" s="22"/>
      <c r="G615" s="47"/>
    </row>
    <row r="616" spans="1:7" ht="24" customHeight="1" x14ac:dyDescent="0.4">
      <c r="A616" s="23"/>
      <c r="B616" s="23"/>
      <c r="C616" s="23"/>
      <c r="D616" s="23"/>
      <c r="E616" s="22"/>
      <c r="F616" s="22"/>
      <c r="G616" s="47"/>
    </row>
    <row r="617" spans="1:7" ht="24" customHeight="1" x14ac:dyDescent="0.4">
      <c r="A617" s="23"/>
      <c r="B617" s="23"/>
      <c r="C617" s="23"/>
      <c r="D617" s="23"/>
      <c r="E617" s="22"/>
      <c r="F617" s="22"/>
      <c r="G617" s="47"/>
    </row>
    <row r="618" spans="1:7" ht="24" customHeight="1" x14ac:dyDescent="0.4">
      <c r="A618" s="23"/>
      <c r="B618" s="23"/>
      <c r="C618" s="23"/>
      <c r="D618" s="23"/>
      <c r="E618" s="22"/>
      <c r="F618" s="22"/>
      <c r="G618" s="47"/>
    </row>
    <row r="619" spans="1:7" ht="24" customHeight="1" x14ac:dyDescent="0.4">
      <c r="A619" s="23"/>
      <c r="B619" s="23"/>
      <c r="C619" s="23"/>
      <c r="D619" s="23"/>
      <c r="E619" s="22"/>
      <c r="F619" s="22"/>
      <c r="G619" s="47"/>
    </row>
    <row r="620" spans="1:7" ht="24" customHeight="1" x14ac:dyDescent="0.4">
      <c r="A620" s="23"/>
      <c r="B620" s="23"/>
      <c r="C620" s="23"/>
      <c r="D620" s="23"/>
      <c r="E620" s="22"/>
      <c r="F620" s="22"/>
      <c r="G620" s="47"/>
    </row>
    <row r="621" spans="1:7" ht="24" customHeight="1" x14ac:dyDescent="0.4">
      <c r="A621" s="23"/>
      <c r="B621" s="23"/>
      <c r="C621" s="23"/>
      <c r="D621" s="23"/>
      <c r="E621" s="22"/>
      <c r="F621" s="22"/>
      <c r="G621" s="47"/>
    </row>
    <row r="622" spans="1:7" ht="24" customHeight="1" x14ac:dyDescent="0.4">
      <c r="A622" s="23"/>
      <c r="B622" s="23"/>
      <c r="C622" s="23"/>
      <c r="D622" s="23"/>
      <c r="E622" s="22"/>
      <c r="F622" s="22"/>
      <c r="G622" s="47"/>
    </row>
    <row r="623" spans="1:7" ht="24" customHeight="1" x14ac:dyDescent="0.4">
      <c r="A623" s="23"/>
      <c r="B623" s="23"/>
      <c r="C623" s="23"/>
      <c r="D623" s="23"/>
      <c r="E623" s="22"/>
      <c r="F623" s="22"/>
      <c r="G623" s="47"/>
    </row>
    <row r="624" spans="1:7" ht="24" customHeight="1" x14ac:dyDescent="0.4">
      <c r="A624" s="23"/>
      <c r="B624" s="23"/>
      <c r="C624" s="23"/>
      <c r="D624" s="23"/>
      <c r="E624" s="22"/>
      <c r="F624" s="22"/>
      <c r="G624" s="47"/>
    </row>
    <row r="625" spans="1:7" ht="24" customHeight="1" x14ac:dyDescent="0.4">
      <c r="A625" s="23"/>
      <c r="B625" s="23"/>
      <c r="C625" s="23"/>
      <c r="D625" s="23"/>
      <c r="E625" s="22"/>
      <c r="F625" s="22"/>
      <c r="G625" s="47"/>
    </row>
    <row r="626" spans="1:7" ht="24" customHeight="1" x14ac:dyDescent="0.4">
      <c r="A626" s="23"/>
      <c r="B626" s="23"/>
      <c r="C626" s="23"/>
      <c r="D626" s="23"/>
      <c r="E626" s="22"/>
      <c r="F626" s="22"/>
      <c r="G626" s="47"/>
    </row>
    <row r="627" spans="1:7" ht="24" customHeight="1" x14ac:dyDescent="0.4">
      <c r="A627" s="23"/>
      <c r="B627" s="23"/>
      <c r="C627" s="23"/>
      <c r="D627" s="23"/>
      <c r="E627" s="22"/>
      <c r="F627" s="22"/>
      <c r="G627" s="47"/>
    </row>
    <row r="628" spans="1:7" ht="24" customHeight="1" x14ac:dyDescent="0.4">
      <c r="A628" s="23"/>
      <c r="B628" s="23"/>
      <c r="C628" s="23"/>
      <c r="D628" s="23"/>
      <c r="E628" s="22"/>
      <c r="F628" s="22"/>
      <c r="G628" s="47"/>
    </row>
    <row r="629" spans="1:7" ht="24" customHeight="1" x14ac:dyDescent="0.4">
      <c r="A629" s="23"/>
      <c r="B629" s="23"/>
      <c r="C629" s="23"/>
      <c r="D629" s="23"/>
      <c r="E629" s="22"/>
      <c r="F629" s="22"/>
      <c r="G629" s="47"/>
    </row>
    <row r="630" spans="1:7" ht="24" customHeight="1" x14ac:dyDescent="0.4">
      <c r="A630" s="23"/>
      <c r="B630" s="23"/>
      <c r="C630" s="23"/>
      <c r="D630" s="23"/>
      <c r="E630" s="22"/>
      <c r="F630" s="22"/>
      <c r="G630" s="47"/>
    </row>
    <row r="631" spans="1:7" ht="24" customHeight="1" x14ac:dyDescent="0.4">
      <c r="A631" s="23"/>
      <c r="B631" s="23"/>
      <c r="C631" s="23"/>
      <c r="D631" s="23"/>
      <c r="E631" s="22"/>
      <c r="F631" s="22"/>
      <c r="G631" s="47"/>
    </row>
    <row r="632" spans="1:7" ht="24" customHeight="1" x14ac:dyDescent="0.4">
      <c r="A632" s="23"/>
      <c r="B632" s="23"/>
      <c r="C632" s="23"/>
      <c r="D632" s="23"/>
      <c r="E632" s="22"/>
      <c r="F632" s="22"/>
      <c r="G632" s="47"/>
    </row>
    <row r="633" spans="1:7" ht="24" customHeight="1" x14ac:dyDescent="0.4">
      <c r="A633" s="23"/>
      <c r="B633" s="23"/>
      <c r="C633" s="23"/>
      <c r="D633" s="23"/>
      <c r="E633" s="22"/>
      <c r="F633" s="22"/>
      <c r="G633" s="47"/>
    </row>
    <row r="634" spans="1:7" ht="24" customHeight="1" x14ac:dyDescent="0.4">
      <c r="A634" s="23"/>
      <c r="B634" s="23"/>
      <c r="C634" s="23"/>
      <c r="D634" s="23"/>
      <c r="E634" s="22"/>
      <c r="F634" s="22"/>
      <c r="G634" s="47"/>
    </row>
    <row r="635" spans="1:7" ht="24" customHeight="1" x14ac:dyDescent="0.4">
      <c r="A635" s="23"/>
      <c r="B635" s="23"/>
      <c r="C635" s="23"/>
      <c r="D635" s="23"/>
      <c r="E635" s="22"/>
      <c r="F635" s="22"/>
      <c r="G635" s="47"/>
    </row>
    <row r="636" spans="1:7" ht="24" customHeight="1" x14ac:dyDescent="0.4">
      <c r="A636" s="23"/>
      <c r="B636" s="23"/>
      <c r="C636" s="23"/>
      <c r="D636" s="23"/>
      <c r="E636" s="22"/>
      <c r="F636" s="22"/>
      <c r="G636" s="47"/>
    </row>
    <row r="637" spans="1:7" ht="24" customHeight="1" x14ac:dyDescent="0.4">
      <c r="A637" s="23"/>
      <c r="B637" s="23"/>
      <c r="C637" s="23"/>
      <c r="D637" s="23"/>
      <c r="E637" s="22"/>
      <c r="F637" s="22"/>
      <c r="G637" s="47"/>
    </row>
    <row r="638" spans="1:7" ht="24" customHeight="1" x14ac:dyDescent="0.4">
      <c r="A638" s="23"/>
      <c r="B638" s="23"/>
      <c r="C638" s="23"/>
      <c r="D638" s="23"/>
      <c r="E638" s="22"/>
      <c r="F638" s="22"/>
      <c r="G638" s="47"/>
    </row>
    <row r="639" spans="1:7" ht="24" customHeight="1" x14ac:dyDescent="0.4">
      <c r="A639" s="23"/>
      <c r="B639" s="23"/>
      <c r="C639" s="23"/>
      <c r="D639" s="23"/>
      <c r="E639" s="22"/>
      <c r="F639" s="22"/>
      <c r="G639" s="47"/>
    </row>
    <row r="640" spans="1:7" ht="24" customHeight="1" x14ac:dyDescent="0.4">
      <c r="A640" s="23"/>
      <c r="B640" s="23"/>
      <c r="C640" s="23"/>
      <c r="D640" s="23"/>
      <c r="E640" s="22"/>
      <c r="F640" s="22"/>
      <c r="G640" s="47"/>
    </row>
    <row r="641" spans="1:7" ht="24" customHeight="1" x14ac:dyDescent="0.4">
      <c r="A641" s="23"/>
      <c r="B641" s="23"/>
      <c r="C641" s="23"/>
      <c r="D641" s="23"/>
      <c r="E641" s="22"/>
      <c r="F641" s="22"/>
      <c r="G641" s="47"/>
    </row>
    <row r="642" spans="1:7" ht="24" customHeight="1" x14ac:dyDescent="0.4">
      <c r="A642" s="23"/>
      <c r="B642" s="23"/>
      <c r="C642" s="23"/>
      <c r="D642" s="23"/>
      <c r="E642" s="22"/>
      <c r="F642" s="22"/>
      <c r="G642" s="47"/>
    </row>
    <row r="643" spans="1:7" ht="24" customHeight="1" x14ac:dyDescent="0.4">
      <c r="A643" s="23"/>
      <c r="B643" s="23"/>
      <c r="C643" s="23"/>
      <c r="D643" s="23"/>
      <c r="E643" s="22"/>
      <c r="F643" s="22"/>
      <c r="G643" s="47"/>
    </row>
    <row r="644" spans="1:7" ht="24" customHeight="1" x14ac:dyDescent="0.4">
      <c r="A644" s="23"/>
      <c r="B644" s="23"/>
      <c r="C644" s="23"/>
      <c r="D644" s="23"/>
      <c r="E644" s="22"/>
      <c r="F644" s="22"/>
      <c r="G644" s="47"/>
    </row>
    <row r="645" spans="1:7" ht="24" customHeight="1" x14ac:dyDescent="0.4">
      <c r="A645" s="23"/>
      <c r="B645" s="23"/>
      <c r="C645" s="23"/>
      <c r="D645" s="23"/>
      <c r="E645" s="22"/>
      <c r="F645" s="22"/>
      <c r="G645" s="47"/>
    </row>
    <row r="646" spans="1:7" ht="24" customHeight="1" x14ac:dyDescent="0.4">
      <c r="A646" s="23"/>
      <c r="B646" s="23"/>
      <c r="C646" s="23"/>
      <c r="D646" s="23"/>
      <c r="E646" s="22"/>
      <c r="F646" s="22"/>
      <c r="G646" s="47"/>
    </row>
    <row r="647" spans="1:7" ht="24" customHeight="1" x14ac:dyDescent="0.4">
      <c r="A647" s="23"/>
      <c r="B647" s="23"/>
      <c r="C647" s="23"/>
      <c r="D647" s="23"/>
      <c r="E647" s="22"/>
      <c r="F647" s="22"/>
      <c r="G647" s="47"/>
    </row>
    <row r="648" spans="1:7" ht="24" customHeight="1" x14ac:dyDescent="0.4">
      <c r="A648" s="23"/>
      <c r="B648" s="23"/>
      <c r="C648" s="23"/>
      <c r="D648" s="23"/>
      <c r="E648" s="22"/>
      <c r="F648" s="22"/>
      <c r="G648" s="47"/>
    </row>
    <row r="649" spans="1:7" ht="24" customHeight="1" x14ac:dyDescent="0.4">
      <c r="A649" s="23"/>
      <c r="B649" s="23"/>
      <c r="C649" s="23"/>
      <c r="D649" s="23"/>
      <c r="E649" s="22"/>
      <c r="F649" s="22"/>
      <c r="G649" s="47"/>
    </row>
    <row r="650" spans="1:7" ht="24" customHeight="1" x14ac:dyDescent="0.4">
      <c r="A650" s="23"/>
      <c r="B650" s="23"/>
      <c r="C650" s="23"/>
      <c r="D650" s="23"/>
      <c r="E650" s="22"/>
      <c r="F650" s="22"/>
      <c r="G650" s="47"/>
    </row>
    <row r="651" spans="1:7" ht="24" customHeight="1" x14ac:dyDescent="0.4">
      <c r="A651" s="23"/>
      <c r="B651" s="23"/>
      <c r="C651" s="23"/>
      <c r="D651" s="23"/>
      <c r="E651" s="22"/>
      <c r="F651" s="22"/>
      <c r="G651" s="47"/>
    </row>
    <row r="652" spans="1:7" ht="24" customHeight="1" x14ac:dyDescent="0.4">
      <c r="A652" s="23"/>
      <c r="B652" s="23"/>
      <c r="C652" s="23"/>
      <c r="D652" s="23"/>
      <c r="E652" s="22"/>
      <c r="F652" s="22"/>
      <c r="G652" s="47"/>
    </row>
    <row r="653" spans="1:7" ht="24" customHeight="1" x14ac:dyDescent="0.4">
      <c r="A653" s="23"/>
      <c r="B653" s="23"/>
      <c r="C653" s="23"/>
      <c r="D653" s="23"/>
      <c r="E653" s="22"/>
      <c r="F653" s="22"/>
      <c r="G653" s="47"/>
    </row>
    <row r="654" spans="1:7" ht="24" customHeight="1" x14ac:dyDescent="0.4">
      <c r="A654" s="23"/>
      <c r="B654" s="23"/>
      <c r="C654" s="23"/>
      <c r="D654" s="23"/>
      <c r="E654" s="22"/>
      <c r="F654" s="22"/>
      <c r="G654" s="47"/>
    </row>
    <row r="655" spans="1:7" ht="24" customHeight="1" x14ac:dyDescent="0.4">
      <c r="A655" s="23"/>
      <c r="B655" s="23"/>
      <c r="C655" s="23"/>
      <c r="D655" s="23"/>
      <c r="E655" s="22"/>
      <c r="F655" s="22"/>
      <c r="G655" s="47"/>
    </row>
    <row r="656" spans="1:7" ht="24" customHeight="1" x14ac:dyDescent="0.4">
      <c r="A656" s="23"/>
      <c r="B656" s="23"/>
      <c r="C656" s="23"/>
      <c r="D656" s="23"/>
      <c r="E656" s="22"/>
      <c r="F656" s="22"/>
      <c r="G656" s="47"/>
    </row>
    <row r="657" spans="1:7" ht="24" customHeight="1" x14ac:dyDescent="0.4">
      <c r="A657" s="23"/>
      <c r="B657" s="23"/>
      <c r="C657" s="23"/>
      <c r="D657" s="23"/>
      <c r="E657" s="22"/>
      <c r="F657" s="22"/>
      <c r="G657" s="47"/>
    </row>
    <row r="658" spans="1:7" ht="24" customHeight="1" x14ac:dyDescent="0.4">
      <c r="A658" s="23"/>
      <c r="B658" s="23"/>
      <c r="C658" s="23"/>
      <c r="D658" s="23"/>
      <c r="E658" s="22"/>
      <c r="F658" s="22"/>
      <c r="G658" s="47"/>
    </row>
    <row r="659" spans="1:7" ht="24" customHeight="1" x14ac:dyDescent="0.4">
      <c r="A659" s="23"/>
      <c r="B659" s="23"/>
      <c r="C659" s="23"/>
      <c r="D659" s="23"/>
      <c r="E659" s="22"/>
      <c r="F659" s="22"/>
      <c r="G659" s="47"/>
    </row>
    <row r="660" spans="1:7" ht="24" customHeight="1" x14ac:dyDescent="0.4">
      <c r="A660" s="23"/>
      <c r="B660" s="23"/>
      <c r="C660" s="23"/>
      <c r="D660" s="23"/>
      <c r="E660" s="22"/>
      <c r="F660" s="22"/>
      <c r="G660" s="47"/>
    </row>
    <row r="661" spans="1:7" ht="24" customHeight="1" x14ac:dyDescent="0.4">
      <c r="A661" s="23"/>
      <c r="B661" s="23"/>
      <c r="C661" s="23"/>
      <c r="D661" s="23"/>
      <c r="E661" s="22"/>
      <c r="F661" s="22"/>
      <c r="G661" s="47"/>
    </row>
    <row r="662" spans="1:7" ht="24" customHeight="1" x14ac:dyDescent="0.4">
      <c r="A662" s="23"/>
      <c r="B662" s="23"/>
      <c r="C662" s="23"/>
      <c r="D662" s="23"/>
      <c r="E662" s="22"/>
      <c r="F662" s="22"/>
      <c r="G662" s="47"/>
    </row>
    <row r="663" spans="1:7" ht="24" customHeight="1" x14ac:dyDescent="0.4">
      <c r="A663" s="23"/>
      <c r="B663" s="23"/>
      <c r="C663" s="23"/>
      <c r="D663" s="23"/>
      <c r="E663" s="22"/>
      <c r="F663" s="22"/>
      <c r="G663" s="47"/>
    </row>
    <row r="664" spans="1:7" ht="24" customHeight="1" x14ac:dyDescent="0.4">
      <c r="A664" s="23"/>
      <c r="B664" s="23"/>
      <c r="C664" s="23"/>
      <c r="D664" s="23"/>
      <c r="E664" s="22"/>
      <c r="F664" s="22"/>
      <c r="G664" s="47"/>
    </row>
    <row r="665" spans="1:7" ht="24" customHeight="1" x14ac:dyDescent="0.4">
      <c r="A665" s="23"/>
      <c r="B665" s="23"/>
      <c r="C665" s="23"/>
      <c r="D665" s="23"/>
      <c r="E665" s="22"/>
      <c r="F665" s="22"/>
      <c r="G665" s="47"/>
    </row>
    <row r="666" spans="1:7" ht="24" customHeight="1" x14ac:dyDescent="0.4">
      <c r="A666" s="23"/>
      <c r="B666" s="23"/>
      <c r="C666" s="23"/>
      <c r="D666" s="23"/>
      <c r="E666" s="22"/>
      <c r="F666" s="22"/>
      <c r="G666" s="47"/>
    </row>
    <row r="667" spans="1:7" ht="24" customHeight="1" x14ac:dyDescent="0.4">
      <c r="A667" s="23"/>
      <c r="B667" s="23"/>
      <c r="C667" s="23"/>
      <c r="D667" s="23"/>
      <c r="E667" s="22"/>
      <c r="F667" s="22"/>
      <c r="G667" s="47"/>
    </row>
    <row r="668" spans="1:7" ht="24" customHeight="1" x14ac:dyDescent="0.4">
      <c r="A668" s="23"/>
      <c r="B668" s="23"/>
      <c r="C668" s="23"/>
      <c r="D668" s="23"/>
      <c r="E668" s="22"/>
      <c r="F668" s="22"/>
      <c r="G668" s="47"/>
    </row>
    <row r="669" spans="1:7" ht="24" customHeight="1" x14ac:dyDescent="0.4">
      <c r="A669" s="23"/>
      <c r="B669" s="23"/>
      <c r="C669" s="23"/>
      <c r="D669" s="23"/>
      <c r="E669" s="22"/>
      <c r="F669" s="22"/>
      <c r="G669" s="47"/>
    </row>
    <row r="670" spans="1:7" ht="24" customHeight="1" x14ac:dyDescent="0.4">
      <c r="A670" s="23"/>
      <c r="B670" s="23"/>
      <c r="C670" s="23"/>
      <c r="D670" s="23"/>
      <c r="E670" s="22"/>
      <c r="F670" s="22"/>
      <c r="G670" s="47"/>
    </row>
    <row r="671" spans="1:7" ht="24" customHeight="1" x14ac:dyDescent="0.4">
      <c r="A671" s="23"/>
      <c r="B671" s="23"/>
      <c r="C671" s="23"/>
      <c r="D671" s="23"/>
      <c r="E671" s="22"/>
      <c r="F671" s="22"/>
      <c r="G671" s="47"/>
    </row>
    <row r="672" spans="1:7" ht="24" customHeight="1" x14ac:dyDescent="0.4">
      <c r="A672" s="23"/>
      <c r="B672" s="23"/>
      <c r="C672" s="23"/>
      <c r="D672" s="23"/>
      <c r="E672" s="22"/>
      <c r="F672" s="22"/>
      <c r="G672" s="47"/>
    </row>
    <row r="673" spans="1:7" ht="24" customHeight="1" x14ac:dyDescent="0.4">
      <c r="A673" s="23"/>
      <c r="B673" s="23"/>
      <c r="C673" s="23"/>
      <c r="D673" s="23"/>
      <c r="E673" s="22"/>
      <c r="F673" s="22"/>
      <c r="G673" s="47"/>
    </row>
    <row r="674" spans="1:7" ht="24" customHeight="1" x14ac:dyDescent="0.4">
      <c r="A674" s="23"/>
      <c r="B674" s="23"/>
      <c r="C674" s="23"/>
      <c r="D674" s="23"/>
      <c r="E674" s="22"/>
      <c r="F674" s="22"/>
      <c r="G674" s="47"/>
    </row>
    <row r="675" spans="1:7" ht="24" customHeight="1" x14ac:dyDescent="0.4">
      <c r="A675" s="23"/>
      <c r="B675" s="23"/>
      <c r="C675" s="23"/>
      <c r="D675" s="23"/>
      <c r="E675" s="22"/>
      <c r="F675" s="22"/>
      <c r="G675" s="47"/>
    </row>
    <row r="676" spans="1:7" ht="24" customHeight="1" x14ac:dyDescent="0.4">
      <c r="A676" s="23"/>
      <c r="B676" s="23"/>
      <c r="C676" s="23"/>
      <c r="D676" s="23"/>
      <c r="E676" s="22"/>
      <c r="F676" s="22"/>
      <c r="G676" s="47"/>
    </row>
    <row r="677" spans="1:7" ht="24" customHeight="1" x14ac:dyDescent="0.4">
      <c r="A677" s="23"/>
      <c r="B677" s="23"/>
      <c r="C677" s="23"/>
      <c r="D677" s="23"/>
      <c r="E677" s="22"/>
      <c r="F677" s="22"/>
      <c r="G677" s="47"/>
    </row>
    <row r="678" spans="1:7" ht="24" customHeight="1" x14ac:dyDescent="0.4">
      <c r="A678" s="23"/>
      <c r="B678" s="23"/>
      <c r="C678" s="23"/>
      <c r="D678" s="23"/>
      <c r="E678" s="22"/>
      <c r="F678" s="22"/>
      <c r="G678" s="47"/>
    </row>
    <row r="679" spans="1:7" ht="24" customHeight="1" x14ac:dyDescent="0.4">
      <c r="A679" s="23"/>
      <c r="B679" s="23"/>
      <c r="C679" s="23"/>
      <c r="D679" s="23"/>
      <c r="E679" s="22"/>
      <c r="F679" s="22"/>
      <c r="G679" s="47"/>
    </row>
    <row r="680" spans="1:7" ht="24" customHeight="1" x14ac:dyDescent="0.4">
      <c r="A680" s="23"/>
      <c r="B680" s="23"/>
      <c r="C680" s="23"/>
      <c r="D680" s="23"/>
      <c r="E680" s="22"/>
      <c r="F680" s="22"/>
      <c r="G680" s="47"/>
    </row>
    <row r="681" spans="1:7" ht="24" customHeight="1" x14ac:dyDescent="0.4">
      <c r="A681" s="23"/>
      <c r="B681" s="23"/>
      <c r="C681" s="23"/>
      <c r="D681" s="23"/>
      <c r="E681" s="22"/>
      <c r="F681" s="22"/>
      <c r="G681" s="47"/>
    </row>
    <row r="682" spans="1:7" ht="24" customHeight="1" x14ac:dyDescent="0.4">
      <c r="A682" s="23"/>
      <c r="B682" s="23"/>
      <c r="C682" s="23"/>
      <c r="D682" s="23"/>
      <c r="E682" s="22"/>
      <c r="F682" s="22"/>
      <c r="G682" s="47"/>
    </row>
    <row r="683" spans="1:7" ht="24" customHeight="1" x14ac:dyDescent="0.4">
      <c r="A683" s="23"/>
      <c r="B683" s="23"/>
      <c r="C683" s="23"/>
      <c r="D683" s="23"/>
      <c r="E683" s="22"/>
      <c r="F683" s="22"/>
      <c r="G683" s="47"/>
    </row>
    <row r="684" spans="1:7" ht="24" customHeight="1" x14ac:dyDescent="0.4">
      <c r="A684" s="23"/>
      <c r="B684" s="23"/>
      <c r="C684" s="23"/>
      <c r="D684" s="23"/>
      <c r="E684" s="22"/>
      <c r="F684" s="22"/>
      <c r="G684" s="47"/>
    </row>
    <row r="685" spans="1:7" ht="24" customHeight="1" x14ac:dyDescent="0.4">
      <c r="A685" s="23"/>
      <c r="B685" s="23"/>
      <c r="C685" s="23"/>
      <c r="D685" s="23"/>
      <c r="E685" s="22"/>
      <c r="F685" s="22"/>
      <c r="G685" s="47"/>
    </row>
    <row r="686" spans="1:7" ht="24" customHeight="1" x14ac:dyDescent="0.4">
      <c r="A686" s="23"/>
      <c r="B686" s="23"/>
      <c r="C686" s="23"/>
      <c r="D686" s="23"/>
      <c r="E686" s="22"/>
      <c r="F686" s="22"/>
      <c r="G686" s="47"/>
    </row>
    <row r="687" spans="1:7" ht="24" customHeight="1" x14ac:dyDescent="0.4">
      <c r="A687" s="23"/>
      <c r="B687" s="23"/>
      <c r="C687" s="23"/>
      <c r="D687" s="23"/>
      <c r="E687" s="22"/>
      <c r="F687" s="22"/>
      <c r="G687" s="47"/>
    </row>
    <row r="688" spans="1:7" ht="24" customHeight="1" x14ac:dyDescent="0.4">
      <c r="A688" s="23"/>
      <c r="B688" s="23"/>
      <c r="C688" s="23"/>
      <c r="D688" s="23"/>
      <c r="E688" s="22"/>
      <c r="F688" s="22"/>
      <c r="G688" s="47"/>
    </row>
    <row r="689" spans="1:7" ht="24" customHeight="1" x14ac:dyDescent="0.4">
      <c r="A689" s="23"/>
      <c r="B689" s="23"/>
      <c r="C689" s="23"/>
      <c r="D689" s="23"/>
      <c r="E689" s="22"/>
      <c r="F689" s="22"/>
      <c r="G689" s="47"/>
    </row>
    <row r="690" spans="1:7" ht="24" customHeight="1" x14ac:dyDescent="0.4">
      <c r="A690" s="23"/>
      <c r="B690" s="23"/>
      <c r="C690" s="23"/>
      <c r="D690" s="23"/>
      <c r="E690" s="22"/>
      <c r="F690" s="22"/>
      <c r="G690" s="47"/>
    </row>
    <row r="691" spans="1:7" ht="24" customHeight="1" x14ac:dyDescent="0.4">
      <c r="A691" s="23"/>
      <c r="B691" s="23"/>
      <c r="C691" s="23"/>
      <c r="D691" s="23"/>
      <c r="E691" s="22"/>
      <c r="F691" s="22"/>
      <c r="G691" s="47"/>
    </row>
    <row r="692" spans="1:7" ht="24" customHeight="1" x14ac:dyDescent="0.4">
      <c r="A692" s="23"/>
      <c r="B692" s="23"/>
      <c r="C692" s="23"/>
      <c r="D692" s="23"/>
      <c r="E692" s="22"/>
      <c r="F692" s="22"/>
      <c r="G692" s="47"/>
    </row>
    <row r="693" spans="1:7" ht="24" customHeight="1" x14ac:dyDescent="0.4">
      <c r="A693" s="23"/>
      <c r="B693" s="23"/>
      <c r="C693" s="23"/>
      <c r="D693" s="23"/>
      <c r="E693" s="22"/>
      <c r="F693" s="22"/>
      <c r="G693" s="47"/>
    </row>
    <row r="694" spans="1:7" ht="24" customHeight="1" x14ac:dyDescent="0.4">
      <c r="A694" s="23"/>
      <c r="B694" s="23"/>
      <c r="C694" s="23"/>
      <c r="D694" s="23"/>
      <c r="E694" s="22"/>
      <c r="F694" s="22"/>
      <c r="G694" s="47"/>
    </row>
    <row r="695" spans="1:7" ht="24" customHeight="1" x14ac:dyDescent="0.4">
      <c r="A695" s="23"/>
      <c r="B695" s="23"/>
      <c r="C695" s="23"/>
      <c r="D695" s="23"/>
      <c r="E695" s="22"/>
      <c r="F695" s="22"/>
      <c r="G695" s="47"/>
    </row>
    <row r="696" spans="1:7" ht="24" customHeight="1" x14ac:dyDescent="0.4">
      <c r="A696" s="23"/>
      <c r="B696" s="23"/>
      <c r="C696" s="23"/>
      <c r="D696" s="23"/>
      <c r="E696" s="22"/>
      <c r="F696" s="22"/>
      <c r="G696" s="47"/>
    </row>
    <row r="697" spans="1:7" ht="24" customHeight="1" x14ac:dyDescent="0.4">
      <c r="A697" s="23"/>
      <c r="B697" s="23"/>
      <c r="C697" s="23"/>
      <c r="D697" s="23"/>
      <c r="E697" s="22"/>
      <c r="F697" s="22"/>
      <c r="G697" s="47"/>
    </row>
    <row r="698" spans="1:7" ht="24" customHeight="1" x14ac:dyDescent="0.4">
      <c r="A698" s="23"/>
      <c r="B698" s="23"/>
      <c r="C698" s="23"/>
      <c r="D698" s="23"/>
      <c r="E698" s="22"/>
      <c r="F698" s="22"/>
      <c r="G698" s="47"/>
    </row>
    <row r="699" spans="1:7" ht="24" customHeight="1" x14ac:dyDescent="0.4">
      <c r="A699" s="23"/>
      <c r="B699" s="23"/>
      <c r="C699" s="23"/>
      <c r="D699" s="23"/>
      <c r="E699" s="22"/>
      <c r="F699" s="22"/>
      <c r="G699" s="47"/>
    </row>
    <row r="700" spans="1:7" ht="24" customHeight="1" x14ac:dyDescent="0.4">
      <c r="A700" s="23"/>
      <c r="B700" s="23"/>
      <c r="C700" s="23"/>
      <c r="D700" s="23"/>
      <c r="E700" s="22"/>
      <c r="F700" s="22"/>
      <c r="G700" s="47"/>
    </row>
    <row r="701" spans="1:7" ht="24" customHeight="1" x14ac:dyDescent="0.4">
      <c r="A701" s="23"/>
      <c r="B701" s="23"/>
      <c r="C701" s="23"/>
      <c r="D701" s="23"/>
      <c r="E701" s="22"/>
      <c r="F701" s="22"/>
      <c r="G701" s="47"/>
    </row>
    <row r="702" spans="1:7" ht="24" customHeight="1" x14ac:dyDescent="0.4">
      <c r="A702" s="23"/>
      <c r="B702" s="23"/>
      <c r="C702" s="23"/>
      <c r="D702" s="23"/>
      <c r="E702" s="22"/>
      <c r="F702" s="22"/>
      <c r="G702" s="47"/>
    </row>
    <row r="703" spans="1:7" ht="24" customHeight="1" x14ac:dyDescent="0.4">
      <c r="A703" s="23"/>
      <c r="B703" s="23"/>
      <c r="C703" s="23"/>
      <c r="D703" s="23"/>
      <c r="E703" s="22"/>
      <c r="F703" s="22"/>
      <c r="G703" s="47"/>
    </row>
    <row r="704" spans="1:7" ht="24" customHeight="1" x14ac:dyDescent="0.4">
      <c r="A704" s="23"/>
      <c r="B704" s="23"/>
      <c r="C704" s="23"/>
      <c r="D704" s="23"/>
      <c r="E704" s="22"/>
      <c r="F704" s="22"/>
      <c r="G704" s="47"/>
    </row>
    <row r="705" spans="1:7" ht="24" customHeight="1" x14ac:dyDescent="0.4">
      <c r="A705" s="23"/>
      <c r="B705" s="23"/>
      <c r="C705" s="23"/>
      <c r="D705" s="23"/>
      <c r="E705" s="22"/>
      <c r="F705" s="22"/>
      <c r="G705" s="47"/>
    </row>
    <row r="706" spans="1:7" ht="24" customHeight="1" x14ac:dyDescent="0.4">
      <c r="A706" s="23"/>
      <c r="B706" s="23"/>
      <c r="C706" s="23"/>
      <c r="D706" s="23"/>
      <c r="E706" s="22"/>
      <c r="F706" s="22"/>
      <c r="G706" s="47"/>
    </row>
    <row r="707" spans="1:7" ht="24" customHeight="1" x14ac:dyDescent="0.4">
      <c r="A707" s="23"/>
      <c r="B707" s="23"/>
      <c r="C707" s="23"/>
      <c r="D707" s="23"/>
      <c r="E707" s="22"/>
      <c r="F707" s="22"/>
      <c r="G707" s="47"/>
    </row>
    <row r="708" spans="1:7" ht="24" customHeight="1" x14ac:dyDescent="0.4">
      <c r="A708" s="23"/>
      <c r="B708" s="23"/>
      <c r="C708" s="23"/>
      <c r="D708" s="23"/>
      <c r="E708" s="22"/>
      <c r="F708" s="22"/>
      <c r="G708" s="47"/>
    </row>
    <row r="709" spans="1:7" ht="24" customHeight="1" x14ac:dyDescent="0.4">
      <c r="A709" s="23"/>
      <c r="B709" s="23"/>
      <c r="C709" s="23"/>
      <c r="D709" s="23"/>
      <c r="E709" s="22"/>
      <c r="F709" s="22"/>
      <c r="G709" s="47"/>
    </row>
    <row r="710" spans="1:7" ht="24" customHeight="1" x14ac:dyDescent="0.4">
      <c r="A710" s="23"/>
      <c r="B710" s="23"/>
      <c r="C710" s="23"/>
      <c r="D710" s="23"/>
      <c r="E710" s="22"/>
      <c r="F710" s="22"/>
      <c r="G710" s="47"/>
    </row>
    <row r="711" spans="1:7" ht="24" customHeight="1" x14ac:dyDescent="0.4">
      <c r="A711" s="23"/>
      <c r="B711" s="23"/>
      <c r="C711" s="23"/>
      <c r="D711" s="23"/>
      <c r="E711" s="22"/>
      <c r="F711" s="22"/>
      <c r="G711" s="47"/>
    </row>
    <row r="712" spans="1:7" ht="24" customHeight="1" x14ac:dyDescent="0.4">
      <c r="A712" s="23"/>
      <c r="B712" s="23"/>
      <c r="C712" s="23"/>
      <c r="D712" s="23"/>
      <c r="E712" s="22"/>
      <c r="F712" s="22"/>
      <c r="G712" s="47"/>
    </row>
    <row r="713" spans="1:7" ht="24" customHeight="1" x14ac:dyDescent="0.4">
      <c r="A713" s="23"/>
      <c r="B713" s="23"/>
      <c r="C713" s="23"/>
      <c r="D713" s="23"/>
      <c r="E713" s="22"/>
      <c r="F713" s="22"/>
      <c r="G713" s="47"/>
    </row>
    <row r="714" spans="1:7" ht="24" customHeight="1" x14ac:dyDescent="0.4">
      <c r="A714" s="23"/>
      <c r="B714" s="23"/>
      <c r="C714" s="23"/>
      <c r="D714" s="23"/>
      <c r="E714" s="22"/>
      <c r="F714" s="22"/>
      <c r="G714" s="47"/>
    </row>
    <row r="715" spans="1:7" ht="24" customHeight="1" x14ac:dyDescent="0.4">
      <c r="A715" s="23"/>
      <c r="B715" s="23"/>
      <c r="C715" s="23"/>
      <c r="D715" s="23"/>
      <c r="E715" s="22"/>
      <c r="F715" s="22"/>
      <c r="G715" s="47"/>
    </row>
    <row r="716" spans="1:7" ht="24" customHeight="1" x14ac:dyDescent="0.4">
      <c r="A716" s="23"/>
      <c r="B716" s="23"/>
      <c r="C716" s="23"/>
      <c r="D716" s="23"/>
      <c r="E716" s="22"/>
      <c r="F716" s="22"/>
      <c r="G716" s="47"/>
    </row>
    <row r="717" spans="1:7" ht="24" customHeight="1" x14ac:dyDescent="0.4">
      <c r="A717" s="23"/>
      <c r="B717" s="23"/>
      <c r="C717" s="23"/>
      <c r="D717" s="23"/>
      <c r="E717" s="22"/>
      <c r="F717" s="22"/>
      <c r="G717" s="47"/>
    </row>
    <row r="718" spans="1:7" ht="24" customHeight="1" x14ac:dyDescent="0.4">
      <c r="A718" s="23"/>
      <c r="B718" s="23"/>
      <c r="C718" s="23"/>
      <c r="D718" s="23"/>
      <c r="E718" s="22"/>
      <c r="F718" s="22"/>
      <c r="G718" s="47"/>
    </row>
    <row r="719" spans="1:7" ht="24" customHeight="1" x14ac:dyDescent="0.4">
      <c r="A719" s="23"/>
      <c r="B719" s="23"/>
      <c r="C719" s="23"/>
      <c r="D719" s="23"/>
      <c r="E719" s="22"/>
      <c r="F719" s="22"/>
      <c r="G719" s="47"/>
    </row>
    <row r="720" spans="1:7" ht="24" customHeight="1" x14ac:dyDescent="0.4">
      <c r="A720" s="23"/>
      <c r="B720" s="23"/>
      <c r="C720" s="23"/>
      <c r="D720" s="23"/>
      <c r="E720" s="22"/>
      <c r="F720" s="22"/>
      <c r="G720" s="47"/>
    </row>
    <row r="721" spans="1:7" ht="24" customHeight="1" x14ac:dyDescent="0.4">
      <c r="A721" s="23"/>
      <c r="B721" s="23"/>
      <c r="C721" s="23"/>
      <c r="D721" s="23"/>
      <c r="E721" s="22"/>
      <c r="F721" s="22"/>
      <c r="G721" s="47"/>
    </row>
    <row r="722" spans="1:7" ht="24" customHeight="1" x14ac:dyDescent="0.4">
      <c r="A722" s="23"/>
      <c r="B722" s="23"/>
      <c r="C722" s="23"/>
      <c r="D722" s="23"/>
      <c r="E722" s="22"/>
      <c r="F722" s="22"/>
      <c r="G722" s="47"/>
    </row>
    <row r="723" spans="1:7" ht="24" customHeight="1" x14ac:dyDescent="0.4">
      <c r="A723" s="23"/>
      <c r="B723" s="23"/>
      <c r="C723" s="23"/>
      <c r="D723" s="23"/>
      <c r="E723" s="22"/>
      <c r="F723" s="22"/>
      <c r="G723" s="47"/>
    </row>
    <row r="724" spans="1:7" ht="24" customHeight="1" x14ac:dyDescent="0.4">
      <c r="A724" s="23"/>
      <c r="B724" s="23"/>
      <c r="C724" s="23"/>
      <c r="D724" s="23"/>
      <c r="E724" s="22"/>
      <c r="F724" s="22"/>
      <c r="G724" s="47"/>
    </row>
    <row r="725" spans="1:7" ht="24" customHeight="1" x14ac:dyDescent="0.4">
      <c r="A725" s="23"/>
      <c r="B725" s="23"/>
      <c r="C725" s="23"/>
      <c r="D725" s="23"/>
      <c r="E725" s="22"/>
      <c r="F725" s="22"/>
      <c r="G725" s="47"/>
    </row>
    <row r="726" spans="1:7" ht="24" customHeight="1" x14ac:dyDescent="0.4">
      <c r="A726" s="23"/>
      <c r="B726" s="23"/>
      <c r="C726" s="23"/>
      <c r="D726" s="23"/>
      <c r="E726" s="22"/>
      <c r="F726" s="22"/>
      <c r="G726" s="47"/>
    </row>
    <row r="727" spans="1:7" ht="24" customHeight="1" x14ac:dyDescent="0.4">
      <c r="A727" s="23"/>
      <c r="B727" s="23"/>
      <c r="C727" s="23"/>
      <c r="D727" s="23"/>
      <c r="E727" s="22"/>
      <c r="F727" s="22"/>
      <c r="G727" s="47"/>
    </row>
    <row r="728" spans="1:7" ht="24" customHeight="1" x14ac:dyDescent="0.4">
      <c r="A728" s="23"/>
      <c r="B728" s="23"/>
      <c r="C728" s="23"/>
      <c r="D728" s="23"/>
      <c r="E728" s="22"/>
      <c r="F728" s="22"/>
      <c r="G728" s="47"/>
    </row>
    <row r="729" spans="1:7" ht="24" customHeight="1" x14ac:dyDescent="0.4">
      <c r="A729" s="23"/>
      <c r="B729" s="23"/>
      <c r="C729" s="23"/>
      <c r="D729" s="23"/>
      <c r="E729" s="22"/>
      <c r="F729" s="22"/>
      <c r="G729" s="47"/>
    </row>
    <row r="730" spans="1:7" ht="24" customHeight="1" x14ac:dyDescent="0.4">
      <c r="A730" s="23"/>
      <c r="B730" s="23"/>
      <c r="C730" s="23"/>
      <c r="D730" s="23"/>
      <c r="E730" s="22"/>
      <c r="F730" s="22"/>
      <c r="G730" s="47"/>
    </row>
    <row r="731" spans="1:7" ht="24" customHeight="1" x14ac:dyDescent="0.4">
      <c r="A731" s="23"/>
      <c r="B731" s="23"/>
      <c r="C731" s="23"/>
      <c r="D731" s="23"/>
      <c r="E731" s="22"/>
      <c r="F731" s="22"/>
      <c r="G731" s="47"/>
    </row>
    <row r="732" spans="1:7" ht="24" customHeight="1" x14ac:dyDescent="0.4">
      <c r="A732" s="23"/>
      <c r="B732" s="23"/>
      <c r="C732" s="23"/>
      <c r="D732" s="23"/>
      <c r="E732" s="22"/>
      <c r="F732" s="22"/>
      <c r="G732" s="47"/>
    </row>
    <row r="733" spans="1:7" ht="24" customHeight="1" x14ac:dyDescent="0.4">
      <c r="A733" s="23"/>
      <c r="B733" s="23"/>
      <c r="C733" s="23"/>
      <c r="D733" s="23"/>
      <c r="E733" s="22"/>
      <c r="F733" s="22"/>
      <c r="G733" s="47"/>
    </row>
    <row r="734" spans="1:7" ht="24" customHeight="1" x14ac:dyDescent="0.4">
      <c r="A734" s="23"/>
      <c r="B734" s="23"/>
      <c r="C734" s="23"/>
      <c r="D734" s="23"/>
      <c r="E734" s="22"/>
      <c r="F734" s="22"/>
      <c r="G734" s="47"/>
    </row>
    <row r="735" spans="1:7" ht="24" customHeight="1" x14ac:dyDescent="0.4">
      <c r="A735" s="23"/>
      <c r="B735" s="23"/>
      <c r="C735" s="23"/>
      <c r="D735" s="23"/>
      <c r="E735" s="22"/>
      <c r="F735" s="22"/>
      <c r="G735" s="47"/>
    </row>
    <row r="736" spans="1:7" ht="24" customHeight="1" x14ac:dyDescent="0.4">
      <c r="A736" s="23"/>
      <c r="B736" s="23"/>
      <c r="C736" s="23"/>
      <c r="D736" s="23"/>
      <c r="E736" s="22"/>
      <c r="F736" s="22"/>
      <c r="G736" s="47"/>
    </row>
    <row r="737" spans="1:7" ht="24" customHeight="1" x14ac:dyDescent="0.4">
      <c r="A737" s="23"/>
      <c r="B737" s="23"/>
      <c r="C737" s="23"/>
      <c r="D737" s="23"/>
      <c r="E737" s="22"/>
      <c r="F737" s="22"/>
      <c r="G737" s="47"/>
    </row>
    <row r="738" spans="1:7" ht="24" customHeight="1" x14ac:dyDescent="0.4">
      <c r="A738" s="23"/>
      <c r="B738" s="23"/>
      <c r="C738" s="23"/>
      <c r="D738" s="23"/>
      <c r="E738" s="22"/>
      <c r="F738" s="22"/>
      <c r="G738" s="47"/>
    </row>
    <row r="739" spans="1:7" ht="24" customHeight="1" x14ac:dyDescent="0.4">
      <c r="A739" s="23"/>
      <c r="B739" s="23"/>
      <c r="C739" s="23"/>
      <c r="D739" s="23"/>
      <c r="E739" s="22"/>
      <c r="F739" s="22"/>
      <c r="G739" s="47"/>
    </row>
    <row r="740" spans="1:7" ht="24" customHeight="1" x14ac:dyDescent="0.4">
      <c r="A740" s="23"/>
      <c r="B740" s="23"/>
      <c r="C740" s="23"/>
      <c r="D740" s="23"/>
      <c r="E740" s="22"/>
      <c r="F740" s="22"/>
      <c r="G740" s="47"/>
    </row>
    <row r="741" spans="1:7" ht="24" customHeight="1" x14ac:dyDescent="0.4">
      <c r="A741" s="23"/>
      <c r="B741" s="23"/>
      <c r="C741" s="23"/>
      <c r="D741" s="23"/>
      <c r="E741" s="22"/>
      <c r="F741" s="22"/>
      <c r="G741" s="47"/>
    </row>
    <row r="742" spans="1:7" ht="24" customHeight="1" x14ac:dyDescent="0.4">
      <c r="A742" s="23"/>
      <c r="B742" s="23"/>
      <c r="C742" s="23"/>
      <c r="D742" s="23"/>
      <c r="E742" s="22"/>
      <c r="F742" s="22"/>
      <c r="G742" s="47"/>
    </row>
    <row r="743" spans="1:7" ht="24" customHeight="1" x14ac:dyDescent="0.4">
      <c r="A743" s="23"/>
      <c r="B743" s="23"/>
      <c r="C743" s="23"/>
      <c r="D743" s="23"/>
      <c r="E743" s="22"/>
      <c r="F743" s="22"/>
      <c r="G743" s="47"/>
    </row>
    <row r="744" spans="1:7" ht="24" customHeight="1" x14ac:dyDescent="0.4">
      <c r="A744" s="23"/>
      <c r="B744" s="23"/>
      <c r="C744" s="23"/>
      <c r="D744" s="23"/>
      <c r="E744" s="22"/>
      <c r="F744" s="22"/>
      <c r="G744" s="47"/>
    </row>
    <row r="745" spans="1:7" ht="24" customHeight="1" x14ac:dyDescent="0.4">
      <c r="A745" s="23"/>
      <c r="B745" s="23"/>
      <c r="C745" s="23"/>
      <c r="D745" s="23"/>
      <c r="E745" s="22"/>
      <c r="F745" s="22"/>
      <c r="G745" s="47"/>
    </row>
    <row r="746" spans="1:7" ht="24" customHeight="1" x14ac:dyDescent="0.4">
      <c r="A746" s="23"/>
      <c r="B746" s="23"/>
      <c r="C746" s="23"/>
      <c r="D746" s="23"/>
      <c r="E746" s="22"/>
      <c r="F746" s="22"/>
      <c r="G746" s="47"/>
    </row>
    <row r="747" spans="1:7" ht="24" customHeight="1" x14ac:dyDescent="0.4">
      <c r="A747" s="23"/>
      <c r="B747" s="23"/>
      <c r="C747" s="23"/>
      <c r="D747" s="23"/>
      <c r="E747" s="22"/>
      <c r="F747" s="22"/>
      <c r="G747" s="47"/>
    </row>
    <row r="748" spans="1:7" ht="24" customHeight="1" x14ac:dyDescent="0.4">
      <c r="A748" s="23"/>
      <c r="B748" s="23"/>
      <c r="C748" s="23"/>
      <c r="D748" s="23"/>
      <c r="E748" s="22"/>
      <c r="F748" s="22"/>
      <c r="G748" s="47"/>
    </row>
    <row r="749" spans="1:7" ht="24" customHeight="1" x14ac:dyDescent="0.4">
      <c r="A749" s="23"/>
      <c r="B749" s="23"/>
      <c r="C749" s="23"/>
      <c r="D749" s="23"/>
      <c r="E749" s="22"/>
      <c r="F749" s="22"/>
      <c r="G749" s="47"/>
    </row>
    <row r="750" spans="1:7" ht="24" customHeight="1" x14ac:dyDescent="0.4">
      <c r="A750" s="23"/>
      <c r="B750" s="23"/>
      <c r="C750" s="23"/>
      <c r="D750" s="23"/>
      <c r="E750" s="22"/>
      <c r="F750" s="22"/>
      <c r="G750" s="47"/>
    </row>
    <row r="751" spans="1:7" ht="24" customHeight="1" x14ac:dyDescent="0.4">
      <c r="A751" s="23"/>
      <c r="B751" s="23"/>
      <c r="C751" s="23"/>
      <c r="D751" s="23"/>
      <c r="E751" s="22"/>
      <c r="F751" s="22"/>
      <c r="G751" s="47"/>
    </row>
    <row r="752" spans="1:7" ht="24" customHeight="1" x14ac:dyDescent="0.4">
      <c r="A752" s="23"/>
      <c r="B752" s="23"/>
      <c r="C752" s="23"/>
      <c r="D752" s="23"/>
      <c r="E752" s="22"/>
      <c r="F752" s="22"/>
      <c r="G752" s="47"/>
    </row>
    <row r="753" spans="1:7" ht="24" customHeight="1" x14ac:dyDescent="0.4">
      <c r="A753" s="23"/>
      <c r="B753" s="23"/>
      <c r="C753" s="23"/>
      <c r="D753" s="23"/>
      <c r="E753" s="22"/>
      <c r="F753" s="22"/>
      <c r="G753" s="47"/>
    </row>
    <row r="754" spans="1:7" ht="24" customHeight="1" x14ac:dyDescent="0.4">
      <c r="A754" s="23"/>
      <c r="B754" s="23"/>
      <c r="C754" s="23"/>
      <c r="D754" s="23"/>
      <c r="E754" s="22"/>
      <c r="F754" s="22"/>
      <c r="G754" s="47"/>
    </row>
    <row r="755" spans="1:7" ht="24" customHeight="1" x14ac:dyDescent="0.4">
      <c r="A755" s="23"/>
      <c r="B755" s="23"/>
      <c r="C755" s="23"/>
      <c r="D755" s="23"/>
      <c r="E755" s="22"/>
      <c r="F755" s="22"/>
      <c r="G755" s="47"/>
    </row>
    <row r="756" spans="1:7" ht="24" customHeight="1" x14ac:dyDescent="0.4">
      <c r="A756" s="23"/>
      <c r="B756" s="23"/>
      <c r="C756" s="23"/>
      <c r="D756" s="23"/>
      <c r="E756" s="22"/>
      <c r="F756" s="22"/>
      <c r="G756" s="47"/>
    </row>
    <row r="757" spans="1:7" ht="24" customHeight="1" x14ac:dyDescent="0.4">
      <c r="A757" s="23"/>
      <c r="B757" s="23"/>
      <c r="C757" s="23"/>
      <c r="D757" s="23"/>
      <c r="E757" s="22"/>
      <c r="F757" s="22"/>
      <c r="G757" s="47"/>
    </row>
    <row r="758" spans="1:7" ht="24" customHeight="1" x14ac:dyDescent="0.4">
      <c r="A758" s="23"/>
      <c r="B758" s="23"/>
      <c r="C758" s="23"/>
      <c r="D758" s="23"/>
      <c r="E758" s="22"/>
      <c r="F758" s="22"/>
      <c r="G758" s="47"/>
    </row>
    <row r="759" spans="1:7" ht="24" customHeight="1" x14ac:dyDescent="0.4">
      <c r="A759" s="23"/>
      <c r="B759" s="23"/>
      <c r="C759" s="23"/>
      <c r="D759" s="23"/>
      <c r="E759" s="22"/>
      <c r="F759" s="22"/>
      <c r="G759" s="47"/>
    </row>
    <row r="760" spans="1:7" ht="24" customHeight="1" x14ac:dyDescent="0.4">
      <c r="A760" s="23"/>
      <c r="B760" s="23"/>
      <c r="C760" s="23"/>
      <c r="D760" s="23"/>
      <c r="E760" s="22"/>
      <c r="F760" s="22"/>
      <c r="G760" s="47"/>
    </row>
    <row r="761" spans="1:7" ht="24" customHeight="1" x14ac:dyDescent="0.4">
      <c r="A761" s="23"/>
      <c r="B761" s="23"/>
      <c r="C761" s="23"/>
      <c r="D761" s="23"/>
      <c r="E761" s="22"/>
      <c r="F761" s="22"/>
      <c r="G761" s="47"/>
    </row>
    <row r="762" spans="1:7" ht="24" customHeight="1" x14ac:dyDescent="0.4">
      <c r="A762" s="23"/>
      <c r="B762" s="23"/>
      <c r="C762" s="23"/>
      <c r="D762" s="23"/>
      <c r="E762" s="22"/>
      <c r="F762" s="22"/>
      <c r="G762" s="47"/>
    </row>
    <row r="763" spans="1:7" ht="24" customHeight="1" x14ac:dyDescent="0.4">
      <c r="A763" s="23"/>
      <c r="B763" s="23"/>
      <c r="C763" s="23"/>
      <c r="D763" s="23"/>
      <c r="E763" s="22"/>
      <c r="F763" s="22"/>
      <c r="G763" s="47"/>
    </row>
    <row r="764" spans="1:7" ht="24" customHeight="1" x14ac:dyDescent="0.4">
      <c r="A764" s="23"/>
      <c r="B764" s="23"/>
      <c r="C764" s="23"/>
      <c r="D764" s="23"/>
      <c r="E764" s="22"/>
      <c r="F764" s="22"/>
      <c r="G764" s="47"/>
    </row>
    <row r="765" spans="1:7" ht="24" customHeight="1" x14ac:dyDescent="0.4">
      <c r="A765" s="23"/>
      <c r="B765" s="23"/>
      <c r="C765" s="23"/>
      <c r="D765" s="23"/>
      <c r="E765" s="22"/>
      <c r="F765" s="22"/>
      <c r="G765" s="47"/>
    </row>
    <row r="766" spans="1:7" ht="24" customHeight="1" x14ac:dyDescent="0.4">
      <c r="A766" s="23"/>
      <c r="B766" s="23"/>
      <c r="C766" s="23"/>
      <c r="D766" s="23"/>
      <c r="E766" s="22"/>
      <c r="F766" s="22"/>
      <c r="G766" s="47"/>
    </row>
    <row r="767" spans="1:7" ht="24" customHeight="1" x14ac:dyDescent="0.4">
      <c r="A767" s="23"/>
      <c r="B767" s="23"/>
      <c r="C767" s="23"/>
      <c r="D767" s="23"/>
      <c r="E767" s="22"/>
      <c r="F767" s="22"/>
      <c r="G767" s="47"/>
    </row>
    <row r="768" spans="1:7" ht="24" customHeight="1" x14ac:dyDescent="0.4">
      <c r="A768" s="23"/>
      <c r="B768" s="23"/>
      <c r="C768" s="23"/>
      <c r="D768" s="23"/>
      <c r="E768" s="22"/>
      <c r="F768" s="22"/>
      <c r="G768" s="47"/>
    </row>
    <row r="769" spans="1:7" ht="24" customHeight="1" x14ac:dyDescent="0.4">
      <c r="A769" s="23"/>
      <c r="B769" s="23"/>
      <c r="C769" s="23"/>
      <c r="D769" s="23"/>
      <c r="E769" s="22"/>
      <c r="F769" s="22"/>
      <c r="G769" s="47"/>
    </row>
    <row r="770" spans="1:7" ht="24" customHeight="1" x14ac:dyDescent="0.4">
      <c r="A770" s="23"/>
      <c r="B770" s="23"/>
      <c r="C770" s="23"/>
      <c r="D770" s="23"/>
      <c r="E770" s="22"/>
      <c r="F770" s="22"/>
      <c r="G770" s="47"/>
    </row>
    <row r="771" spans="1:7" ht="24" customHeight="1" x14ac:dyDescent="0.4">
      <c r="A771" s="23"/>
      <c r="B771" s="23"/>
      <c r="C771" s="23"/>
      <c r="D771" s="23"/>
      <c r="E771" s="22"/>
      <c r="F771" s="22"/>
      <c r="G771" s="47"/>
    </row>
    <row r="772" spans="1:7" ht="24" customHeight="1" x14ac:dyDescent="0.4">
      <c r="A772" s="23"/>
      <c r="B772" s="23"/>
      <c r="C772" s="23"/>
      <c r="D772" s="23"/>
      <c r="E772" s="22"/>
      <c r="F772" s="22"/>
      <c r="G772" s="47"/>
    </row>
    <row r="773" spans="1:7" ht="24" customHeight="1" x14ac:dyDescent="0.4">
      <c r="A773" s="23"/>
      <c r="B773" s="23"/>
      <c r="C773" s="23"/>
      <c r="D773" s="23"/>
      <c r="E773" s="22"/>
      <c r="F773" s="22"/>
      <c r="G773" s="47"/>
    </row>
    <row r="774" spans="1:7" ht="24" customHeight="1" x14ac:dyDescent="0.4">
      <c r="A774" s="23"/>
      <c r="B774" s="23"/>
      <c r="C774" s="23"/>
      <c r="D774" s="23"/>
      <c r="E774" s="22"/>
      <c r="F774" s="22"/>
      <c r="G774" s="47"/>
    </row>
    <row r="775" spans="1:7" ht="24" customHeight="1" x14ac:dyDescent="0.4">
      <c r="A775" s="23"/>
      <c r="B775" s="23"/>
      <c r="C775" s="23"/>
      <c r="D775" s="23"/>
      <c r="E775" s="22"/>
      <c r="F775" s="22"/>
      <c r="G775" s="47"/>
    </row>
    <row r="776" spans="1:7" ht="24" customHeight="1" x14ac:dyDescent="0.4">
      <c r="A776" s="23"/>
      <c r="B776" s="23"/>
      <c r="C776" s="23"/>
      <c r="D776" s="23"/>
      <c r="E776" s="22"/>
      <c r="F776" s="22"/>
      <c r="G776" s="47"/>
    </row>
    <row r="777" spans="1:7" ht="24" customHeight="1" x14ac:dyDescent="0.4">
      <c r="A777" s="23"/>
      <c r="B777" s="23"/>
      <c r="C777" s="23"/>
      <c r="D777" s="23"/>
      <c r="E777" s="22"/>
      <c r="F777" s="22"/>
      <c r="G777" s="47"/>
    </row>
    <row r="778" spans="1:7" ht="24" customHeight="1" x14ac:dyDescent="0.4">
      <c r="A778" s="23"/>
      <c r="B778" s="23"/>
      <c r="C778" s="23"/>
      <c r="D778" s="23"/>
      <c r="E778" s="22"/>
      <c r="F778" s="22"/>
      <c r="G778" s="47"/>
    </row>
    <row r="779" spans="1:7" ht="24" customHeight="1" x14ac:dyDescent="0.4">
      <c r="A779" s="23"/>
      <c r="B779" s="23"/>
      <c r="C779" s="23"/>
      <c r="D779" s="23"/>
      <c r="E779" s="22"/>
      <c r="F779" s="22"/>
      <c r="G779" s="47"/>
    </row>
    <row r="780" spans="1:7" ht="24" customHeight="1" x14ac:dyDescent="0.4">
      <c r="A780" s="23"/>
      <c r="B780" s="23"/>
      <c r="C780" s="23"/>
      <c r="D780" s="23"/>
      <c r="E780" s="22"/>
      <c r="F780" s="22"/>
      <c r="G780" s="47"/>
    </row>
    <row r="781" spans="1:7" ht="24" customHeight="1" x14ac:dyDescent="0.4">
      <c r="A781" s="23"/>
      <c r="B781" s="23"/>
      <c r="C781" s="23"/>
      <c r="D781" s="23"/>
      <c r="E781" s="22"/>
      <c r="F781" s="22"/>
      <c r="G781" s="47"/>
    </row>
    <row r="782" spans="1:7" ht="24" customHeight="1" x14ac:dyDescent="0.4">
      <c r="A782" s="23"/>
      <c r="B782" s="23"/>
      <c r="C782" s="23"/>
      <c r="D782" s="23"/>
      <c r="E782" s="22"/>
      <c r="F782" s="22"/>
      <c r="G782" s="47"/>
    </row>
    <row r="783" spans="1:7" ht="24" customHeight="1" x14ac:dyDescent="0.4">
      <c r="A783" s="23"/>
      <c r="B783" s="23"/>
      <c r="C783" s="23"/>
      <c r="D783" s="23"/>
      <c r="E783" s="22"/>
      <c r="F783" s="22"/>
      <c r="G783" s="47"/>
    </row>
    <row r="784" spans="1:7" ht="24" customHeight="1" x14ac:dyDescent="0.4">
      <c r="A784" s="23"/>
      <c r="B784" s="23"/>
      <c r="C784" s="23"/>
      <c r="D784" s="23"/>
      <c r="E784" s="22"/>
      <c r="F784" s="22"/>
      <c r="G784" s="47"/>
    </row>
    <row r="785" spans="1:7" ht="24" customHeight="1" x14ac:dyDescent="0.4">
      <c r="A785" s="23"/>
      <c r="B785" s="23"/>
      <c r="C785" s="23"/>
      <c r="D785" s="23"/>
      <c r="E785" s="22"/>
      <c r="F785" s="22"/>
      <c r="G785" s="47"/>
    </row>
    <row r="786" spans="1:7" ht="24" customHeight="1" x14ac:dyDescent="0.4">
      <c r="A786" s="23"/>
      <c r="B786" s="23"/>
      <c r="C786" s="23"/>
      <c r="D786" s="23"/>
      <c r="E786" s="22"/>
      <c r="F786" s="22"/>
      <c r="G786" s="47"/>
    </row>
    <row r="787" spans="1:7" ht="24" customHeight="1" x14ac:dyDescent="0.4">
      <c r="A787" s="23"/>
      <c r="B787" s="23"/>
      <c r="C787" s="23"/>
      <c r="D787" s="23"/>
      <c r="E787" s="22"/>
      <c r="F787" s="22"/>
      <c r="G787" s="47"/>
    </row>
    <row r="788" spans="1:7" ht="24" customHeight="1" x14ac:dyDescent="0.4">
      <c r="A788" s="23"/>
      <c r="B788" s="23"/>
      <c r="C788" s="23"/>
      <c r="D788" s="23"/>
      <c r="E788" s="22"/>
      <c r="F788" s="22"/>
      <c r="G788" s="47"/>
    </row>
    <row r="789" spans="1:7" ht="24" customHeight="1" x14ac:dyDescent="0.4">
      <c r="A789" s="23"/>
      <c r="B789" s="23"/>
      <c r="C789" s="23"/>
      <c r="D789" s="23"/>
      <c r="E789" s="22"/>
      <c r="F789" s="22"/>
      <c r="G789" s="47"/>
    </row>
    <row r="790" spans="1:7" ht="24" customHeight="1" x14ac:dyDescent="0.4">
      <c r="A790" s="23"/>
      <c r="B790" s="23"/>
      <c r="C790" s="23"/>
      <c r="D790" s="23"/>
      <c r="E790" s="22"/>
      <c r="F790" s="22"/>
      <c r="G790" s="47"/>
    </row>
    <row r="791" spans="1:7" ht="24" customHeight="1" x14ac:dyDescent="0.4">
      <c r="A791" s="23"/>
      <c r="B791" s="23"/>
      <c r="C791" s="23"/>
      <c r="D791" s="23"/>
      <c r="E791" s="22"/>
      <c r="F791" s="22"/>
      <c r="G791" s="47"/>
    </row>
    <row r="792" spans="1:7" ht="24" customHeight="1" x14ac:dyDescent="0.4">
      <c r="A792" s="23"/>
      <c r="B792" s="23"/>
      <c r="C792" s="23"/>
      <c r="D792" s="23"/>
      <c r="E792" s="22"/>
      <c r="F792" s="22"/>
      <c r="G792" s="47"/>
    </row>
    <row r="793" spans="1:7" ht="24" customHeight="1" x14ac:dyDescent="0.4">
      <c r="A793" s="23"/>
      <c r="B793" s="23"/>
      <c r="C793" s="23"/>
      <c r="D793" s="23"/>
      <c r="E793" s="22"/>
      <c r="F793" s="22"/>
      <c r="G793" s="47"/>
    </row>
    <row r="794" spans="1:7" ht="24" customHeight="1" x14ac:dyDescent="0.4">
      <c r="A794" s="23"/>
      <c r="B794" s="23"/>
      <c r="C794" s="23"/>
      <c r="D794" s="23"/>
      <c r="E794" s="22"/>
      <c r="F794" s="22"/>
      <c r="G794" s="47"/>
    </row>
    <row r="795" spans="1:7" ht="24" customHeight="1" x14ac:dyDescent="0.4">
      <c r="A795" s="23"/>
      <c r="B795" s="23"/>
      <c r="C795" s="23"/>
      <c r="D795" s="23"/>
      <c r="E795" s="22"/>
      <c r="F795" s="22"/>
      <c r="G795" s="47"/>
    </row>
    <row r="796" spans="1:7" ht="24" customHeight="1" x14ac:dyDescent="0.4">
      <c r="A796" s="23"/>
      <c r="B796" s="23"/>
      <c r="C796" s="23"/>
      <c r="D796" s="23"/>
      <c r="E796" s="22"/>
      <c r="F796" s="22"/>
      <c r="G796" s="47"/>
    </row>
    <row r="797" spans="1:7" ht="24" customHeight="1" x14ac:dyDescent="0.4">
      <c r="A797" s="23"/>
      <c r="B797" s="23"/>
      <c r="C797" s="23"/>
      <c r="D797" s="23"/>
      <c r="E797" s="22"/>
      <c r="F797" s="22"/>
      <c r="G797" s="47"/>
    </row>
    <row r="798" spans="1:7" ht="24" customHeight="1" x14ac:dyDescent="0.4">
      <c r="A798" s="23"/>
      <c r="B798" s="23"/>
      <c r="C798" s="23"/>
      <c r="D798" s="23"/>
      <c r="E798" s="22"/>
      <c r="F798" s="22"/>
      <c r="G798" s="47"/>
    </row>
    <row r="799" spans="1:7" ht="24" customHeight="1" x14ac:dyDescent="0.4">
      <c r="A799" s="23"/>
      <c r="B799" s="23"/>
      <c r="C799" s="23"/>
      <c r="D799" s="23"/>
      <c r="E799" s="22"/>
      <c r="F799" s="22"/>
      <c r="G799" s="47"/>
    </row>
    <row r="800" spans="1:7" ht="24" customHeight="1" x14ac:dyDescent="0.4">
      <c r="A800" s="23"/>
      <c r="B800" s="23"/>
      <c r="C800" s="23"/>
      <c r="D800" s="23"/>
      <c r="E800" s="22"/>
      <c r="F800" s="22"/>
      <c r="G800" s="47"/>
    </row>
    <row r="801" spans="1:7" ht="24" customHeight="1" x14ac:dyDescent="0.4">
      <c r="A801" s="23"/>
      <c r="B801" s="23"/>
      <c r="C801" s="23"/>
      <c r="D801" s="23"/>
      <c r="E801" s="22"/>
      <c r="F801" s="22"/>
      <c r="G801" s="47"/>
    </row>
    <row r="802" spans="1:7" ht="24" customHeight="1" x14ac:dyDescent="0.4">
      <c r="A802" s="23"/>
      <c r="B802" s="23"/>
      <c r="C802" s="23"/>
      <c r="D802" s="23"/>
      <c r="E802" s="22"/>
      <c r="F802" s="22"/>
      <c r="G802" s="47"/>
    </row>
    <row r="803" spans="1:7" ht="24" customHeight="1" x14ac:dyDescent="0.4">
      <c r="A803" s="23"/>
      <c r="B803" s="23"/>
      <c r="C803" s="23"/>
      <c r="D803" s="23"/>
      <c r="E803" s="22"/>
      <c r="F803" s="22"/>
      <c r="G803" s="47"/>
    </row>
    <row r="804" spans="1:7" ht="24" customHeight="1" x14ac:dyDescent="0.4">
      <c r="A804" s="23"/>
      <c r="B804" s="23"/>
      <c r="C804" s="23"/>
      <c r="D804" s="23"/>
      <c r="E804" s="22"/>
      <c r="F804" s="22"/>
      <c r="G804" s="47"/>
    </row>
    <row r="805" spans="1:7" ht="24" customHeight="1" x14ac:dyDescent="0.4">
      <c r="A805" s="23"/>
      <c r="B805" s="23"/>
      <c r="C805" s="23"/>
      <c r="D805" s="23"/>
      <c r="E805" s="22"/>
      <c r="F805" s="22"/>
      <c r="G805" s="47"/>
    </row>
    <row r="806" spans="1:7" ht="24" customHeight="1" x14ac:dyDescent="0.4">
      <c r="A806" s="23"/>
      <c r="B806" s="23"/>
      <c r="C806" s="23"/>
      <c r="D806" s="23"/>
      <c r="E806" s="22"/>
      <c r="F806" s="22"/>
      <c r="G806" s="47"/>
    </row>
    <row r="807" spans="1:7" ht="24" customHeight="1" x14ac:dyDescent="0.4">
      <c r="A807" s="23"/>
      <c r="B807" s="23"/>
      <c r="C807" s="23"/>
      <c r="D807" s="23"/>
      <c r="E807" s="22"/>
      <c r="F807" s="22"/>
      <c r="G807" s="47"/>
    </row>
    <row r="808" spans="1:7" ht="24" customHeight="1" x14ac:dyDescent="0.4">
      <c r="A808" s="23"/>
      <c r="B808" s="23"/>
      <c r="C808" s="23"/>
      <c r="D808" s="23"/>
      <c r="E808" s="22"/>
      <c r="F808" s="22"/>
      <c r="G808" s="47"/>
    </row>
    <row r="809" spans="1:7" ht="24" customHeight="1" x14ac:dyDescent="0.4">
      <c r="A809" s="23"/>
      <c r="B809" s="23"/>
      <c r="C809" s="23"/>
      <c r="D809" s="23"/>
      <c r="E809" s="22"/>
      <c r="F809" s="22"/>
      <c r="G809" s="47"/>
    </row>
    <row r="810" spans="1:7" ht="24" customHeight="1" x14ac:dyDescent="0.4">
      <c r="A810" s="23"/>
      <c r="B810" s="23"/>
      <c r="C810" s="23"/>
      <c r="D810" s="23"/>
      <c r="E810" s="22"/>
      <c r="F810" s="22"/>
      <c r="G810" s="47"/>
    </row>
    <row r="811" spans="1:7" ht="24" customHeight="1" x14ac:dyDescent="0.4">
      <c r="A811" s="23"/>
      <c r="B811" s="23"/>
      <c r="C811" s="23"/>
      <c r="D811" s="23"/>
      <c r="E811" s="22"/>
      <c r="F811" s="22"/>
      <c r="G811" s="47"/>
    </row>
    <row r="812" spans="1:7" ht="24" customHeight="1" x14ac:dyDescent="0.4">
      <c r="A812" s="23"/>
      <c r="B812" s="23"/>
      <c r="C812" s="23"/>
      <c r="D812" s="23"/>
      <c r="E812" s="22"/>
      <c r="F812" s="22"/>
      <c r="G812" s="47"/>
    </row>
    <row r="813" spans="1:7" ht="24" customHeight="1" x14ac:dyDescent="0.4">
      <c r="A813" s="23"/>
      <c r="B813" s="23"/>
      <c r="C813" s="23"/>
      <c r="D813" s="23"/>
      <c r="E813" s="22"/>
      <c r="F813" s="22"/>
      <c r="G813" s="47"/>
    </row>
    <row r="814" spans="1:7" ht="24" customHeight="1" x14ac:dyDescent="0.4">
      <c r="A814" s="23"/>
      <c r="B814" s="23"/>
      <c r="C814" s="23"/>
      <c r="D814" s="23"/>
      <c r="E814" s="22"/>
      <c r="F814" s="22"/>
      <c r="G814" s="47"/>
    </row>
    <row r="815" spans="1:7" ht="24" customHeight="1" x14ac:dyDescent="0.4">
      <c r="A815" s="23"/>
      <c r="B815" s="23"/>
      <c r="C815" s="23"/>
      <c r="D815" s="23"/>
      <c r="E815" s="22"/>
      <c r="F815" s="22"/>
      <c r="G815" s="47"/>
    </row>
    <row r="816" spans="1:7" ht="24" customHeight="1" x14ac:dyDescent="0.4">
      <c r="A816" s="23"/>
      <c r="B816" s="23"/>
      <c r="C816" s="23"/>
      <c r="D816" s="23"/>
      <c r="E816" s="22"/>
      <c r="F816" s="22"/>
      <c r="G816" s="47"/>
    </row>
    <row r="817" spans="1:7" ht="24" customHeight="1" x14ac:dyDescent="0.4">
      <c r="A817" s="23"/>
      <c r="B817" s="23"/>
      <c r="C817" s="23"/>
      <c r="D817" s="23"/>
      <c r="E817" s="22"/>
      <c r="F817" s="22"/>
      <c r="G817" s="47"/>
    </row>
    <row r="818" spans="1:7" ht="24" customHeight="1" x14ac:dyDescent="0.4">
      <c r="A818" s="23"/>
      <c r="B818" s="23"/>
      <c r="C818" s="23"/>
      <c r="D818" s="23"/>
      <c r="E818" s="22"/>
      <c r="F818" s="22"/>
      <c r="G818" s="47"/>
    </row>
    <row r="819" spans="1:7" ht="24" customHeight="1" x14ac:dyDescent="0.4">
      <c r="A819" s="23"/>
      <c r="B819" s="23"/>
      <c r="C819" s="23"/>
      <c r="D819" s="23"/>
      <c r="E819" s="22"/>
      <c r="F819" s="22"/>
      <c r="G819" s="47"/>
    </row>
    <row r="820" spans="1:7" ht="24" customHeight="1" x14ac:dyDescent="0.4">
      <c r="A820" s="23"/>
      <c r="B820" s="23"/>
      <c r="C820" s="23"/>
      <c r="D820" s="23"/>
      <c r="E820" s="22"/>
      <c r="F820" s="22"/>
      <c r="G820" s="47"/>
    </row>
    <row r="821" spans="1:7" ht="24" customHeight="1" x14ac:dyDescent="0.4">
      <c r="A821" s="23"/>
      <c r="B821" s="23"/>
      <c r="C821" s="23"/>
      <c r="D821" s="23"/>
      <c r="E821" s="22"/>
      <c r="F821" s="22"/>
      <c r="G821" s="47"/>
    </row>
    <row r="822" spans="1:7" ht="24" customHeight="1" x14ac:dyDescent="0.4">
      <c r="A822" s="23"/>
      <c r="B822" s="23"/>
      <c r="C822" s="23"/>
      <c r="D822" s="23"/>
      <c r="E822" s="22"/>
      <c r="F822" s="22"/>
      <c r="G822" s="47"/>
    </row>
    <row r="823" spans="1:7" ht="24" customHeight="1" x14ac:dyDescent="0.4">
      <c r="A823" s="23"/>
      <c r="B823" s="23"/>
      <c r="C823" s="23"/>
      <c r="D823" s="23"/>
      <c r="E823" s="22"/>
      <c r="F823" s="22"/>
      <c r="G823" s="47"/>
    </row>
    <row r="824" spans="1:7" ht="24" customHeight="1" x14ac:dyDescent="0.4">
      <c r="A824" s="23"/>
      <c r="B824" s="23"/>
      <c r="C824" s="23"/>
      <c r="D824" s="23"/>
      <c r="E824" s="22"/>
      <c r="F824" s="22"/>
      <c r="G824" s="47"/>
    </row>
    <row r="825" spans="1:7" ht="24" customHeight="1" x14ac:dyDescent="0.4">
      <c r="A825" s="23"/>
      <c r="B825" s="23"/>
      <c r="C825" s="23"/>
      <c r="D825" s="23"/>
      <c r="E825" s="22"/>
      <c r="F825" s="22"/>
      <c r="G825" s="47"/>
    </row>
    <row r="826" spans="1:7" ht="24" customHeight="1" x14ac:dyDescent="0.4">
      <c r="A826" s="23"/>
      <c r="B826" s="23"/>
      <c r="C826" s="23"/>
      <c r="D826" s="23"/>
      <c r="E826" s="22"/>
      <c r="F826" s="22"/>
      <c r="G826" s="47"/>
    </row>
    <row r="827" spans="1:7" ht="24" customHeight="1" x14ac:dyDescent="0.4">
      <c r="A827" s="23"/>
      <c r="B827" s="23"/>
      <c r="C827" s="23"/>
      <c r="D827" s="23"/>
      <c r="E827" s="22"/>
      <c r="F827" s="22"/>
      <c r="G827" s="47"/>
    </row>
    <row r="828" spans="1:7" ht="24" customHeight="1" x14ac:dyDescent="0.4">
      <c r="A828" s="23"/>
      <c r="B828" s="23"/>
      <c r="C828" s="23"/>
      <c r="D828" s="23"/>
      <c r="E828" s="22"/>
      <c r="F828" s="22"/>
      <c r="G828" s="47"/>
    </row>
    <row r="829" spans="1:7" ht="24" customHeight="1" x14ac:dyDescent="0.4">
      <c r="A829" s="23"/>
      <c r="B829" s="23"/>
      <c r="C829" s="23"/>
      <c r="D829" s="23"/>
      <c r="E829" s="22"/>
      <c r="F829" s="22"/>
      <c r="G829" s="47"/>
    </row>
    <row r="830" spans="1:7" ht="24" customHeight="1" x14ac:dyDescent="0.4">
      <c r="A830" s="23"/>
      <c r="B830" s="23"/>
      <c r="C830" s="23"/>
      <c r="D830" s="23"/>
      <c r="E830" s="22"/>
      <c r="F830" s="22"/>
      <c r="G830" s="47"/>
    </row>
    <row r="831" spans="1:7" ht="24" customHeight="1" x14ac:dyDescent="0.4">
      <c r="A831" s="23"/>
      <c r="B831" s="23"/>
      <c r="C831" s="23"/>
      <c r="D831" s="23"/>
      <c r="E831" s="22"/>
      <c r="F831" s="22"/>
      <c r="G831" s="47"/>
    </row>
    <row r="832" spans="1:7" ht="24" customHeight="1" x14ac:dyDescent="0.4">
      <c r="A832" s="23"/>
      <c r="B832" s="23"/>
      <c r="C832" s="23"/>
      <c r="D832" s="23"/>
      <c r="E832" s="22"/>
      <c r="F832" s="22"/>
      <c r="G832" s="47"/>
    </row>
    <row r="833" spans="1:7" ht="24" customHeight="1" x14ac:dyDescent="0.4">
      <c r="A833" s="23"/>
      <c r="B833" s="23"/>
      <c r="C833" s="23"/>
      <c r="D833" s="23"/>
      <c r="E833" s="22"/>
      <c r="F833" s="22"/>
      <c r="G833" s="47"/>
    </row>
    <row r="834" spans="1:7" ht="24" customHeight="1" x14ac:dyDescent="0.4">
      <c r="A834" s="23"/>
      <c r="B834" s="23"/>
      <c r="C834" s="23"/>
      <c r="D834" s="23"/>
      <c r="E834" s="22"/>
      <c r="F834" s="22"/>
      <c r="G834" s="47"/>
    </row>
    <row r="835" spans="1:7" ht="24" customHeight="1" x14ac:dyDescent="0.4">
      <c r="A835" s="23"/>
      <c r="B835" s="23"/>
      <c r="C835" s="23"/>
      <c r="D835" s="23"/>
      <c r="E835" s="22"/>
      <c r="F835" s="22"/>
      <c r="G835" s="47"/>
    </row>
    <row r="836" spans="1:7" ht="24" customHeight="1" x14ac:dyDescent="0.4">
      <c r="A836" s="23"/>
      <c r="B836" s="23"/>
      <c r="C836" s="23"/>
      <c r="D836" s="23"/>
      <c r="E836" s="22"/>
      <c r="F836" s="22"/>
      <c r="G836" s="47"/>
    </row>
    <row r="837" spans="1:7" ht="24" customHeight="1" x14ac:dyDescent="0.4">
      <c r="A837" s="23"/>
      <c r="B837" s="23"/>
      <c r="C837" s="23"/>
      <c r="D837" s="23"/>
      <c r="E837" s="22"/>
      <c r="F837" s="22"/>
      <c r="G837" s="47"/>
    </row>
    <row r="838" spans="1:7" ht="24" customHeight="1" x14ac:dyDescent="0.4">
      <c r="A838" s="23"/>
      <c r="B838" s="23"/>
      <c r="C838" s="23"/>
      <c r="D838" s="23"/>
      <c r="E838" s="22"/>
      <c r="F838" s="22"/>
      <c r="G838" s="47"/>
    </row>
    <row r="839" spans="1:7" ht="24" customHeight="1" x14ac:dyDescent="0.4">
      <c r="A839" s="23"/>
      <c r="B839" s="23"/>
      <c r="C839" s="23"/>
      <c r="D839" s="23"/>
      <c r="E839" s="22"/>
      <c r="F839" s="22"/>
      <c r="G839" s="47"/>
    </row>
    <row r="840" spans="1:7" ht="24" customHeight="1" x14ac:dyDescent="0.4">
      <c r="A840" s="23"/>
      <c r="B840" s="23"/>
      <c r="C840" s="23"/>
      <c r="D840" s="23"/>
      <c r="E840" s="22"/>
      <c r="F840" s="22"/>
      <c r="G840" s="47"/>
    </row>
    <row r="841" spans="1:7" ht="24" customHeight="1" x14ac:dyDescent="0.4">
      <c r="A841" s="23"/>
      <c r="B841" s="23"/>
      <c r="C841" s="23"/>
      <c r="D841" s="23"/>
      <c r="E841" s="22"/>
      <c r="F841" s="22"/>
      <c r="G841" s="47"/>
    </row>
    <row r="842" spans="1:7" ht="24" customHeight="1" x14ac:dyDescent="0.4">
      <c r="A842" s="23"/>
      <c r="B842" s="23"/>
      <c r="C842" s="23"/>
      <c r="D842" s="23"/>
      <c r="E842" s="22"/>
      <c r="F842" s="22"/>
      <c r="G842" s="47"/>
    </row>
    <row r="843" spans="1:7" ht="24" customHeight="1" x14ac:dyDescent="0.4">
      <c r="A843" s="23"/>
      <c r="B843" s="23"/>
      <c r="C843" s="23"/>
      <c r="D843" s="23"/>
      <c r="E843" s="22"/>
      <c r="F843" s="22"/>
      <c r="G843" s="47"/>
    </row>
    <row r="844" spans="1:7" ht="24" customHeight="1" x14ac:dyDescent="0.4">
      <c r="A844" s="23"/>
      <c r="B844" s="23"/>
      <c r="C844" s="23"/>
      <c r="D844" s="23"/>
      <c r="E844" s="22"/>
      <c r="F844" s="22"/>
      <c r="G844" s="47"/>
    </row>
    <row r="845" spans="1:7" ht="24" customHeight="1" x14ac:dyDescent="0.4">
      <c r="A845" s="23"/>
      <c r="B845" s="23"/>
      <c r="C845" s="23"/>
      <c r="D845" s="23"/>
      <c r="E845" s="22"/>
      <c r="F845" s="22"/>
      <c r="G845" s="47"/>
    </row>
    <row r="846" spans="1:7" ht="24" customHeight="1" x14ac:dyDescent="0.4">
      <c r="A846" s="23"/>
      <c r="B846" s="23"/>
      <c r="C846" s="23"/>
      <c r="D846" s="23"/>
      <c r="E846" s="22"/>
      <c r="F846" s="22"/>
      <c r="G846" s="47"/>
    </row>
    <row r="847" spans="1:7" ht="24" customHeight="1" x14ac:dyDescent="0.4">
      <c r="A847" s="23"/>
      <c r="B847" s="23"/>
      <c r="C847" s="23"/>
      <c r="D847" s="23"/>
      <c r="E847" s="22"/>
      <c r="F847" s="22"/>
      <c r="G847" s="47"/>
    </row>
    <row r="848" spans="1:7" ht="24" customHeight="1" x14ac:dyDescent="0.4">
      <c r="A848" s="23"/>
      <c r="B848" s="23"/>
      <c r="C848" s="23"/>
      <c r="D848" s="23"/>
      <c r="E848" s="22"/>
      <c r="F848" s="22"/>
      <c r="G848" s="47"/>
    </row>
    <row r="849" spans="1:7" ht="24" customHeight="1" x14ac:dyDescent="0.4">
      <c r="A849" s="23"/>
      <c r="B849" s="23"/>
      <c r="C849" s="23"/>
      <c r="D849" s="23"/>
      <c r="E849" s="22"/>
      <c r="F849" s="22"/>
      <c r="G849" s="47"/>
    </row>
    <row r="850" spans="1:7" ht="24" customHeight="1" x14ac:dyDescent="0.4">
      <c r="A850" s="23"/>
      <c r="B850" s="23"/>
      <c r="C850" s="23"/>
      <c r="D850" s="23"/>
      <c r="E850" s="22"/>
      <c r="F850" s="22"/>
      <c r="G850" s="47"/>
    </row>
    <row r="851" spans="1:7" ht="24" customHeight="1" x14ac:dyDescent="0.4">
      <c r="A851" s="23"/>
      <c r="B851" s="23"/>
      <c r="C851" s="23"/>
      <c r="D851" s="23"/>
      <c r="E851" s="22"/>
      <c r="F851" s="22"/>
      <c r="G851" s="47"/>
    </row>
    <row r="852" spans="1:7" ht="24" customHeight="1" x14ac:dyDescent="0.4">
      <c r="A852" s="23"/>
      <c r="B852" s="23"/>
      <c r="C852" s="23"/>
      <c r="D852" s="23"/>
      <c r="E852" s="22"/>
      <c r="F852" s="22"/>
      <c r="G852" s="47"/>
    </row>
    <row r="853" spans="1:7" ht="24" customHeight="1" x14ac:dyDescent="0.4">
      <c r="A853" s="23"/>
      <c r="B853" s="23"/>
      <c r="C853" s="23"/>
      <c r="D853" s="23"/>
      <c r="E853" s="22"/>
      <c r="F853" s="22"/>
      <c r="G853" s="47"/>
    </row>
    <row r="854" spans="1:7" ht="24" customHeight="1" x14ac:dyDescent="0.4">
      <c r="A854" s="23"/>
      <c r="B854" s="23"/>
      <c r="C854" s="23"/>
      <c r="D854" s="23"/>
      <c r="E854" s="22"/>
      <c r="F854" s="22"/>
      <c r="G854" s="47"/>
    </row>
    <row r="855" spans="1:7" ht="24" customHeight="1" x14ac:dyDescent="0.4">
      <c r="A855" s="23"/>
      <c r="B855" s="23"/>
      <c r="C855" s="23"/>
      <c r="D855" s="23"/>
      <c r="E855" s="22"/>
      <c r="F855" s="22"/>
      <c r="G855" s="47"/>
    </row>
    <row r="856" spans="1:7" ht="24" customHeight="1" x14ac:dyDescent="0.4">
      <c r="A856" s="23"/>
      <c r="B856" s="23"/>
      <c r="C856" s="23"/>
      <c r="D856" s="23"/>
      <c r="E856" s="22"/>
      <c r="F856" s="22"/>
      <c r="G856" s="47"/>
    </row>
    <row r="857" spans="1:7" ht="24" customHeight="1" x14ac:dyDescent="0.4">
      <c r="A857" s="23"/>
      <c r="B857" s="23"/>
      <c r="C857" s="23"/>
      <c r="D857" s="23"/>
      <c r="E857" s="22"/>
      <c r="F857" s="22"/>
      <c r="G857" s="47"/>
    </row>
    <row r="858" spans="1:7" ht="24" customHeight="1" x14ac:dyDescent="0.4">
      <c r="A858" s="23"/>
      <c r="B858" s="23"/>
      <c r="C858" s="23"/>
      <c r="D858" s="23"/>
      <c r="E858" s="22"/>
      <c r="F858" s="22"/>
      <c r="G858" s="47"/>
    </row>
    <row r="859" spans="1:7" ht="24" customHeight="1" x14ac:dyDescent="0.4">
      <c r="A859" s="23"/>
      <c r="B859" s="23"/>
      <c r="C859" s="23"/>
      <c r="D859" s="23"/>
      <c r="E859" s="22"/>
      <c r="F859" s="22"/>
      <c r="G859" s="47"/>
    </row>
    <row r="860" spans="1:7" ht="24" customHeight="1" x14ac:dyDescent="0.4">
      <c r="A860" s="23"/>
      <c r="B860" s="23"/>
      <c r="C860" s="23"/>
      <c r="D860" s="23"/>
      <c r="E860" s="22"/>
      <c r="F860" s="22"/>
      <c r="G860" s="47"/>
    </row>
    <row r="861" spans="1:7" ht="24" customHeight="1" x14ac:dyDescent="0.4">
      <c r="A861" s="23"/>
      <c r="B861" s="23"/>
      <c r="C861" s="23"/>
      <c r="D861" s="23"/>
      <c r="E861" s="22"/>
      <c r="F861" s="22"/>
      <c r="G861" s="47"/>
    </row>
    <row r="862" spans="1:7" ht="24" customHeight="1" x14ac:dyDescent="0.4">
      <c r="A862" s="23"/>
      <c r="B862" s="23"/>
      <c r="C862" s="23"/>
      <c r="D862" s="23"/>
      <c r="E862" s="22"/>
      <c r="F862" s="22"/>
      <c r="G862" s="47"/>
    </row>
    <row r="863" spans="1:7" ht="24" customHeight="1" x14ac:dyDescent="0.4">
      <c r="A863" s="23"/>
      <c r="B863" s="23"/>
      <c r="C863" s="23"/>
      <c r="D863" s="23"/>
      <c r="E863" s="22"/>
      <c r="F863" s="22"/>
      <c r="G863" s="47"/>
    </row>
    <row r="864" spans="1:7" ht="24" customHeight="1" x14ac:dyDescent="0.4">
      <c r="A864" s="23"/>
      <c r="B864" s="23"/>
      <c r="C864" s="23"/>
      <c r="D864" s="23"/>
      <c r="E864" s="22"/>
      <c r="F864" s="22"/>
      <c r="G864" s="47"/>
    </row>
    <row r="865" spans="1:7" ht="24" customHeight="1" x14ac:dyDescent="0.4">
      <c r="A865" s="23"/>
      <c r="B865" s="23"/>
      <c r="C865" s="23"/>
      <c r="D865" s="23"/>
      <c r="E865" s="22"/>
      <c r="F865" s="22"/>
      <c r="G865" s="47"/>
    </row>
    <row r="866" spans="1:7" ht="24" customHeight="1" x14ac:dyDescent="0.4">
      <c r="A866" s="23"/>
      <c r="B866" s="23"/>
      <c r="C866" s="23"/>
      <c r="D866" s="23"/>
      <c r="E866" s="22"/>
      <c r="F866" s="22"/>
      <c r="G866" s="47"/>
    </row>
    <row r="867" spans="1:7" ht="24" customHeight="1" x14ac:dyDescent="0.4">
      <c r="A867" s="23"/>
      <c r="B867" s="23"/>
      <c r="C867" s="23"/>
      <c r="D867" s="23"/>
      <c r="E867" s="22"/>
      <c r="F867" s="22"/>
      <c r="G867" s="47"/>
    </row>
    <row r="868" spans="1:7" ht="24" customHeight="1" x14ac:dyDescent="0.4">
      <c r="A868" s="23"/>
      <c r="B868" s="23"/>
      <c r="C868" s="23"/>
      <c r="D868" s="23"/>
      <c r="E868" s="22"/>
      <c r="F868" s="22"/>
      <c r="G868" s="47"/>
    </row>
    <row r="869" spans="1:7" ht="24" customHeight="1" x14ac:dyDescent="0.4">
      <c r="A869" s="23"/>
      <c r="B869" s="23"/>
      <c r="C869" s="23"/>
      <c r="D869" s="23"/>
      <c r="E869" s="22"/>
      <c r="F869" s="22"/>
      <c r="G869" s="47"/>
    </row>
    <row r="870" spans="1:7" ht="24" customHeight="1" x14ac:dyDescent="0.4">
      <c r="A870" s="23"/>
      <c r="B870" s="23"/>
      <c r="C870" s="23"/>
      <c r="D870" s="23"/>
      <c r="E870" s="22"/>
      <c r="F870" s="22"/>
      <c r="G870" s="47"/>
    </row>
    <row r="871" spans="1:7" ht="24" customHeight="1" x14ac:dyDescent="0.4">
      <c r="A871" s="23"/>
      <c r="B871" s="23"/>
      <c r="C871" s="23"/>
      <c r="D871" s="23"/>
      <c r="E871" s="22"/>
      <c r="F871" s="22"/>
      <c r="G871" s="47"/>
    </row>
    <row r="872" spans="1:7" ht="24" customHeight="1" x14ac:dyDescent="0.4">
      <c r="A872" s="23"/>
      <c r="B872" s="23"/>
      <c r="C872" s="23"/>
      <c r="D872" s="23"/>
      <c r="E872" s="22"/>
      <c r="F872" s="22"/>
      <c r="G872" s="47"/>
    </row>
    <row r="873" spans="1:7" ht="24" customHeight="1" x14ac:dyDescent="0.4">
      <c r="A873" s="23"/>
      <c r="B873" s="23"/>
      <c r="C873" s="23"/>
      <c r="D873" s="23"/>
      <c r="E873" s="22"/>
      <c r="F873" s="22"/>
      <c r="G873" s="47"/>
    </row>
    <row r="874" spans="1:7" ht="24" customHeight="1" x14ac:dyDescent="0.4">
      <c r="A874" s="23"/>
      <c r="B874" s="23"/>
      <c r="C874" s="23"/>
      <c r="D874" s="23"/>
      <c r="E874" s="22"/>
      <c r="F874" s="22"/>
      <c r="G874" s="47"/>
    </row>
    <row r="875" spans="1:7" ht="24" customHeight="1" x14ac:dyDescent="0.4">
      <c r="A875" s="23"/>
      <c r="B875" s="23"/>
      <c r="C875" s="23"/>
      <c r="D875" s="23"/>
      <c r="E875" s="22"/>
      <c r="F875" s="22"/>
      <c r="G875" s="47"/>
    </row>
    <row r="876" spans="1:7" ht="24" customHeight="1" x14ac:dyDescent="0.4">
      <c r="A876" s="23"/>
      <c r="B876" s="23"/>
      <c r="C876" s="23"/>
      <c r="D876" s="23"/>
      <c r="E876" s="22"/>
      <c r="F876" s="22"/>
      <c r="G876" s="47"/>
    </row>
    <row r="877" spans="1:7" ht="24" customHeight="1" x14ac:dyDescent="0.4">
      <c r="A877" s="23"/>
      <c r="B877" s="23"/>
      <c r="C877" s="23"/>
      <c r="D877" s="23"/>
      <c r="E877" s="22"/>
      <c r="F877" s="22"/>
      <c r="G877" s="47"/>
    </row>
    <row r="878" spans="1:7" ht="24" customHeight="1" x14ac:dyDescent="0.4">
      <c r="A878" s="23"/>
      <c r="B878" s="23"/>
      <c r="C878" s="23"/>
      <c r="D878" s="23"/>
      <c r="E878" s="22"/>
      <c r="F878" s="22"/>
      <c r="G878" s="47"/>
    </row>
    <row r="879" spans="1:7" ht="24" customHeight="1" x14ac:dyDescent="0.4">
      <c r="A879" s="23"/>
      <c r="B879" s="23"/>
      <c r="C879" s="23"/>
      <c r="D879" s="23"/>
      <c r="E879" s="22"/>
      <c r="F879" s="22"/>
      <c r="G879" s="47"/>
    </row>
    <row r="880" spans="1:7" ht="24" customHeight="1" x14ac:dyDescent="0.4">
      <c r="A880" s="23"/>
      <c r="B880" s="23"/>
      <c r="C880" s="23"/>
      <c r="D880" s="23"/>
      <c r="E880" s="22"/>
      <c r="F880" s="22"/>
      <c r="G880" s="47"/>
    </row>
    <row r="881" spans="1:7" ht="24" customHeight="1" x14ac:dyDescent="0.4">
      <c r="A881" s="23"/>
      <c r="B881" s="23"/>
      <c r="C881" s="23"/>
      <c r="D881" s="23"/>
      <c r="E881" s="22"/>
      <c r="F881" s="22"/>
      <c r="G881" s="47"/>
    </row>
    <row r="882" spans="1:7" ht="24" customHeight="1" x14ac:dyDescent="0.4">
      <c r="A882" s="23"/>
      <c r="B882" s="23"/>
      <c r="C882" s="23"/>
      <c r="D882" s="23"/>
      <c r="E882" s="22"/>
      <c r="F882" s="22"/>
      <c r="G882" s="47"/>
    </row>
    <row r="883" spans="1:7" ht="24" customHeight="1" x14ac:dyDescent="0.4">
      <c r="A883" s="23"/>
      <c r="B883" s="23"/>
      <c r="C883" s="23"/>
      <c r="D883" s="23"/>
      <c r="E883" s="22"/>
      <c r="F883" s="22"/>
      <c r="G883" s="47"/>
    </row>
    <row r="884" spans="1:7" ht="24" customHeight="1" x14ac:dyDescent="0.4">
      <c r="A884" s="23"/>
      <c r="B884" s="23"/>
      <c r="C884" s="23"/>
      <c r="D884" s="23"/>
      <c r="E884" s="22"/>
      <c r="F884" s="22"/>
      <c r="G884" s="47"/>
    </row>
    <row r="885" spans="1:7" ht="24" customHeight="1" x14ac:dyDescent="0.4">
      <c r="A885" s="23"/>
      <c r="B885" s="23"/>
      <c r="C885" s="23"/>
      <c r="D885" s="23"/>
      <c r="E885" s="22"/>
      <c r="F885" s="22"/>
      <c r="G885" s="47"/>
    </row>
    <row r="886" spans="1:7" ht="24" customHeight="1" x14ac:dyDescent="0.4">
      <c r="A886" s="23"/>
      <c r="B886" s="23"/>
      <c r="C886" s="23"/>
      <c r="D886" s="23"/>
      <c r="E886" s="22"/>
      <c r="F886" s="22"/>
      <c r="G886" s="47"/>
    </row>
    <row r="887" spans="1:7" ht="24" customHeight="1" x14ac:dyDescent="0.4">
      <c r="A887" s="23"/>
      <c r="B887" s="23"/>
      <c r="C887" s="23"/>
      <c r="D887" s="23"/>
      <c r="E887" s="22"/>
      <c r="F887" s="22"/>
      <c r="G887" s="47"/>
    </row>
    <row r="888" spans="1:7" ht="24" customHeight="1" x14ac:dyDescent="0.4">
      <c r="A888" s="23"/>
      <c r="B888" s="23"/>
      <c r="C888" s="23"/>
      <c r="D888" s="23"/>
      <c r="E888" s="22"/>
      <c r="F888" s="22"/>
      <c r="G888" s="47"/>
    </row>
    <row r="889" spans="1:7" ht="24" customHeight="1" x14ac:dyDescent="0.4">
      <c r="A889" s="23"/>
      <c r="B889" s="23"/>
      <c r="C889" s="23"/>
      <c r="D889" s="23"/>
      <c r="E889" s="22"/>
      <c r="F889" s="22"/>
      <c r="G889" s="47"/>
    </row>
    <row r="890" spans="1:7" ht="24" customHeight="1" x14ac:dyDescent="0.4">
      <c r="A890" s="23"/>
      <c r="B890" s="23"/>
      <c r="C890" s="23"/>
      <c r="D890" s="23"/>
      <c r="E890" s="22"/>
      <c r="F890" s="22"/>
      <c r="G890" s="47"/>
    </row>
    <row r="891" spans="1:7" ht="24" customHeight="1" x14ac:dyDescent="0.4">
      <c r="A891" s="23"/>
      <c r="B891" s="23"/>
      <c r="C891" s="23"/>
      <c r="D891" s="23"/>
      <c r="E891" s="22"/>
      <c r="F891" s="22"/>
      <c r="G891" s="47"/>
    </row>
    <row r="892" spans="1:7" ht="24" customHeight="1" x14ac:dyDescent="0.4">
      <c r="A892" s="23"/>
      <c r="B892" s="23"/>
      <c r="C892" s="23"/>
      <c r="D892" s="23"/>
      <c r="E892" s="22"/>
      <c r="F892" s="22"/>
      <c r="G892" s="47"/>
    </row>
    <row r="893" spans="1:7" ht="24" customHeight="1" x14ac:dyDescent="0.4">
      <c r="A893" s="23"/>
      <c r="B893" s="23"/>
      <c r="C893" s="23"/>
      <c r="D893" s="23"/>
      <c r="E893" s="22"/>
      <c r="F893" s="22"/>
      <c r="G893" s="47"/>
    </row>
    <row r="894" spans="1:7" ht="24" customHeight="1" x14ac:dyDescent="0.4">
      <c r="A894" s="23"/>
      <c r="B894" s="23"/>
      <c r="C894" s="23"/>
      <c r="D894" s="23"/>
      <c r="E894" s="22"/>
      <c r="F894" s="22"/>
      <c r="G894" s="47"/>
    </row>
    <row r="895" spans="1:7" ht="24" customHeight="1" x14ac:dyDescent="0.4">
      <c r="A895" s="23"/>
      <c r="B895" s="23"/>
      <c r="C895" s="23"/>
      <c r="D895" s="23"/>
      <c r="E895" s="22"/>
      <c r="F895" s="22"/>
      <c r="G895" s="47"/>
    </row>
    <row r="896" spans="1:7" ht="24" customHeight="1" x14ac:dyDescent="0.4">
      <c r="A896" s="23"/>
      <c r="B896" s="23"/>
      <c r="C896" s="23"/>
      <c r="D896" s="23"/>
      <c r="E896" s="22"/>
      <c r="F896" s="22"/>
      <c r="G896" s="47"/>
    </row>
    <row r="897" spans="1:7" ht="24" customHeight="1" x14ac:dyDescent="0.4">
      <c r="A897" s="23"/>
      <c r="B897" s="23"/>
      <c r="C897" s="23"/>
      <c r="D897" s="23"/>
      <c r="E897" s="22"/>
      <c r="F897" s="22"/>
      <c r="G897" s="47"/>
    </row>
    <row r="898" spans="1:7" ht="24" customHeight="1" x14ac:dyDescent="0.4">
      <c r="A898" s="23"/>
      <c r="B898" s="23"/>
      <c r="C898" s="23"/>
      <c r="D898" s="23"/>
      <c r="E898" s="22"/>
      <c r="F898" s="22"/>
      <c r="G898" s="47"/>
    </row>
    <row r="899" spans="1:7" ht="24" customHeight="1" x14ac:dyDescent="0.4">
      <c r="A899" s="23"/>
      <c r="B899" s="23"/>
      <c r="C899" s="23"/>
      <c r="D899" s="23"/>
      <c r="E899" s="22"/>
      <c r="F899" s="22"/>
      <c r="G899" s="47"/>
    </row>
    <row r="900" spans="1:7" ht="24" customHeight="1" x14ac:dyDescent="0.4">
      <c r="A900" s="23"/>
      <c r="B900" s="23"/>
      <c r="C900" s="23"/>
      <c r="D900" s="23"/>
      <c r="E900" s="22"/>
      <c r="F900" s="22"/>
      <c r="G900" s="47"/>
    </row>
    <row r="901" spans="1:7" ht="24" customHeight="1" x14ac:dyDescent="0.4">
      <c r="A901" s="23"/>
      <c r="B901" s="23"/>
      <c r="C901" s="23"/>
      <c r="D901" s="23"/>
      <c r="E901" s="22"/>
      <c r="F901" s="22"/>
      <c r="G901" s="47"/>
    </row>
    <row r="902" spans="1:7" ht="24" customHeight="1" x14ac:dyDescent="0.4">
      <c r="A902" s="23"/>
      <c r="B902" s="23"/>
      <c r="C902" s="23"/>
      <c r="D902" s="23"/>
      <c r="E902" s="22"/>
      <c r="F902" s="22"/>
      <c r="G902" s="47"/>
    </row>
    <row r="903" spans="1:7" ht="24" customHeight="1" x14ac:dyDescent="0.4">
      <c r="A903" s="23"/>
      <c r="B903" s="23"/>
      <c r="C903" s="23"/>
      <c r="D903" s="23"/>
      <c r="E903" s="22"/>
      <c r="F903" s="22"/>
      <c r="G903" s="47"/>
    </row>
    <row r="904" spans="1:7" ht="24" customHeight="1" x14ac:dyDescent="0.4">
      <c r="A904" s="23"/>
      <c r="B904" s="23"/>
      <c r="C904" s="23"/>
      <c r="D904" s="23"/>
      <c r="E904" s="22"/>
      <c r="F904" s="22"/>
      <c r="G904" s="47"/>
    </row>
    <row r="905" spans="1:7" ht="24" customHeight="1" x14ac:dyDescent="0.4">
      <c r="A905" s="23"/>
      <c r="B905" s="23"/>
      <c r="C905" s="23"/>
      <c r="D905" s="23"/>
      <c r="E905" s="22"/>
      <c r="F905" s="22"/>
      <c r="G905" s="47"/>
    </row>
    <row r="906" spans="1:7" ht="24" customHeight="1" x14ac:dyDescent="0.4">
      <c r="A906" s="23"/>
      <c r="B906" s="23"/>
      <c r="C906" s="23"/>
      <c r="D906" s="23"/>
      <c r="E906" s="22"/>
      <c r="F906" s="22"/>
      <c r="G906" s="47"/>
    </row>
    <row r="907" spans="1:7" ht="24" customHeight="1" x14ac:dyDescent="0.4">
      <c r="A907" s="23"/>
      <c r="B907" s="23"/>
      <c r="C907" s="23"/>
      <c r="D907" s="23"/>
      <c r="E907" s="22"/>
      <c r="F907" s="22"/>
      <c r="G907" s="47"/>
    </row>
    <row r="908" spans="1:7" ht="24" customHeight="1" x14ac:dyDescent="0.4">
      <c r="A908" s="23"/>
      <c r="B908" s="23"/>
      <c r="C908" s="23"/>
      <c r="D908" s="23"/>
      <c r="E908" s="22"/>
      <c r="F908" s="22"/>
      <c r="G908" s="47"/>
    </row>
    <row r="909" spans="1:7" ht="24" customHeight="1" x14ac:dyDescent="0.4">
      <c r="A909" s="23"/>
      <c r="B909" s="23"/>
      <c r="C909" s="23"/>
      <c r="D909" s="23"/>
      <c r="E909" s="22"/>
      <c r="F909" s="22"/>
      <c r="G909" s="47"/>
    </row>
    <row r="910" spans="1:7" ht="24" customHeight="1" x14ac:dyDescent="0.4">
      <c r="A910" s="23"/>
      <c r="B910" s="23"/>
      <c r="C910" s="23"/>
      <c r="D910" s="23"/>
      <c r="E910" s="22"/>
      <c r="F910" s="22"/>
      <c r="G910" s="47"/>
    </row>
    <row r="911" spans="1:7" ht="24" customHeight="1" x14ac:dyDescent="0.4">
      <c r="A911" s="23"/>
      <c r="B911" s="23"/>
      <c r="C911" s="23"/>
      <c r="D911" s="23"/>
      <c r="E911" s="22"/>
      <c r="F911" s="22"/>
      <c r="G911" s="47"/>
    </row>
    <row r="912" spans="1:7" ht="24" customHeight="1" x14ac:dyDescent="0.4">
      <c r="A912" s="23"/>
      <c r="B912" s="23"/>
      <c r="C912" s="23"/>
      <c r="D912" s="23"/>
      <c r="E912" s="22"/>
      <c r="F912" s="22"/>
      <c r="G912" s="47"/>
    </row>
    <row r="913" spans="1:7" ht="24" customHeight="1" x14ac:dyDescent="0.4">
      <c r="A913" s="23"/>
      <c r="B913" s="23"/>
      <c r="C913" s="23"/>
      <c r="D913" s="23"/>
      <c r="E913" s="22"/>
      <c r="F913" s="22"/>
      <c r="G913" s="47"/>
    </row>
    <row r="914" spans="1:7" ht="24" customHeight="1" x14ac:dyDescent="0.4">
      <c r="A914" s="23"/>
      <c r="B914" s="23"/>
      <c r="C914" s="23"/>
      <c r="D914" s="23"/>
      <c r="E914" s="22"/>
      <c r="F914" s="22"/>
      <c r="G914" s="47"/>
    </row>
    <row r="915" spans="1:7" ht="24" customHeight="1" x14ac:dyDescent="0.4">
      <c r="A915" s="23"/>
      <c r="B915" s="23"/>
      <c r="C915" s="23"/>
      <c r="D915" s="23"/>
      <c r="E915" s="22"/>
      <c r="F915" s="22"/>
      <c r="G915" s="47"/>
    </row>
    <row r="916" spans="1:7" ht="24" customHeight="1" x14ac:dyDescent="0.4">
      <c r="A916" s="23"/>
      <c r="B916" s="23"/>
      <c r="C916" s="23"/>
      <c r="D916" s="23"/>
      <c r="E916" s="22"/>
      <c r="F916" s="22"/>
      <c r="G916" s="47"/>
    </row>
    <row r="917" spans="1:7" ht="24" customHeight="1" x14ac:dyDescent="0.4">
      <c r="A917" s="23"/>
      <c r="B917" s="23"/>
      <c r="C917" s="23"/>
      <c r="D917" s="23"/>
      <c r="E917" s="22"/>
      <c r="F917" s="22"/>
      <c r="G917" s="47"/>
    </row>
    <row r="918" spans="1:7" ht="24" customHeight="1" x14ac:dyDescent="0.4">
      <c r="A918" s="23"/>
      <c r="B918" s="23"/>
      <c r="C918" s="23"/>
      <c r="D918" s="23"/>
      <c r="E918" s="22"/>
      <c r="F918" s="22"/>
      <c r="G918" s="47"/>
    </row>
    <row r="919" spans="1:7" ht="24" customHeight="1" x14ac:dyDescent="0.4">
      <c r="A919" s="23"/>
      <c r="B919" s="23"/>
      <c r="C919" s="23"/>
      <c r="D919" s="23"/>
      <c r="E919" s="22"/>
      <c r="F919" s="22"/>
      <c r="G919" s="47"/>
    </row>
    <row r="920" spans="1:7" ht="24" customHeight="1" x14ac:dyDescent="0.4">
      <c r="A920" s="23"/>
      <c r="B920" s="23"/>
      <c r="C920" s="23"/>
      <c r="D920" s="23"/>
      <c r="E920" s="22"/>
      <c r="F920" s="22"/>
      <c r="G920" s="47"/>
    </row>
    <row r="921" spans="1:7" ht="24" customHeight="1" x14ac:dyDescent="0.4">
      <c r="A921" s="23"/>
      <c r="B921" s="23"/>
      <c r="C921" s="23"/>
      <c r="D921" s="23"/>
      <c r="E921" s="22"/>
      <c r="F921" s="22"/>
      <c r="G921" s="47"/>
    </row>
    <row r="922" spans="1:7" ht="24" customHeight="1" x14ac:dyDescent="0.4">
      <c r="A922" s="23"/>
      <c r="B922" s="23"/>
      <c r="C922" s="23"/>
      <c r="D922" s="23"/>
      <c r="E922" s="22"/>
      <c r="F922" s="22"/>
      <c r="G922" s="47"/>
    </row>
    <row r="923" spans="1:7" ht="24" customHeight="1" x14ac:dyDescent="0.4">
      <c r="A923" s="23"/>
      <c r="B923" s="23"/>
      <c r="C923" s="23"/>
      <c r="D923" s="23"/>
      <c r="E923" s="22"/>
      <c r="F923" s="22"/>
      <c r="G923" s="47"/>
    </row>
    <row r="924" spans="1:7" ht="24" customHeight="1" x14ac:dyDescent="0.4">
      <c r="A924" s="23"/>
      <c r="B924" s="23"/>
      <c r="C924" s="23"/>
      <c r="D924" s="23"/>
      <c r="E924" s="22"/>
      <c r="F924" s="22"/>
      <c r="G924" s="47"/>
    </row>
    <row r="925" spans="1:7" ht="24" customHeight="1" x14ac:dyDescent="0.4">
      <c r="A925" s="23"/>
      <c r="B925" s="23"/>
      <c r="C925" s="23"/>
      <c r="D925" s="23"/>
      <c r="E925" s="22"/>
      <c r="F925" s="22"/>
      <c r="G925" s="47"/>
    </row>
    <row r="926" spans="1:7" ht="24" customHeight="1" x14ac:dyDescent="0.4">
      <c r="A926" s="23"/>
      <c r="B926" s="23"/>
      <c r="C926" s="23"/>
      <c r="D926" s="23"/>
      <c r="E926" s="22"/>
      <c r="F926" s="22"/>
      <c r="G926" s="47"/>
    </row>
    <row r="927" spans="1:7" ht="24" customHeight="1" x14ac:dyDescent="0.4">
      <c r="A927" s="23"/>
      <c r="B927" s="23"/>
      <c r="C927" s="23"/>
      <c r="D927" s="23"/>
      <c r="E927" s="22"/>
      <c r="F927" s="22"/>
      <c r="G927" s="47"/>
    </row>
    <row r="928" spans="1:7" ht="24" customHeight="1" x14ac:dyDescent="0.4">
      <c r="A928" s="23"/>
      <c r="B928" s="23"/>
      <c r="C928" s="23"/>
      <c r="D928" s="23"/>
      <c r="E928" s="22"/>
      <c r="F928" s="22"/>
      <c r="G928" s="47"/>
    </row>
    <row r="929" spans="1:7" ht="24" customHeight="1" x14ac:dyDescent="0.4">
      <c r="A929" s="23"/>
      <c r="B929" s="23"/>
      <c r="C929" s="23"/>
      <c r="D929" s="23"/>
      <c r="E929" s="22"/>
      <c r="F929" s="22"/>
      <c r="G929" s="47"/>
    </row>
    <row r="930" spans="1:7" ht="24" customHeight="1" x14ac:dyDescent="0.4">
      <c r="A930" s="23"/>
      <c r="B930" s="23"/>
      <c r="C930" s="23"/>
      <c r="D930" s="23"/>
      <c r="E930" s="22"/>
      <c r="F930" s="22"/>
      <c r="G930" s="47"/>
    </row>
    <row r="931" spans="1:7" ht="24" customHeight="1" x14ac:dyDescent="0.4">
      <c r="A931" s="23"/>
      <c r="B931" s="23"/>
      <c r="C931" s="23"/>
      <c r="D931" s="23"/>
      <c r="E931" s="22"/>
      <c r="F931" s="22"/>
      <c r="G931" s="47"/>
    </row>
    <row r="932" spans="1:7" ht="24" customHeight="1" x14ac:dyDescent="0.4">
      <c r="A932" s="23"/>
      <c r="B932" s="23"/>
      <c r="C932" s="23"/>
      <c r="D932" s="23"/>
      <c r="E932" s="22"/>
      <c r="F932" s="22"/>
      <c r="G932" s="47"/>
    </row>
    <row r="933" spans="1:7" ht="24" customHeight="1" x14ac:dyDescent="0.4">
      <c r="A933" s="23"/>
      <c r="B933" s="23"/>
      <c r="C933" s="23"/>
      <c r="D933" s="23"/>
      <c r="E933" s="22"/>
      <c r="F933" s="22"/>
      <c r="G933" s="47"/>
    </row>
    <row r="934" spans="1:7" ht="24" customHeight="1" x14ac:dyDescent="0.4">
      <c r="A934" s="23"/>
      <c r="B934" s="23"/>
      <c r="C934" s="23"/>
      <c r="D934" s="23"/>
      <c r="E934" s="22"/>
      <c r="F934" s="22"/>
      <c r="G934" s="47"/>
    </row>
    <row r="935" spans="1:7" ht="24" customHeight="1" x14ac:dyDescent="0.4">
      <c r="A935" s="23"/>
      <c r="B935" s="23"/>
      <c r="C935" s="23"/>
      <c r="D935" s="23"/>
      <c r="E935" s="22"/>
      <c r="F935" s="22"/>
      <c r="G935" s="47"/>
    </row>
    <row r="936" spans="1:7" ht="24" customHeight="1" x14ac:dyDescent="0.4">
      <c r="A936" s="23"/>
      <c r="B936" s="23"/>
      <c r="C936" s="23"/>
      <c r="D936" s="23"/>
      <c r="E936" s="22"/>
      <c r="F936" s="22"/>
      <c r="G936" s="47"/>
    </row>
    <row r="937" spans="1:7" ht="24" customHeight="1" x14ac:dyDescent="0.4">
      <c r="A937" s="23"/>
      <c r="B937" s="23"/>
      <c r="C937" s="23"/>
      <c r="D937" s="23"/>
      <c r="E937" s="22"/>
      <c r="F937" s="22"/>
      <c r="G937" s="47"/>
    </row>
    <row r="938" spans="1:7" ht="24" customHeight="1" x14ac:dyDescent="0.4">
      <c r="A938" s="23"/>
      <c r="B938" s="23"/>
      <c r="C938" s="23"/>
      <c r="D938" s="23"/>
      <c r="E938" s="22"/>
      <c r="F938" s="22"/>
      <c r="G938" s="47"/>
    </row>
    <row r="939" spans="1:7" ht="24" customHeight="1" x14ac:dyDescent="0.4">
      <c r="A939" s="23"/>
      <c r="B939" s="23"/>
      <c r="C939" s="23"/>
      <c r="D939" s="23"/>
      <c r="E939" s="22"/>
      <c r="F939" s="22"/>
      <c r="G939" s="47"/>
    </row>
    <row r="940" spans="1:7" ht="24" customHeight="1" x14ac:dyDescent="0.4">
      <c r="A940" s="23"/>
      <c r="B940" s="23"/>
      <c r="C940" s="23"/>
      <c r="D940" s="23"/>
      <c r="E940" s="22"/>
      <c r="F940" s="22"/>
      <c r="G940" s="47"/>
    </row>
    <row r="941" spans="1:7" ht="24" customHeight="1" x14ac:dyDescent="0.4">
      <c r="A941" s="23"/>
      <c r="B941" s="23"/>
      <c r="C941" s="23"/>
      <c r="D941" s="23"/>
      <c r="E941" s="22"/>
      <c r="F941" s="22"/>
      <c r="G941" s="47"/>
    </row>
    <row r="942" spans="1:7" ht="24" customHeight="1" x14ac:dyDescent="0.4">
      <c r="A942" s="23"/>
      <c r="B942" s="23"/>
      <c r="C942" s="23"/>
      <c r="D942" s="23"/>
      <c r="E942" s="22"/>
      <c r="F942" s="22"/>
      <c r="G942" s="47"/>
    </row>
    <row r="943" spans="1:7" ht="24" customHeight="1" x14ac:dyDescent="0.4">
      <c r="A943" s="23"/>
      <c r="B943" s="23"/>
      <c r="C943" s="23"/>
      <c r="D943" s="23"/>
      <c r="E943" s="22"/>
      <c r="F943" s="22"/>
      <c r="G943" s="47"/>
    </row>
    <row r="944" spans="1:7" ht="24" customHeight="1" x14ac:dyDescent="0.4">
      <c r="A944" s="23"/>
      <c r="B944" s="23"/>
      <c r="C944" s="23"/>
      <c r="D944" s="23"/>
      <c r="E944" s="22"/>
      <c r="F944" s="22"/>
      <c r="G944" s="47"/>
    </row>
    <row r="945" spans="1:7" ht="24" customHeight="1" x14ac:dyDescent="0.4">
      <c r="A945" s="23"/>
      <c r="B945" s="23"/>
      <c r="C945" s="23"/>
      <c r="D945" s="23"/>
      <c r="E945" s="22"/>
      <c r="F945" s="22"/>
      <c r="G945" s="47"/>
    </row>
    <row r="946" spans="1:7" ht="24" customHeight="1" x14ac:dyDescent="0.4">
      <c r="A946" s="23"/>
      <c r="B946" s="23"/>
      <c r="C946" s="23"/>
      <c r="D946" s="23"/>
      <c r="E946" s="22"/>
      <c r="F946" s="22"/>
      <c r="G946" s="47"/>
    </row>
    <row r="947" spans="1:7" ht="24" customHeight="1" x14ac:dyDescent="0.4">
      <c r="A947" s="23"/>
      <c r="B947" s="23"/>
      <c r="C947" s="23"/>
      <c r="D947" s="23"/>
      <c r="E947" s="22"/>
      <c r="F947" s="22"/>
      <c r="G947" s="47"/>
    </row>
    <row r="948" spans="1:7" ht="24" customHeight="1" x14ac:dyDescent="0.4">
      <c r="A948" s="23"/>
      <c r="B948" s="23"/>
      <c r="C948" s="23"/>
      <c r="D948" s="23"/>
      <c r="E948" s="22"/>
      <c r="F948" s="22"/>
      <c r="G948" s="47"/>
    </row>
    <row r="949" spans="1:7" ht="24" customHeight="1" x14ac:dyDescent="0.4">
      <c r="A949" s="23"/>
      <c r="B949" s="23"/>
      <c r="C949" s="23"/>
      <c r="D949" s="23"/>
      <c r="E949" s="22"/>
      <c r="F949" s="22"/>
      <c r="G949" s="47"/>
    </row>
    <row r="950" spans="1:7" ht="24" customHeight="1" x14ac:dyDescent="0.4">
      <c r="A950" s="23"/>
      <c r="B950" s="23"/>
      <c r="C950" s="23"/>
      <c r="D950" s="23"/>
      <c r="E950" s="22"/>
      <c r="F950" s="22"/>
      <c r="G950" s="47"/>
    </row>
    <row r="951" spans="1:7" ht="24" customHeight="1" x14ac:dyDescent="0.4">
      <c r="A951" s="23"/>
      <c r="B951" s="23"/>
      <c r="C951" s="23"/>
      <c r="D951" s="23"/>
      <c r="E951" s="22"/>
      <c r="F951" s="22"/>
      <c r="G951" s="47"/>
    </row>
    <row r="952" spans="1:7" ht="24" customHeight="1" x14ac:dyDescent="0.4">
      <c r="A952" s="23"/>
      <c r="B952" s="23"/>
      <c r="C952" s="23"/>
      <c r="D952" s="23"/>
      <c r="E952" s="22"/>
      <c r="F952" s="22"/>
      <c r="G952" s="47"/>
    </row>
    <row r="953" spans="1:7" ht="24" customHeight="1" x14ac:dyDescent="0.4">
      <c r="A953" s="23"/>
      <c r="B953" s="23"/>
      <c r="C953" s="23"/>
      <c r="D953" s="23"/>
      <c r="E953" s="22"/>
      <c r="F953" s="22"/>
      <c r="G953" s="47"/>
    </row>
    <row r="954" spans="1:7" ht="24" customHeight="1" x14ac:dyDescent="0.4">
      <c r="A954" s="23"/>
      <c r="B954" s="23"/>
      <c r="C954" s="23"/>
      <c r="D954" s="23"/>
      <c r="E954" s="22"/>
      <c r="F954" s="22"/>
      <c r="G954" s="47"/>
    </row>
    <row r="955" spans="1:7" ht="24" customHeight="1" x14ac:dyDescent="0.4">
      <c r="A955" s="23"/>
      <c r="B955" s="23"/>
      <c r="C955" s="23"/>
      <c r="D955" s="23"/>
      <c r="E955" s="22"/>
      <c r="F955" s="22"/>
      <c r="G955" s="47"/>
    </row>
    <row r="956" spans="1:7" ht="24" customHeight="1" x14ac:dyDescent="0.4">
      <c r="A956" s="23"/>
      <c r="B956" s="23"/>
      <c r="C956" s="23"/>
      <c r="D956" s="23"/>
      <c r="E956" s="22"/>
      <c r="F956" s="22"/>
      <c r="G956" s="47"/>
    </row>
    <row r="957" spans="1:7" ht="24" customHeight="1" x14ac:dyDescent="0.4">
      <c r="A957" s="23"/>
      <c r="B957" s="23"/>
      <c r="C957" s="23"/>
      <c r="D957" s="23"/>
      <c r="E957" s="22"/>
      <c r="F957" s="22"/>
      <c r="G957" s="47"/>
    </row>
    <row r="958" spans="1:7" ht="24" customHeight="1" x14ac:dyDescent="0.4">
      <c r="A958" s="23"/>
      <c r="B958" s="23"/>
      <c r="C958" s="23"/>
      <c r="D958" s="23"/>
      <c r="E958" s="22"/>
      <c r="F958" s="22"/>
      <c r="G958" s="47"/>
    </row>
    <row r="959" spans="1:7" ht="24" customHeight="1" x14ac:dyDescent="0.4">
      <c r="A959" s="23"/>
      <c r="B959" s="23"/>
      <c r="C959" s="23"/>
      <c r="D959" s="23"/>
      <c r="E959" s="22"/>
      <c r="F959" s="22"/>
      <c r="G959" s="47"/>
    </row>
    <row r="960" spans="1:7" ht="24" customHeight="1" x14ac:dyDescent="0.4">
      <c r="A960" s="23"/>
      <c r="B960" s="23"/>
      <c r="C960" s="23"/>
      <c r="D960" s="23"/>
      <c r="E960" s="22"/>
      <c r="F960" s="22"/>
      <c r="G960" s="47"/>
    </row>
    <row r="961" spans="1:7" ht="24" customHeight="1" x14ac:dyDescent="0.4">
      <c r="A961" s="23"/>
      <c r="B961" s="23"/>
      <c r="C961" s="23"/>
      <c r="D961" s="23"/>
      <c r="E961" s="22"/>
      <c r="F961" s="22"/>
      <c r="G961" s="47"/>
    </row>
    <row r="962" spans="1:7" ht="24" customHeight="1" x14ac:dyDescent="0.4">
      <c r="A962" s="23"/>
      <c r="B962" s="23"/>
      <c r="C962" s="23"/>
      <c r="D962" s="23"/>
      <c r="E962" s="22"/>
      <c r="F962" s="22"/>
      <c r="G962" s="47"/>
    </row>
    <row r="963" spans="1:7" ht="24" customHeight="1" x14ac:dyDescent="0.4">
      <c r="A963" s="23"/>
      <c r="B963" s="23"/>
      <c r="C963" s="23"/>
      <c r="D963" s="23"/>
      <c r="E963" s="22"/>
      <c r="F963" s="22"/>
      <c r="G963" s="47"/>
    </row>
    <row r="964" spans="1:7" ht="24" customHeight="1" x14ac:dyDescent="0.4">
      <c r="A964" s="23"/>
      <c r="B964" s="23"/>
      <c r="C964" s="23"/>
      <c r="D964" s="23"/>
      <c r="E964" s="22"/>
      <c r="F964" s="22"/>
      <c r="G964" s="47"/>
    </row>
    <row r="965" spans="1:7" ht="24" customHeight="1" x14ac:dyDescent="0.4">
      <c r="A965" s="23"/>
      <c r="B965" s="23"/>
      <c r="C965" s="23"/>
      <c r="D965" s="23"/>
      <c r="E965" s="22"/>
      <c r="F965" s="22"/>
      <c r="G965" s="47"/>
    </row>
    <row r="966" spans="1:7" ht="24" customHeight="1" x14ac:dyDescent="0.4">
      <c r="A966" s="23"/>
      <c r="B966" s="23"/>
      <c r="C966" s="23"/>
      <c r="D966" s="23"/>
      <c r="E966" s="22"/>
      <c r="F966" s="22"/>
      <c r="G966" s="47"/>
    </row>
    <row r="967" spans="1:7" ht="24" customHeight="1" x14ac:dyDescent="0.4">
      <c r="A967" s="23"/>
      <c r="B967" s="23"/>
      <c r="C967" s="23"/>
      <c r="D967" s="23"/>
      <c r="E967" s="22"/>
      <c r="F967" s="22"/>
      <c r="G967" s="47"/>
    </row>
    <row r="968" spans="1:7" ht="24" customHeight="1" x14ac:dyDescent="0.4">
      <c r="A968" s="23"/>
      <c r="B968" s="23"/>
      <c r="C968" s="23"/>
      <c r="D968" s="23"/>
      <c r="E968" s="22"/>
      <c r="F968" s="22"/>
      <c r="G968" s="47"/>
    </row>
    <row r="969" spans="1:7" ht="24" customHeight="1" x14ac:dyDescent="0.4">
      <c r="A969" s="23"/>
      <c r="B969" s="23"/>
      <c r="C969" s="23"/>
      <c r="D969" s="23"/>
      <c r="E969" s="22"/>
      <c r="F969" s="22"/>
      <c r="G969" s="47"/>
    </row>
    <row r="970" spans="1:7" ht="24" customHeight="1" x14ac:dyDescent="0.4">
      <c r="A970" s="23"/>
      <c r="B970" s="23"/>
      <c r="C970" s="23"/>
      <c r="D970" s="23"/>
      <c r="E970" s="22"/>
      <c r="F970" s="22"/>
      <c r="G970" s="47"/>
    </row>
    <row r="971" spans="1:7" ht="24" customHeight="1" x14ac:dyDescent="0.4">
      <c r="A971" s="23"/>
      <c r="B971" s="23"/>
      <c r="C971" s="23"/>
      <c r="D971" s="23"/>
      <c r="E971" s="22"/>
      <c r="F971" s="22"/>
      <c r="G971" s="47"/>
    </row>
    <row r="972" spans="1:7" ht="24" customHeight="1" x14ac:dyDescent="0.4">
      <c r="A972" s="23"/>
      <c r="B972" s="23"/>
      <c r="C972" s="23"/>
      <c r="D972" s="23"/>
      <c r="E972" s="22"/>
      <c r="F972" s="22"/>
      <c r="G972" s="47"/>
    </row>
    <row r="973" spans="1:7" ht="24" customHeight="1" x14ac:dyDescent="0.4">
      <c r="A973" s="23"/>
      <c r="B973" s="23"/>
      <c r="C973" s="23"/>
      <c r="D973" s="23"/>
      <c r="E973" s="22"/>
      <c r="F973" s="22"/>
      <c r="G973" s="47"/>
    </row>
    <row r="974" spans="1:7" ht="24" customHeight="1" x14ac:dyDescent="0.4">
      <c r="A974" s="23"/>
      <c r="B974" s="23"/>
      <c r="C974" s="23"/>
      <c r="D974" s="23"/>
      <c r="E974" s="22"/>
      <c r="F974" s="22"/>
      <c r="G974" s="47"/>
    </row>
    <row r="975" spans="1:7" ht="24" customHeight="1" x14ac:dyDescent="0.4">
      <c r="A975" s="23"/>
      <c r="B975" s="23"/>
      <c r="C975" s="23"/>
      <c r="D975" s="23"/>
      <c r="E975" s="22"/>
      <c r="F975" s="22"/>
      <c r="G975" s="47"/>
    </row>
    <row r="976" spans="1:7" ht="24" customHeight="1" x14ac:dyDescent="0.4">
      <c r="A976" s="23"/>
      <c r="B976" s="23"/>
      <c r="C976" s="23"/>
      <c r="D976" s="23"/>
      <c r="E976" s="22"/>
      <c r="F976" s="22"/>
      <c r="G976" s="47"/>
    </row>
    <row r="977" spans="1:7" ht="24" customHeight="1" x14ac:dyDescent="0.4">
      <c r="A977" s="23"/>
      <c r="B977" s="23"/>
      <c r="C977" s="23"/>
      <c r="D977" s="23"/>
      <c r="E977" s="22"/>
      <c r="F977" s="22"/>
      <c r="G977" s="47"/>
    </row>
    <row r="978" spans="1:7" ht="24" customHeight="1" x14ac:dyDescent="0.4">
      <c r="A978" s="23"/>
      <c r="B978" s="23"/>
      <c r="C978" s="23"/>
      <c r="D978" s="23"/>
      <c r="E978" s="22"/>
      <c r="F978" s="22"/>
      <c r="G978" s="47"/>
    </row>
    <row r="979" spans="1:7" ht="24" customHeight="1" x14ac:dyDescent="0.4">
      <c r="A979" s="23"/>
      <c r="B979" s="23"/>
      <c r="C979" s="23"/>
      <c r="D979" s="23"/>
      <c r="E979" s="22"/>
      <c r="F979" s="22"/>
      <c r="G979" s="47"/>
    </row>
    <row r="980" spans="1:7" ht="24" customHeight="1" x14ac:dyDescent="0.4">
      <c r="A980" s="23"/>
      <c r="B980" s="23"/>
      <c r="C980" s="23"/>
      <c r="D980" s="23"/>
      <c r="E980" s="22"/>
      <c r="F980" s="22"/>
      <c r="G980" s="47"/>
    </row>
    <row r="981" spans="1:7" ht="24" customHeight="1" x14ac:dyDescent="0.4">
      <c r="A981" s="23"/>
      <c r="B981" s="23"/>
      <c r="C981" s="23"/>
      <c r="D981" s="23"/>
      <c r="E981" s="22"/>
      <c r="F981" s="22"/>
      <c r="G981" s="47"/>
    </row>
    <row r="982" spans="1:7" ht="24" customHeight="1" x14ac:dyDescent="0.4">
      <c r="A982" s="23"/>
      <c r="B982" s="23"/>
      <c r="C982" s="23"/>
      <c r="D982" s="23"/>
      <c r="E982" s="22"/>
      <c r="F982" s="22"/>
      <c r="G982" s="47"/>
    </row>
    <row r="983" spans="1:7" ht="24" customHeight="1" x14ac:dyDescent="0.4">
      <c r="A983" s="23"/>
      <c r="B983" s="23"/>
      <c r="C983" s="23"/>
      <c r="D983" s="23"/>
      <c r="E983" s="22"/>
      <c r="F983" s="22"/>
      <c r="G983" s="47"/>
    </row>
    <row r="984" spans="1:7" ht="24" customHeight="1" x14ac:dyDescent="0.4">
      <c r="A984" s="23"/>
      <c r="B984" s="23"/>
      <c r="C984" s="23"/>
      <c r="D984" s="23"/>
      <c r="E984" s="22"/>
      <c r="F984" s="22"/>
      <c r="G984" s="47"/>
    </row>
    <row r="985" spans="1:7" ht="24" customHeight="1" x14ac:dyDescent="0.4">
      <c r="A985" s="23"/>
      <c r="B985" s="23"/>
      <c r="C985" s="23"/>
      <c r="D985" s="23"/>
      <c r="E985" s="22"/>
      <c r="F985" s="22"/>
      <c r="G985" s="47"/>
    </row>
    <row r="986" spans="1:7" ht="24" customHeight="1" x14ac:dyDescent="0.4">
      <c r="A986" s="23"/>
      <c r="B986" s="23"/>
      <c r="C986" s="23"/>
      <c r="D986" s="23"/>
      <c r="E986" s="22"/>
      <c r="F986" s="22"/>
      <c r="G986" s="47"/>
    </row>
    <row r="987" spans="1:7" ht="24" customHeight="1" x14ac:dyDescent="0.4">
      <c r="A987" s="23"/>
      <c r="B987" s="23"/>
      <c r="C987" s="23"/>
      <c r="D987" s="23"/>
      <c r="E987" s="22"/>
      <c r="F987" s="22"/>
      <c r="G987" s="47"/>
    </row>
    <row r="988" spans="1:7" ht="24" customHeight="1" x14ac:dyDescent="0.4">
      <c r="A988" s="23"/>
      <c r="B988" s="23"/>
      <c r="C988" s="23"/>
      <c r="D988" s="23"/>
      <c r="E988" s="22"/>
      <c r="F988" s="22"/>
      <c r="G988" s="47"/>
    </row>
    <row r="989" spans="1:7" ht="24" customHeight="1" x14ac:dyDescent="0.4">
      <c r="A989" s="23"/>
      <c r="B989" s="23"/>
      <c r="C989" s="23"/>
      <c r="D989" s="23"/>
      <c r="E989" s="22"/>
      <c r="F989" s="22"/>
      <c r="G989" s="47"/>
    </row>
    <row r="990" spans="1:7" ht="24" customHeight="1" x14ac:dyDescent="0.4">
      <c r="A990" s="23"/>
      <c r="B990" s="23"/>
      <c r="C990" s="23"/>
      <c r="D990" s="23"/>
      <c r="E990" s="22"/>
      <c r="F990" s="22"/>
      <c r="G990" s="47"/>
    </row>
    <row r="991" spans="1:7" ht="24" customHeight="1" x14ac:dyDescent="0.4">
      <c r="A991" s="23"/>
      <c r="B991" s="23"/>
      <c r="C991" s="23"/>
      <c r="D991" s="23"/>
      <c r="E991" s="22"/>
      <c r="F991" s="22"/>
      <c r="G991" s="47"/>
    </row>
    <row r="992" spans="1:7" ht="24" customHeight="1" x14ac:dyDescent="0.4">
      <c r="A992" s="23"/>
      <c r="B992" s="23"/>
      <c r="C992" s="23"/>
      <c r="D992" s="23"/>
      <c r="E992" s="22"/>
      <c r="F992" s="22"/>
      <c r="G992" s="47"/>
    </row>
    <row r="993" spans="1:7" ht="24" customHeight="1" x14ac:dyDescent="0.4">
      <c r="A993" s="23"/>
      <c r="B993" s="23"/>
      <c r="C993" s="23"/>
      <c r="D993" s="23"/>
      <c r="E993" s="22"/>
      <c r="F993" s="22"/>
      <c r="G993" s="47"/>
    </row>
    <row r="994" spans="1:7" ht="24" customHeight="1" x14ac:dyDescent="0.4">
      <c r="A994" s="23"/>
      <c r="B994" s="23"/>
      <c r="C994" s="23"/>
      <c r="D994" s="23"/>
      <c r="E994" s="22"/>
      <c r="F994" s="22"/>
      <c r="G994" s="47"/>
    </row>
    <row r="995" spans="1:7" ht="24" customHeight="1" x14ac:dyDescent="0.4">
      <c r="A995" s="23"/>
      <c r="B995" s="23"/>
      <c r="C995" s="23"/>
      <c r="D995" s="23"/>
      <c r="E995" s="22"/>
      <c r="F995" s="22"/>
      <c r="G995" s="47"/>
    </row>
    <row r="996" spans="1:7" ht="24" customHeight="1" x14ac:dyDescent="0.4">
      <c r="A996" s="23"/>
      <c r="B996" s="23"/>
      <c r="C996" s="23"/>
      <c r="D996" s="23"/>
      <c r="E996" s="22"/>
      <c r="F996" s="22"/>
      <c r="G996" s="47"/>
    </row>
    <row r="997" spans="1:7" ht="24" customHeight="1" x14ac:dyDescent="0.4">
      <c r="A997" s="23"/>
      <c r="B997" s="23"/>
      <c r="C997" s="23"/>
      <c r="D997" s="23"/>
      <c r="E997" s="22"/>
      <c r="F997" s="22"/>
      <c r="G997" s="47"/>
    </row>
    <row r="998" spans="1:7" ht="24" customHeight="1" x14ac:dyDescent="0.4">
      <c r="A998" s="23"/>
      <c r="B998" s="23"/>
      <c r="C998" s="23"/>
      <c r="D998" s="23"/>
      <c r="E998" s="22"/>
      <c r="F998" s="22"/>
      <c r="G998" s="47"/>
    </row>
    <row r="999" spans="1:7" ht="24" customHeight="1" x14ac:dyDescent="0.4">
      <c r="A999" s="23"/>
      <c r="B999" s="23"/>
      <c r="C999" s="23"/>
      <c r="D999" s="23"/>
      <c r="E999" s="22"/>
      <c r="F999" s="22"/>
      <c r="G999" s="47"/>
    </row>
    <row r="1000" spans="1:7" ht="24" customHeight="1" x14ac:dyDescent="0.4">
      <c r="A1000" s="23"/>
      <c r="B1000" s="23"/>
      <c r="C1000" s="23"/>
      <c r="D1000" s="23"/>
      <c r="E1000" s="22"/>
      <c r="F1000" s="22"/>
      <c r="G1000" s="47"/>
    </row>
    <row r="1001" spans="1:7" ht="24" customHeight="1" x14ac:dyDescent="0.4">
      <c r="A1001" s="23"/>
      <c r="B1001" s="23"/>
      <c r="C1001" s="23"/>
      <c r="D1001" s="23"/>
      <c r="E1001" s="22"/>
      <c r="F1001" s="22"/>
      <c r="G1001" s="47"/>
    </row>
    <row r="1002" spans="1:7" ht="24" customHeight="1" x14ac:dyDescent="0.4">
      <c r="A1002" s="23"/>
      <c r="B1002" s="23"/>
      <c r="C1002" s="23"/>
      <c r="D1002" s="23"/>
      <c r="E1002" s="22"/>
      <c r="F1002" s="22"/>
      <c r="G1002" s="47"/>
    </row>
    <row r="1003" spans="1:7" ht="24" customHeight="1" x14ac:dyDescent="0.4">
      <c r="A1003" s="23"/>
      <c r="B1003" s="23"/>
      <c r="C1003" s="23"/>
      <c r="D1003" s="23"/>
      <c r="E1003" s="22"/>
      <c r="F1003" s="22"/>
      <c r="G1003" s="47"/>
    </row>
    <row r="1004" spans="1:7" ht="24" customHeight="1" x14ac:dyDescent="0.4">
      <c r="A1004" s="23"/>
      <c r="B1004" s="23"/>
      <c r="C1004" s="23"/>
      <c r="D1004" s="23"/>
      <c r="E1004" s="22"/>
      <c r="F1004" s="22"/>
      <c r="G1004" s="47"/>
    </row>
    <row r="1005" spans="1:7" ht="24" customHeight="1" x14ac:dyDescent="0.4">
      <c r="A1005" s="23"/>
      <c r="B1005" s="23"/>
      <c r="C1005" s="23"/>
      <c r="D1005" s="23"/>
      <c r="E1005" s="22"/>
      <c r="F1005" s="22"/>
      <c r="G1005" s="47"/>
    </row>
    <row r="1006" spans="1:7" ht="24" customHeight="1" x14ac:dyDescent="0.4">
      <c r="A1006" s="23"/>
      <c r="B1006" s="23"/>
      <c r="C1006" s="23"/>
      <c r="D1006" s="23"/>
      <c r="E1006" s="22"/>
      <c r="F1006" s="22"/>
      <c r="G1006" s="47"/>
    </row>
    <row r="1007" spans="1:7" ht="24" customHeight="1" x14ac:dyDescent="0.4">
      <c r="A1007" s="23"/>
      <c r="B1007" s="23"/>
      <c r="C1007" s="23"/>
      <c r="D1007" s="23"/>
      <c r="E1007" s="22"/>
      <c r="F1007" s="22"/>
      <c r="G1007" s="47"/>
    </row>
    <row r="1008" spans="1:7" ht="24" customHeight="1" x14ac:dyDescent="0.4">
      <c r="A1008" s="23"/>
      <c r="B1008" s="23"/>
      <c r="C1008" s="23"/>
      <c r="D1008" s="23"/>
      <c r="E1008" s="22"/>
      <c r="F1008" s="22"/>
      <c r="G1008" s="47"/>
    </row>
    <row r="1009" spans="1:7" ht="24" customHeight="1" x14ac:dyDescent="0.4">
      <c r="A1009" s="23"/>
      <c r="B1009" s="23"/>
      <c r="C1009" s="23"/>
      <c r="D1009" s="23"/>
      <c r="E1009" s="22"/>
      <c r="F1009" s="22"/>
      <c r="G1009" s="47"/>
    </row>
    <row r="1010" spans="1:7" ht="24" customHeight="1" x14ac:dyDescent="0.4">
      <c r="A1010" s="23"/>
      <c r="B1010" s="23"/>
      <c r="C1010" s="23"/>
      <c r="D1010" s="23"/>
      <c r="E1010" s="22"/>
      <c r="F1010" s="22"/>
      <c r="G1010" s="47"/>
    </row>
    <row r="1011" spans="1:7" ht="24" customHeight="1" x14ac:dyDescent="0.4">
      <c r="A1011" s="23"/>
      <c r="B1011" s="23"/>
      <c r="C1011" s="23"/>
      <c r="D1011" s="23"/>
      <c r="E1011" s="22"/>
      <c r="F1011" s="22"/>
      <c r="G1011" s="47"/>
    </row>
    <row r="1012" spans="1:7" ht="24" customHeight="1" x14ac:dyDescent="0.4">
      <c r="A1012" s="23"/>
      <c r="B1012" s="23"/>
      <c r="C1012" s="23"/>
      <c r="D1012" s="23"/>
      <c r="E1012" s="22"/>
      <c r="F1012" s="22"/>
      <c r="G1012" s="47"/>
    </row>
    <row r="1013" spans="1:7" ht="24" customHeight="1" x14ac:dyDescent="0.4">
      <c r="A1013" s="23"/>
      <c r="B1013" s="23"/>
      <c r="C1013" s="23"/>
      <c r="D1013" s="23"/>
      <c r="E1013" s="22"/>
      <c r="F1013" s="22"/>
      <c r="G1013" s="47"/>
    </row>
    <row r="1014" spans="1:7" ht="24" customHeight="1" x14ac:dyDescent="0.4">
      <c r="A1014" s="23"/>
      <c r="B1014" s="23"/>
      <c r="C1014" s="23"/>
      <c r="D1014" s="23"/>
      <c r="E1014" s="22"/>
      <c r="F1014" s="22"/>
      <c r="G1014" s="47"/>
    </row>
    <row r="1015" spans="1:7" ht="24" customHeight="1" x14ac:dyDescent="0.4">
      <c r="A1015" s="23"/>
      <c r="B1015" s="23"/>
      <c r="C1015" s="23"/>
      <c r="D1015" s="23"/>
      <c r="E1015" s="22"/>
      <c r="F1015" s="22"/>
      <c r="G1015" s="47"/>
    </row>
    <row r="1016" spans="1:7" ht="24" customHeight="1" x14ac:dyDescent="0.4">
      <c r="A1016" s="23"/>
      <c r="B1016" s="23"/>
      <c r="C1016" s="23"/>
      <c r="D1016" s="23"/>
      <c r="E1016" s="22"/>
      <c r="F1016" s="22"/>
      <c r="G1016" s="47"/>
    </row>
    <row r="1017" spans="1:7" ht="24" customHeight="1" x14ac:dyDescent="0.4">
      <c r="A1017" s="23"/>
      <c r="B1017" s="23"/>
      <c r="C1017" s="23"/>
      <c r="D1017" s="23"/>
      <c r="E1017" s="22"/>
      <c r="F1017" s="22"/>
      <c r="G1017" s="47"/>
    </row>
    <row r="1018" spans="1:7" ht="24" customHeight="1" x14ac:dyDescent="0.4">
      <c r="A1018" s="23"/>
      <c r="B1018" s="23"/>
      <c r="C1018" s="23"/>
      <c r="D1018" s="23"/>
      <c r="E1018" s="22"/>
      <c r="F1018" s="22"/>
      <c r="G1018" s="47"/>
    </row>
    <row r="1019" spans="1:7" ht="24" customHeight="1" x14ac:dyDescent="0.4">
      <c r="A1019" s="23"/>
      <c r="B1019" s="23"/>
      <c r="C1019" s="23"/>
      <c r="D1019" s="23"/>
      <c r="E1019" s="22"/>
      <c r="F1019" s="22"/>
      <c r="G1019" s="47"/>
    </row>
    <row r="1020" spans="1:7" ht="24" customHeight="1" x14ac:dyDescent="0.4">
      <c r="A1020" s="23"/>
      <c r="B1020" s="23"/>
      <c r="C1020" s="23"/>
      <c r="D1020" s="23"/>
      <c r="E1020" s="22"/>
      <c r="F1020" s="22"/>
      <c r="G1020" s="47"/>
    </row>
    <row r="1021" spans="1:7" ht="24" customHeight="1" x14ac:dyDescent="0.4">
      <c r="A1021" s="23"/>
      <c r="B1021" s="23"/>
      <c r="C1021" s="23"/>
      <c r="D1021" s="23"/>
      <c r="E1021" s="22"/>
      <c r="F1021" s="22"/>
      <c r="G1021" s="47"/>
    </row>
    <row r="1022" spans="1:7" ht="24" customHeight="1" x14ac:dyDescent="0.4">
      <c r="A1022" s="23"/>
      <c r="B1022" s="23"/>
      <c r="C1022" s="23"/>
      <c r="D1022" s="23"/>
      <c r="E1022" s="22"/>
      <c r="F1022" s="22"/>
      <c r="G1022" s="47"/>
    </row>
    <row r="1023" spans="1:7" ht="24" customHeight="1" x14ac:dyDescent="0.4">
      <c r="A1023" s="23"/>
      <c r="B1023" s="23"/>
      <c r="C1023" s="23"/>
      <c r="D1023" s="23"/>
      <c r="E1023" s="22"/>
      <c r="F1023" s="22"/>
      <c r="G1023" s="47"/>
    </row>
    <row r="1024" spans="1:7" ht="24" customHeight="1" x14ac:dyDescent="0.4">
      <c r="A1024" s="23"/>
      <c r="B1024" s="23"/>
      <c r="C1024" s="23"/>
      <c r="D1024" s="23"/>
      <c r="E1024" s="22"/>
      <c r="F1024" s="22"/>
      <c r="G1024" s="47"/>
    </row>
    <row r="1025" spans="1:7" ht="24" customHeight="1" x14ac:dyDescent="0.4">
      <c r="A1025" s="23"/>
      <c r="B1025" s="23"/>
      <c r="C1025" s="23"/>
      <c r="D1025" s="23"/>
      <c r="E1025" s="22"/>
      <c r="F1025" s="22"/>
      <c r="G1025" s="47"/>
    </row>
    <row r="1026" spans="1:7" ht="24" customHeight="1" x14ac:dyDescent="0.4">
      <c r="A1026" s="23"/>
      <c r="B1026" s="23"/>
      <c r="C1026" s="23"/>
      <c r="D1026" s="23"/>
      <c r="E1026" s="22"/>
      <c r="F1026" s="22"/>
      <c r="G1026" s="47"/>
    </row>
    <row r="1027" spans="1:7" ht="24" customHeight="1" x14ac:dyDescent="0.4">
      <c r="A1027" s="23"/>
      <c r="B1027" s="23"/>
      <c r="C1027" s="23"/>
      <c r="D1027" s="23"/>
      <c r="E1027" s="22"/>
      <c r="F1027" s="22"/>
      <c r="G1027" s="47"/>
    </row>
    <row r="1028" spans="1:7" ht="24" customHeight="1" x14ac:dyDescent="0.4">
      <c r="A1028" s="23"/>
      <c r="B1028" s="23"/>
      <c r="C1028" s="23"/>
      <c r="D1028" s="23"/>
      <c r="E1028" s="22"/>
      <c r="F1028" s="22"/>
      <c r="G1028" s="47"/>
    </row>
    <row r="1029" spans="1:7" ht="24" customHeight="1" x14ac:dyDescent="0.4">
      <c r="A1029" s="23"/>
      <c r="B1029" s="23"/>
      <c r="C1029" s="23"/>
      <c r="D1029" s="23"/>
      <c r="E1029" s="22"/>
      <c r="F1029" s="22"/>
      <c r="G1029" s="47"/>
    </row>
    <row r="1030" spans="1:7" ht="24" customHeight="1" x14ac:dyDescent="0.4">
      <c r="A1030" s="23"/>
      <c r="B1030" s="23"/>
      <c r="C1030" s="23"/>
      <c r="D1030" s="23"/>
      <c r="E1030" s="22"/>
      <c r="F1030" s="22"/>
      <c r="G1030" s="47"/>
    </row>
    <row r="1031" spans="1:7" ht="24" customHeight="1" x14ac:dyDescent="0.4">
      <c r="A1031" s="23"/>
      <c r="B1031" s="23"/>
      <c r="C1031" s="23"/>
      <c r="D1031" s="23"/>
      <c r="E1031" s="22"/>
      <c r="F1031" s="22"/>
      <c r="G1031" s="47"/>
    </row>
    <row r="1032" spans="1:7" ht="24" customHeight="1" x14ac:dyDescent="0.4">
      <c r="A1032" s="23"/>
      <c r="B1032" s="23"/>
      <c r="C1032" s="23"/>
      <c r="D1032" s="23"/>
      <c r="E1032" s="22"/>
      <c r="F1032" s="22"/>
      <c r="G1032" s="47"/>
    </row>
    <row r="1033" spans="1:7" ht="24" customHeight="1" x14ac:dyDescent="0.4">
      <c r="A1033" s="23"/>
      <c r="B1033" s="23"/>
      <c r="C1033" s="23"/>
      <c r="D1033" s="23"/>
      <c r="E1033" s="22"/>
      <c r="F1033" s="22"/>
      <c r="G1033" s="47"/>
    </row>
    <row r="1034" spans="1:7" ht="24" customHeight="1" x14ac:dyDescent="0.4">
      <c r="A1034" s="23"/>
      <c r="B1034" s="23"/>
      <c r="C1034" s="23"/>
      <c r="D1034" s="23"/>
      <c r="E1034" s="22"/>
      <c r="F1034" s="22"/>
      <c r="G1034" s="47"/>
    </row>
    <row r="1035" spans="1:7" ht="24" customHeight="1" x14ac:dyDescent="0.4">
      <c r="A1035" s="23"/>
      <c r="B1035" s="23"/>
      <c r="C1035" s="23"/>
      <c r="D1035" s="23"/>
      <c r="E1035" s="22"/>
      <c r="F1035" s="22"/>
      <c r="G1035" s="47"/>
    </row>
    <row r="1036" spans="1:7" ht="24" customHeight="1" x14ac:dyDescent="0.4">
      <c r="A1036" s="23"/>
      <c r="B1036" s="23"/>
      <c r="C1036" s="23"/>
      <c r="D1036" s="23"/>
      <c r="E1036" s="22"/>
      <c r="F1036" s="22"/>
      <c r="G1036" s="47"/>
    </row>
    <row r="1037" spans="1:7" ht="24" customHeight="1" x14ac:dyDescent="0.4">
      <c r="A1037" s="23"/>
      <c r="B1037" s="23"/>
      <c r="C1037" s="23"/>
      <c r="D1037" s="23"/>
      <c r="E1037" s="22"/>
      <c r="F1037" s="22"/>
      <c r="G1037" s="47"/>
    </row>
    <row r="1038" spans="1:7" ht="24" customHeight="1" x14ac:dyDescent="0.4">
      <c r="A1038" s="23"/>
      <c r="B1038" s="23"/>
      <c r="C1038" s="23"/>
      <c r="D1038" s="23"/>
      <c r="E1038" s="22"/>
      <c r="F1038" s="22"/>
      <c r="G1038" s="47"/>
    </row>
    <row r="1039" spans="1:7" ht="24" customHeight="1" x14ac:dyDescent="0.4">
      <c r="A1039" s="23"/>
      <c r="B1039" s="23"/>
      <c r="C1039" s="23"/>
      <c r="D1039" s="23"/>
      <c r="E1039" s="22"/>
      <c r="F1039" s="22"/>
      <c r="G1039" s="47"/>
    </row>
    <row r="1040" spans="1:7" ht="24" customHeight="1" x14ac:dyDescent="0.4">
      <c r="A1040" s="19"/>
      <c r="B1040" s="19"/>
      <c r="C1040" s="19"/>
      <c r="D1040" s="19"/>
      <c r="E1040" s="18"/>
      <c r="F1040" s="18"/>
      <c r="G1040" s="21"/>
    </row>
    <row r="1041" spans="1:7" ht="24" customHeight="1" x14ac:dyDescent="0.4">
      <c r="A1041" s="19"/>
      <c r="B1041" s="19"/>
      <c r="C1041" s="19"/>
      <c r="D1041" s="19"/>
      <c r="E1041" s="18"/>
      <c r="F1041" s="18"/>
      <c r="G1041" s="21"/>
    </row>
    <row r="1042" spans="1:7" ht="24" customHeight="1" x14ac:dyDescent="0.4">
      <c r="A1042" s="19"/>
      <c r="B1042" s="19"/>
      <c r="C1042" s="19"/>
      <c r="D1042" s="19"/>
      <c r="E1042" s="18"/>
      <c r="F1042" s="18"/>
      <c r="G1042" s="21"/>
    </row>
    <row r="1043" spans="1:7" ht="24" customHeight="1" x14ac:dyDescent="0.4">
      <c r="A1043" s="19"/>
      <c r="B1043" s="19"/>
      <c r="C1043" s="19"/>
      <c r="D1043" s="19"/>
      <c r="E1043" s="18"/>
      <c r="F1043" s="18"/>
      <c r="G1043" s="21"/>
    </row>
    <row r="1044" spans="1:7" ht="24" customHeight="1" x14ac:dyDescent="0.4">
      <c r="A1044" s="19"/>
      <c r="B1044" s="19"/>
      <c r="C1044" s="19"/>
      <c r="D1044" s="19"/>
      <c r="E1044" s="18"/>
      <c r="F1044" s="18"/>
      <c r="G1044" s="21"/>
    </row>
    <row r="1045" spans="1:7" ht="24" customHeight="1" x14ac:dyDescent="0.4">
      <c r="A1045" s="19"/>
      <c r="B1045" s="19"/>
      <c r="C1045" s="19"/>
      <c r="D1045" s="19"/>
      <c r="E1045" s="18"/>
      <c r="F1045" s="18"/>
      <c r="G1045" s="21"/>
    </row>
    <row r="1046" spans="1:7" ht="24" customHeight="1" x14ac:dyDescent="0.4">
      <c r="A1046" s="19"/>
      <c r="B1046" s="19"/>
      <c r="C1046" s="19"/>
      <c r="D1046" s="19"/>
      <c r="E1046" s="18"/>
      <c r="F1046" s="18"/>
      <c r="G1046" s="21"/>
    </row>
    <row r="1047" spans="1:7" ht="24" customHeight="1" x14ac:dyDescent="0.4">
      <c r="A1047" s="19"/>
      <c r="B1047" s="19"/>
      <c r="C1047" s="19"/>
      <c r="D1047" s="19"/>
      <c r="E1047" s="18"/>
      <c r="F1047" s="18"/>
      <c r="G1047" s="21"/>
    </row>
    <row r="1048" spans="1:7" ht="24" customHeight="1" x14ac:dyDescent="0.4">
      <c r="A1048" s="19"/>
      <c r="B1048" s="19"/>
      <c r="C1048" s="19"/>
      <c r="D1048" s="19"/>
      <c r="E1048" s="18"/>
      <c r="F1048" s="18"/>
      <c r="G1048" s="21"/>
    </row>
    <row r="1049" spans="1:7" ht="24" customHeight="1" x14ac:dyDescent="0.4">
      <c r="A1049" s="19"/>
      <c r="B1049" s="19"/>
      <c r="C1049" s="19"/>
      <c r="D1049" s="19"/>
      <c r="E1049" s="18"/>
      <c r="F1049" s="18"/>
      <c r="G1049" s="21"/>
    </row>
    <row r="1050" spans="1:7" ht="24" customHeight="1" x14ac:dyDescent="0.4">
      <c r="A1050" s="19"/>
      <c r="B1050" s="19"/>
      <c r="C1050" s="19"/>
      <c r="D1050" s="19"/>
      <c r="E1050" s="18"/>
      <c r="F1050" s="18"/>
      <c r="G1050" s="21"/>
    </row>
    <row r="1051" spans="1:7" ht="24" customHeight="1" x14ac:dyDescent="0.4">
      <c r="A1051" s="19"/>
      <c r="B1051" s="19"/>
      <c r="C1051" s="19"/>
      <c r="D1051" s="19"/>
      <c r="E1051" s="18"/>
      <c r="F1051" s="18"/>
      <c r="G1051" s="21"/>
    </row>
    <row r="1052" spans="1:7" ht="24" customHeight="1" x14ac:dyDescent="0.4">
      <c r="A1052" s="19"/>
      <c r="B1052" s="19"/>
      <c r="C1052" s="19"/>
      <c r="D1052" s="19"/>
      <c r="E1052" s="18"/>
      <c r="F1052" s="18"/>
      <c r="G1052" s="21"/>
    </row>
    <row r="1053" spans="1:7" ht="24" customHeight="1" x14ac:dyDescent="0.4">
      <c r="A1053" s="19"/>
      <c r="B1053" s="19"/>
      <c r="C1053" s="19"/>
      <c r="D1053" s="19"/>
      <c r="E1053" s="18"/>
      <c r="F1053" s="18"/>
      <c r="G1053" s="21"/>
    </row>
    <row r="1054" spans="1:7" ht="24" customHeight="1" x14ac:dyDescent="0.4">
      <c r="A1054" s="19"/>
      <c r="B1054" s="19"/>
      <c r="C1054" s="19"/>
      <c r="D1054" s="19"/>
      <c r="E1054" s="18"/>
      <c r="F1054" s="18"/>
      <c r="G1054" s="21"/>
    </row>
    <row r="1055" spans="1:7" ht="24" customHeight="1" x14ac:dyDescent="0.4">
      <c r="A1055" s="19"/>
      <c r="B1055" s="19"/>
      <c r="C1055" s="19"/>
      <c r="D1055" s="19"/>
      <c r="E1055" s="18"/>
      <c r="F1055" s="18"/>
      <c r="G1055" s="21"/>
    </row>
    <row r="1056" spans="1:7" ht="24" customHeight="1" x14ac:dyDescent="0.4">
      <c r="A1056" s="19"/>
      <c r="B1056" s="19"/>
      <c r="C1056" s="19"/>
      <c r="D1056" s="19"/>
      <c r="E1056" s="18"/>
      <c r="F1056" s="18"/>
      <c r="G1056" s="21"/>
    </row>
    <row r="1057" spans="1:7" ht="24" customHeight="1" x14ac:dyDescent="0.4">
      <c r="A1057" s="19"/>
      <c r="B1057" s="19"/>
      <c r="C1057" s="19"/>
      <c r="D1057" s="19"/>
      <c r="E1057" s="18"/>
      <c r="F1057" s="18"/>
      <c r="G1057" s="21"/>
    </row>
    <row r="1058" spans="1:7" ht="24" customHeight="1" x14ac:dyDescent="0.4">
      <c r="A1058" s="19"/>
      <c r="B1058" s="19"/>
      <c r="C1058" s="19"/>
      <c r="D1058" s="19"/>
      <c r="E1058" s="18"/>
      <c r="F1058" s="18"/>
      <c r="G1058" s="21"/>
    </row>
    <row r="1059" spans="1:7" ht="24" customHeight="1" x14ac:dyDescent="0.4">
      <c r="A1059" s="19"/>
      <c r="B1059" s="19"/>
      <c r="C1059" s="19"/>
      <c r="D1059" s="19"/>
      <c r="E1059" s="18"/>
      <c r="F1059" s="18"/>
      <c r="G1059" s="21"/>
    </row>
    <row r="1060" spans="1:7" ht="24" customHeight="1" x14ac:dyDescent="0.4">
      <c r="A1060" s="19"/>
      <c r="B1060" s="19"/>
      <c r="C1060" s="19"/>
      <c r="D1060" s="19"/>
      <c r="E1060" s="18"/>
      <c r="F1060" s="18"/>
      <c r="G1060" s="21"/>
    </row>
    <row r="1061" spans="1:7" ht="24" customHeight="1" x14ac:dyDescent="0.4">
      <c r="A1061" s="19"/>
      <c r="B1061" s="19"/>
      <c r="C1061" s="19"/>
      <c r="D1061" s="19"/>
      <c r="E1061" s="18"/>
      <c r="F1061" s="18"/>
      <c r="G1061" s="21"/>
    </row>
    <row r="1062" spans="1:7" ht="24" customHeight="1" x14ac:dyDescent="0.4">
      <c r="A1062" s="19"/>
      <c r="B1062" s="19"/>
      <c r="C1062" s="19"/>
      <c r="D1062" s="19"/>
      <c r="E1062" s="18"/>
      <c r="F1062" s="18"/>
      <c r="G1062" s="21"/>
    </row>
    <row r="1063" spans="1:7" ht="24" customHeight="1" x14ac:dyDescent="0.4">
      <c r="A1063" s="19"/>
      <c r="B1063" s="19"/>
      <c r="C1063" s="19"/>
      <c r="D1063" s="19"/>
      <c r="E1063" s="18"/>
      <c r="F1063" s="18"/>
      <c r="G1063" s="21"/>
    </row>
    <row r="1064" spans="1:7" ht="24" customHeight="1" x14ac:dyDescent="0.4">
      <c r="A1064" s="19"/>
      <c r="B1064" s="19"/>
      <c r="C1064" s="19"/>
      <c r="D1064" s="19"/>
      <c r="E1064" s="18"/>
      <c r="F1064" s="18"/>
      <c r="G1064" s="21"/>
    </row>
    <row r="1065" spans="1:7" ht="24" customHeight="1" x14ac:dyDescent="0.4">
      <c r="A1065" s="19"/>
      <c r="B1065" s="19"/>
      <c r="C1065" s="19"/>
      <c r="D1065" s="19"/>
      <c r="E1065" s="18"/>
      <c r="F1065" s="18"/>
      <c r="G1065" s="21"/>
    </row>
    <row r="1066" spans="1:7" ht="24" customHeight="1" x14ac:dyDescent="0.4">
      <c r="A1066" s="19"/>
      <c r="B1066" s="19"/>
      <c r="C1066" s="19"/>
      <c r="D1066" s="19"/>
      <c r="E1066" s="18"/>
      <c r="F1066" s="18"/>
      <c r="G1066" s="21"/>
    </row>
    <row r="1067" spans="1:7" ht="24" customHeight="1" x14ac:dyDescent="0.4">
      <c r="A1067" s="19"/>
      <c r="B1067" s="19"/>
      <c r="C1067" s="19"/>
      <c r="D1067" s="19"/>
      <c r="E1067" s="18"/>
      <c r="F1067" s="18"/>
      <c r="G1067" s="21"/>
    </row>
    <row r="1068" spans="1:7" ht="24" customHeight="1" x14ac:dyDescent="0.4">
      <c r="A1068" s="19"/>
      <c r="B1068" s="19"/>
      <c r="C1068" s="19"/>
      <c r="D1068" s="19"/>
      <c r="E1068" s="18"/>
      <c r="F1068" s="18"/>
      <c r="G1068" s="21"/>
    </row>
    <row r="1069" spans="1:7" ht="24" customHeight="1" x14ac:dyDescent="0.4">
      <c r="A1069" s="19"/>
      <c r="B1069" s="19"/>
      <c r="C1069" s="19"/>
      <c r="D1069" s="19"/>
      <c r="E1069" s="18"/>
      <c r="F1069" s="18"/>
      <c r="G1069" s="21"/>
    </row>
    <row r="1070" spans="1:7" ht="24" customHeight="1" x14ac:dyDescent="0.4">
      <c r="A1070" s="19"/>
      <c r="B1070" s="19"/>
      <c r="C1070" s="19"/>
      <c r="D1070" s="19"/>
      <c r="E1070" s="18"/>
      <c r="F1070" s="18"/>
      <c r="G1070" s="21"/>
    </row>
    <row r="1071" spans="1:7" ht="24" customHeight="1" x14ac:dyDescent="0.4">
      <c r="A1071" s="19"/>
      <c r="B1071" s="19"/>
      <c r="C1071" s="19"/>
      <c r="D1071" s="19"/>
      <c r="E1071" s="18"/>
      <c r="F1071" s="18"/>
      <c r="G1071" s="21"/>
    </row>
    <row r="1072" spans="1:7" ht="24" customHeight="1" x14ac:dyDescent="0.4">
      <c r="A1072" s="19"/>
      <c r="B1072" s="19"/>
      <c r="C1072" s="19"/>
      <c r="D1072" s="19"/>
      <c r="E1072" s="18"/>
      <c r="F1072" s="18"/>
      <c r="G1072" s="21"/>
    </row>
    <row r="1073" spans="1:7" ht="24" customHeight="1" x14ac:dyDescent="0.4">
      <c r="A1073" s="19"/>
      <c r="B1073" s="19"/>
      <c r="C1073" s="19"/>
      <c r="D1073" s="19"/>
      <c r="E1073" s="18"/>
      <c r="F1073" s="18"/>
      <c r="G1073" s="21"/>
    </row>
    <row r="1074" spans="1:7" ht="24" customHeight="1" x14ac:dyDescent="0.4">
      <c r="A1074" s="19"/>
      <c r="B1074" s="19"/>
      <c r="C1074" s="19"/>
      <c r="D1074" s="19"/>
      <c r="E1074" s="18"/>
      <c r="F1074" s="18"/>
      <c r="G1074" s="21"/>
    </row>
    <row r="1075" spans="1:7" ht="24" customHeight="1" x14ac:dyDescent="0.4">
      <c r="A1075" s="19"/>
      <c r="B1075" s="19"/>
      <c r="C1075" s="19"/>
      <c r="D1075" s="19"/>
      <c r="E1075" s="18"/>
      <c r="F1075" s="18"/>
      <c r="G1075" s="21"/>
    </row>
    <row r="1076" spans="1:7" ht="24" customHeight="1" x14ac:dyDescent="0.4">
      <c r="A1076" s="19"/>
      <c r="B1076" s="19"/>
      <c r="C1076" s="19"/>
      <c r="D1076" s="19"/>
      <c r="E1076" s="18"/>
      <c r="F1076" s="18"/>
      <c r="G1076" s="21"/>
    </row>
    <row r="1077" spans="1:7" ht="24" customHeight="1" x14ac:dyDescent="0.4">
      <c r="A1077" s="19"/>
      <c r="B1077" s="19"/>
      <c r="C1077" s="19"/>
      <c r="D1077" s="19"/>
      <c r="E1077" s="18"/>
      <c r="F1077" s="18"/>
      <c r="G1077" s="21"/>
    </row>
    <row r="1078" spans="1:7" ht="24" customHeight="1" x14ac:dyDescent="0.4">
      <c r="A1078" s="19"/>
      <c r="B1078" s="19"/>
      <c r="C1078" s="19"/>
      <c r="D1078" s="19"/>
      <c r="E1078" s="18"/>
      <c r="F1078" s="18"/>
      <c r="G1078" s="21"/>
    </row>
    <row r="1079" spans="1:7" ht="24" customHeight="1" x14ac:dyDescent="0.4">
      <c r="A1079" s="19"/>
      <c r="B1079" s="19"/>
      <c r="C1079" s="19"/>
      <c r="D1079" s="19"/>
      <c r="E1079" s="18"/>
      <c r="F1079" s="18"/>
      <c r="G1079" s="21"/>
    </row>
    <row r="1080" spans="1:7" ht="24" customHeight="1" x14ac:dyDescent="0.4">
      <c r="A1080" s="19"/>
      <c r="B1080" s="19"/>
      <c r="C1080" s="19"/>
      <c r="D1080" s="19"/>
      <c r="E1080" s="18"/>
      <c r="F1080" s="18"/>
      <c r="G1080" s="21"/>
    </row>
    <row r="1081" spans="1:7" ht="24" customHeight="1" x14ac:dyDescent="0.4">
      <c r="A1081" s="19"/>
      <c r="B1081" s="19"/>
      <c r="C1081" s="19"/>
      <c r="D1081" s="19"/>
      <c r="E1081" s="18"/>
      <c r="F1081" s="18"/>
      <c r="G1081" s="21"/>
    </row>
  </sheetData>
  <pageMargins left="0.70866141732283472" right="0.70866141732283472" top="0.19685039370078741" bottom="0.19685039370078741" header="0.31496062992125984" footer="0.31496062992125984"/>
  <pageSetup fitToHeight="0" orientation="landscape" r:id="rId1"/>
  <rowBreaks count="10" manualBreakCount="10">
    <brk id="45" max="16383" man="1"/>
    <brk id="113" max="16383" man="1"/>
    <brk id="134" max="16383" man="1"/>
    <brk id="155" max="16383" man="1"/>
    <brk id="200" max="16383" man="1"/>
    <brk id="244" max="16383" man="1"/>
    <brk id="264" max="16383" man="1"/>
    <brk id="307" max="16383" man="1"/>
    <brk id="329" max="16383" man="1"/>
    <brk id="372" max="16383" man="1"/>
  </rowBrea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helper</vt:lpstr>
      <vt:lpstr>Individual Results</vt:lpstr>
      <vt:lpstr>Sheet2</vt:lpstr>
      <vt:lpstr>Division Export</vt:lpstr>
      <vt:lpstr>TeamPoints</vt:lpstr>
      <vt:lpstr>For Print</vt:lpstr>
      <vt:lpstr>Attendance</vt:lpstr>
      <vt:lpstr>EnduroPrint</vt:lpstr>
      <vt:lpstr>'For Print'!Print_Area</vt:lpstr>
      <vt:lpstr>EnduroPrint!Print_Titles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2026-05-06T15:22:31Z</cp:lastPrinted>
  <dcterms:created xsi:type="dcterms:W3CDTF">2026-04-06T23:28:35Z</dcterms:created>
  <dcterms:modified xsi:type="dcterms:W3CDTF">2026-05-07T19:21:48Z</dcterms:modified>
</cp:coreProperties>
</file>