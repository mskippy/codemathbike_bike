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d44o365-my.sharepoint.com/personal/19247_sd44_ca/Documents/MBT/2026/"/>
    </mc:Choice>
  </mc:AlternateContent>
  <xr:revisionPtr revIDLastSave="1072" documentId="8_{DB5CEC0D-EEC6-4B7C-90F5-2AF01BF045DA}" xr6:coauthVersionLast="47" xr6:coauthVersionMax="47" xr10:uidLastSave="{FFEC92DD-D8A1-4008-AFBF-F8B81CD94CAC}"/>
  <bookViews>
    <workbookView xWindow="17430" yWindow="-21610" windowWidth="19220" windowHeight="20900" activeTab="1" xr2:uid="{E4CCCC36-747C-4C6A-A938-400850181E6F}"/>
  </bookViews>
  <sheets>
    <sheet name="helper" sheetId="1" r:id="rId1"/>
    <sheet name="Individual Results" sheetId="2" r:id="rId2"/>
    <sheet name="TeamPoints" sheetId="4" r:id="rId3"/>
    <sheet name="For Print" sheetId="5" r:id="rId4"/>
  </sheets>
  <definedNames>
    <definedName name="_xlnm.Print_Area" localSheetId="3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5" l="1" a="1"/>
  <c r="B4" i="5" s="1"/>
  <c r="E4" i="4" l="1" a="1"/>
  <c r="E4" i="4" s="1"/>
  <c r="E36" i="4" a="1"/>
  <c r="E36" i="4" s="1"/>
  <c r="D4" i="4" a="1"/>
  <c r="D4" i="4" s="1"/>
  <c r="D14" i="4" a="1"/>
  <c r="D14" i="4" s="1"/>
  <c r="D36" i="4" a="1"/>
  <c r="D36" i="4" s="1"/>
  <c r="C25" i="4" a="1"/>
  <c r="C25" i="4" s="1"/>
  <c r="H7" i="2"/>
  <c r="H8" i="2"/>
  <c r="D3" i="4" s="1" a="1"/>
  <c r="D3" i="4" s="1"/>
  <c r="H9" i="2"/>
  <c r="D11" i="4" s="1" a="1"/>
  <c r="D11" i="4" s="1"/>
  <c r="H10" i="2"/>
  <c r="H11" i="2"/>
  <c r="P3" i="2"/>
  <c r="P14" i="2"/>
  <c r="P13" i="2"/>
  <c r="P12" i="2"/>
  <c r="P9" i="2"/>
  <c r="P5" i="2"/>
  <c r="P6" i="2"/>
  <c r="P8" i="2"/>
  <c r="P10" i="2"/>
  <c r="P11" i="2"/>
  <c r="P7" i="2"/>
  <c r="P17" i="2"/>
  <c r="P19" i="2"/>
  <c r="P20" i="2"/>
  <c r="H20" i="4" s="1" a="1"/>
  <c r="H20" i="4" s="1"/>
  <c r="P15" i="2"/>
  <c r="P23" i="2"/>
  <c r="P16" i="2"/>
  <c r="P22" i="2"/>
  <c r="P27" i="2"/>
  <c r="P29" i="2"/>
  <c r="P24" i="2"/>
  <c r="P26" i="2"/>
  <c r="P25" i="2"/>
  <c r="P28" i="2"/>
  <c r="P30" i="2"/>
  <c r="P36" i="2"/>
  <c r="P39" i="2"/>
  <c r="P34" i="2"/>
  <c r="P31" i="2"/>
  <c r="P33" i="2"/>
  <c r="P32" i="2"/>
  <c r="P38" i="2"/>
  <c r="P42" i="2"/>
  <c r="P43" i="2"/>
  <c r="P44" i="2"/>
  <c r="P41" i="2"/>
  <c r="P45" i="2"/>
  <c r="P50" i="2"/>
  <c r="P49" i="2"/>
  <c r="P51" i="2"/>
  <c r="P54" i="2"/>
  <c r="P52" i="2"/>
  <c r="P48" i="2"/>
  <c r="P46" i="2"/>
  <c r="P55" i="2"/>
  <c r="P57" i="2"/>
  <c r="P56" i="2"/>
  <c r="P60" i="2"/>
  <c r="P58" i="2"/>
  <c r="P59" i="2"/>
  <c r="P61" i="2"/>
  <c r="P62" i="2"/>
  <c r="P63" i="2"/>
  <c r="P64" i="2"/>
  <c r="P65" i="2"/>
  <c r="P68" i="2"/>
  <c r="P70" i="2"/>
  <c r="P71" i="2"/>
  <c r="P72" i="2"/>
  <c r="P73" i="2"/>
  <c r="P74" i="2"/>
  <c r="P76" i="2"/>
  <c r="P75" i="2"/>
  <c r="P77" i="2"/>
  <c r="P78" i="2"/>
  <c r="P80" i="2"/>
  <c r="P79" i="2"/>
  <c r="P86" i="2"/>
  <c r="P84" i="2"/>
  <c r="P83" i="2"/>
  <c r="P85" i="2"/>
  <c r="P87" i="2"/>
  <c r="P90" i="2"/>
  <c r="P89" i="2"/>
  <c r="P91" i="2"/>
  <c r="P88" i="2"/>
  <c r="P93" i="2"/>
  <c r="P92" i="2"/>
  <c r="P94" i="2"/>
  <c r="P96" i="2"/>
  <c r="P97" i="2"/>
  <c r="P100" i="2"/>
  <c r="P102" i="2"/>
  <c r="P101" i="2"/>
  <c r="P103" i="2"/>
  <c r="P104" i="2"/>
  <c r="P105" i="2"/>
  <c r="P106" i="2"/>
  <c r="P108" i="2"/>
  <c r="P107" i="2"/>
  <c r="P109" i="2"/>
  <c r="P113" i="2"/>
  <c r="P110" i="2"/>
  <c r="P111" i="2"/>
  <c r="P112" i="2"/>
  <c r="P116" i="2"/>
  <c r="P120" i="2"/>
  <c r="P118" i="2"/>
  <c r="P117" i="2"/>
  <c r="P121" i="2"/>
  <c r="P122" i="2"/>
  <c r="P123" i="2"/>
  <c r="P125" i="2"/>
  <c r="P126" i="2"/>
  <c r="P124" i="2"/>
  <c r="P129" i="2"/>
  <c r="P128" i="2"/>
  <c r="P127" i="2"/>
  <c r="P131" i="2"/>
  <c r="P133" i="2"/>
  <c r="P134" i="2"/>
  <c r="P132" i="2"/>
  <c r="P135" i="2"/>
  <c r="P136" i="2"/>
  <c r="P137" i="2"/>
  <c r="P141" i="2"/>
  <c r="P138" i="2"/>
  <c r="P139" i="2"/>
  <c r="P140" i="2"/>
  <c r="P146" i="2"/>
  <c r="P144" i="2"/>
  <c r="P145" i="2"/>
  <c r="P148" i="2"/>
  <c r="P143" i="2"/>
  <c r="P142" i="2"/>
  <c r="P152" i="2"/>
  <c r="P149" i="2"/>
  <c r="P151" i="2"/>
  <c r="P150" i="2"/>
  <c r="P158" i="2"/>
  <c r="P157" i="2"/>
  <c r="P159" i="2"/>
  <c r="P163" i="2"/>
  <c r="P154" i="2"/>
  <c r="P162" i="2"/>
  <c r="P160" i="2"/>
  <c r="P155" i="2"/>
  <c r="P161" i="2"/>
  <c r="P165" i="2"/>
  <c r="P170" i="2"/>
  <c r="P172" i="2"/>
  <c r="P168" i="2"/>
  <c r="P169" i="2"/>
  <c r="P171" i="2"/>
  <c r="P167" i="2"/>
  <c r="P173" i="2"/>
  <c r="P175" i="2"/>
  <c r="P174" i="2"/>
  <c r="P176" i="2"/>
  <c r="P182" i="2"/>
  <c r="P185" i="2"/>
  <c r="P186" i="2"/>
  <c r="P180" i="2"/>
  <c r="P183" i="2"/>
  <c r="P188" i="2"/>
  <c r="P178" i="2"/>
  <c r="P177" i="2"/>
  <c r="P179" i="2"/>
  <c r="P181" i="2"/>
  <c r="P190" i="2"/>
  <c r="P189" i="2"/>
  <c r="P191" i="2"/>
  <c r="P192" i="2"/>
  <c r="P194" i="2"/>
  <c r="P197" i="2"/>
  <c r="P196" i="2"/>
  <c r="P198" i="2"/>
  <c r="P200" i="2"/>
  <c r="P201" i="2"/>
  <c r="P199" i="2"/>
  <c r="P205" i="2"/>
  <c r="P204" i="2"/>
  <c r="P202" i="2"/>
  <c r="P203" i="2"/>
  <c r="P207" i="2"/>
  <c r="P206" i="2"/>
  <c r="P211" i="2"/>
  <c r="P210" i="2"/>
  <c r="P214" i="2"/>
  <c r="P215" i="2"/>
  <c r="P216" i="2"/>
  <c r="P218" i="2"/>
  <c r="P217" i="2"/>
  <c r="P219" i="2"/>
  <c r="P229" i="2"/>
  <c r="P225" i="2"/>
  <c r="P230" i="2"/>
  <c r="P221" i="2"/>
  <c r="P223" i="2"/>
  <c r="P222" i="2"/>
  <c r="P228" i="2"/>
  <c r="P220" i="2"/>
  <c r="P227" i="2"/>
  <c r="P226" i="2"/>
  <c r="P231" i="2"/>
  <c r="P234" i="2"/>
  <c r="P232" i="2"/>
  <c r="P233" i="2"/>
  <c r="P236" i="2"/>
  <c r="P235" i="2"/>
  <c r="P237" i="2"/>
  <c r="P238" i="2"/>
  <c r="P240" i="2"/>
  <c r="P239" i="2"/>
  <c r="P241" i="2"/>
  <c r="P244" i="2"/>
  <c r="P250" i="2"/>
  <c r="P252" i="2"/>
  <c r="P247" i="2"/>
  <c r="P249" i="2"/>
  <c r="P254" i="2"/>
  <c r="P245" i="2"/>
  <c r="P246" i="2"/>
  <c r="P248" i="2"/>
  <c r="P251" i="2"/>
  <c r="P253" i="2"/>
  <c r="P255" i="2"/>
  <c r="P256" i="2"/>
  <c r="P260" i="2"/>
  <c r="P257" i="2"/>
  <c r="P259" i="2"/>
  <c r="P263" i="2"/>
  <c r="P262" i="2"/>
  <c r="P266" i="2"/>
  <c r="P265" i="2"/>
  <c r="P267" i="2"/>
  <c r="P264" i="2"/>
  <c r="P268" i="2"/>
  <c r="P269" i="2"/>
  <c r="P271" i="2"/>
  <c r="P270" i="2"/>
  <c r="P272" i="2"/>
  <c r="P273" i="2"/>
  <c r="P277" i="2"/>
  <c r="P274" i="2"/>
  <c r="P275" i="2"/>
  <c r="P281" i="2"/>
  <c r="P280" i="2"/>
  <c r="P279" i="2"/>
  <c r="P282" i="2"/>
  <c r="P284" i="2"/>
  <c r="P283" i="2"/>
  <c r="P278" i="2"/>
  <c r="P285" i="2"/>
  <c r="P286" i="2"/>
  <c r="P288" i="2"/>
  <c r="P290" i="2"/>
  <c r="P289" i="2"/>
  <c r="P295" i="2"/>
  <c r="P292" i="2"/>
  <c r="P293" i="2"/>
  <c r="P294" i="2"/>
  <c r="P296" i="2"/>
  <c r="P297" i="2"/>
  <c r="P303" i="2"/>
  <c r="P304" i="2"/>
  <c r="P299" i="2"/>
  <c r="P301" i="2"/>
  <c r="P302" i="2"/>
  <c r="P298" i="2"/>
  <c r="P300" i="2"/>
  <c r="P305" i="2"/>
  <c r="P306" i="2"/>
  <c r="P309" i="2"/>
  <c r="P308" i="2"/>
  <c r="P310" i="2"/>
  <c r="P311" i="2"/>
  <c r="P315" i="2"/>
  <c r="P312" i="2"/>
  <c r="P314" i="2"/>
  <c r="P313" i="2"/>
  <c r="P319" i="2"/>
  <c r="P324" i="2"/>
  <c r="P322" i="2"/>
  <c r="P323" i="2"/>
  <c r="P320" i="2"/>
  <c r="P316" i="2"/>
  <c r="P321" i="2"/>
  <c r="P327" i="2"/>
  <c r="P325" i="2"/>
  <c r="P326" i="2"/>
  <c r="P330" i="2"/>
  <c r="P331" i="2"/>
  <c r="P329" i="2"/>
  <c r="P332" i="2"/>
  <c r="P328" i="2"/>
  <c r="P336" i="2"/>
  <c r="P335" i="2"/>
  <c r="P334" i="2"/>
  <c r="P333" i="2"/>
  <c r="P338" i="2"/>
  <c r="P340" i="2"/>
  <c r="P341" i="2"/>
  <c r="P342" i="2"/>
  <c r="P344" i="2"/>
  <c r="P343" i="2"/>
  <c r="P345" i="2"/>
  <c r="P347" i="2"/>
  <c r="P346" i="2"/>
  <c r="P348" i="2"/>
  <c r="P349" i="2"/>
  <c r="N2" i="2"/>
  <c r="G7" i="4" s="1" a="1"/>
  <c r="G7" i="4" s="1"/>
  <c r="N3" i="2"/>
  <c r="N4" i="2"/>
  <c r="N14" i="2"/>
  <c r="N13" i="2"/>
  <c r="N12" i="2"/>
  <c r="N9" i="2"/>
  <c r="N5" i="2"/>
  <c r="N6" i="2"/>
  <c r="N8" i="2"/>
  <c r="N10" i="2"/>
  <c r="N11" i="2"/>
  <c r="N7" i="2"/>
  <c r="N17" i="2"/>
  <c r="N19" i="2"/>
  <c r="N20" i="2"/>
  <c r="N21" i="2"/>
  <c r="N18" i="2"/>
  <c r="N15" i="2"/>
  <c r="N23" i="2"/>
  <c r="N16" i="2"/>
  <c r="N22" i="2"/>
  <c r="N27" i="2"/>
  <c r="N29" i="2"/>
  <c r="N24" i="2"/>
  <c r="N26" i="2"/>
  <c r="N25" i="2"/>
  <c r="N28" i="2"/>
  <c r="N30" i="2"/>
  <c r="N36" i="2"/>
  <c r="N39" i="2"/>
  <c r="N34" i="2"/>
  <c r="N35" i="2"/>
  <c r="N37" i="2"/>
  <c r="N40" i="2"/>
  <c r="N31" i="2"/>
  <c r="N33" i="2"/>
  <c r="N32" i="2"/>
  <c r="N38" i="2"/>
  <c r="N42" i="2"/>
  <c r="N43" i="2"/>
  <c r="N44" i="2"/>
  <c r="N41" i="2"/>
  <c r="N45" i="2"/>
  <c r="N50" i="2"/>
  <c r="N49" i="2"/>
  <c r="N51" i="2"/>
  <c r="N54" i="2"/>
  <c r="N47" i="2"/>
  <c r="N53" i="2"/>
  <c r="N52" i="2"/>
  <c r="N48" i="2"/>
  <c r="N46" i="2"/>
  <c r="N55" i="2"/>
  <c r="N56" i="2"/>
  <c r="N60" i="2"/>
  <c r="N58" i="2"/>
  <c r="N59" i="2"/>
  <c r="N61" i="2"/>
  <c r="N62" i="2"/>
  <c r="N63" i="2"/>
  <c r="N64" i="2"/>
  <c r="N65" i="2"/>
  <c r="N66" i="2"/>
  <c r="N67" i="2"/>
  <c r="N69" i="2"/>
  <c r="N68" i="2"/>
  <c r="N70" i="2"/>
  <c r="N71" i="2"/>
  <c r="N73" i="2"/>
  <c r="N74" i="2"/>
  <c r="N76" i="2"/>
  <c r="N75" i="2"/>
  <c r="N77" i="2"/>
  <c r="N78" i="2"/>
  <c r="N80" i="2"/>
  <c r="N79" i="2"/>
  <c r="N86" i="2"/>
  <c r="N82" i="2"/>
  <c r="N81" i="2"/>
  <c r="N84" i="2"/>
  <c r="N83" i="2"/>
  <c r="N90" i="2"/>
  <c r="N89" i="2"/>
  <c r="N91" i="2"/>
  <c r="N88" i="2"/>
  <c r="N93" i="2"/>
  <c r="N92" i="2"/>
  <c r="N94" i="2"/>
  <c r="N96" i="2"/>
  <c r="N97" i="2"/>
  <c r="N100" i="2"/>
  <c r="N98" i="2"/>
  <c r="N99" i="2"/>
  <c r="N95" i="2"/>
  <c r="N102" i="2"/>
  <c r="N104" i="2"/>
  <c r="N106" i="2"/>
  <c r="N108" i="2"/>
  <c r="N107" i="2"/>
  <c r="N109" i="2"/>
  <c r="N113" i="2"/>
  <c r="N110" i="2"/>
  <c r="N111" i="2"/>
  <c r="N112" i="2"/>
  <c r="N114" i="2"/>
  <c r="N116" i="2"/>
  <c r="N115" i="2"/>
  <c r="N119" i="2"/>
  <c r="N120" i="2"/>
  <c r="N118" i="2"/>
  <c r="N117" i="2"/>
  <c r="N121" i="2"/>
  <c r="N122" i="2"/>
  <c r="N123" i="2"/>
  <c r="N125" i="2"/>
  <c r="N126" i="2"/>
  <c r="N124" i="2"/>
  <c r="N129" i="2"/>
  <c r="N128" i="2"/>
  <c r="N127" i="2"/>
  <c r="N130" i="2"/>
  <c r="N131" i="2"/>
  <c r="N133" i="2"/>
  <c r="N134" i="2"/>
  <c r="N132" i="2"/>
  <c r="N136" i="2"/>
  <c r="N137" i="2"/>
  <c r="N141" i="2"/>
  <c r="N138" i="2"/>
  <c r="N139" i="2"/>
  <c r="N140" i="2"/>
  <c r="N146" i="2"/>
  <c r="N144" i="2"/>
  <c r="N145" i="2"/>
  <c r="N148" i="2"/>
  <c r="N147" i="2"/>
  <c r="N143" i="2"/>
  <c r="N142" i="2"/>
  <c r="N152" i="2"/>
  <c r="N149" i="2"/>
  <c r="N151" i="2"/>
  <c r="N158" i="2"/>
  <c r="N157" i="2"/>
  <c r="N159" i="2"/>
  <c r="N163" i="2"/>
  <c r="N154" i="2"/>
  <c r="N162" i="2"/>
  <c r="N160" i="2"/>
  <c r="N155" i="2"/>
  <c r="N161" i="2"/>
  <c r="N153" i="2"/>
  <c r="N156" i="2"/>
  <c r="N164" i="2"/>
  <c r="N166" i="2"/>
  <c r="N165" i="2"/>
  <c r="N170" i="2"/>
  <c r="N172" i="2"/>
  <c r="N168" i="2"/>
  <c r="N169" i="2"/>
  <c r="N171" i="2"/>
  <c r="N167" i="2"/>
  <c r="N173" i="2"/>
  <c r="N175" i="2"/>
  <c r="N174" i="2"/>
  <c r="N176" i="2"/>
  <c r="N182" i="2"/>
  <c r="N184" i="2"/>
  <c r="N187" i="2"/>
  <c r="N185" i="2"/>
  <c r="N186" i="2"/>
  <c r="N180" i="2"/>
  <c r="N183" i="2"/>
  <c r="N188" i="2"/>
  <c r="N178" i="2"/>
  <c r="N177" i="2"/>
  <c r="N179" i="2"/>
  <c r="N181" i="2"/>
  <c r="N190" i="2"/>
  <c r="N189" i="2"/>
  <c r="N191" i="2"/>
  <c r="N192" i="2"/>
  <c r="N194" i="2"/>
  <c r="N193" i="2"/>
  <c r="N195" i="2"/>
  <c r="N197" i="2"/>
  <c r="N196" i="2"/>
  <c r="N200" i="2"/>
  <c r="N201" i="2"/>
  <c r="N199" i="2"/>
  <c r="N205" i="2"/>
  <c r="N204" i="2"/>
  <c r="N202" i="2"/>
  <c r="N203" i="2"/>
  <c r="N207" i="2"/>
  <c r="N206" i="2"/>
  <c r="N211" i="2"/>
  <c r="N210" i="2"/>
  <c r="N208" i="2"/>
  <c r="N209" i="2"/>
  <c r="N212" i="2"/>
  <c r="N213" i="2"/>
  <c r="N214" i="2"/>
  <c r="N215" i="2"/>
  <c r="N216" i="2"/>
  <c r="N218" i="2"/>
  <c r="N217" i="2"/>
  <c r="N219" i="2"/>
  <c r="N229" i="2"/>
  <c r="N225" i="2"/>
  <c r="N230" i="2"/>
  <c r="N221" i="2"/>
  <c r="N223" i="2"/>
  <c r="N222" i="2"/>
  <c r="N224" i="2"/>
  <c r="N228" i="2"/>
  <c r="N220" i="2"/>
  <c r="N227" i="2"/>
  <c r="N226" i="2"/>
  <c r="N231" i="2"/>
  <c r="N234" i="2"/>
  <c r="N232" i="2"/>
  <c r="N233" i="2"/>
  <c r="N236" i="2"/>
  <c r="N235" i="2"/>
  <c r="N237" i="2"/>
  <c r="N238" i="2"/>
  <c r="N240" i="2"/>
  <c r="N239" i="2"/>
  <c r="N241" i="2"/>
  <c r="N243" i="2"/>
  <c r="N242" i="2"/>
  <c r="N244" i="2"/>
  <c r="N250" i="2"/>
  <c r="N254" i="2"/>
  <c r="N245" i="2"/>
  <c r="N246" i="2"/>
  <c r="N248" i="2"/>
  <c r="N251" i="2"/>
  <c r="N253" i="2"/>
  <c r="N255" i="2"/>
  <c r="N256" i="2"/>
  <c r="N260" i="2"/>
  <c r="N258" i="2"/>
  <c r="N257" i="2"/>
  <c r="N259" i="2"/>
  <c r="N261" i="2"/>
  <c r="N262" i="2"/>
  <c r="N266" i="2"/>
  <c r="N265" i="2"/>
  <c r="N267" i="2"/>
  <c r="N264" i="2"/>
  <c r="N268" i="2"/>
  <c r="N269" i="2"/>
  <c r="N271" i="2"/>
  <c r="N270" i="2"/>
  <c r="N272" i="2"/>
  <c r="N273" i="2"/>
  <c r="N276" i="2"/>
  <c r="N277" i="2"/>
  <c r="N274" i="2"/>
  <c r="N275" i="2"/>
  <c r="N281" i="2"/>
  <c r="N280" i="2"/>
  <c r="N279" i="2"/>
  <c r="N282" i="2"/>
  <c r="N284" i="2"/>
  <c r="N283" i="2"/>
  <c r="N278" i="2"/>
  <c r="N285" i="2"/>
  <c r="N286" i="2"/>
  <c r="N288" i="2"/>
  <c r="N290" i="2"/>
  <c r="N289" i="2"/>
  <c r="N287" i="2"/>
  <c r="N291" i="2"/>
  <c r="N295" i="2"/>
  <c r="N292" i="2"/>
  <c r="N293" i="2"/>
  <c r="N294" i="2"/>
  <c r="N296" i="2"/>
  <c r="N297" i="2"/>
  <c r="N303" i="2"/>
  <c r="N304" i="2"/>
  <c r="N299" i="2"/>
  <c r="N301" i="2"/>
  <c r="N302" i="2"/>
  <c r="N298" i="2"/>
  <c r="N300" i="2"/>
  <c r="N305" i="2"/>
  <c r="N307" i="2"/>
  <c r="N306" i="2"/>
  <c r="N309" i="2"/>
  <c r="N308" i="2"/>
  <c r="N315" i="2"/>
  <c r="N312" i="2"/>
  <c r="N314" i="2"/>
  <c r="N313" i="2"/>
  <c r="N319" i="2"/>
  <c r="N324" i="2"/>
  <c r="N322" i="2"/>
  <c r="N323" i="2"/>
  <c r="N320" i="2"/>
  <c r="N316" i="2"/>
  <c r="N317" i="2"/>
  <c r="N318" i="2"/>
  <c r="N321" i="2"/>
  <c r="N327" i="2"/>
  <c r="N325" i="2"/>
  <c r="N326" i="2"/>
  <c r="N330" i="2"/>
  <c r="N331" i="2"/>
  <c r="N329" i="2"/>
  <c r="N332" i="2"/>
  <c r="N328" i="2"/>
  <c r="N336" i="2"/>
  <c r="N335" i="2"/>
  <c r="N334" i="2"/>
  <c r="N333" i="2"/>
  <c r="N338" i="2"/>
  <c r="N339" i="2"/>
  <c r="N337" i="2"/>
  <c r="N340" i="2"/>
  <c r="N341" i="2"/>
  <c r="N342" i="2"/>
  <c r="N344" i="2"/>
  <c r="N343" i="2"/>
  <c r="N345" i="2"/>
  <c r="N347" i="2"/>
  <c r="N346" i="2"/>
  <c r="N348" i="2"/>
  <c r="N349" i="2"/>
  <c r="L2" i="2"/>
  <c r="F11" i="4" s="1" a="1"/>
  <c r="F11" i="4" s="1"/>
  <c r="L3" i="2"/>
  <c r="L4" i="2"/>
  <c r="L14" i="2"/>
  <c r="L13" i="2"/>
  <c r="F37" i="4" s="1" a="1"/>
  <c r="F37" i="4" s="1"/>
  <c r="L12" i="2"/>
  <c r="L9" i="2"/>
  <c r="L5" i="2"/>
  <c r="L6" i="2"/>
  <c r="L8" i="2"/>
  <c r="L10" i="2"/>
  <c r="L11" i="2"/>
  <c r="L7" i="2"/>
  <c r="L17" i="2"/>
  <c r="L19" i="2"/>
  <c r="L20" i="2"/>
  <c r="L21" i="2"/>
  <c r="L18" i="2"/>
  <c r="L15" i="2"/>
  <c r="L23" i="2"/>
  <c r="L16" i="2"/>
  <c r="L22" i="2"/>
  <c r="L27" i="2"/>
  <c r="L29" i="2"/>
  <c r="L24" i="2"/>
  <c r="L26" i="2"/>
  <c r="L25" i="2"/>
  <c r="L28" i="2"/>
  <c r="L30" i="2"/>
  <c r="L36" i="2"/>
  <c r="L39" i="2"/>
  <c r="L34" i="2"/>
  <c r="L35" i="2"/>
  <c r="L37" i="2"/>
  <c r="L40" i="2"/>
  <c r="L31" i="2"/>
  <c r="L33" i="2"/>
  <c r="L32" i="2"/>
  <c r="L38" i="2"/>
  <c r="L42" i="2"/>
  <c r="L44" i="2"/>
  <c r="L41" i="2"/>
  <c r="L45" i="2"/>
  <c r="L50" i="2"/>
  <c r="L49" i="2"/>
  <c r="L51" i="2"/>
  <c r="L54" i="2"/>
  <c r="L47" i="2"/>
  <c r="L53" i="2"/>
  <c r="L52" i="2"/>
  <c r="L48" i="2"/>
  <c r="L46" i="2"/>
  <c r="L55" i="2"/>
  <c r="L57" i="2"/>
  <c r="L56" i="2"/>
  <c r="L61" i="2"/>
  <c r="L62" i="2"/>
  <c r="L63" i="2"/>
  <c r="L64" i="2"/>
  <c r="L65" i="2"/>
  <c r="L66" i="2"/>
  <c r="L67" i="2"/>
  <c r="L69" i="2"/>
  <c r="L68" i="2"/>
  <c r="L70" i="2"/>
  <c r="L71" i="2"/>
  <c r="L72" i="2"/>
  <c r="L73" i="2"/>
  <c r="L76" i="2"/>
  <c r="L75" i="2"/>
  <c r="L77" i="2"/>
  <c r="L78" i="2"/>
  <c r="L80" i="2"/>
  <c r="L79" i="2"/>
  <c r="L86" i="2"/>
  <c r="L82" i="2"/>
  <c r="L81" i="2"/>
  <c r="L84" i="2"/>
  <c r="L83" i="2"/>
  <c r="L85" i="2"/>
  <c r="L87" i="2"/>
  <c r="L90" i="2"/>
  <c r="L89" i="2"/>
  <c r="L91" i="2"/>
  <c r="L88" i="2"/>
  <c r="L93" i="2"/>
  <c r="L92" i="2"/>
  <c r="L94" i="2"/>
  <c r="L96" i="2"/>
  <c r="L97" i="2"/>
  <c r="L100" i="2"/>
  <c r="L98" i="2"/>
  <c r="L99" i="2"/>
  <c r="L95" i="2"/>
  <c r="L102" i="2"/>
  <c r="L101" i="2"/>
  <c r="L103" i="2"/>
  <c r="L104" i="2"/>
  <c r="L105" i="2"/>
  <c r="L106" i="2"/>
  <c r="L108" i="2"/>
  <c r="L107" i="2"/>
  <c r="L109" i="2"/>
  <c r="L113" i="2"/>
  <c r="L110" i="2"/>
  <c r="L111" i="2"/>
  <c r="L112" i="2"/>
  <c r="L114" i="2"/>
  <c r="L116" i="2"/>
  <c r="L115" i="2"/>
  <c r="L119" i="2"/>
  <c r="L120" i="2"/>
  <c r="L118" i="2"/>
  <c r="L117" i="2"/>
  <c r="L121" i="2"/>
  <c r="L123" i="2"/>
  <c r="L125" i="2"/>
  <c r="L126" i="2"/>
  <c r="L124" i="2"/>
  <c r="L129" i="2"/>
  <c r="L128" i="2"/>
  <c r="L127" i="2"/>
  <c r="L130" i="2"/>
  <c r="L131" i="2"/>
  <c r="L133" i="2"/>
  <c r="L134" i="2"/>
  <c r="L132" i="2"/>
  <c r="L135" i="2"/>
  <c r="L136" i="2"/>
  <c r="L137" i="2"/>
  <c r="L141" i="2"/>
  <c r="L138" i="2"/>
  <c r="L139" i="2"/>
  <c r="L140" i="2"/>
  <c r="L146" i="2"/>
  <c r="L144" i="2"/>
  <c r="L145" i="2"/>
  <c r="L148" i="2"/>
  <c r="L147" i="2"/>
  <c r="L143" i="2"/>
  <c r="L142" i="2"/>
  <c r="L152" i="2"/>
  <c r="L149" i="2"/>
  <c r="L151" i="2"/>
  <c r="L150" i="2"/>
  <c r="L158" i="2"/>
  <c r="L157" i="2"/>
  <c r="L159" i="2"/>
  <c r="L154" i="2"/>
  <c r="L162" i="2"/>
  <c r="L160" i="2"/>
  <c r="L155" i="2"/>
  <c r="L161" i="2"/>
  <c r="L153" i="2"/>
  <c r="L156" i="2"/>
  <c r="L164" i="2"/>
  <c r="L166" i="2"/>
  <c r="L165" i="2"/>
  <c r="L170" i="2"/>
  <c r="L172" i="2"/>
  <c r="L168" i="2"/>
  <c r="L169" i="2"/>
  <c r="L171" i="2"/>
  <c r="L167" i="2"/>
  <c r="L173" i="2"/>
  <c r="L175" i="2"/>
  <c r="L174" i="2"/>
  <c r="L176" i="2"/>
  <c r="L182" i="2"/>
  <c r="L184" i="2"/>
  <c r="L187" i="2"/>
  <c r="L185" i="2"/>
  <c r="L186" i="2"/>
  <c r="L180" i="2"/>
  <c r="L183" i="2"/>
  <c r="L188" i="2"/>
  <c r="L178" i="2"/>
  <c r="L177" i="2"/>
  <c r="L179" i="2"/>
  <c r="L181" i="2"/>
  <c r="L190" i="2"/>
  <c r="L189" i="2"/>
  <c r="L191" i="2"/>
  <c r="L192" i="2"/>
  <c r="L194" i="2"/>
  <c r="L193" i="2"/>
  <c r="L195" i="2"/>
  <c r="L197" i="2"/>
  <c r="L196" i="2"/>
  <c r="L198" i="2"/>
  <c r="L200" i="2"/>
  <c r="L201" i="2"/>
  <c r="L199" i="2"/>
  <c r="L205" i="2"/>
  <c r="L204" i="2"/>
  <c r="L203" i="2"/>
  <c r="L207" i="2"/>
  <c r="L206" i="2"/>
  <c r="L211" i="2"/>
  <c r="L210" i="2"/>
  <c r="L208" i="2"/>
  <c r="L209" i="2"/>
  <c r="L212" i="2"/>
  <c r="L213" i="2"/>
  <c r="L214" i="2"/>
  <c r="L215" i="2"/>
  <c r="L216" i="2"/>
  <c r="L218" i="2"/>
  <c r="L217" i="2"/>
  <c r="L219" i="2"/>
  <c r="L229" i="2"/>
  <c r="L225" i="2"/>
  <c r="L230" i="2"/>
  <c r="L221" i="2"/>
  <c r="L223" i="2"/>
  <c r="L222" i="2"/>
  <c r="L224" i="2"/>
  <c r="L228" i="2"/>
  <c r="L220" i="2"/>
  <c r="L227" i="2"/>
  <c r="L226" i="2"/>
  <c r="L231" i="2"/>
  <c r="L234" i="2"/>
  <c r="L232" i="2"/>
  <c r="L233" i="2"/>
  <c r="L236" i="2"/>
  <c r="L235" i="2"/>
  <c r="L237" i="2"/>
  <c r="L238" i="2"/>
  <c r="L240" i="2"/>
  <c r="L239" i="2"/>
  <c r="L241" i="2"/>
  <c r="L243" i="2"/>
  <c r="L242" i="2"/>
  <c r="L244" i="2"/>
  <c r="L250" i="2"/>
  <c r="L252" i="2"/>
  <c r="L247" i="2"/>
  <c r="L249" i="2"/>
  <c r="L254" i="2"/>
  <c r="L245" i="2"/>
  <c r="L246" i="2"/>
  <c r="L248" i="2"/>
  <c r="L251" i="2"/>
  <c r="L253" i="2"/>
  <c r="L255" i="2"/>
  <c r="L256" i="2"/>
  <c r="L260" i="2"/>
  <c r="L258" i="2"/>
  <c r="L257" i="2"/>
  <c r="L259" i="2"/>
  <c r="L261" i="2"/>
  <c r="L263" i="2"/>
  <c r="L262" i="2"/>
  <c r="L266" i="2"/>
  <c r="L265" i="2"/>
  <c r="L267" i="2"/>
  <c r="L264" i="2"/>
  <c r="L268" i="2"/>
  <c r="L269" i="2"/>
  <c r="L271" i="2"/>
  <c r="L270" i="2"/>
  <c r="L272" i="2"/>
  <c r="L273" i="2"/>
  <c r="L276" i="2"/>
  <c r="L277" i="2"/>
  <c r="L274" i="2"/>
  <c r="L275" i="2"/>
  <c r="L281" i="2"/>
  <c r="L280" i="2"/>
  <c r="L279" i="2"/>
  <c r="L282" i="2"/>
  <c r="L284" i="2"/>
  <c r="L283" i="2"/>
  <c r="L278" i="2"/>
  <c r="L285" i="2"/>
  <c r="L286" i="2"/>
  <c r="L288" i="2"/>
  <c r="L290" i="2"/>
  <c r="L289" i="2"/>
  <c r="L287" i="2"/>
  <c r="L291" i="2"/>
  <c r="L295" i="2"/>
  <c r="L292" i="2"/>
  <c r="L293" i="2"/>
  <c r="L294" i="2"/>
  <c r="L296" i="2"/>
  <c r="L297" i="2"/>
  <c r="L303" i="2"/>
  <c r="L304" i="2"/>
  <c r="L299" i="2"/>
  <c r="L301" i="2"/>
  <c r="L302" i="2"/>
  <c r="L298" i="2"/>
  <c r="L300" i="2"/>
  <c r="L305" i="2"/>
  <c r="L307" i="2"/>
  <c r="L306" i="2"/>
  <c r="L309" i="2"/>
  <c r="L308" i="2"/>
  <c r="L310" i="2"/>
  <c r="L311" i="2"/>
  <c r="L315" i="2"/>
  <c r="L312" i="2"/>
  <c r="L314" i="2"/>
  <c r="L313" i="2"/>
  <c r="L319" i="2"/>
  <c r="L324" i="2"/>
  <c r="L322" i="2"/>
  <c r="L323" i="2"/>
  <c r="L320" i="2"/>
  <c r="L316" i="2"/>
  <c r="L317" i="2"/>
  <c r="L318" i="2"/>
  <c r="L321" i="2"/>
  <c r="L327" i="2"/>
  <c r="L325" i="2"/>
  <c r="L326" i="2"/>
  <c r="L330" i="2"/>
  <c r="L331" i="2"/>
  <c r="L329" i="2"/>
  <c r="L332" i="2"/>
  <c r="L328" i="2"/>
  <c r="L336" i="2"/>
  <c r="L335" i="2"/>
  <c r="L334" i="2"/>
  <c r="L333" i="2"/>
  <c r="L338" i="2"/>
  <c r="L339" i="2"/>
  <c r="L337" i="2"/>
  <c r="L340" i="2"/>
  <c r="L341" i="2"/>
  <c r="L342" i="2"/>
  <c r="L344" i="2"/>
  <c r="L343" i="2"/>
  <c r="L345" i="2"/>
  <c r="L347" i="2"/>
  <c r="L346" i="2"/>
  <c r="L348" i="2"/>
  <c r="L349" i="2"/>
  <c r="J2" i="2"/>
  <c r="E24" i="4" s="1" a="1"/>
  <c r="E24" i="4" s="1"/>
  <c r="J3" i="2"/>
  <c r="J4" i="2"/>
  <c r="J14" i="2"/>
  <c r="J13" i="2"/>
  <c r="J12" i="2"/>
  <c r="J9" i="2"/>
  <c r="J5" i="2"/>
  <c r="J6" i="2"/>
  <c r="J8" i="2"/>
  <c r="J10" i="2"/>
  <c r="J11" i="2"/>
  <c r="J7" i="2"/>
  <c r="J17" i="2"/>
  <c r="J19" i="2"/>
  <c r="J20" i="2"/>
  <c r="J21" i="2"/>
  <c r="J18" i="2"/>
  <c r="J15" i="2"/>
  <c r="J23" i="2"/>
  <c r="J16" i="2"/>
  <c r="J22" i="2"/>
  <c r="J27" i="2"/>
  <c r="J29" i="2"/>
  <c r="J24" i="2"/>
  <c r="J26" i="2"/>
  <c r="J25" i="2"/>
  <c r="J28" i="2"/>
  <c r="J30" i="2"/>
  <c r="J36" i="2"/>
  <c r="J39" i="2"/>
  <c r="J34" i="2"/>
  <c r="J35" i="2"/>
  <c r="J37" i="2"/>
  <c r="J40" i="2"/>
  <c r="J31" i="2"/>
  <c r="J33" i="2"/>
  <c r="J32" i="2"/>
  <c r="J38" i="2"/>
  <c r="J42" i="2"/>
  <c r="J43" i="2"/>
  <c r="J44" i="2"/>
  <c r="J41" i="2"/>
  <c r="J45" i="2"/>
  <c r="J50" i="2"/>
  <c r="J49" i="2"/>
  <c r="J51" i="2"/>
  <c r="J54" i="2"/>
  <c r="J47" i="2"/>
  <c r="J53" i="2"/>
  <c r="J52" i="2"/>
  <c r="J48" i="2"/>
  <c r="J46" i="2"/>
  <c r="J55" i="2"/>
  <c r="J57" i="2"/>
  <c r="J56" i="2"/>
  <c r="J60" i="2"/>
  <c r="J58" i="2"/>
  <c r="J59" i="2"/>
  <c r="J61" i="2"/>
  <c r="J62" i="2"/>
  <c r="J63" i="2"/>
  <c r="J64" i="2"/>
  <c r="J65" i="2"/>
  <c r="J66" i="2"/>
  <c r="J67" i="2"/>
  <c r="J69" i="2"/>
  <c r="J68" i="2"/>
  <c r="J70" i="2"/>
  <c r="J71" i="2"/>
  <c r="J72" i="2"/>
  <c r="J73" i="2"/>
  <c r="J74" i="2"/>
  <c r="J76" i="2"/>
  <c r="J75" i="2"/>
  <c r="J77" i="2"/>
  <c r="J78" i="2"/>
  <c r="J80" i="2"/>
  <c r="J79" i="2"/>
  <c r="J86" i="2"/>
  <c r="J82" i="2"/>
  <c r="J81" i="2"/>
  <c r="J84" i="2"/>
  <c r="J83" i="2"/>
  <c r="J85" i="2"/>
  <c r="J87" i="2"/>
  <c r="J90" i="2"/>
  <c r="J89" i="2"/>
  <c r="J91" i="2"/>
  <c r="J88" i="2"/>
  <c r="J93" i="2"/>
  <c r="J92" i="2"/>
  <c r="J94" i="2"/>
  <c r="J96" i="2"/>
  <c r="J97" i="2"/>
  <c r="J100" i="2"/>
  <c r="J98" i="2"/>
  <c r="J99" i="2"/>
  <c r="J95" i="2"/>
  <c r="J102" i="2"/>
  <c r="J101" i="2"/>
  <c r="J103" i="2"/>
  <c r="J104" i="2"/>
  <c r="J105" i="2"/>
  <c r="J106" i="2"/>
  <c r="J108" i="2"/>
  <c r="J107" i="2"/>
  <c r="J109" i="2"/>
  <c r="J113" i="2"/>
  <c r="J110" i="2"/>
  <c r="J111" i="2"/>
  <c r="J112" i="2"/>
  <c r="J114" i="2"/>
  <c r="J116" i="2"/>
  <c r="J115" i="2"/>
  <c r="J119" i="2"/>
  <c r="J120" i="2"/>
  <c r="J118" i="2"/>
  <c r="J117" i="2"/>
  <c r="J121" i="2"/>
  <c r="J122" i="2"/>
  <c r="J123" i="2"/>
  <c r="J125" i="2"/>
  <c r="J126" i="2"/>
  <c r="J124" i="2"/>
  <c r="J129" i="2"/>
  <c r="J128" i="2"/>
  <c r="J127" i="2"/>
  <c r="J130" i="2"/>
  <c r="J131" i="2"/>
  <c r="J133" i="2"/>
  <c r="J134" i="2"/>
  <c r="J132" i="2"/>
  <c r="J135" i="2"/>
  <c r="J136" i="2"/>
  <c r="J137" i="2"/>
  <c r="J141" i="2"/>
  <c r="J138" i="2"/>
  <c r="J139" i="2"/>
  <c r="J140" i="2"/>
  <c r="J146" i="2"/>
  <c r="J144" i="2"/>
  <c r="J145" i="2"/>
  <c r="J148" i="2"/>
  <c r="J147" i="2"/>
  <c r="J143" i="2"/>
  <c r="J142" i="2"/>
  <c r="J152" i="2"/>
  <c r="J149" i="2"/>
  <c r="J151" i="2"/>
  <c r="J150" i="2"/>
  <c r="J158" i="2"/>
  <c r="J157" i="2"/>
  <c r="J159" i="2"/>
  <c r="J163" i="2"/>
  <c r="J154" i="2"/>
  <c r="J162" i="2"/>
  <c r="J160" i="2"/>
  <c r="J155" i="2"/>
  <c r="J161" i="2"/>
  <c r="J153" i="2"/>
  <c r="J156" i="2"/>
  <c r="J164" i="2"/>
  <c r="J166" i="2"/>
  <c r="J165" i="2"/>
  <c r="J170" i="2"/>
  <c r="J172" i="2"/>
  <c r="J168" i="2"/>
  <c r="J169" i="2"/>
  <c r="J171" i="2"/>
  <c r="J167" i="2"/>
  <c r="J173" i="2"/>
  <c r="J175" i="2"/>
  <c r="J174" i="2"/>
  <c r="J176" i="2"/>
  <c r="J182" i="2"/>
  <c r="J184" i="2"/>
  <c r="J187" i="2"/>
  <c r="J185" i="2"/>
  <c r="J186" i="2"/>
  <c r="J180" i="2"/>
  <c r="J183" i="2"/>
  <c r="J188" i="2"/>
  <c r="J178" i="2"/>
  <c r="J177" i="2"/>
  <c r="J179" i="2"/>
  <c r="J181" i="2"/>
  <c r="J190" i="2"/>
  <c r="J189" i="2"/>
  <c r="J191" i="2"/>
  <c r="J192" i="2"/>
  <c r="J194" i="2"/>
  <c r="J193" i="2"/>
  <c r="J195" i="2"/>
  <c r="J197" i="2"/>
  <c r="J196" i="2"/>
  <c r="J198" i="2"/>
  <c r="J200" i="2"/>
  <c r="J201" i="2"/>
  <c r="J199" i="2"/>
  <c r="J205" i="2"/>
  <c r="J204" i="2"/>
  <c r="J202" i="2"/>
  <c r="J203" i="2"/>
  <c r="J207" i="2"/>
  <c r="J206" i="2"/>
  <c r="J211" i="2"/>
  <c r="J210" i="2"/>
  <c r="J208" i="2"/>
  <c r="J209" i="2"/>
  <c r="J212" i="2"/>
  <c r="J213" i="2"/>
  <c r="J214" i="2"/>
  <c r="J215" i="2"/>
  <c r="J216" i="2"/>
  <c r="J218" i="2"/>
  <c r="J217" i="2"/>
  <c r="J219" i="2"/>
  <c r="J229" i="2"/>
  <c r="J225" i="2"/>
  <c r="J230" i="2"/>
  <c r="J221" i="2"/>
  <c r="J223" i="2"/>
  <c r="J222" i="2"/>
  <c r="J224" i="2"/>
  <c r="J228" i="2"/>
  <c r="J220" i="2"/>
  <c r="J227" i="2"/>
  <c r="J226" i="2"/>
  <c r="J231" i="2"/>
  <c r="J234" i="2"/>
  <c r="J232" i="2"/>
  <c r="J233" i="2"/>
  <c r="J236" i="2"/>
  <c r="J235" i="2"/>
  <c r="J237" i="2"/>
  <c r="J238" i="2"/>
  <c r="J240" i="2"/>
  <c r="J239" i="2"/>
  <c r="J241" i="2"/>
  <c r="J243" i="2"/>
  <c r="J242" i="2"/>
  <c r="J244" i="2"/>
  <c r="J250" i="2"/>
  <c r="J252" i="2"/>
  <c r="J247" i="2"/>
  <c r="J249" i="2"/>
  <c r="J254" i="2"/>
  <c r="J245" i="2"/>
  <c r="J246" i="2"/>
  <c r="J248" i="2"/>
  <c r="J251" i="2"/>
  <c r="J253" i="2"/>
  <c r="J255" i="2"/>
  <c r="J256" i="2"/>
  <c r="J260" i="2"/>
  <c r="J258" i="2"/>
  <c r="J257" i="2"/>
  <c r="J259" i="2"/>
  <c r="J261" i="2"/>
  <c r="J263" i="2"/>
  <c r="J262" i="2"/>
  <c r="J266" i="2"/>
  <c r="J265" i="2"/>
  <c r="J267" i="2"/>
  <c r="J264" i="2"/>
  <c r="J268" i="2"/>
  <c r="J269" i="2"/>
  <c r="J271" i="2"/>
  <c r="J270" i="2"/>
  <c r="J272" i="2"/>
  <c r="J273" i="2"/>
  <c r="J276" i="2"/>
  <c r="J277" i="2"/>
  <c r="J274" i="2"/>
  <c r="J275" i="2"/>
  <c r="J281" i="2"/>
  <c r="J280" i="2"/>
  <c r="J279" i="2"/>
  <c r="J282" i="2"/>
  <c r="J284" i="2"/>
  <c r="J283" i="2"/>
  <c r="J278" i="2"/>
  <c r="J285" i="2"/>
  <c r="J286" i="2"/>
  <c r="J288" i="2"/>
  <c r="J290" i="2"/>
  <c r="J289" i="2"/>
  <c r="J287" i="2"/>
  <c r="J291" i="2"/>
  <c r="J295" i="2"/>
  <c r="J292" i="2"/>
  <c r="J293" i="2"/>
  <c r="J294" i="2"/>
  <c r="J296" i="2"/>
  <c r="J297" i="2"/>
  <c r="J303" i="2"/>
  <c r="J304" i="2"/>
  <c r="J299" i="2"/>
  <c r="J301" i="2"/>
  <c r="J302" i="2"/>
  <c r="J298" i="2"/>
  <c r="J300" i="2"/>
  <c r="J305" i="2"/>
  <c r="J307" i="2"/>
  <c r="J306" i="2"/>
  <c r="J309" i="2"/>
  <c r="J308" i="2"/>
  <c r="J310" i="2"/>
  <c r="J311" i="2"/>
  <c r="J315" i="2"/>
  <c r="J312" i="2"/>
  <c r="J314" i="2"/>
  <c r="J313" i="2"/>
  <c r="J319" i="2"/>
  <c r="J324" i="2"/>
  <c r="J322" i="2"/>
  <c r="J323" i="2"/>
  <c r="J320" i="2"/>
  <c r="J316" i="2"/>
  <c r="J317" i="2"/>
  <c r="J318" i="2"/>
  <c r="J321" i="2"/>
  <c r="J327" i="2"/>
  <c r="J325" i="2"/>
  <c r="J326" i="2"/>
  <c r="J330" i="2"/>
  <c r="J331" i="2"/>
  <c r="J329" i="2"/>
  <c r="J332" i="2"/>
  <c r="J328" i="2"/>
  <c r="J336" i="2"/>
  <c r="J335" i="2"/>
  <c r="J334" i="2"/>
  <c r="J333" i="2"/>
  <c r="J338" i="2"/>
  <c r="J339" i="2"/>
  <c r="J337" i="2"/>
  <c r="J340" i="2"/>
  <c r="J341" i="2"/>
  <c r="J342" i="2"/>
  <c r="J344" i="2"/>
  <c r="J343" i="2"/>
  <c r="J345" i="2"/>
  <c r="J347" i="2"/>
  <c r="J346" i="2"/>
  <c r="J348" i="2"/>
  <c r="J349" i="2"/>
  <c r="P2" i="2"/>
  <c r="H41" i="4" s="1" a="1"/>
  <c r="H41" i="4" s="1"/>
  <c r="P66" i="2"/>
  <c r="P67" i="2"/>
  <c r="P98" i="2"/>
  <c r="P99" i="2"/>
  <c r="P95" i="2"/>
  <c r="P119" i="2"/>
  <c r="P258" i="2"/>
  <c r="P287" i="2"/>
  <c r="P307" i="2"/>
  <c r="P130" i="2"/>
  <c r="P21" i="2"/>
  <c r="P18" i="2"/>
  <c r="P69" i="2"/>
  <c r="P147" i="2"/>
  <c r="P193" i="2"/>
  <c r="P243" i="2"/>
  <c r="P242" i="2"/>
  <c r="P261" i="2"/>
  <c r="P291" i="2"/>
  <c r="P317" i="2"/>
  <c r="P318" i="2"/>
  <c r="P208" i="2"/>
  <c r="P209" i="2"/>
  <c r="P35" i="2"/>
  <c r="P37" i="2"/>
  <c r="P40" i="2"/>
  <c r="P195" i="2"/>
  <c r="P212" i="2"/>
  <c r="P213" i="2"/>
  <c r="P276" i="2"/>
  <c r="P114" i="2"/>
  <c r="P47" i="2"/>
  <c r="P53" i="2"/>
  <c r="P82" i="2"/>
  <c r="P81" i="2"/>
  <c r="P115" i="2"/>
  <c r="P153" i="2"/>
  <c r="P156" i="2"/>
  <c r="P184" i="2"/>
  <c r="P187" i="2"/>
  <c r="P224" i="2"/>
  <c r="P4" i="2"/>
  <c r="P164" i="2"/>
  <c r="P166" i="2"/>
  <c r="P339" i="2"/>
  <c r="P337" i="2"/>
  <c r="N57" i="2"/>
  <c r="N198" i="2"/>
  <c r="N101" i="2"/>
  <c r="N103" i="2"/>
  <c r="N135" i="2"/>
  <c r="N150" i="2"/>
  <c r="N252" i="2"/>
  <c r="N247" i="2"/>
  <c r="N249" i="2"/>
  <c r="N263" i="2"/>
  <c r="N72" i="2"/>
  <c r="N85" i="2"/>
  <c r="N87" i="2"/>
  <c r="N105" i="2"/>
  <c r="N310" i="2"/>
  <c r="N311" i="2"/>
  <c r="L122" i="2"/>
  <c r="L60" i="2"/>
  <c r="L58" i="2"/>
  <c r="L59" i="2"/>
  <c r="L202" i="2"/>
  <c r="L43" i="2"/>
  <c r="L163" i="2"/>
  <c r="L74" i="2"/>
  <c r="H2" i="2"/>
  <c r="D12" i="4" s="1" a="1"/>
  <c r="D12" i="4" s="1"/>
  <c r="H14" i="2"/>
  <c r="H13" i="2"/>
  <c r="H12" i="2"/>
  <c r="H5" i="2"/>
  <c r="H6" i="2"/>
  <c r="H57" i="2"/>
  <c r="H56" i="2"/>
  <c r="H66" i="2"/>
  <c r="H67" i="2"/>
  <c r="H76" i="2"/>
  <c r="H75" i="2"/>
  <c r="H93" i="2"/>
  <c r="H92" i="2"/>
  <c r="H96" i="2"/>
  <c r="H97" i="2"/>
  <c r="H100" i="2"/>
  <c r="H98" i="2"/>
  <c r="H99" i="2"/>
  <c r="H95" i="2"/>
  <c r="H108" i="2"/>
  <c r="H107" i="2"/>
  <c r="H119" i="2"/>
  <c r="H120" i="2"/>
  <c r="H118" i="2"/>
  <c r="H117" i="2"/>
  <c r="H129" i="2"/>
  <c r="H128" i="2"/>
  <c r="H127" i="2"/>
  <c r="H141" i="2"/>
  <c r="H138" i="2"/>
  <c r="H139" i="2"/>
  <c r="H140" i="2"/>
  <c r="H191" i="2"/>
  <c r="H192" i="2"/>
  <c r="H197" i="2"/>
  <c r="H196" i="2"/>
  <c r="H198" i="2"/>
  <c r="H236" i="2"/>
  <c r="H235" i="2"/>
  <c r="H260" i="2"/>
  <c r="H258" i="2"/>
  <c r="H257" i="2"/>
  <c r="H259" i="2"/>
  <c r="H268" i="2"/>
  <c r="H269" i="2"/>
  <c r="H286" i="2"/>
  <c r="H288" i="2"/>
  <c r="H290" i="2"/>
  <c r="H289" i="2"/>
  <c r="H287" i="2"/>
  <c r="H307" i="2"/>
  <c r="H306" i="2"/>
  <c r="H315" i="2"/>
  <c r="H312" i="2"/>
  <c r="H314" i="2"/>
  <c r="H313" i="2"/>
  <c r="H340" i="2"/>
  <c r="H102" i="2"/>
  <c r="H101" i="2"/>
  <c r="H121" i="2"/>
  <c r="H122" i="2"/>
  <c r="H123" i="2"/>
  <c r="H130" i="2"/>
  <c r="H200" i="2"/>
  <c r="H201" i="2"/>
  <c r="H199" i="2"/>
  <c r="H241" i="2"/>
  <c r="H271" i="2"/>
  <c r="H270" i="2"/>
  <c r="H3" i="2"/>
  <c r="D2" i="4" s="1" a="1"/>
  <c r="D2" i="4" s="1"/>
  <c r="H17" i="2"/>
  <c r="H19" i="2"/>
  <c r="H20" i="2"/>
  <c r="H21" i="2"/>
  <c r="H18" i="2"/>
  <c r="H15" i="2"/>
  <c r="H23" i="2"/>
  <c r="D45" i="4" s="1" a="1"/>
  <c r="D45" i="4" s="1"/>
  <c r="H16" i="2"/>
  <c r="H22" i="2"/>
  <c r="H60" i="2"/>
  <c r="H58" i="2"/>
  <c r="H59" i="2"/>
  <c r="H61" i="2"/>
  <c r="H69" i="2"/>
  <c r="H68" i="2"/>
  <c r="H77" i="2"/>
  <c r="H78" i="2"/>
  <c r="H103" i="2"/>
  <c r="H109" i="2"/>
  <c r="H133" i="2"/>
  <c r="H134" i="2"/>
  <c r="H132" i="2"/>
  <c r="H146" i="2"/>
  <c r="H144" i="2"/>
  <c r="H145" i="2"/>
  <c r="H148" i="2"/>
  <c r="H147" i="2"/>
  <c r="H143" i="2"/>
  <c r="H142" i="2"/>
  <c r="H170" i="2"/>
  <c r="H172" i="2"/>
  <c r="H168" i="2"/>
  <c r="H169" i="2"/>
  <c r="H171" i="2"/>
  <c r="H167" i="2"/>
  <c r="H173" i="2"/>
  <c r="H194" i="2"/>
  <c r="H193" i="2"/>
  <c r="H205" i="2"/>
  <c r="H204" i="2"/>
  <c r="H202" i="2"/>
  <c r="H203" i="2"/>
  <c r="H207" i="2"/>
  <c r="H206" i="2"/>
  <c r="H237" i="2"/>
  <c r="H243" i="2"/>
  <c r="H242" i="2"/>
  <c r="H261" i="2"/>
  <c r="H272" i="2"/>
  <c r="H291" i="2"/>
  <c r="H319" i="2"/>
  <c r="H324" i="2"/>
  <c r="H322" i="2"/>
  <c r="H323" i="2"/>
  <c r="H320" i="2"/>
  <c r="H316" i="2"/>
  <c r="H317" i="2"/>
  <c r="H318" i="2"/>
  <c r="H321" i="2"/>
  <c r="H341" i="2"/>
  <c r="H27" i="2"/>
  <c r="H29" i="2"/>
  <c r="H24" i="2"/>
  <c r="H26" i="2"/>
  <c r="H25" i="2"/>
  <c r="H28" i="2"/>
  <c r="H131" i="2"/>
  <c r="H175" i="2"/>
  <c r="H174" i="2"/>
  <c r="H176" i="2"/>
  <c r="H211" i="2"/>
  <c r="H210" i="2"/>
  <c r="H208" i="2"/>
  <c r="H209" i="2"/>
  <c r="H244" i="2"/>
  <c r="H273" i="2"/>
  <c r="H327" i="2"/>
  <c r="H325" i="2"/>
  <c r="H326" i="2"/>
  <c r="H342" i="2"/>
  <c r="H30" i="2"/>
  <c r="H36" i="2"/>
  <c r="H39" i="2"/>
  <c r="H34" i="2"/>
  <c r="H35" i="2"/>
  <c r="H37" i="2"/>
  <c r="H40" i="2"/>
  <c r="H31" i="2"/>
  <c r="H33" i="2"/>
  <c r="H32" i="2"/>
  <c r="H38" i="2"/>
  <c r="H62" i="2"/>
  <c r="H80" i="2"/>
  <c r="H79" i="2"/>
  <c r="H113" i="2"/>
  <c r="H110" i="2"/>
  <c r="H111" i="2"/>
  <c r="H112" i="2"/>
  <c r="H125" i="2"/>
  <c r="H126" i="2"/>
  <c r="H124" i="2"/>
  <c r="H135" i="2"/>
  <c r="H152" i="2"/>
  <c r="H149" i="2"/>
  <c r="H151" i="2"/>
  <c r="H150" i="2"/>
  <c r="H195" i="2"/>
  <c r="H212" i="2"/>
  <c r="H213" i="2"/>
  <c r="H214" i="2"/>
  <c r="H215" i="2"/>
  <c r="H216" i="2"/>
  <c r="H250" i="2"/>
  <c r="H252" i="2"/>
  <c r="H247" i="2"/>
  <c r="H249" i="2"/>
  <c r="H254" i="2"/>
  <c r="H245" i="2"/>
  <c r="H246" i="2"/>
  <c r="H248" i="2"/>
  <c r="H251" i="2"/>
  <c r="H253" i="2"/>
  <c r="H263" i="2"/>
  <c r="H262" i="2"/>
  <c r="H276" i="2"/>
  <c r="H277" i="2"/>
  <c r="H274" i="2"/>
  <c r="H275" i="2"/>
  <c r="H295" i="2"/>
  <c r="H292" i="2"/>
  <c r="H293" i="2"/>
  <c r="H294" i="2"/>
  <c r="H296" i="2"/>
  <c r="H309" i="2"/>
  <c r="H308" i="2"/>
  <c r="H344" i="2"/>
  <c r="H343" i="2"/>
  <c r="H345" i="2"/>
  <c r="H42" i="2"/>
  <c r="H43" i="2"/>
  <c r="H44" i="2"/>
  <c r="H41" i="2"/>
  <c r="H45" i="2"/>
  <c r="H63" i="2"/>
  <c r="H104" i="2"/>
  <c r="H114" i="2"/>
  <c r="H218" i="2"/>
  <c r="H217" i="2"/>
  <c r="H219" i="2"/>
  <c r="H255" i="2"/>
  <c r="H330" i="2"/>
  <c r="H331" i="2"/>
  <c r="H329" i="2"/>
  <c r="H332" i="2"/>
  <c r="H328" i="2"/>
  <c r="H50" i="2"/>
  <c r="H49" i="2"/>
  <c r="H51" i="2"/>
  <c r="H54" i="2"/>
  <c r="H47" i="2"/>
  <c r="H53" i="2"/>
  <c r="H52" i="2"/>
  <c r="H48" i="2"/>
  <c r="H46" i="2"/>
  <c r="H64" i="2"/>
  <c r="H65" i="2"/>
  <c r="H70" i="2"/>
  <c r="H71" i="2"/>
  <c r="H72" i="2"/>
  <c r="H73" i="2"/>
  <c r="H86" i="2"/>
  <c r="H82" i="2"/>
  <c r="H81" i="2"/>
  <c r="H84" i="2"/>
  <c r="H83" i="2"/>
  <c r="H85" i="2"/>
  <c r="H87" i="2"/>
  <c r="H94" i="2"/>
  <c r="H105" i="2"/>
  <c r="H106" i="2"/>
  <c r="H116" i="2"/>
  <c r="H115" i="2"/>
  <c r="H136" i="2"/>
  <c r="H137" i="2"/>
  <c r="H158" i="2"/>
  <c r="H157" i="2"/>
  <c r="H159" i="2"/>
  <c r="H163" i="2"/>
  <c r="H154" i="2"/>
  <c r="H162" i="2"/>
  <c r="H160" i="2"/>
  <c r="H155" i="2"/>
  <c r="H161" i="2"/>
  <c r="H153" i="2"/>
  <c r="H156" i="2"/>
  <c r="H182" i="2"/>
  <c r="H184" i="2"/>
  <c r="H187" i="2"/>
  <c r="H185" i="2"/>
  <c r="H186" i="2"/>
  <c r="H180" i="2"/>
  <c r="H183" i="2"/>
  <c r="H188" i="2"/>
  <c r="H178" i="2"/>
  <c r="H177" i="2"/>
  <c r="H179" i="2"/>
  <c r="H181" i="2"/>
  <c r="H229" i="2"/>
  <c r="H225" i="2"/>
  <c r="H230" i="2"/>
  <c r="H221" i="2"/>
  <c r="H223" i="2"/>
  <c r="H222" i="2"/>
  <c r="H224" i="2"/>
  <c r="H228" i="2"/>
  <c r="H220" i="2"/>
  <c r="H227" i="2"/>
  <c r="H226" i="2"/>
  <c r="H238" i="2"/>
  <c r="H240" i="2"/>
  <c r="H239" i="2"/>
  <c r="H256" i="2"/>
  <c r="H266" i="2"/>
  <c r="H265" i="2"/>
  <c r="H267" i="2"/>
  <c r="H264" i="2"/>
  <c r="H281" i="2"/>
  <c r="H280" i="2"/>
  <c r="H279" i="2"/>
  <c r="H282" i="2"/>
  <c r="H284" i="2"/>
  <c r="H283" i="2"/>
  <c r="H278" i="2"/>
  <c r="H297" i="2"/>
  <c r="H303" i="2"/>
  <c r="H304" i="2"/>
  <c r="H299" i="2"/>
  <c r="H301" i="2"/>
  <c r="H302" i="2"/>
  <c r="H298" i="2"/>
  <c r="H300" i="2"/>
  <c r="H310" i="2"/>
  <c r="H311" i="2"/>
  <c r="H336" i="2"/>
  <c r="H335" i="2"/>
  <c r="H334" i="2"/>
  <c r="H333" i="2"/>
  <c r="H347" i="2"/>
  <c r="H346" i="2"/>
  <c r="H4" i="2"/>
  <c r="H55" i="2"/>
  <c r="H74" i="2"/>
  <c r="H90" i="2"/>
  <c r="H89" i="2"/>
  <c r="H91" i="2"/>
  <c r="H88" i="2"/>
  <c r="H164" i="2"/>
  <c r="H166" i="2"/>
  <c r="H165" i="2"/>
  <c r="H190" i="2"/>
  <c r="H189" i="2"/>
  <c r="H231" i="2"/>
  <c r="H234" i="2"/>
  <c r="H232" i="2"/>
  <c r="H233" i="2"/>
  <c r="H285" i="2"/>
  <c r="H305" i="2"/>
  <c r="H338" i="2"/>
  <c r="H339" i="2"/>
  <c r="H337" i="2"/>
  <c r="H348" i="2"/>
  <c r="H349" i="2"/>
  <c r="F2" i="2"/>
  <c r="C34" i="4" s="1" a="1"/>
  <c r="C34" i="4" s="1"/>
  <c r="F14" i="2"/>
  <c r="F13" i="2"/>
  <c r="F12" i="2"/>
  <c r="F9" i="2"/>
  <c r="F5" i="2"/>
  <c r="F6" i="2"/>
  <c r="F8" i="2"/>
  <c r="F10" i="2"/>
  <c r="F11" i="2"/>
  <c r="F7" i="2"/>
  <c r="F57" i="2"/>
  <c r="F56" i="2"/>
  <c r="F66" i="2"/>
  <c r="F67" i="2"/>
  <c r="F76" i="2"/>
  <c r="F75" i="2"/>
  <c r="F93" i="2"/>
  <c r="F92" i="2"/>
  <c r="F96" i="2"/>
  <c r="F97" i="2"/>
  <c r="F100" i="2"/>
  <c r="F98" i="2"/>
  <c r="F99" i="2"/>
  <c r="F95" i="2"/>
  <c r="F108" i="2"/>
  <c r="F107" i="2"/>
  <c r="F119" i="2"/>
  <c r="F120" i="2"/>
  <c r="F118" i="2"/>
  <c r="F117" i="2"/>
  <c r="F129" i="2"/>
  <c r="F128" i="2"/>
  <c r="F127" i="2"/>
  <c r="F141" i="2"/>
  <c r="F138" i="2"/>
  <c r="F139" i="2"/>
  <c r="F140" i="2"/>
  <c r="F191" i="2"/>
  <c r="F192" i="2"/>
  <c r="F197" i="2"/>
  <c r="F196" i="2"/>
  <c r="F198" i="2"/>
  <c r="F236" i="2"/>
  <c r="F235" i="2"/>
  <c r="F260" i="2"/>
  <c r="F258" i="2"/>
  <c r="F257" i="2"/>
  <c r="F259" i="2"/>
  <c r="F268" i="2"/>
  <c r="F269" i="2"/>
  <c r="F286" i="2"/>
  <c r="F288" i="2"/>
  <c r="F290" i="2"/>
  <c r="F289" i="2"/>
  <c r="F287" i="2"/>
  <c r="F307" i="2"/>
  <c r="F306" i="2"/>
  <c r="F315" i="2"/>
  <c r="F312" i="2"/>
  <c r="F314" i="2"/>
  <c r="F313" i="2"/>
  <c r="F340" i="2"/>
  <c r="F102" i="2"/>
  <c r="F101" i="2"/>
  <c r="F121" i="2"/>
  <c r="F122" i="2"/>
  <c r="F123" i="2"/>
  <c r="F130" i="2"/>
  <c r="F200" i="2"/>
  <c r="F201" i="2"/>
  <c r="F199" i="2"/>
  <c r="F241" i="2"/>
  <c r="F271" i="2"/>
  <c r="F270" i="2"/>
  <c r="F3" i="2"/>
  <c r="F17" i="2"/>
  <c r="F19" i="2"/>
  <c r="F20" i="2"/>
  <c r="F21" i="2"/>
  <c r="F18" i="2"/>
  <c r="F15" i="2"/>
  <c r="F23" i="2"/>
  <c r="F16" i="2"/>
  <c r="F22" i="2"/>
  <c r="F60" i="2"/>
  <c r="F58" i="2"/>
  <c r="F59" i="2"/>
  <c r="F61" i="2"/>
  <c r="F69" i="2"/>
  <c r="F68" i="2"/>
  <c r="F77" i="2"/>
  <c r="F78" i="2"/>
  <c r="F103" i="2"/>
  <c r="F109" i="2"/>
  <c r="F133" i="2"/>
  <c r="F134" i="2"/>
  <c r="F132" i="2"/>
  <c r="F146" i="2"/>
  <c r="F144" i="2"/>
  <c r="F145" i="2"/>
  <c r="F148" i="2"/>
  <c r="F147" i="2"/>
  <c r="F143" i="2"/>
  <c r="F142" i="2"/>
  <c r="F170" i="2"/>
  <c r="F172" i="2"/>
  <c r="F168" i="2"/>
  <c r="F169" i="2"/>
  <c r="F171" i="2"/>
  <c r="F167" i="2"/>
  <c r="F173" i="2"/>
  <c r="F194" i="2"/>
  <c r="F193" i="2"/>
  <c r="F205" i="2"/>
  <c r="F204" i="2"/>
  <c r="F202" i="2"/>
  <c r="F203" i="2"/>
  <c r="F207" i="2"/>
  <c r="F206" i="2"/>
  <c r="F237" i="2"/>
  <c r="F243" i="2"/>
  <c r="F242" i="2"/>
  <c r="F261" i="2"/>
  <c r="F272" i="2"/>
  <c r="F291" i="2"/>
  <c r="F319" i="2"/>
  <c r="F324" i="2"/>
  <c r="F322" i="2"/>
  <c r="F323" i="2"/>
  <c r="F320" i="2"/>
  <c r="F316" i="2"/>
  <c r="F317" i="2"/>
  <c r="F318" i="2"/>
  <c r="F321" i="2"/>
  <c r="F341" i="2"/>
  <c r="F27" i="2"/>
  <c r="F29" i="2"/>
  <c r="F24" i="2"/>
  <c r="F26" i="2"/>
  <c r="F25" i="2"/>
  <c r="F28" i="2"/>
  <c r="F131" i="2"/>
  <c r="F175" i="2"/>
  <c r="F174" i="2"/>
  <c r="F176" i="2"/>
  <c r="F211" i="2"/>
  <c r="F210" i="2"/>
  <c r="F208" i="2"/>
  <c r="F209" i="2"/>
  <c r="F244" i="2"/>
  <c r="F273" i="2"/>
  <c r="F327" i="2"/>
  <c r="F325" i="2"/>
  <c r="F326" i="2"/>
  <c r="F342" i="2"/>
  <c r="F30" i="2"/>
  <c r="F36" i="2"/>
  <c r="F39" i="2"/>
  <c r="F34" i="2"/>
  <c r="F35" i="2"/>
  <c r="F37" i="2"/>
  <c r="F40" i="2"/>
  <c r="F31" i="2"/>
  <c r="F33" i="2"/>
  <c r="F32" i="2"/>
  <c r="F38" i="2"/>
  <c r="F62" i="2"/>
  <c r="F80" i="2"/>
  <c r="F79" i="2"/>
  <c r="F113" i="2"/>
  <c r="F110" i="2"/>
  <c r="F111" i="2"/>
  <c r="F112" i="2"/>
  <c r="F125" i="2"/>
  <c r="F126" i="2"/>
  <c r="F124" i="2"/>
  <c r="F135" i="2"/>
  <c r="F152" i="2"/>
  <c r="F149" i="2"/>
  <c r="F151" i="2"/>
  <c r="F150" i="2"/>
  <c r="F195" i="2"/>
  <c r="F212" i="2"/>
  <c r="F213" i="2"/>
  <c r="F214" i="2"/>
  <c r="F215" i="2"/>
  <c r="F216" i="2"/>
  <c r="F250" i="2"/>
  <c r="F252" i="2"/>
  <c r="F247" i="2"/>
  <c r="F249" i="2"/>
  <c r="F254" i="2"/>
  <c r="F245" i="2"/>
  <c r="F246" i="2"/>
  <c r="F248" i="2"/>
  <c r="F251" i="2"/>
  <c r="F253" i="2"/>
  <c r="F263" i="2"/>
  <c r="F262" i="2"/>
  <c r="F276" i="2"/>
  <c r="F277" i="2"/>
  <c r="F274" i="2"/>
  <c r="F275" i="2"/>
  <c r="F295" i="2"/>
  <c r="F292" i="2"/>
  <c r="F293" i="2"/>
  <c r="F294" i="2"/>
  <c r="F296" i="2"/>
  <c r="F309" i="2"/>
  <c r="F308" i="2"/>
  <c r="F344" i="2"/>
  <c r="F343" i="2"/>
  <c r="F345" i="2"/>
  <c r="F42" i="2"/>
  <c r="C12" i="4" s="1" a="1"/>
  <c r="C12" i="4" s="1"/>
  <c r="F43" i="2"/>
  <c r="F44" i="2"/>
  <c r="F41" i="2"/>
  <c r="F45" i="2"/>
  <c r="F63" i="2"/>
  <c r="F104" i="2"/>
  <c r="F114" i="2"/>
  <c r="F218" i="2"/>
  <c r="F217" i="2"/>
  <c r="F219" i="2"/>
  <c r="F255" i="2"/>
  <c r="F330" i="2"/>
  <c r="F331" i="2"/>
  <c r="F329" i="2"/>
  <c r="F332" i="2"/>
  <c r="F328" i="2"/>
  <c r="F50" i="2"/>
  <c r="F49" i="2"/>
  <c r="F51" i="2"/>
  <c r="F54" i="2"/>
  <c r="F47" i="2"/>
  <c r="F53" i="2"/>
  <c r="F52" i="2"/>
  <c r="F48" i="2"/>
  <c r="F46" i="2"/>
  <c r="F64" i="2"/>
  <c r="F65" i="2"/>
  <c r="F70" i="2"/>
  <c r="F71" i="2"/>
  <c r="F72" i="2"/>
  <c r="F73" i="2"/>
  <c r="F86" i="2"/>
  <c r="F82" i="2"/>
  <c r="F81" i="2"/>
  <c r="F84" i="2"/>
  <c r="F83" i="2"/>
  <c r="F85" i="2"/>
  <c r="F87" i="2"/>
  <c r="F94" i="2"/>
  <c r="F105" i="2"/>
  <c r="F106" i="2"/>
  <c r="F116" i="2"/>
  <c r="F115" i="2"/>
  <c r="F136" i="2"/>
  <c r="F137" i="2"/>
  <c r="F158" i="2"/>
  <c r="F157" i="2"/>
  <c r="F159" i="2"/>
  <c r="F163" i="2"/>
  <c r="F154" i="2"/>
  <c r="F162" i="2"/>
  <c r="F160" i="2"/>
  <c r="F155" i="2"/>
  <c r="F161" i="2"/>
  <c r="F153" i="2"/>
  <c r="F156" i="2"/>
  <c r="F182" i="2"/>
  <c r="F184" i="2"/>
  <c r="F187" i="2"/>
  <c r="F185" i="2"/>
  <c r="F186" i="2"/>
  <c r="F180" i="2"/>
  <c r="F183" i="2"/>
  <c r="F188" i="2"/>
  <c r="F178" i="2"/>
  <c r="F177" i="2"/>
  <c r="F179" i="2"/>
  <c r="F181" i="2"/>
  <c r="F229" i="2"/>
  <c r="F225" i="2"/>
  <c r="F230" i="2"/>
  <c r="F221" i="2"/>
  <c r="F223" i="2"/>
  <c r="F222" i="2"/>
  <c r="F224" i="2"/>
  <c r="F228" i="2"/>
  <c r="F220" i="2"/>
  <c r="F227" i="2"/>
  <c r="F226" i="2"/>
  <c r="F238" i="2"/>
  <c r="F240" i="2"/>
  <c r="F239" i="2"/>
  <c r="F256" i="2"/>
  <c r="F266" i="2"/>
  <c r="F265" i="2"/>
  <c r="F267" i="2"/>
  <c r="F264" i="2"/>
  <c r="F281" i="2"/>
  <c r="F280" i="2"/>
  <c r="F279" i="2"/>
  <c r="F282" i="2"/>
  <c r="F284" i="2"/>
  <c r="F283" i="2"/>
  <c r="F278" i="2"/>
  <c r="F297" i="2"/>
  <c r="F303" i="2"/>
  <c r="F304" i="2"/>
  <c r="F299" i="2"/>
  <c r="F301" i="2"/>
  <c r="F302" i="2"/>
  <c r="F298" i="2"/>
  <c r="F300" i="2"/>
  <c r="F310" i="2"/>
  <c r="F311" i="2"/>
  <c r="F336" i="2"/>
  <c r="F335" i="2"/>
  <c r="F334" i="2"/>
  <c r="F333" i="2"/>
  <c r="F347" i="2"/>
  <c r="F346" i="2"/>
  <c r="F4" i="2"/>
  <c r="F55" i="2"/>
  <c r="F74" i="2"/>
  <c r="F90" i="2"/>
  <c r="F89" i="2"/>
  <c r="F91" i="2"/>
  <c r="F88" i="2"/>
  <c r="F164" i="2"/>
  <c r="F166" i="2"/>
  <c r="F165" i="2"/>
  <c r="F190" i="2"/>
  <c r="F189" i="2"/>
  <c r="F231" i="2"/>
  <c r="F234" i="2"/>
  <c r="F232" i="2"/>
  <c r="F233" i="2"/>
  <c r="F285" i="2"/>
  <c r="F305" i="2"/>
  <c r="F338" i="2"/>
  <c r="F339" i="2"/>
  <c r="F337" i="2"/>
  <c r="F348" i="2"/>
  <c r="F349" i="2"/>
  <c r="C14" i="4" l="1" a="1"/>
  <c r="C14" i="4" s="1"/>
  <c r="C3" i="4" a="1"/>
  <c r="C3" i="4" s="1"/>
  <c r="C24" i="4" a="1"/>
  <c r="C24" i="4" s="1"/>
  <c r="D24" i="4" a="1"/>
  <c r="D24" i="4" s="1"/>
  <c r="E10" i="4" a="1"/>
  <c r="E10" i="4" s="1"/>
  <c r="C45" i="4" a="1"/>
  <c r="C45" i="4" s="1"/>
  <c r="G6" i="4" a="1"/>
  <c r="G6" i="4" s="1"/>
  <c r="F45" i="4" a="1"/>
  <c r="F45" i="4" s="1"/>
  <c r="F32" i="4" a="1"/>
  <c r="F32" i="4" s="1"/>
  <c r="F19" i="4" a="1"/>
  <c r="F19" i="4" s="1"/>
  <c r="G42" i="4" a="1"/>
  <c r="G42" i="4" s="1"/>
  <c r="G29" i="4" a="1"/>
  <c r="G29" i="4" s="1"/>
  <c r="G17" i="4" a="1"/>
  <c r="G17" i="4" s="1"/>
  <c r="H38" i="4" a="1"/>
  <c r="H38" i="4" s="1"/>
  <c r="H3" i="4" a="1"/>
  <c r="H3" i="4" s="1"/>
  <c r="D33" i="4" a="1"/>
  <c r="D33" i="4" s="1"/>
  <c r="G31" i="4" a="1"/>
  <c r="G31" i="4" s="1"/>
  <c r="H40" i="4" a="1"/>
  <c r="H40" i="4" s="1"/>
  <c r="D43" i="4" a="1"/>
  <c r="D43" i="4" s="1"/>
  <c r="E20" i="4" a="1"/>
  <c r="E20" i="4" s="1"/>
  <c r="C9" i="4" a="1"/>
  <c r="C9" i="4" s="1"/>
  <c r="D41" i="4" a="1"/>
  <c r="D41" i="4" s="1"/>
  <c r="D31" i="4" a="1"/>
  <c r="D31" i="4" s="1"/>
  <c r="D18" i="4" a="1"/>
  <c r="D18" i="4" s="1"/>
  <c r="E43" i="4" a="1"/>
  <c r="E43" i="4" s="1"/>
  <c r="E19" i="4" a="1"/>
  <c r="E19" i="4" s="1"/>
  <c r="F44" i="4" a="1"/>
  <c r="F44" i="4" s="1"/>
  <c r="F31" i="4" a="1"/>
  <c r="F31" i="4" s="1"/>
  <c r="F18" i="4" a="1"/>
  <c r="F18" i="4" s="1"/>
  <c r="F8" i="4" a="1"/>
  <c r="F8" i="4" s="1"/>
  <c r="G41" i="4" a="1"/>
  <c r="G41" i="4" s="1"/>
  <c r="G16" i="4" a="1"/>
  <c r="G16" i="4" s="1"/>
  <c r="G5" i="4" a="1"/>
  <c r="G5" i="4" s="1"/>
  <c r="H25" i="4" a="1"/>
  <c r="H25" i="4" s="1"/>
  <c r="H14" i="4" a="1"/>
  <c r="H14" i="4" s="1"/>
  <c r="H2" i="4" a="1"/>
  <c r="H2" i="4" s="1"/>
  <c r="C22" i="4" a="1"/>
  <c r="C22" i="4" s="1"/>
  <c r="F10" i="4" a="1"/>
  <c r="F10" i="4" s="1"/>
  <c r="C46" i="4" a="1"/>
  <c r="C46" i="4" s="1"/>
  <c r="I46" i="4" s="1"/>
  <c r="E32" i="4" a="1"/>
  <c r="E32" i="4" s="1"/>
  <c r="G18" i="4" a="1"/>
  <c r="G18" i="4" s="1"/>
  <c r="D20" i="4" a="1"/>
  <c r="D20" i="4" s="1"/>
  <c r="H26" i="4" a="1"/>
  <c r="H26" i="4" s="1"/>
  <c r="D19" i="4" a="1"/>
  <c r="D19" i="4" s="1"/>
  <c r="E9" i="4" a="1"/>
  <c r="E9" i="4" s="1"/>
  <c r="C43" i="4" a="1"/>
  <c r="C43" i="4" s="1"/>
  <c r="C30" i="4" a="1"/>
  <c r="C30" i="4" s="1"/>
  <c r="C20" i="4" a="1"/>
  <c r="C20" i="4" s="1"/>
  <c r="C42" i="4" a="1"/>
  <c r="C42" i="4" s="1"/>
  <c r="C19" i="4" a="1"/>
  <c r="C19" i="4" s="1"/>
  <c r="C8" i="4" a="1"/>
  <c r="C8" i="4" s="1"/>
  <c r="D40" i="4" a="1"/>
  <c r="D40" i="4" s="1"/>
  <c r="D30" i="4" a="1"/>
  <c r="D30" i="4" s="1"/>
  <c r="D8" i="4" a="1"/>
  <c r="D8" i="4" s="1"/>
  <c r="E42" i="4" a="1"/>
  <c r="E42" i="4" s="1"/>
  <c r="E29" i="4" a="1"/>
  <c r="E29" i="4" s="1"/>
  <c r="E18" i="4" a="1"/>
  <c r="E18" i="4" s="1"/>
  <c r="E8" i="4" a="1"/>
  <c r="E8" i="4" s="1"/>
  <c r="F43" i="4" a="1"/>
  <c r="F43" i="4" s="1"/>
  <c r="F30" i="4" a="1"/>
  <c r="F30" i="4" s="1"/>
  <c r="G40" i="4" a="1"/>
  <c r="G40" i="4" s="1"/>
  <c r="G28" i="4" a="1"/>
  <c r="G28" i="4" s="1"/>
  <c r="G15" i="4" a="1"/>
  <c r="G15" i="4" s="1"/>
  <c r="H37" i="4" a="1"/>
  <c r="H37" i="4" s="1"/>
  <c r="H24" i="4" a="1"/>
  <c r="H24" i="4" s="1"/>
  <c r="H13" i="4" a="1"/>
  <c r="H13" i="4" s="1"/>
  <c r="G45" i="4" a="1"/>
  <c r="G45" i="4" s="1"/>
  <c r="D44" i="4" a="1"/>
  <c r="D44" i="4" s="1"/>
  <c r="H16" i="4" a="1"/>
  <c r="H16" i="4" s="1"/>
  <c r="F9" i="4" a="1"/>
  <c r="F9" i="4" s="1"/>
  <c r="G19" i="4" a="1"/>
  <c r="G19" i="4" s="1"/>
  <c r="F24" i="4" a="1"/>
  <c r="F24" i="4" s="1"/>
  <c r="E45" i="4" a="1"/>
  <c r="E45" i="4" s="1"/>
  <c r="F21" i="4" a="1"/>
  <c r="F21" i="4" s="1"/>
  <c r="C10" i="4" a="1"/>
  <c r="C10" i="4" s="1"/>
  <c r="H39" i="4" a="1"/>
  <c r="H39" i="4" s="1"/>
  <c r="D9" i="4" a="1"/>
  <c r="D9" i="4" s="1"/>
  <c r="D17" i="4" a="1"/>
  <c r="D17" i="4" s="1"/>
  <c r="G4" i="4" a="1"/>
  <c r="G4" i="4" s="1"/>
  <c r="D28" i="4" a="1"/>
  <c r="D28" i="4" s="1"/>
  <c r="F41" i="4" a="1"/>
  <c r="F41" i="4" s="1"/>
  <c r="G3" i="4" a="1"/>
  <c r="G3" i="4" s="1"/>
  <c r="C39" i="4" a="1"/>
  <c r="C39" i="4" s="1"/>
  <c r="I39" i="4" s="1"/>
  <c r="C6" i="4" a="1"/>
  <c r="C6" i="4" s="1"/>
  <c r="E40" i="4" a="1"/>
  <c r="E40" i="4" s="1"/>
  <c r="E6" i="4" a="1"/>
  <c r="E6" i="4" s="1"/>
  <c r="F40" i="4" a="1"/>
  <c r="F40" i="4" s="1"/>
  <c r="F28" i="4" a="1"/>
  <c r="F28" i="4" s="1"/>
  <c r="F16" i="4" a="1"/>
  <c r="F16" i="4" s="1"/>
  <c r="F6" i="4" a="1"/>
  <c r="F6" i="4" s="1"/>
  <c r="G2" i="4" a="1"/>
  <c r="G2" i="4" s="1"/>
  <c r="H34" i="4" a="1"/>
  <c r="H34" i="4" s="1"/>
  <c r="H22" i="4" a="1"/>
  <c r="H22" i="4" s="1"/>
  <c r="H11" i="4" a="1"/>
  <c r="H11" i="4" s="1"/>
  <c r="F3" i="4" a="1"/>
  <c r="F3" i="4" s="1"/>
  <c r="C11" i="4" a="1"/>
  <c r="C11" i="4" s="1"/>
  <c r="F33" i="4" a="1"/>
  <c r="F33" i="4" s="1"/>
  <c r="H27" i="4" a="1"/>
  <c r="H27" i="4" s="1"/>
  <c r="C32" i="4" a="1"/>
  <c r="C32" i="4" s="1"/>
  <c r="D32" i="4" a="1"/>
  <c r="D32" i="4" s="1"/>
  <c r="F20" i="4" a="1"/>
  <c r="F20" i="4" s="1"/>
  <c r="H4" i="4" a="1"/>
  <c r="H4" i="4" s="1"/>
  <c r="C44" i="4" a="1"/>
  <c r="C44" i="4" s="1"/>
  <c r="I44" i="4" s="1"/>
  <c r="D42" i="4" a="1"/>
  <c r="D42" i="4" s="1"/>
  <c r="E30" i="4" a="1"/>
  <c r="E30" i="4" s="1"/>
  <c r="C41" i="4" a="1"/>
  <c r="C41" i="4" s="1"/>
  <c r="C7" i="4" a="1"/>
  <c r="C7" i="4" s="1"/>
  <c r="E41" i="4" a="1"/>
  <c r="E41" i="4" s="1"/>
  <c r="F42" i="4" a="1"/>
  <c r="F42" i="4" s="1"/>
  <c r="F7" i="4" a="1"/>
  <c r="F7" i="4" s="1"/>
  <c r="G27" i="4" a="1"/>
  <c r="G27" i="4" s="1"/>
  <c r="H36" i="4" a="1"/>
  <c r="H36" i="4" s="1"/>
  <c r="D39" i="4" a="1"/>
  <c r="D39" i="4" s="1"/>
  <c r="E28" i="4" a="1"/>
  <c r="E28" i="4" s="1"/>
  <c r="F29" i="4" a="1"/>
  <c r="F29" i="4" s="1"/>
  <c r="G26" i="4" a="1"/>
  <c r="G26" i="4" s="1"/>
  <c r="H35" i="4" a="1"/>
  <c r="H35" i="4" s="1"/>
  <c r="C28" i="4" a="1"/>
  <c r="C28" i="4" s="1"/>
  <c r="C17" i="4" a="1"/>
  <c r="C17" i="4" s="1"/>
  <c r="I17" i="4" s="1"/>
  <c r="D27" i="4" a="1"/>
  <c r="D27" i="4" s="1"/>
  <c r="D16" i="4" a="1"/>
  <c r="D16" i="4" s="1"/>
  <c r="E27" i="4" a="1"/>
  <c r="E27" i="4" s="1"/>
  <c r="C27" i="4" a="1"/>
  <c r="C27" i="4" s="1"/>
  <c r="C16" i="4" a="1"/>
  <c r="C16" i="4" s="1"/>
  <c r="C5" i="4" a="1"/>
  <c r="C5" i="4" s="1"/>
  <c r="D38" i="4" a="1"/>
  <c r="D38" i="4" s="1"/>
  <c r="D26" i="4" a="1"/>
  <c r="D26" i="4" s="1"/>
  <c r="D6" i="4" a="1"/>
  <c r="D6" i="4" s="1"/>
  <c r="E39" i="4" a="1"/>
  <c r="E39" i="4" s="1"/>
  <c r="E26" i="4" a="1"/>
  <c r="E26" i="4" s="1"/>
  <c r="E16" i="4" a="1"/>
  <c r="E16" i="4" s="1"/>
  <c r="F39" i="4" a="1"/>
  <c r="F39" i="4" s="1"/>
  <c r="F27" i="4" a="1"/>
  <c r="F27" i="4" s="1"/>
  <c r="G37" i="4" a="1"/>
  <c r="G37" i="4" s="1"/>
  <c r="G25" i="4" a="1"/>
  <c r="G25" i="4" s="1"/>
  <c r="G13" i="4" a="1"/>
  <c r="G13" i="4" s="1"/>
  <c r="H47" i="4" a="1"/>
  <c r="H47" i="4" s="1"/>
  <c r="H33" i="4" a="1"/>
  <c r="H33" i="4" s="1"/>
  <c r="H10" i="4" a="1"/>
  <c r="H10" i="4" s="1"/>
  <c r="H17" i="4" a="1"/>
  <c r="H17" i="4" s="1"/>
  <c r="D21" i="4" a="1"/>
  <c r="D21" i="4" s="1"/>
  <c r="F46" i="4" a="1"/>
  <c r="F46" i="4" s="1"/>
  <c r="G30" i="4" a="1"/>
  <c r="G30" i="4" s="1"/>
  <c r="C21" i="4" a="1"/>
  <c r="C21" i="4" s="1"/>
  <c r="E31" i="4" a="1"/>
  <c r="E31" i="4" s="1"/>
  <c r="G43" i="4" a="1"/>
  <c r="G43" i="4" s="1"/>
  <c r="H15" i="4" a="1"/>
  <c r="H15" i="4" s="1"/>
  <c r="C31" i="4" a="1"/>
  <c r="C31" i="4" s="1"/>
  <c r="E44" i="4" a="1"/>
  <c r="E44" i="4" s="1"/>
  <c r="C29" i="4" a="1"/>
  <c r="C29" i="4" s="1"/>
  <c r="C18" i="4" a="1"/>
  <c r="C18" i="4" s="1"/>
  <c r="D29" i="4" a="1"/>
  <c r="D29" i="4" s="1"/>
  <c r="E7" i="4" a="1"/>
  <c r="E7" i="4" s="1"/>
  <c r="F17" i="4" a="1"/>
  <c r="F17" i="4" s="1"/>
  <c r="G39" i="4" a="1"/>
  <c r="G39" i="4" s="1"/>
  <c r="H23" i="4" a="1"/>
  <c r="H23" i="4" s="1"/>
  <c r="C40" i="4" a="1"/>
  <c r="C40" i="4" s="1"/>
  <c r="D7" i="4" a="1"/>
  <c r="D7" i="4" s="1"/>
  <c r="E17" i="4" a="1"/>
  <c r="E17" i="4" s="1"/>
  <c r="G38" i="4" a="1"/>
  <c r="G38" i="4" s="1"/>
  <c r="G14" i="4" a="1"/>
  <c r="G14" i="4" s="1"/>
  <c r="H12" i="4" a="1"/>
  <c r="H12" i="4" s="1"/>
  <c r="C38" i="4" a="1"/>
  <c r="C38" i="4" s="1"/>
  <c r="C26" i="4" a="1"/>
  <c r="C26" i="4" s="1"/>
  <c r="I26" i="4" s="1"/>
  <c r="C15" i="4" a="1"/>
  <c r="C15" i="4" s="1"/>
  <c r="D25" i="4" a="1"/>
  <c r="D25" i="4" s="1"/>
  <c r="I25" i="4" s="1"/>
  <c r="D15" i="4" a="1"/>
  <c r="D15" i="4" s="1"/>
  <c r="E38" i="4" a="1"/>
  <c r="E38" i="4" s="1"/>
  <c r="E25" i="4" a="1"/>
  <c r="E25" i="4" s="1"/>
  <c r="E15" i="4" a="1"/>
  <c r="E15" i="4" s="1"/>
  <c r="E5" i="4" a="1"/>
  <c r="E5" i="4" s="1"/>
  <c r="F26" i="4" a="1"/>
  <c r="F26" i="4" s="1"/>
  <c r="F15" i="4" a="1"/>
  <c r="F15" i="4" s="1"/>
  <c r="F5" i="4" a="1"/>
  <c r="F5" i="4" s="1"/>
  <c r="G24" i="4" a="1"/>
  <c r="G24" i="4" s="1"/>
  <c r="G12" i="4" a="1"/>
  <c r="G12" i="4" s="1"/>
  <c r="H46" i="4" a="1"/>
  <c r="H46" i="4" s="1"/>
  <c r="H32" i="4" a="1"/>
  <c r="H32" i="4" s="1"/>
  <c r="H21" i="4" a="1"/>
  <c r="H21" i="4" s="1"/>
  <c r="G35" i="4" a="1"/>
  <c r="G35" i="4" s="1"/>
  <c r="E46" i="4" a="1"/>
  <c r="E46" i="4" s="1"/>
  <c r="H28" i="4" a="1"/>
  <c r="H28" i="4" s="1"/>
  <c r="C33" i="4" a="1"/>
  <c r="C33" i="4" s="1"/>
  <c r="I33" i="4" s="1"/>
  <c r="D10" i="4" a="1"/>
  <c r="D10" i="4" s="1"/>
  <c r="E21" i="4" a="1"/>
  <c r="E21" i="4" s="1"/>
  <c r="G44" i="4" a="1"/>
  <c r="G44" i="4" s="1"/>
  <c r="C37" i="4" a="1"/>
  <c r="C37" i="4" s="1"/>
  <c r="C4" i="4" a="1"/>
  <c r="C4" i="4" s="1"/>
  <c r="D37" i="4" a="1"/>
  <c r="D37" i="4" s="1"/>
  <c r="D5" i="4" a="1"/>
  <c r="D5" i="4" s="1"/>
  <c r="E37" i="4" a="1"/>
  <c r="E37" i="4" s="1"/>
  <c r="F38" i="4" a="1"/>
  <c r="F38" i="4" s="1"/>
  <c r="F25" i="4" a="1"/>
  <c r="F25" i="4" s="1"/>
  <c r="F14" i="4" a="1"/>
  <c r="F14" i="4" s="1"/>
  <c r="F4" i="4" a="1"/>
  <c r="F4" i="4" s="1"/>
  <c r="G36" i="4" a="1"/>
  <c r="G36" i="4" s="1"/>
  <c r="G23" i="4" a="1"/>
  <c r="G23" i="4" s="1"/>
  <c r="G11" i="4" a="1"/>
  <c r="G11" i="4" s="1"/>
  <c r="H45" i="4" a="1"/>
  <c r="H45" i="4" s="1"/>
  <c r="H31" i="4" a="1"/>
  <c r="H31" i="4" s="1"/>
  <c r="H9" i="4" a="1"/>
  <c r="H9" i="4" s="1"/>
  <c r="H8" i="4" a="1"/>
  <c r="H8" i="4" s="1"/>
  <c r="E14" i="4" a="1"/>
  <c r="E14" i="4" s="1"/>
  <c r="I14" i="4" s="1"/>
  <c r="G22" i="4" a="1"/>
  <c r="G22" i="4" s="1"/>
  <c r="D35" i="4" a="1"/>
  <c r="D35" i="4" s="1"/>
  <c r="G10" i="4" a="1"/>
  <c r="G10" i="4" s="1"/>
  <c r="C2" i="4" a="1"/>
  <c r="C2" i="4" s="1"/>
  <c r="H30" i="4" a="1"/>
  <c r="H30" i="4" s="1"/>
  <c r="C36" i="4" a="1"/>
  <c r="C36" i="4" s="1"/>
  <c r="D23" i="4" a="1"/>
  <c r="D23" i="4" s="1"/>
  <c r="E35" i="4" a="1"/>
  <c r="E35" i="4" s="1"/>
  <c r="E23" i="4" a="1"/>
  <c r="E23" i="4" s="1"/>
  <c r="E13" i="4" a="1"/>
  <c r="E13" i="4" s="1"/>
  <c r="E3" i="4" a="1"/>
  <c r="E3" i="4" s="1"/>
  <c r="I3" i="4" s="1"/>
  <c r="F36" i="4" a="1"/>
  <c r="F36" i="4" s="1"/>
  <c r="F23" i="4" a="1"/>
  <c r="F23" i="4" s="1"/>
  <c r="F13" i="4" a="1"/>
  <c r="F13" i="4" s="1"/>
  <c r="F2" i="4" a="1"/>
  <c r="F2" i="4" s="1"/>
  <c r="G34" i="4" a="1"/>
  <c r="G34" i="4" s="1"/>
  <c r="G21" i="4" a="1"/>
  <c r="G21" i="4" s="1"/>
  <c r="H44" i="4" a="1"/>
  <c r="H44" i="4" s="1"/>
  <c r="H19" i="4" a="1"/>
  <c r="H19" i="4" s="1"/>
  <c r="H7" i="4" a="1"/>
  <c r="H7" i="4" s="1"/>
  <c r="C35" i="4" a="1"/>
  <c r="C35" i="4" s="1"/>
  <c r="C23" i="4" a="1"/>
  <c r="C23" i="4" s="1"/>
  <c r="C13" i="4" a="1"/>
  <c r="C13" i="4" s="1"/>
  <c r="D47" i="4" a="1"/>
  <c r="D47" i="4" s="1"/>
  <c r="D34" i="4" a="1"/>
  <c r="D34" i="4" s="1"/>
  <c r="I34" i="4" s="1"/>
  <c r="D13" i="4" a="1"/>
  <c r="D13" i="4" s="1"/>
  <c r="E34" i="4" a="1"/>
  <c r="E34" i="4" s="1"/>
  <c r="E2" i="4" a="1"/>
  <c r="E2" i="4" s="1"/>
  <c r="F35" i="4" a="1"/>
  <c r="F35" i="4" s="1"/>
  <c r="F12" i="4" a="1"/>
  <c r="F12" i="4" s="1"/>
  <c r="G47" i="4" a="1"/>
  <c r="G47" i="4" s="1"/>
  <c r="G33" i="4" a="1"/>
  <c r="G33" i="4" s="1"/>
  <c r="G9" i="4" a="1"/>
  <c r="G9" i="4" s="1"/>
  <c r="H43" i="4" a="1"/>
  <c r="H43" i="4" s="1"/>
  <c r="H29" i="4" a="1"/>
  <c r="H29" i="4" s="1"/>
  <c r="H18" i="4" a="1"/>
  <c r="H18" i="4" s="1"/>
  <c r="H6" i="4" a="1"/>
  <c r="H6" i="4" s="1"/>
  <c r="C47" i="4" a="1"/>
  <c r="C47" i="4" s="1"/>
  <c r="D46" i="4" a="1"/>
  <c r="D46" i="4" s="1"/>
  <c r="D22" i="4" a="1"/>
  <c r="D22" i="4" s="1"/>
  <c r="E47" i="4" a="1"/>
  <c r="E47" i="4" s="1"/>
  <c r="E33" i="4" a="1"/>
  <c r="E33" i="4" s="1"/>
  <c r="E22" i="4" a="1"/>
  <c r="E22" i="4" s="1"/>
  <c r="E12" i="4" a="1"/>
  <c r="E12" i="4" s="1"/>
  <c r="I12" i="4" s="1"/>
  <c r="F47" i="4" a="1"/>
  <c r="F47" i="4" s="1"/>
  <c r="F34" i="4" a="1"/>
  <c r="F34" i="4" s="1"/>
  <c r="F22" i="4" a="1"/>
  <c r="F22" i="4" s="1"/>
  <c r="G46" i="4" a="1"/>
  <c r="G46" i="4" s="1"/>
  <c r="G32" i="4" a="1"/>
  <c r="G32" i="4" s="1"/>
  <c r="G20" i="4" a="1"/>
  <c r="G20" i="4" s="1"/>
  <c r="G8" i="4" a="1"/>
  <c r="G8" i="4" s="1"/>
  <c r="H42" i="4" a="1"/>
  <c r="H42" i="4" s="1"/>
  <c r="E11" i="4" a="1"/>
  <c r="E11" i="4" s="1"/>
  <c r="H5" i="4" a="1"/>
  <c r="H5" i="4" s="1"/>
  <c r="R147" i="2"/>
  <c r="R318" i="2"/>
  <c r="R143" i="2"/>
  <c r="Q164" i="2"/>
  <c r="Q81" i="2"/>
  <c r="Q287" i="2"/>
  <c r="Q321" i="2"/>
  <c r="Q212" i="2"/>
  <c r="Q197" i="2"/>
  <c r="R180" i="2"/>
  <c r="R341" i="2"/>
  <c r="Q261" i="2"/>
  <c r="Q186" i="2"/>
  <c r="Q83" i="2"/>
  <c r="R208" i="2"/>
  <c r="Q82" i="2"/>
  <c r="Q272" i="2"/>
  <c r="R288" i="2"/>
  <c r="Q225" i="2"/>
  <c r="Q338" i="2"/>
  <c r="R100" i="2"/>
  <c r="Q240" i="2"/>
  <c r="Q144" i="2"/>
  <c r="Q96" i="2"/>
  <c r="R305" i="2"/>
  <c r="Q290" i="2"/>
  <c r="R128" i="2"/>
  <c r="Q232" i="2"/>
  <c r="Q160" i="2"/>
  <c r="Q242" i="2"/>
  <c r="Q316" i="2"/>
  <c r="R222" i="2"/>
  <c r="R148" i="2"/>
  <c r="R97" i="2"/>
  <c r="Q344" i="2"/>
  <c r="Q286" i="2"/>
  <c r="Q285" i="2"/>
  <c r="R332" i="2"/>
  <c r="Q283" i="2"/>
  <c r="Q88" i="2"/>
  <c r="Q331" i="2"/>
  <c r="R178" i="2"/>
  <c r="Q137" i="2"/>
  <c r="Q104" i="2"/>
  <c r="R230" i="2"/>
  <c r="R164" i="2"/>
  <c r="Q328" i="2"/>
  <c r="Q248" i="2"/>
  <c r="Q229" i="2"/>
  <c r="Q236" i="2"/>
  <c r="Q204" i="2"/>
  <c r="R106" i="2"/>
  <c r="Q345" i="2"/>
  <c r="R254" i="2"/>
  <c r="R262" i="2"/>
  <c r="Q71" i="2"/>
  <c r="R251" i="2"/>
  <c r="R120" i="2"/>
  <c r="R87" i="2"/>
  <c r="Q215" i="2"/>
  <c r="Q198" i="2"/>
  <c r="R85" i="2"/>
  <c r="R119" i="2"/>
  <c r="Q147" i="2"/>
  <c r="Q276" i="2"/>
  <c r="R231" i="2"/>
  <c r="R135" i="2"/>
  <c r="Q274" i="2"/>
  <c r="Q326" i="2"/>
  <c r="Q68" i="2"/>
  <c r="R234" i="2"/>
  <c r="R284" i="2"/>
  <c r="R228" i="2"/>
  <c r="R136" i="2"/>
  <c r="R70" i="2"/>
  <c r="R330" i="2"/>
  <c r="R246" i="2"/>
  <c r="R40" i="2"/>
  <c r="R205" i="2"/>
  <c r="R141" i="2"/>
  <c r="R282" i="2"/>
  <c r="Q91" i="2"/>
  <c r="Q252" i="2"/>
  <c r="R257" i="2"/>
  <c r="Q89" i="2"/>
  <c r="R168" i="2"/>
  <c r="Q24" i="2"/>
  <c r="R264" i="2"/>
  <c r="Q337" i="2"/>
  <c r="R169" i="2"/>
  <c r="R261" i="2"/>
  <c r="R267" i="2"/>
  <c r="R250" i="2"/>
  <c r="R265" i="2"/>
  <c r="Q190" i="2"/>
  <c r="Q348" i="2"/>
  <c r="R176" i="2"/>
  <c r="R225" i="2"/>
  <c r="Q178" i="2"/>
  <c r="Q262" i="2"/>
  <c r="R59" i="2"/>
  <c r="Q99" i="2"/>
  <c r="Q106" i="2"/>
  <c r="Q175" i="2"/>
  <c r="Q302" i="2"/>
  <c r="R211" i="2"/>
  <c r="Q301" i="2"/>
  <c r="Q179" i="2"/>
  <c r="Q84" i="2"/>
  <c r="R127" i="2"/>
  <c r="R235" i="2"/>
  <c r="R88" i="2"/>
  <c r="R110" i="2"/>
  <c r="R236" i="2"/>
  <c r="S236" i="2" s="1"/>
  <c r="R240" i="2"/>
  <c r="R82" i="2"/>
  <c r="R62" i="2"/>
  <c r="Q199" i="2"/>
  <c r="Q239" i="2"/>
  <c r="Q177" i="2"/>
  <c r="Q80" i="2"/>
  <c r="Q27" i="2"/>
  <c r="R233" i="2"/>
  <c r="R278" i="2"/>
  <c r="R158" i="2"/>
  <c r="R72" i="2"/>
  <c r="R33" i="2"/>
  <c r="R202" i="2"/>
  <c r="R22" i="2"/>
  <c r="R50" i="2"/>
  <c r="R229" i="2"/>
  <c r="R245" i="2"/>
  <c r="R328" i="2"/>
  <c r="Q126" i="2"/>
  <c r="R157" i="2"/>
  <c r="R224" i="2"/>
  <c r="Q45" i="2"/>
  <c r="R43" i="2"/>
  <c r="Q73" i="2"/>
  <c r="R93" i="2"/>
  <c r="Q341" i="2"/>
  <c r="Q315" i="2"/>
  <c r="R338" i="2"/>
  <c r="R185" i="2"/>
  <c r="Q280" i="2"/>
  <c r="Q294" i="2"/>
  <c r="Q266" i="2"/>
  <c r="Q54" i="2"/>
  <c r="Q113" i="2"/>
  <c r="R320" i="2"/>
  <c r="R269" i="2"/>
  <c r="Q230" i="2"/>
  <c r="R268" i="2"/>
  <c r="R104" i="2"/>
  <c r="R272" i="2"/>
  <c r="R155" i="2"/>
  <c r="Q74" i="2"/>
  <c r="Q50" i="2"/>
  <c r="Q143" i="2"/>
  <c r="Q297" i="2"/>
  <c r="Q332" i="2"/>
  <c r="Q200" i="2"/>
  <c r="Q100" i="2"/>
  <c r="R255" i="2"/>
  <c r="Q123" i="2"/>
  <c r="R308" i="2"/>
  <c r="Q336" i="2"/>
  <c r="Q217" i="2"/>
  <c r="Q173" i="2"/>
  <c r="Q181" i="2"/>
  <c r="Q172" i="2"/>
  <c r="Q270" i="2"/>
  <c r="Q107" i="2"/>
  <c r="Q256" i="2"/>
  <c r="Q162" i="2"/>
  <c r="Q90" i="2"/>
  <c r="Q44" i="2"/>
  <c r="R216" i="2"/>
  <c r="R304" i="2"/>
  <c r="R212" i="2"/>
  <c r="R287" i="2"/>
  <c r="Q183" i="2"/>
  <c r="Q318" i="2"/>
  <c r="R290" i="2"/>
  <c r="R187" i="2"/>
  <c r="R193" i="2"/>
  <c r="Q347" i="2"/>
  <c r="R146" i="2"/>
  <c r="R122" i="2"/>
  <c r="R92" i="2"/>
  <c r="Q222" i="2"/>
  <c r="Q254" i="2"/>
  <c r="Q124" i="2"/>
  <c r="Q194" i="2"/>
  <c r="Q101" i="2"/>
  <c r="Q128" i="2"/>
  <c r="R321" i="2"/>
  <c r="R32" i="2"/>
  <c r="Q60" i="2"/>
  <c r="Q62" i="2"/>
  <c r="Q32" i="2"/>
  <c r="R38" i="2"/>
  <c r="R53" i="2"/>
  <c r="R63" i="2"/>
  <c r="R57" i="2"/>
  <c r="Q16" i="2"/>
  <c r="Q18" i="2"/>
  <c r="R23" i="2"/>
  <c r="Q35" i="2"/>
  <c r="R15" i="2"/>
  <c r="R30" i="2"/>
  <c r="R25" i="2"/>
  <c r="R17" i="2"/>
  <c r="R26" i="2"/>
  <c r="Q7" i="2"/>
  <c r="R5" i="2"/>
  <c r="R9" i="2"/>
  <c r="Q12" i="2"/>
  <c r="R13" i="2"/>
  <c r="Q4" i="2"/>
  <c r="R3" i="2"/>
  <c r="Q63" i="2"/>
  <c r="Q31" i="2"/>
  <c r="R252" i="2"/>
  <c r="Q305" i="2"/>
  <c r="Q116" i="2"/>
  <c r="R116" i="2"/>
  <c r="Q38" i="2"/>
  <c r="Q64" i="2"/>
  <c r="R64" i="2"/>
  <c r="Q296" i="2"/>
  <c r="R296" i="2"/>
  <c r="Q165" i="2"/>
  <c r="R165" i="2"/>
  <c r="Q311" i="2"/>
  <c r="R311" i="2"/>
  <c r="Q281" i="2"/>
  <c r="R281" i="2"/>
  <c r="Q221" i="2"/>
  <c r="R221" i="2"/>
  <c r="Q156" i="2"/>
  <c r="R156" i="2"/>
  <c r="Q105" i="2"/>
  <c r="R105" i="2"/>
  <c r="Q48" i="2"/>
  <c r="R48" i="2"/>
  <c r="Q218" i="2"/>
  <c r="R218" i="2"/>
  <c r="Q293" i="2"/>
  <c r="R293" i="2"/>
  <c r="Q247" i="2"/>
  <c r="R247" i="2"/>
  <c r="Q125" i="2"/>
  <c r="R125" i="2"/>
  <c r="Q39" i="2"/>
  <c r="R39" i="2"/>
  <c r="Q131" i="2"/>
  <c r="R131" i="2"/>
  <c r="Q319" i="2"/>
  <c r="R319" i="2"/>
  <c r="Q167" i="2"/>
  <c r="R167" i="2"/>
  <c r="Q109" i="2"/>
  <c r="R109" i="2"/>
  <c r="Q20" i="2"/>
  <c r="R20" i="2"/>
  <c r="Q340" i="2"/>
  <c r="R340" i="2"/>
  <c r="Q258" i="2"/>
  <c r="R258" i="2"/>
  <c r="Q117" i="2"/>
  <c r="R117" i="2"/>
  <c r="Q67" i="2"/>
  <c r="R67" i="2"/>
  <c r="R55" i="2"/>
  <c r="Q55" i="2"/>
  <c r="Q303" i="2"/>
  <c r="R303" i="2"/>
  <c r="R238" i="2"/>
  <c r="Q238" i="2"/>
  <c r="Q188" i="2"/>
  <c r="R188" i="2"/>
  <c r="R159" i="2"/>
  <c r="Q159" i="2"/>
  <c r="Q86" i="2"/>
  <c r="R86" i="2"/>
  <c r="Q42" i="2"/>
  <c r="R42" i="2"/>
  <c r="R263" i="2"/>
  <c r="Q263" i="2"/>
  <c r="R195" i="2"/>
  <c r="Q195" i="2"/>
  <c r="R244" i="2"/>
  <c r="Q244" i="2"/>
  <c r="Q207" i="2"/>
  <c r="R207" i="2"/>
  <c r="R58" i="2"/>
  <c r="Q58" i="2"/>
  <c r="R201" i="2"/>
  <c r="Q201" i="2"/>
  <c r="Q289" i="2"/>
  <c r="R289" i="2"/>
  <c r="R191" i="2"/>
  <c r="Q191" i="2"/>
  <c r="Q98" i="2"/>
  <c r="R98" i="2"/>
  <c r="R6" i="2"/>
  <c r="Q6" i="2"/>
  <c r="Q264" i="2"/>
  <c r="Q335" i="2"/>
  <c r="R335" i="2"/>
  <c r="Q189" i="2"/>
  <c r="R189" i="2"/>
  <c r="Q279" i="2"/>
  <c r="R279" i="2"/>
  <c r="Q184" i="2"/>
  <c r="R184" i="2"/>
  <c r="Q219" i="2"/>
  <c r="R219" i="2"/>
  <c r="R166" i="2"/>
  <c r="Q166" i="2"/>
  <c r="Q310" i="2"/>
  <c r="R310" i="2"/>
  <c r="R153" i="2"/>
  <c r="Q153" i="2"/>
  <c r="Q94" i="2"/>
  <c r="R94" i="2"/>
  <c r="R52" i="2"/>
  <c r="Q52" i="2"/>
  <c r="Q114" i="2"/>
  <c r="R114" i="2"/>
  <c r="Q292" i="2"/>
  <c r="R292" i="2"/>
  <c r="Q112" i="2"/>
  <c r="R112" i="2"/>
  <c r="R36" i="2"/>
  <c r="Q36" i="2"/>
  <c r="Q28" i="2"/>
  <c r="R28" i="2"/>
  <c r="R291" i="2"/>
  <c r="Q291" i="2"/>
  <c r="R171" i="2"/>
  <c r="Q171" i="2"/>
  <c r="R103" i="2"/>
  <c r="Q103" i="2"/>
  <c r="R19" i="2"/>
  <c r="Q19" i="2"/>
  <c r="Q313" i="2"/>
  <c r="R313" i="2"/>
  <c r="R260" i="2"/>
  <c r="Q260" i="2"/>
  <c r="Q118" i="2"/>
  <c r="R118" i="2"/>
  <c r="R66" i="2"/>
  <c r="Q66" i="2"/>
  <c r="Q253" i="2"/>
  <c r="R253" i="2"/>
  <c r="R203" i="2"/>
  <c r="Q203" i="2"/>
  <c r="R65" i="2"/>
  <c r="R309" i="2"/>
  <c r="R37" i="2"/>
  <c r="R132" i="2"/>
  <c r="Q267" i="2"/>
  <c r="Q110" i="2"/>
  <c r="R280" i="2"/>
  <c r="Q322" i="2"/>
  <c r="R322" i="2"/>
  <c r="Q259" i="2"/>
  <c r="R259" i="2"/>
  <c r="Q75" i="2"/>
  <c r="R75" i="2"/>
  <c r="Q265" i="2"/>
  <c r="Q87" i="2"/>
  <c r="Q59" i="2"/>
  <c r="R175" i="2"/>
  <c r="Q174" i="2"/>
  <c r="R174" i="2"/>
  <c r="Q134" i="2"/>
  <c r="R134" i="2"/>
  <c r="Q223" i="2"/>
  <c r="R223" i="2"/>
  <c r="Q182" i="2"/>
  <c r="R182" i="2"/>
  <c r="Q46" i="2"/>
  <c r="R46" i="2"/>
  <c r="Q249" i="2"/>
  <c r="R249" i="2"/>
  <c r="Q34" i="2"/>
  <c r="R34" i="2"/>
  <c r="Q324" i="2"/>
  <c r="R324" i="2"/>
  <c r="Q133" i="2"/>
  <c r="R133" i="2"/>
  <c r="Q21" i="2"/>
  <c r="Q102" i="2"/>
  <c r="Q257" i="2"/>
  <c r="Q129" i="2"/>
  <c r="R129" i="2"/>
  <c r="Q76" i="2"/>
  <c r="R76" i="2"/>
  <c r="Q85" i="2"/>
  <c r="Q43" i="2"/>
  <c r="Q235" i="2"/>
  <c r="Q192" i="2"/>
  <c r="R192" i="2"/>
  <c r="Q17" i="2"/>
  <c r="Q119" i="2"/>
  <c r="R190" i="2"/>
  <c r="R124" i="2"/>
  <c r="R18" i="2"/>
  <c r="R99" i="2"/>
  <c r="R348" i="2"/>
  <c r="R91" i="2"/>
  <c r="R302" i="2"/>
  <c r="R266" i="2"/>
  <c r="R181" i="2"/>
  <c r="R160" i="2"/>
  <c r="R83" i="2"/>
  <c r="R54" i="2"/>
  <c r="R45" i="2"/>
  <c r="R274" i="2"/>
  <c r="R215" i="2"/>
  <c r="R113" i="2"/>
  <c r="R326" i="2"/>
  <c r="R24" i="2"/>
  <c r="R242" i="2"/>
  <c r="R172" i="2"/>
  <c r="R68" i="2"/>
  <c r="R270" i="2"/>
  <c r="R315" i="2"/>
  <c r="R198" i="2"/>
  <c r="R107" i="2"/>
  <c r="R7" i="2"/>
  <c r="Q3" i="2"/>
  <c r="R74" i="2"/>
  <c r="R183" i="2"/>
  <c r="R126" i="2"/>
  <c r="R21" i="2"/>
  <c r="R161" i="2"/>
  <c r="Q161" i="2"/>
  <c r="R295" i="2"/>
  <c r="Q295" i="2"/>
  <c r="R78" i="2"/>
  <c r="Q78" i="2"/>
  <c r="R47" i="2"/>
  <c r="Q47" i="2"/>
  <c r="R162" i="2"/>
  <c r="Q168" i="2"/>
  <c r="R298" i="2"/>
  <c r="Q298" i="2"/>
  <c r="R275" i="2"/>
  <c r="Q275" i="2"/>
  <c r="R342" i="2"/>
  <c r="Q342" i="2"/>
  <c r="R77" i="2"/>
  <c r="Q77" i="2"/>
  <c r="R273" i="2"/>
  <c r="Q273" i="2"/>
  <c r="R206" i="2"/>
  <c r="Q206" i="2"/>
  <c r="R8" i="2"/>
  <c r="Q8" i="2"/>
  <c r="R337" i="2"/>
  <c r="R256" i="2"/>
  <c r="R84" i="2"/>
  <c r="R41" i="2"/>
  <c r="R214" i="2"/>
  <c r="R325" i="2"/>
  <c r="R243" i="2"/>
  <c r="R69" i="2"/>
  <c r="R306" i="2"/>
  <c r="R11" i="2"/>
  <c r="R199" i="2"/>
  <c r="R339" i="2"/>
  <c r="Q339" i="2"/>
  <c r="R90" i="2"/>
  <c r="R299" i="2"/>
  <c r="R239" i="2"/>
  <c r="R177" i="2"/>
  <c r="R154" i="2"/>
  <c r="Q154" i="2"/>
  <c r="R81" i="2"/>
  <c r="R49" i="2"/>
  <c r="Q49" i="2"/>
  <c r="R44" i="2"/>
  <c r="R276" i="2"/>
  <c r="R213" i="2"/>
  <c r="Q213" i="2"/>
  <c r="R80" i="2"/>
  <c r="R327" i="2"/>
  <c r="R27" i="2"/>
  <c r="R237" i="2"/>
  <c r="Q237" i="2"/>
  <c r="R142" i="2"/>
  <c r="R61" i="2"/>
  <c r="Q61" i="2"/>
  <c r="R241" i="2"/>
  <c r="R307" i="2"/>
  <c r="R197" i="2"/>
  <c r="R95" i="2"/>
  <c r="Q95" i="2"/>
  <c r="R10" i="2"/>
  <c r="Q10" i="2"/>
  <c r="R329" i="2"/>
  <c r="R145" i="2"/>
  <c r="Q53" i="2"/>
  <c r="Q169" i="2"/>
  <c r="Q241" i="2"/>
  <c r="R336" i="2"/>
  <c r="R217" i="2"/>
  <c r="R101" i="2"/>
  <c r="Q299" i="2"/>
  <c r="Q327" i="2"/>
  <c r="R102" i="2"/>
  <c r="Q304" i="2"/>
  <c r="Q250" i="2"/>
  <c r="R194" i="2"/>
  <c r="R300" i="2"/>
  <c r="Q300" i="2"/>
  <c r="R301" i="2"/>
  <c r="R115" i="2"/>
  <c r="R111" i="2"/>
  <c r="Q111" i="2"/>
  <c r="R314" i="2"/>
  <c r="Q314" i="2"/>
  <c r="R56" i="2"/>
  <c r="Q56" i="2"/>
  <c r="Q120" i="2"/>
  <c r="R349" i="2"/>
  <c r="Q349" i="2"/>
  <c r="R312" i="2"/>
  <c r="Q312" i="2"/>
  <c r="R163" i="2"/>
  <c r="Q163" i="2"/>
  <c r="R89" i="2"/>
  <c r="R179" i="2"/>
  <c r="R51" i="2"/>
  <c r="R277" i="2"/>
  <c r="R79" i="2"/>
  <c r="R29" i="2"/>
  <c r="R170" i="2"/>
  <c r="R271" i="2"/>
  <c r="R196" i="2"/>
  <c r="R108" i="2"/>
  <c r="Q30" i="2"/>
  <c r="R285" i="2"/>
  <c r="R4" i="2"/>
  <c r="R226" i="2"/>
  <c r="Q226" i="2"/>
  <c r="Q157" i="2"/>
  <c r="R73" i="2"/>
  <c r="R345" i="2"/>
  <c r="R150" i="2"/>
  <c r="Q150" i="2"/>
  <c r="R209" i="2"/>
  <c r="Q209" i="2"/>
  <c r="Q148" i="2"/>
  <c r="R60" i="2"/>
  <c r="R200" i="2"/>
  <c r="R140" i="2"/>
  <c r="Q140" i="2"/>
  <c r="Q5" i="2"/>
  <c r="R323" i="2"/>
  <c r="Q216" i="2"/>
  <c r="Q25" i="2"/>
  <c r="Q142" i="2"/>
  <c r="R297" i="2"/>
  <c r="R294" i="2"/>
  <c r="R173" i="2"/>
  <c r="R317" i="2"/>
  <c r="Q155" i="2"/>
  <c r="Q26" i="2"/>
  <c r="Q307" i="2"/>
  <c r="Q57" i="2"/>
  <c r="R35" i="2"/>
  <c r="Q346" i="2"/>
  <c r="Q227" i="2"/>
  <c r="Q158" i="2"/>
  <c r="Q343" i="2"/>
  <c r="Q33" i="2"/>
  <c r="Q317" i="2"/>
  <c r="Q145" i="2"/>
  <c r="Q130" i="2"/>
  <c r="Q139" i="2"/>
  <c r="Q9" i="2"/>
  <c r="R343" i="2"/>
  <c r="Q233" i="2"/>
  <c r="Q278" i="2"/>
  <c r="Q180" i="2"/>
  <c r="Q72" i="2"/>
  <c r="Q329" i="2"/>
  <c r="Q251" i="2"/>
  <c r="Q151" i="2"/>
  <c r="Q208" i="2"/>
  <c r="Q202" i="2"/>
  <c r="Q22" i="2"/>
  <c r="Q288" i="2"/>
  <c r="Q97" i="2"/>
  <c r="R232" i="2"/>
  <c r="R347" i="2"/>
  <c r="R283" i="2"/>
  <c r="R220" i="2"/>
  <c r="R186" i="2"/>
  <c r="R137" i="2"/>
  <c r="R71" i="2"/>
  <c r="R331" i="2"/>
  <c r="R344" i="2"/>
  <c r="R248" i="2"/>
  <c r="R149" i="2"/>
  <c r="R31" i="2"/>
  <c r="R210" i="2"/>
  <c r="R316" i="2"/>
  <c r="R204" i="2"/>
  <c r="R144" i="2"/>
  <c r="R16" i="2"/>
  <c r="R123" i="2"/>
  <c r="R286" i="2"/>
  <c r="R138" i="2"/>
  <c r="R96" i="2"/>
  <c r="R12" i="2"/>
  <c r="Q149" i="2"/>
  <c r="R346" i="2"/>
  <c r="R130" i="2"/>
  <c r="Q333" i="2"/>
  <c r="Q228" i="2"/>
  <c r="Q136" i="2"/>
  <c r="Q330" i="2"/>
  <c r="Q246" i="2"/>
  <c r="Q211" i="2"/>
  <c r="Q205" i="2"/>
  <c r="Q23" i="2"/>
  <c r="Q269" i="2"/>
  <c r="Q92" i="2"/>
  <c r="Q220" i="2"/>
  <c r="Q138" i="2"/>
  <c r="R333" i="2"/>
  <c r="R151" i="2"/>
  <c r="Q234" i="2"/>
  <c r="Q284" i="2"/>
  <c r="Q185" i="2"/>
  <c r="Q70" i="2"/>
  <c r="Q308" i="2"/>
  <c r="Q152" i="2"/>
  <c r="Q40" i="2"/>
  <c r="Q320" i="2"/>
  <c r="Q146" i="2"/>
  <c r="Q122" i="2"/>
  <c r="Q141" i="2"/>
  <c r="Q13" i="2"/>
  <c r="Q231" i="2"/>
  <c r="Q334" i="2"/>
  <c r="Q282" i="2"/>
  <c r="Q224" i="2"/>
  <c r="Q187" i="2"/>
  <c r="Q115" i="2"/>
  <c r="Q65" i="2"/>
  <c r="Q255" i="2"/>
  <c r="Q309" i="2"/>
  <c r="Q245" i="2"/>
  <c r="Q135" i="2"/>
  <c r="Q37" i="2"/>
  <c r="Q176" i="2"/>
  <c r="Q323" i="2"/>
  <c r="Q193" i="2"/>
  <c r="Q132" i="2"/>
  <c r="Q15" i="2"/>
  <c r="Q121" i="2"/>
  <c r="Q268" i="2"/>
  <c r="Q127" i="2"/>
  <c r="Q93" i="2"/>
  <c r="Q210" i="2"/>
  <c r="R334" i="2"/>
  <c r="R227" i="2"/>
  <c r="R152" i="2"/>
  <c r="R121" i="2"/>
  <c r="R139" i="2"/>
  <c r="Q51" i="2"/>
  <c r="Q41" i="2"/>
  <c r="Q277" i="2"/>
  <c r="Q214" i="2"/>
  <c r="Q79" i="2"/>
  <c r="Q325" i="2"/>
  <c r="Q29" i="2"/>
  <c r="Q243" i="2"/>
  <c r="Q170" i="2"/>
  <c r="S170" i="2" s="1"/>
  <c r="Q69" i="2"/>
  <c r="Q271" i="2"/>
  <c r="Q306" i="2"/>
  <c r="Q196" i="2"/>
  <c r="Q108" i="2"/>
  <c r="Q11" i="2"/>
  <c r="R14" i="2"/>
  <c r="Q2" i="2"/>
  <c r="R2" i="2"/>
  <c r="Q14" i="2"/>
  <c r="I24" i="4" l="1"/>
  <c r="I18" i="4"/>
  <c r="I40" i="4"/>
  <c r="I5" i="4"/>
  <c r="I4" i="4"/>
  <c r="I16" i="4"/>
  <c r="I37" i="4"/>
  <c r="I27" i="4"/>
  <c r="I7" i="4"/>
  <c r="I10" i="4"/>
  <c r="I41" i="4"/>
  <c r="I29" i="4"/>
  <c r="I31" i="4"/>
  <c r="I6" i="4"/>
  <c r="I15" i="4"/>
  <c r="I8" i="4"/>
  <c r="I13" i="4"/>
  <c r="I19" i="4"/>
  <c r="I42" i="4"/>
  <c r="I9" i="4"/>
  <c r="I35" i="4"/>
  <c r="I21" i="4"/>
  <c r="I11" i="4"/>
  <c r="I20" i="4"/>
  <c r="I28" i="4"/>
  <c r="I45" i="4"/>
  <c r="I32" i="4"/>
  <c r="I47" i="4"/>
  <c r="I36" i="4"/>
  <c r="I2" i="4"/>
  <c r="I30" i="4"/>
  <c r="I22" i="4"/>
  <c r="I38" i="4"/>
  <c r="I23" i="4"/>
  <c r="I43" i="4"/>
  <c r="S345" i="2"/>
  <c r="S97" i="2"/>
  <c r="S143" i="2"/>
  <c r="S147" i="2"/>
  <c r="S288" i="2"/>
  <c r="S204" i="2"/>
  <c r="S318" i="2"/>
  <c r="S164" i="2"/>
  <c r="S144" i="2"/>
  <c r="S180" i="2"/>
  <c r="S106" i="2"/>
  <c r="S220" i="2"/>
  <c r="S66" i="2"/>
  <c r="S341" i="2"/>
  <c r="S285" i="2"/>
  <c r="S81" i="2"/>
  <c r="S212" i="2"/>
  <c r="S248" i="2"/>
  <c r="S299" i="2"/>
  <c r="S61" i="2"/>
  <c r="S166" i="2"/>
  <c r="S186" i="2"/>
  <c r="S232" i="2"/>
  <c r="S73" i="2"/>
  <c r="S300" i="2"/>
  <c r="S316" i="2"/>
  <c r="S321" i="2"/>
  <c r="S287" i="2"/>
  <c r="S261" i="2"/>
  <c r="S301" i="2"/>
  <c r="S197" i="2"/>
  <c r="S82" i="2"/>
  <c r="S338" i="2"/>
  <c r="S208" i="2"/>
  <c r="S83" i="2"/>
  <c r="S229" i="2"/>
  <c r="S35" i="2"/>
  <c r="S222" i="2"/>
  <c r="S193" i="2"/>
  <c r="S264" i="2"/>
  <c r="S195" i="2"/>
  <c r="S328" i="2"/>
  <c r="S260" i="2"/>
  <c r="S225" i="2"/>
  <c r="S148" i="2"/>
  <c r="S91" i="2"/>
  <c r="S286" i="2"/>
  <c r="S283" i="2"/>
  <c r="S272" i="2"/>
  <c r="S344" i="2"/>
  <c r="S77" i="2"/>
  <c r="S104" i="2"/>
  <c r="S211" i="2"/>
  <c r="S87" i="2"/>
  <c r="S230" i="2"/>
  <c r="S85" i="2"/>
  <c r="S251" i="2"/>
  <c r="S120" i="2"/>
  <c r="S181" i="2"/>
  <c r="S128" i="2"/>
  <c r="S262" i="2"/>
  <c r="S100" i="2"/>
  <c r="S240" i="2"/>
  <c r="S332" i="2"/>
  <c r="S38" i="2"/>
  <c r="S198" i="2"/>
  <c r="S12" i="2"/>
  <c r="S137" i="2"/>
  <c r="S206" i="2"/>
  <c r="S78" i="2"/>
  <c r="S254" i="2"/>
  <c r="S88" i="2"/>
  <c r="S246" i="2"/>
  <c r="S290" i="2"/>
  <c r="S160" i="2"/>
  <c r="S178" i="2"/>
  <c r="S93" i="2"/>
  <c r="S331" i="2"/>
  <c r="S305" i="2"/>
  <c r="S71" i="2"/>
  <c r="S96" i="2"/>
  <c r="S233" i="2"/>
  <c r="S27" i="2"/>
  <c r="S172" i="2"/>
  <c r="S53" i="2"/>
  <c r="S273" i="2"/>
  <c r="S295" i="2"/>
  <c r="S242" i="2"/>
  <c r="S267" i="2"/>
  <c r="S252" i="2"/>
  <c r="S18" i="2"/>
  <c r="S215" i="2"/>
  <c r="S68" i="2"/>
  <c r="S190" i="2"/>
  <c r="S14" i="2"/>
  <c r="S257" i="2"/>
  <c r="S234" i="2"/>
  <c r="S231" i="2"/>
  <c r="S19" i="2"/>
  <c r="S201" i="2"/>
  <c r="S159" i="2"/>
  <c r="S60" i="2"/>
  <c r="S284" i="2"/>
  <c r="S177" i="2"/>
  <c r="S23" i="2"/>
  <c r="S297" i="2"/>
  <c r="S276" i="2"/>
  <c r="S239" i="2"/>
  <c r="S119" i="2"/>
  <c r="S226" i="2"/>
  <c r="S337" i="2"/>
  <c r="S110" i="2"/>
  <c r="S33" i="2"/>
  <c r="S312" i="2"/>
  <c r="S49" i="2"/>
  <c r="S32" i="2"/>
  <c r="S173" i="2"/>
  <c r="S9" i="2"/>
  <c r="S175" i="2"/>
  <c r="S157" i="2"/>
  <c r="S320" i="2"/>
  <c r="S126" i="2"/>
  <c r="S274" i="2"/>
  <c r="S203" i="2"/>
  <c r="S50" i="2"/>
  <c r="S315" i="2"/>
  <c r="S199" i="2"/>
  <c r="S187" i="2"/>
  <c r="S336" i="2"/>
  <c r="S268" i="2"/>
  <c r="S24" i="2"/>
  <c r="S269" i="2"/>
  <c r="S94" i="2"/>
  <c r="S270" i="2"/>
  <c r="S217" i="2"/>
  <c r="S302" i="2"/>
  <c r="S99" i="2"/>
  <c r="S80" i="2"/>
  <c r="S326" i="2"/>
  <c r="S135" i="2"/>
  <c r="S183" i="2"/>
  <c r="S108" i="2"/>
  <c r="S308" i="2"/>
  <c r="S136" i="2"/>
  <c r="S5" i="2"/>
  <c r="S347" i="2"/>
  <c r="S224" i="2"/>
  <c r="S26" i="2"/>
  <c r="S169" i="2"/>
  <c r="S70" i="2"/>
  <c r="S228" i="2"/>
  <c r="S140" i="2"/>
  <c r="S154" i="2"/>
  <c r="S7" i="2"/>
  <c r="S282" i="2"/>
  <c r="S244" i="2"/>
  <c r="S138" i="2"/>
  <c r="S36" i="2"/>
  <c r="S162" i="2"/>
  <c r="S168" i="2"/>
  <c r="S145" i="2"/>
  <c r="S161" i="2"/>
  <c r="S191" i="2"/>
  <c r="S141" i="2"/>
  <c r="S89" i="2"/>
  <c r="S40" i="2"/>
  <c r="S134" i="2"/>
  <c r="S16" i="2"/>
  <c r="S176" i="2"/>
  <c r="S22" i="2"/>
  <c r="S216" i="2"/>
  <c r="S330" i="2"/>
  <c r="S343" i="2"/>
  <c r="S4" i="2"/>
  <c r="S95" i="2"/>
  <c r="S44" i="2"/>
  <c r="S52" i="2"/>
  <c r="S122" i="2"/>
  <c r="S45" i="2"/>
  <c r="S265" i="2"/>
  <c r="S107" i="2"/>
  <c r="S146" i="2"/>
  <c r="S31" i="2"/>
  <c r="S158" i="2"/>
  <c r="S196" i="2"/>
  <c r="S151" i="2"/>
  <c r="S74" i="2"/>
  <c r="S171" i="2"/>
  <c r="S123" i="2"/>
  <c r="S62" i="2"/>
  <c r="S179" i="2"/>
  <c r="S124" i="2"/>
  <c r="S205" i="2"/>
  <c r="S309" i="2"/>
  <c r="S250" i="2"/>
  <c r="S333" i="2"/>
  <c r="S346" i="2"/>
  <c r="S349" i="2"/>
  <c r="S298" i="2"/>
  <c r="S3" i="2"/>
  <c r="S43" i="2"/>
  <c r="S58" i="2"/>
  <c r="S245" i="2"/>
  <c r="S152" i="2"/>
  <c r="S202" i="2"/>
  <c r="S342" i="2"/>
  <c r="S17" i="2"/>
  <c r="S194" i="2"/>
  <c r="S25" i="2"/>
  <c r="S319" i="2"/>
  <c r="S59" i="2"/>
  <c r="S313" i="2"/>
  <c r="S84" i="2"/>
  <c r="S256" i="2"/>
  <c r="S304" i="2"/>
  <c r="S54" i="2"/>
  <c r="S127" i="2"/>
  <c r="S278" i="2"/>
  <c r="S209" i="2"/>
  <c r="S56" i="2"/>
  <c r="S101" i="2"/>
  <c r="S266" i="2"/>
  <c r="S103" i="2"/>
  <c r="S98" i="2"/>
  <c r="S263" i="2"/>
  <c r="S185" i="2"/>
  <c r="S200" i="2"/>
  <c r="S133" i="2"/>
  <c r="S113" i="2"/>
  <c r="S105" i="2"/>
  <c r="S329" i="2"/>
  <c r="S72" i="2"/>
  <c r="S327" i="2"/>
  <c r="S303" i="2"/>
  <c r="S155" i="2"/>
  <c r="S15" i="2"/>
  <c r="S150" i="2"/>
  <c r="S314" i="2"/>
  <c r="S237" i="2"/>
  <c r="S255" i="2"/>
  <c r="S115" i="2"/>
  <c r="S92" i="2"/>
  <c r="S90" i="2"/>
  <c r="S348" i="2"/>
  <c r="S223" i="2"/>
  <c r="S280" i="2"/>
  <c r="S167" i="2"/>
  <c r="S235" i="2"/>
  <c r="S57" i="2"/>
  <c r="S13" i="2"/>
  <c r="S139" i="2"/>
  <c r="S294" i="2"/>
  <c r="S339" i="2"/>
  <c r="S291" i="2"/>
  <c r="S189" i="2"/>
  <c r="S109" i="2"/>
  <c r="S218" i="2"/>
  <c r="S65" i="2"/>
  <c r="S63" i="2"/>
  <c r="S30" i="2"/>
  <c r="S8" i="2"/>
  <c r="S47" i="2"/>
  <c r="S64" i="2"/>
  <c r="S48" i="2"/>
  <c r="S11" i="2"/>
  <c r="S10" i="2"/>
  <c r="S67" i="2"/>
  <c r="S112" i="2"/>
  <c r="S42" i="2"/>
  <c r="S271" i="2"/>
  <c r="S210" i="2"/>
  <c r="S275" i="2"/>
  <c r="S192" i="2"/>
  <c r="S34" i="2"/>
  <c r="S253" i="2"/>
  <c r="S289" i="2"/>
  <c r="S117" i="2"/>
  <c r="S39" i="2"/>
  <c r="S221" i="2"/>
  <c r="S116" i="2"/>
  <c r="S227" i="2"/>
  <c r="S324" i="2"/>
  <c r="S131" i="2"/>
  <c r="S306" i="2"/>
  <c r="S29" i="2"/>
  <c r="S46" i="2"/>
  <c r="S340" i="2"/>
  <c r="S279" i="2"/>
  <c r="S188" i="2"/>
  <c r="S293" i="2"/>
  <c r="S165" i="2"/>
  <c r="S214" i="2"/>
  <c r="S111" i="2"/>
  <c r="S241" i="2"/>
  <c r="S129" i="2"/>
  <c r="S259" i="2"/>
  <c r="S238" i="2"/>
  <c r="S310" i="2"/>
  <c r="S174" i="2"/>
  <c r="S149" i="2"/>
  <c r="S249" i="2"/>
  <c r="S219" i="2"/>
  <c r="S258" i="2"/>
  <c r="S334" i="2"/>
  <c r="S335" i="2"/>
  <c r="S79" i="2"/>
  <c r="S207" i="2"/>
  <c r="S41" i="2"/>
  <c r="S142" i="2"/>
  <c r="S102" i="2"/>
  <c r="S153" i="2"/>
  <c r="S6" i="2"/>
  <c r="S69" i="2"/>
  <c r="S292" i="2"/>
  <c r="S125" i="2"/>
  <c r="S243" i="2"/>
  <c r="S121" i="2"/>
  <c r="S114" i="2"/>
  <c r="S311" i="2"/>
  <c r="S75" i="2"/>
  <c r="S132" i="2"/>
  <c r="S182" i="2"/>
  <c r="S277" i="2"/>
  <c r="S130" i="2"/>
  <c r="S37" i="2"/>
  <c r="S317" i="2"/>
  <c r="S21" i="2"/>
  <c r="S296" i="2"/>
  <c r="S118" i="2"/>
  <c r="S156" i="2"/>
  <c r="S307" i="2"/>
  <c r="S86" i="2"/>
  <c r="S281" i="2"/>
  <c r="S184" i="2"/>
  <c r="S247" i="2"/>
  <c r="S325" i="2"/>
  <c r="S76" i="2"/>
  <c r="S20" i="2"/>
  <c r="S323" i="2"/>
  <c r="S51" i="2"/>
  <c r="S163" i="2"/>
  <c r="S213" i="2"/>
  <c r="S322" i="2"/>
  <c r="S28" i="2"/>
  <c r="S55" i="2"/>
  <c r="S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<sst xmlns="http://schemas.openxmlformats.org/spreadsheetml/2006/main" count="1209" uniqueCount="413">
  <si>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</si>
  <si>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</si>
  <si>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</si>
  <si>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</si>
  <si>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</si>
  <si>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</si>
  <si>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</si>
  <si>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</si>
  <si>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</si>
  <si>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</si>
  <si>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Alcuin College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</si>
  <si>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</si>
  <si>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</si>
  <si>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</si>
  <si>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</si>
  <si>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</si>
  <si>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</si>
  <si>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</si>
  <si>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</si>
  <si>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</si>
  <si>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</si>
  <si>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</si>
  <si>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</si>
  <si>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</si>
  <si>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</si>
  <si>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</si>
  <si>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</si>
  <si>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</si>
  <si>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</si>
  <si>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</si>
  <si>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</si>
  <si>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</si>
  <si>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</si>
  <si>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</si>
  <si>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</si>
  <si>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</si>
  <si>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</si>
  <si>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</si>
  <si>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</si>
  <si>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</si>
  <si>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</si>
  <si>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</si>
  <si>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</si>
  <si>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</si>
  <si>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</si>
  <si>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</si>
  <si>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</si>
  <si>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</si>
  <si>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</si>
  <si>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</si>
  <si>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</si>
  <si>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</si>
  <si>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</si>
  <si>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</si>
  <si>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Owen Morrison</t>
  </si>
  <si>
    <t>Oscar Goldsmith</t>
  </si>
  <si>
    <t>Elle Kritter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</si>
  <si>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</si>
  <si>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</si>
  <si>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</si>
  <si>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</si>
  <si>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</si>
  <si>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</si>
  <si>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</si>
  <si>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</si>
  <si>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</si>
  <si>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</si>
  <si>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</si>
  <si>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</si>
  <si>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</si>
  <si>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</si>
  <si>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</si>
  <si>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</si>
  <si>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</si>
  <si>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</si>
  <si>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</si>
  <si>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</si>
  <si>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</si>
  <si>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</si>
  <si>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</si>
  <si>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</si>
  <si>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</si>
  <si>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</si>
  <si>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</si>
  <si>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</si>
  <si>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</si>
  <si>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</si>
  <si>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</si>
  <si>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</si>
  <si>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</si>
  <si>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</si>
  <si>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</si>
  <si>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</si>
  <si>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</si>
  <si>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</si>
  <si>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</si>
  <si>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</si>
  <si>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</si>
  <si>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Bronwyn Samis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</si>
  <si>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</si>
  <si>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</si>
  <si>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</si>
  <si>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</si>
  <si>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</si>
  <si>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</si>
  <si>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</si>
  <si>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</si>
  <si>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</si>
  <si>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</si>
  <si>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</si>
  <si>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</si>
  <si>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</si>
  <si>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</si>
  <si>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</si>
  <si>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</si>
  <si>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</si>
  <si>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</si>
  <si>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</si>
  <si>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</si>
  <si>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</si>
  <si>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</si>
  <si>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</si>
  <si>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</si>
  <si>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</si>
  <si>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</si>
  <si>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</si>
  <si>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</si>
  <si>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</si>
  <si>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</si>
  <si>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</si>
  <si>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</si>
  <si>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</si>
  <si>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</si>
  <si>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</si>
  <si>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</si>
  <si>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</si>
  <si>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</si>
  <si>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</si>
  <si>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</si>
  <si>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</si>
  <si>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</si>
  <si>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</si>
  <si>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</si>
  <si>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</si>
  <si>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</si>
  <si>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</si>
  <si>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</si>
  <si>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</si>
  <si>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</si>
  <si>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</si>
  <si>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</si>
  <si>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</si>
  <si>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</si>
  <si>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</si>
  <si>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</si>
  <si>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</si>
  <si>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</si>
  <si>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</si>
  <si>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</si>
  <si>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</si>
  <si>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</si>
  <si>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</si>
  <si>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</si>
  <si>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</si>
  <si>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</si>
  <si>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</si>
  <si>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Arthur Wang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</si>
  <si>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</si>
  <si>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</si>
  <si>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</si>
  <si>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</si>
  <si>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</si>
  <si>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</si>
  <si>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</si>
  <si>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</si>
  <si>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</si>
  <si>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Martin Cernicka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</si>
  <si>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</si>
  <si>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</si>
  <si>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</si>
  <si>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</si>
  <si>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</si>
  <si>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</si>
  <si>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</si>
  <si>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</si>
  <si>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</si>
  <si>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</si>
  <si>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</si>
  <si>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</si>
  <si>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</si>
  <si>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</si>
  <si>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</si>
  <si>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</si>
  <si>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</si>
  <si>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</si>
  <si>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</si>
  <si>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</si>
  <si>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</si>
  <si>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</si>
  <si>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</si>
  <si>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</si>
  <si>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</si>
  <si>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</si>
  <si>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</si>
  <si>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</si>
  <si>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</si>
  <si>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</si>
  <si>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</si>
  <si>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</si>
  <si>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</si>
  <si>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</si>
  <si>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</si>
  <si>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</si>
  <si>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</si>
  <si>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</si>
  <si>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</si>
  <si>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</si>
  <si>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</si>
  <si>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</si>
  <si>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</si>
  <si>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</si>
  <si>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</si>
  <si>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</si>
  <si>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</si>
  <si>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</si>
  <si>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</si>
  <si>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</si>
  <si>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</si>
  <si>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</si>
  <si>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</si>
  <si>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</si>
  <si>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</si>
  <si>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</si>
  <si>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</si>
  <si>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</si>
  <si>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</si>
  <si>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</si>
  <si>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</si>
  <si>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</si>
  <si>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</si>
  <si>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</si>
  <si>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</si>
  <si>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</si>
  <si>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</si>
  <si>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</si>
  <si>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</si>
  <si>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</si>
  <si>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</si>
  <si>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</si>
  <si>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</si>
  <si>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</si>
  <si>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</si>
  <si>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</si>
  <si>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</si>
  <si>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</si>
  <si>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</si>
  <si>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</si>
  <si>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</si>
  <si>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</si>
  <si>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</si>
  <si>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</si>
  <si>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</si>
  <si>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</si>
  <si>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</si>
  <si>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</si>
  <si>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</si>
  <si>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</si>
  <si>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</si>
  <si>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</si>
  <si>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</si>
  <si>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</si>
  <si>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</si>
  <si>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</si>
  <si>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</si>
  <si>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</si>
  <si>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</si>
  <si>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</si>
  <si>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</si>
  <si>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</si>
  <si>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</si>
  <si>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</si>
  <si>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</si>
  <si>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</si>
  <si>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</si>
  <si>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</si>
  <si>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</si>
  <si>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</si>
  <si>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</si>
  <si>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</si>
  <si>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</si>
  <si>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</si>
  <si>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</si>
  <si>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</si>
  <si>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</si>
  <si>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</si>
  <si>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</si>
  <si>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</si>
  <si>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</si>
  <si>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</si>
  <si>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</si>
  <si>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</si>
  <si>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</si>
  <si>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</si>
  <si>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</si>
  <si>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</si>
  <si>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</si>
  <si>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</si>
  <si>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</si>
  <si>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</si>
  <si>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</si>
  <si>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</si>
  <si>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</si>
  <si>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</si>
  <si>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</si>
  <si>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</si>
  <si>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</si>
  <si>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</si>
  <si>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</si>
  <si>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</si>
  <si>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</si>
  <si>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</si>
  <si>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</si>
  <si>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</si>
  <si>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</si>
  <si>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</si>
  <si>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</si>
  <si>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</si>
  <si>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</si>
  <si>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</si>
  <si>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</si>
  <si>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</si>
  <si>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</si>
  <si>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</si>
  <si>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</si>
  <si>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</si>
  <si>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</si>
  <si>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</si>
  <si>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</si>
  <si>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</si>
  <si>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</si>
  <si>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</si>
  <si>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</si>
  <si>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</si>
  <si>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</si>
  <si>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</si>
  <si>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</si>
  <si>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</si>
  <si>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</si>
  <si>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</si>
  <si>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</si>
  <si>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</si>
  <si>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</si>
  <si>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</si>
  <si>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</si>
  <si>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</si>
  <si>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</si>
  <si>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</si>
  <si>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</si>
  <si>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</si>
  <si>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</si>
  <si>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</si>
  <si>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</si>
  <si>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</si>
  <si>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Oliver Radedge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</si>
  <si>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</si>
  <si>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</si>
  <si>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</si>
  <si>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</si>
  <si>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</si>
  <si>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</si>
  <si>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</si>
  <si>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</si>
  <si>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</si>
  <si>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</si>
  <si>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</si>
  <si>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</si>
  <si>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</si>
  <si>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</si>
  <si>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</si>
  <si>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</si>
  <si>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</si>
  <si>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Alex Roehrig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</si>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</sst>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1">
    <cellStyle name="Normal" xfId="0" builtinId="0"/>
  </cellStyles>
  <dxfs count="34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33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S349" totalsRowShown="0" headerRowDxfId="32">
  <autoFilter ref="A1:S349" xr:uid="{4732A653-9976-4BC3-B1BB-3377C0BE5451}"/>
  <sortState xmlns:xlrd2="http://schemas.microsoft.com/office/spreadsheetml/2017/richdata2" ref="A2:S349">
    <sortCondition ref="B1:B349"/>
  </sortState>
  <tableColumns count="19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31"/>
    <tableColumn id="5" xr3:uid="{C4BC7103-4C35-4FC3-8F18-8455C41D4783}" name="R1 Place" dataDxfId="30"/>
    <tableColumn id="6" xr3:uid="{F003CE6A-1709-47C7-A52B-4E78A06B55BC}" name="R1 Pts" dataDxfId="29">
      <calculatedColumnFormula>IF(E2="","",IF(E2="DNS",0,IF(E2="DQ",0,IF(E2="DNF",1,IF(AND(ISNUMBER(E2),E2&gt;59),1,_xlfn.XLOOKUP(E2,tbl_points[Place],tbl_points[Points],""))))))</calculatedColumnFormula>
    </tableColumn>
    <tableColumn id="7" xr3:uid="{00AA5EEC-F524-4B3A-8D3D-DD590338CBF4}" name="R2 Place" dataDxfId="28"/>
    <tableColumn id="8" xr3:uid="{D5BD0204-BF0C-4CD7-84CF-355F4C709D84}" name="R2 Pts" dataDxfId="27">
      <calculatedColumnFormula>IF(G2="","",IF(G2="DNS",0,IF(G2="DQ",0,IF(G2="DNF",1,IF(AND(ISNUMBER(G2),G2&gt;59),1,_xlfn.XLOOKUP(G2,tbl_points[Place],tbl_points[Points],""))))))</calculatedColumnFormula>
    </tableColumn>
    <tableColumn id="9" xr3:uid="{AAA1602A-3E76-4D80-A749-C082B0EEE022}" name="R3 Place" dataDxfId="19"/>
    <tableColumn id="10" xr3:uid="{129B956B-A68A-4A58-B03A-5E88F63F4109}" name="R3 Pts" dataDxfId="26">
      <calculatedColumnFormula>IF(I2="","",IF(I2="DNS",0,IF(I2="DQ",0,IF(I2="DNF",1,IF(AND(ISNUMBER(I2),I2&gt;59),1,_xlfn.XLOOKUP(I2,tbl_points[Place],tbl_points[Points],""))))))</calculatedColumnFormula>
    </tableColumn>
    <tableColumn id="11" xr3:uid="{58CEE06C-D397-4C16-AFDA-197232873DB1}" name="R4 Place" dataDxfId="18"/>
    <tableColumn id="12" xr3:uid="{8F6D618C-1190-4F5C-A449-77BB8AFE782C}" name="R4 Pts" dataDxfId="25">
      <calculatedColumnFormula>IF(K2="","",IF(K2="DNS",0,IF(K2="DQ",0,IF(K2="DNF",1,IF(AND(ISNUMBER(K2),K2&gt;59),1,_xlfn.XLOOKUP(K2,tbl_points[Place],tbl_points[Points],""))))))</calculatedColumnFormula>
    </tableColumn>
    <tableColumn id="13" xr3:uid="{09134E3A-40B6-4480-BF56-619415F1546B}" name="R5 Place" dataDxfId="17"/>
    <tableColumn id="14" xr3:uid="{0630E922-C5AC-4446-B509-709B7EECF31A}" name="R5 Pts" dataDxfId="24">
      <calculatedColumnFormula>IF(M2="","",IF(M2="DNS",0,IF(M2="DQ",0,IF(M2="DNF",1,IF(AND(ISNUMBER(M2),M2&gt;59),1,_xlfn.XLOOKUP(M2,tbl_points[Place],tbl_points[Points],""))))))</calculatedColumnFormula>
    </tableColumn>
    <tableColumn id="15" xr3:uid="{A3A3C6B1-EAC4-4CA1-B9F1-91AD4AED8E96}" name="R6 Place" dataDxfId="16"/>
    <tableColumn id="16" xr3:uid="{183BA364-7ECF-4FCA-8D96-4CEAFE4D6897}" name="R6 Pts" dataDxfId="23">
      <calculatedColumnFormula>IF(O2="","",IF(O2="DNS",0,IF(O2="DQ",0,IF(O2="DNF",1,IF(AND(ISNUMBER(O2),O2&gt;59),1,_xlfn.XLOOKUP(O2,tbl_points[Place],tbl_points[Points],""))))))</calculatedColumnFormula>
    </tableColumn>
    <tableColumn id="17" xr3:uid="{7E434874-15F0-4158-8350-07E2BFD885BE}" name="Total" dataDxfId="22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1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0">
      <calculatedColumnFormula>tbl_individual[[#This Row],[Total]]-tbl_individual[[#This Row],[Lowest Score]]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15">
  <autoFilter ref="A1:I47" xr:uid="{6FE32177-DBD8-4299-9E12-DE45C01CDFC1}"/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14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13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1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8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F60"/>
  <sheetViews>
    <sheetView workbookViewId="0">
      <selection activeCell="I9" sqref="I9"/>
    </sheetView>
  </sheetViews>
  <sheetFormatPr defaultRowHeight="16.8" x14ac:dyDescent="0.4"/>
  <cols>
    <col min="1" max="1" width="14" customWidth="1"/>
    <col min="2" max="2" width="12.09765625" bestFit="1" customWidth="1"/>
  </cols>
  <sheetData>
    <row r="1" spans="1:6" x14ac:dyDescent="0.4">
      <c r="A1" s="1" t="s">
        <v>0</v>
      </c>
      <c r="B1" s="1" t="s">
        <v>9</v>
      </c>
      <c r="E1" s="1" t="s">
        <v>33</v>
      </c>
      <c r="F1" s="1" t="s">
        <v>34</v>
      </c>
    </row>
    <row r="2" spans="1:6" x14ac:dyDescent="0.4">
      <c r="A2" t="s">
        <v>1</v>
      </c>
      <c r="B2" t="s">
        <v>10</v>
      </c>
      <c r="E2">
        <v>1</v>
      </c>
      <c r="F2">
        <v>100</v>
      </c>
    </row>
    <row r="3" spans="1:6" x14ac:dyDescent="0.4">
      <c r="A3" t="s">
        <v>2</v>
      </c>
      <c r="B3" t="s">
        <v>11</v>
      </c>
      <c r="E3">
        <v>2</v>
      </c>
      <c r="F3">
        <v>95</v>
      </c>
    </row>
    <row r="4" spans="1:6" x14ac:dyDescent="0.4">
      <c r="A4" t="s">
        <v>3</v>
      </c>
      <c r="B4" t="s">
        <v>12</v>
      </c>
      <c r="E4">
        <v>3</v>
      </c>
      <c r="F4">
        <v>90</v>
      </c>
    </row>
    <row r="5" spans="1:6" x14ac:dyDescent="0.4">
      <c r="A5" t="s">
        <v>4</v>
      </c>
      <c r="B5" t="s">
        <v>13</v>
      </c>
      <c r="E5">
        <v>4</v>
      </c>
      <c r="F5">
        <v>85</v>
      </c>
    </row>
    <row r="6" spans="1:6" x14ac:dyDescent="0.4">
      <c r="A6" t="s">
        <v>5</v>
      </c>
      <c r="B6" t="s">
        <v>14</v>
      </c>
      <c r="E6">
        <v>5</v>
      </c>
      <c r="F6">
        <v>80</v>
      </c>
    </row>
    <row r="7" spans="1:6" x14ac:dyDescent="0.4">
      <c r="A7" t="s">
        <v>6</v>
      </c>
      <c r="B7" t="s">
        <v>15</v>
      </c>
      <c r="E7">
        <v>6</v>
      </c>
      <c r="F7">
        <v>75</v>
      </c>
    </row>
    <row r="8" spans="1:6" x14ac:dyDescent="0.4">
      <c r="A8" t="s">
        <v>7</v>
      </c>
      <c r="B8" t="s">
        <v>16</v>
      </c>
      <c r="E8">
        <v>7</v>
      </c>
      <c r="F8">
        <v>70</v>
      </c>
    </row>
    <row r="9" spans="1:6" x14ac:dyDescent="0.4">
      <c r="A9" t="s">
        <v>8</v>
      </c>
      <c r="B9" t="s">
        <v>17</v>
      </c>
      <c r="E9">
        <v>8</v>
      </c>
      <c r="F9">
        <v>65</v>
      </c>
    </row>
    <row r="10" spans="1:6" x14ac:dyDescent="0.4">
      <c r="A10" t="s">
        <v>408</v>
      </c>
      <c r="B10" t="s">
        <v>18</v>
      </c>
      <c r="E10">
        <v>9</v>
      </c>
      <c r="F10">
        <v>60</v>
      </c>
    </row>
    <row r="11" spans="1:6" x14ac:dyDescent="0.4">
      <c r="A11" t="s">
        <v>409</v>
      </c>
      <c r="B11" t="s">
        <v>19</v>
      </c>
      <c r="E11">
        <v>10</v>
      </c>
      <c r="F11">
        <v>55</v>
      </c>
    </row>
    <row r="12" spans="1:6" x14ac:dyDescent="0.4">
      <c r="B12" t="s">
        <v>20</v>
      </c>
      <c r="E12">
        <v>11</v>
      </c>
      <c r="F12">
        <v>53</v>
      </c>
    </row>
    <row r="13" spans="1:6" x14ac:dyDescent="0.4">
      <c r="B13" t="s">
        <v>21</v>
      </c>
      <c r="E13">
        <v>12</v>
      </c>
      <c r="F13">
        <v>51</v>
      </c>
    </row>
    <row r="14" spans="1:6" x14ac:dyDescent="0.4">
      <c r="B14" t="s">
        <v>22</v>
      </c>
      <c r="E14">
        <v>13</v>
      </c>
      <c r="F14">
        <v>49</v>
      </c>
    </row>
    <row r="15" spans="1:6" x14ac:dyDescent="0.4">
      <c r="B15" t="s">
        <v>23</v>
      </c>
      <c r="E15">
        <v>14</v>
      </c>
      <c r="F15">
        <v>47</v>
      </c>
    </row>
    <row r="16" spans="1:6" x14ac:dyDescent="0.4">
      <c r="B16" t="s">
        <v>24</v>
      </c>
      <c r="E16">
        <v>15</v>
      </c>
      <c r="F16">
        <v>45</v>
      </c>
    </row>
    <row r="17" spans="2:6" x14ac:dyDescent="0.4">
      <c r="B17" t="s">
        <v>25</v>
      </c>
      <c r="E17">
        <v>16</v>
      </c>
      <c r="F17">
        <v>44</v>
      </c>
    </row>
    <row r="18" spans="2:6" x14ac:dyDescent="0.4">
      <c r="B18" t="s">
        <v>26</v>
      </c>
      <c r="E18">
        <v>17</v>
      </c>
      <c r="F18">
        <v>43</v>
      </c>
    </row>
    <row r="19" spans="2:6" x14ac:dyDescent="0.4">
      <c r="B19" t="s">
        <v>27</v>
      </c>
      <c r="E19">
        <v>18</v>
      </c>
      <c r="F19">
        <v>42</v>
      </c>
    </row>
    <row r="20" spans="2:6" x14ac:dyDescent="0.4">
      <c r="B20" t="s">
        <v>28</v>
      </c>
      <c r="E20">
        <v>19</v>
      </c>
      <c r="F20">
        <v>41</v>
      </c>
    </row>
    <row r="21" spans="2:6" x14ac:dyDescent="0.4">
      <c r="B21" t="s">
        <v>29</v>
      </c>
      <c r="E21">
        <v>20</v>
      </c>
      <c r="F21">
        <v>40</v>
      </c>
    </row>
    <row r="22" spans="2:6" x14ac:dyDescent="0.4">
      <c r="B22" t="s">
        <v>30</v>
      </c>
      <c r="E22">
        <v>21</v>
      </c>
      <c r="F22">
        <v>39</v>
      </c>
    </row>
    <row r="23" spans="2:6" x14ac:dyDescent="0.4">
      <c r="B23" t="s">
        <v>31</v>
      </c>
      <c r="E23">
        <v>22</v>
      </c>
      <c r="F23">
        <v>38</v>
      </c>
    </row>
    <row r="24" spans="2:6" x14ac:dyDescent="0.4">
      <c r="B24" t="s">
        <v>32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S349"/>
  <sheetViews>
    <sheetView tabSelected="1"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I17" sqref="I17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  <col min="5" max="5" width="9.8984375" style="3" customWidth="1"/>
    <col min="6" max="6" width="8.796875" style="3"/>
    <col min="7" max="7" width="9.8984375" style="3" customWidth="1"/>
    <col min="8" max="8" width="8.796875" style="3"/>
    <col min="9" max="9" width="9.8984375" style="3" customWidth="1"/>
    <col min="10" max="10" width="8.796875" style="3"/>
    <col min="11" max="11" width="9.8984375" style="3" customWidth="1"/>
    <col min="12" max="12" width="8.796875" style="3"/>
    <col min="13" max="13" width="9.8984375" style="3" customWidth="1"/>
    <col min="14" max="14" width="8.796875" style="3"/>
    <col min="15" max="15" width="9.8984375" style="3" customWidth="1"/>
    <col min="16" max="17" width="8.796875" style="3"/>
    <col min="18" max="18" width="13.8984375" style="3" customWidth="1"/>
    <col min="19" max="19" width="8.796875" style="3"/>
  </cols>
  <sheetData>
    <row r="1" spans="1:19" s="1" customFormat="1" x14ac:dyDescent="0.4">
      <c r="A1" s="1" t="s">
        <v>35</v>
      </c>
      <c r="B1" s="1" t="s">
        <v>36</v>
      </c>
      <c r="C1" s="1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51</v>
      </c>
      <c r="R1" s="2" t="s">
        <v>52</v>
      </c>
      <c r="S1" s="2" t="s">
        <v>53</v>
      </c>
    </row>
    <row r="2" spans="1:19" x14ac:dyDescent="0.4">
      <c r="A2" t="s">
        <v>54</v>
      </c>
      <c r="B2" t="s">
        <v>10</v>
      </c>
      <c r="C2" t="s">
        <v>7</v>
      </c>
      <c r="D2" s="3">
        <v>8009</v>
      </c>
      <c r="F2" s="3" t="str">
        <f>IF(E2="","",IF(E2="DNS",0,IF(E2="DQ",0,IF(E2="DNF",1,IF(AND(ISNUMBER(E2),E2&gt;59),1,_xlfn.XLOOKUP(E2,tbl_points[Place],tbl_points[Points],""))))))</f>
        <v/>
      </c>
      <c r="H2" s="3" t="str">
        <f>IF(G2="","",IF(G2="DNS",0,IF(G2="DQ",0,IF(G2="DNF",1,IF(AND(ISNUMBER(G2),G2&gt;59),1,_xlfn.XLOOKUP(G2,tbl_points[Place],tbl_points[Points],""))))))</f>
        <v/>
      </c>
      <c r="J2" s="3" t="str">
        <f>IF(I2="","",IF(I2="DNS",0,IF(I2="DQ",0,IF(I2="DNF",1,IF(AND(ISNUMBER(I2),I2&gt;59),1,_xlfn.XLOOKUP(I2,tbl_points[Place],tbl_points[Points],""))))))</f>
        <v/>
      </c>
      <c r="L2" s="3" t="str">
        <f>IF(K2="","",IF(K2="DNS",0,IF(K2="DQ",0,IF(K2="DNF",1,IF(AND(ISNUMBER(K2),K2&gt;59),1,_xlfn.XLOOKUP(K2,tbl_points[Place],tbl_points[Points],""))))))</f>
        <v/>
      </c>
      <c r="N2" s="3" t="str">
        <f>IF(M2="","",IF(M2="DNS",0,IF(M2="DQ",0,IF(M2="DNF",1,IF(AND(ISNUMBER(M2),M2&gt;59),1,_xlfn.XLOOKUP(M2,tbl_points[Place],tbl_points[Points],""))))))</f>
        <v/>
      </c>
      <c r="P2" s="3" t="str">
        <f>IF(O2="","",IF(O2="DNS",0,IF(O2="DQ",0,IF(O2="DNF",1,IF(AND(ISNUMBER(O2),O2&gt;59),1,_xlfn.XLOOKUP(O2,tbl_points[Place],tbl_points[Points],""))))))</f>
        <v/>
      </c>
      <c r="Q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" s="3">
        <f>tbl_individual[[#This Row],[Total]]-tbl_individual[[#This Row],[Lowest Score]]</f>
        <v>0</v>
      </c>
    </row>
    <row r="3" spans="1:19" x14ac:dyDescent="0.4">
      <c r="A3" t="s">
        <v>55</v>
      </c>
      <c r="B3" t="s">
        <v>10</v>
      </c>
      <c r="C3" t="s">
        <v>3</v>
      </c>
      <c r="D3" s="3">
        <v>10065</v>
      </c>
      <c r="F3" s="3" t="str">
        <f>IF(E3="","",IF(E3="DNS",0,IF(E3="DQ",0,IF(E3="DNF",1,IF(AND(ISNUMBER(E3),E3&gt;59),1,_xlfn.XLOOKUP(E3,tbl_points[Place],tbl_points[Points],""))))))</f>
        <v/>
      </c>
      <c r="H3" s="3" t="str">
        <f>IF(G3="","",IF(G3="DNS",0,IF(G3="DQ",0,IF(G3="DNF",1,IF(AND(ISNUMBER(G3),G3&gt;59),1,_xlfn.XLOOKUP(G3,tbl_points[Place],tbl_points[Points],""))))))</f>
        <v/>
      </c>
      <c r="J3" s="3" t="str">
        <f>IF(I3="","",IF(I3="DNS",0,IF(I3="DQ",0,IF(I3="DNF",1,IF(AND(ISNUMBER(I3),I3&gt;59),1,_xlfn.XLOOKUP(I3,tbl_points[Place],tbl_points[Points],""))))))</f>
        <v/>
      </c>
      <c r="L3" s="3" t="str">
        <f>IF(K3="","",IF(K3="DNS",0,IF(K3="DQ",0,IF(K3="DNF",1,IF(AND(ISNUMBER(K3),K3&gt;59),1,_xlfn.XLOOKUP(K3,tbl_points[Place],tbl_points[Points],""))))))</f>
        <v/>
      </c>
      <c r="N3" s="3" t="str">
        <f>IF(M3="","",IF(M3="DNS",0,IF(M3="DQ",0,IF(M3="DNF",1,IF(AND(ISNUMBER(M3),M3&gt;59),1,_xlfn.XLOOKUP(M3,tbl_points[Place],tbl_points[Points],""))))))</f>
        <v/>
      </c>
      <c r="P3" s="3" t="str">
        <f>IF(O3="","",IF(O3="DNS",0,IF(O3="DQ",0,IF(O3="DNF",1,IF(AND(ISNUMBER(O3),O3&gt;59),1,_xlfn.XLOOKUP(O3,tbl_points[Place],tbl_points[Points],""))))))</f>
        <v/>
      </c>
      <c r="Q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" s="3">
        <f>tbl_individual[[#This Row],[Total]]-tbl_individual[[#This Row],[Lowest Score]]</f>
        <v>0</v>
      </c>
    </row>
    <row r="4" spans="1:19" x14ac:dyDescent="0.4">
      <c r="A4" t="s">
        <v>56</v>
      </c>
      <c r="B4" t="s">
        <v>10</v>
      </c>
      <c r="C4" t="s">
        <v>2</v>
      </c>
      <c r="D4" s="3">
        <v>1212</v>
      </c>
      <c r="F4" s="3" t="str">
        <f>IF(E4="","",IF(E4="DNS",0,IF(E4="DQ",0,IF(E4="DNF",1,IF(AND(ISNUMBER(E4),E4&gt;59),1,_xlfn.XLOOKUP(E4,tbl_points[Place],tbl_points[Points],""))))))</f>
        <v/>
      </c>
      <c r="H4" s="3" t="str">
        <f>IF(G4="","",IF(G4="DNS",0,IF(G4="DQ",0,IF(G4="DNF",1,IF(AND(ISNUMBER(G4),G4&gt;59),1,_xlfn.XLOOKUP(G4,tbl_points[Place],tbl_points[Points],""))))))</f>
        <v/>
      </c>
      <c r="J4" s="3" t="str">
        <f>IF(I4="","",IF(I4="DNS",0,IF(I4="DQ",0,IF(I4="DNF",1,IF(AND(ISNUMBER(I4),I4&gt;59),1,_xlfn.XLOOKUP(I4,tbl_points[Place],tbl_points[Points],""))))))</f>
        <v/>
      </c>
      <c r="L4" s="3" t="str">
        <f>IF(K4="","",IF(K4="DNS",0,IF(K4="DQ",0,IF(K4="DNF",1,IF(AND(ISNUMBER(K4),K4&gt;59),1,_xlfn.XLOOKUP(K4,tbl_points[Place],tbl_points[Points],""))))))</f>
        <v/>
      </c>
      <c r="N4" s="3" t="str">
        <f>IF(M4="","",IF(M4="DNS",0,IF(M4="DQ",0,IF(M4="DNF",1,IF(AND(ISNUMBER(M4),M4&gt;59),1,_xlfn.XLOOKUP(M4,tbl_points[Place],tbl_points[Points],""))))))</f>
        <v/>
      </c>
      <c r="P4" s="3" t="str">
        <f>IF(O4="","",IF(O4="DNS",0,IF(O4="DQ",0,IF(O4="DNF",1,IF(AND(ISNUMBER(O4),O4&gt;59),1,_xlfn.XLOOKUP(O4,tbl_points[Place],tbl_points[Points],""))))))</f>
        <v/>
      </c>
      <c r="Q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" s="3">
        <f>tbl_individual[[#This Row],[Total]]-tbl_individual[[#This Row],[Lowest Score]]</f>
        <v>0</v>
      </c>
    </row>
    <row r="5" spans="1:19" x14ac:dyDescent="0.4">
      <c r="A5" t="s">
        <v>61</v>
      </c>
      <c r="B5" t="s">
        <v>11</v>
      </c>
      <c r="C5" t="s">
        <v>7</v>
      </c>
      <c r="D5" s="3">
        <v>8147</v>
      </c>
      <c r="F5" s="3" t="str">
        <f>IF(E5="","",IF(E5="DNS",0,IF(E5="DQ",0,IF(E5="DNF",1,IF(AND(ISNUMBER(E5),E5&gt;59),1,_xlfn.XLOOKUP(E5,tbl_points[Place],tbl_points[Points],""))))))</f>
        <v/>
      </c>
      <c r="H5" s="3" t="str">
        <f>IF(G5="","",IF(G5="DNS",0,IF(G5="DQ",0,IF(G5="DNF",1,IF(AND(ISNUMBER(G5),G5&gt;59),1,_xlfn.XLOOKUP(G5,tbl_points[Place],tbl_points[Points],""))))))</f>
        <v/>
      </c>
      <c r="J5" s="3" t="str">
        <f>IF(I5="","",IF(I5="DNS",0,IF(I5="DQ",0,IF(I5="DNF",1,IF(AND(ISNUMBER(I5),I5&gt;59),1,_xlfn.XLOOKUP(I5,tbl_points[Place],tbl_points[Points],""))))))</f>
        <v/>
      </c>
      <c r="L5" s="3" t="str">
        <f>IF(K5="","",IF(K5="DNS",0,IF(K5="DQ",0,IF(K5="DNF",1,IF(AND(ISNUMBER(K5),K5&gt;59),1,_xlfn.XLOOKUP(K5,tbl_points[Place],tbl_points[Points],""))))))</f>
        <v/>
      </c>
      <c r="N5" s="3" t="str">
        <f>IF(M5="","",IF(M5="DNS",0,IF(M5="DQ",0,IF(M5="DNF",1,IF(AND(ISNUMBER(M5),M5&gt;59),1,_xlfn.XLOOKUP(M5,tbl_points[Place],tbl_points[Points],""))))))</f>
        <v/>
      </c>
      <c r="P5" s="3" t="str">
        <f>IF(O5="","",IF(O5="DNS",0,IF(O5="DQ",0,IF(O5="DNF",1,IF(AND(ISNUMBER(O5),O5&gt;59),1,_xlfn.XLOOKUP(O5,tbl_points[Place],tbl_points[Points],""))))))</f>
        <v/>
      </c>
      <c r="Q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" s="3">
        <f>tbl_individual[[#This Row],[Total]]-tbl_individual[[#This Row],[Lowest Score]]</f>
        <v>0</v>
      </c>
    </row>
    <row r="6" spans="1:19" x14ac:dyDescent="0.4">
      <c r="A6" t="s">
        <v>62</v>
      </c>
      <c r="B6" t="s">
        <v>11</v>
      </c>
      <c r="C6" t="s">
        <v>7</v>
      </c>
      <c r="D6" s="3">
        <v>8154</v>
      </c>
      <c r="F6" s="3" t="str">
        <f>IF(E6="","",IF(E6="DNS",0,IF(E6="DQ",0,IF(E6="DNF",1,IF(AND(ISNUMBER(E6),E6&gt;59),1,_xlfn.XLOOKUP(E6,tbl_points[Place],tbl_points[Points],""))))))</f>
        <v/>
      </c>
      <c r="H6" s="3" t="str">
        <f>IF(G6="","",IF(G6="DNS",0,IF(G6="DQ",0,IF(G6="DNF",1,IF(AND(ISNUMBER(G6),G6&gt;59),1,_xlfn.XLOOKUP(G6,tbl_points[Place],tbl_points[Points],""))))))</f>
        <v/>
      </c>
      <c r="J6" s="3" t="str">
        <f>IF(I6="","",IF(I6="DNS",0,IF(I6="DQ",0,IF(I6="DNF",1,IF(AND(ISNUMBER(I6),I6&gt;59),1,_xlfn.XLOOKUP(I6,tbl_points[Place],tbl_points[Points],""))))))</f>
        <v/>
      </c>
      <c r="L6" s="3" t="str">
        <f>IF(K6="","",IF(K6="DNS",0,IF(K6="DQ",0,IF(K6="DNF",1,IF(AND(ISNUMBER(K6),K6&gt;59),1,_xlfn.XLOOKUP(K6,tbl_points[Place],tbl_points[Points],""))))))</f>
        <v/>
      </c>
      <c r="N6" s="3" t="str">
        <f>IF(M6="","",IF(M6="DNS",0,IF(M6="DQ",0,IF(M6="DNF",1,IF(AND(ISNUMBER(M6),M6&gt;59),1,_xlfn.XLOOKUP(M6,tbl_points[Place],tbl_points[Points],""))))))</f>
        <v/>
      </c>
      <c r="P6" s="3" t="str">
        <f>IF(O6="","",IF(O6="DNS",0,IF(O6="DQ",0,IF(O6="DNF",1,IF(AND(ISNUMBER(O6),O6&gt;59),1,_xlfn.XLOOKUP(O6,tbl_points[Place],tbl_points[Points],""))))))</f>
        <v/>
      </c>
      <c r="Q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" s="3">
        <f>tbl_individual[[#This Row],[Total]]-tbl_individual[[#This Row],[Lowest Score]]</f>
        <v>0</v>
      </c>
    </row>
    <row r="7" spans="1:19" x14ac:dyDescent="0.4">
      <c r="A7" t="s">
        <v>66</v>
      </c>
      <c r="B7" t="s">
        <v>11</v>
      </c>
      <c r="C7" t="s">
        <v>7</v>
      </c>
      <c r="D7" s="3">
        <v>8186</v>
      </c>
      <c r="F7" s="3" t="str">
        <f>IF(E7="","",IF(E7="DNS",0,IF(E7="DQ",0,IF(E7="DNF",1,IF(AND(ISNUMBER(E7),E7&gt;59),1,_xlfn.XLOOKUP(E7,tbl_points[Place],tbl_points[Points],""))))))</f>
        <v/>
      </c>
      <c r="H7" s="3" t="str">
        <f>IF(G7="","",IF(G7="DNS",0,IF(G7="DQ",0,IF(G7="DNF",1,IF(AND(ISNUMBER(G7),G7&gt;59),1,_xlfn.XLOOKUP(G7,tbl_points[Place],tbl_points[Points],""))))))</f>
        <v/>
      </c>
      <c r="J7" s="3" t="str">
        <f>IF(I7="","",IF(I7="DNS",0,IF(I7="DQ",0,IF(I7="DNF",1,IF(AND(ISNUMBER(I7),I7&gt;59),1,_xlfn.XLOOKUP(I7,tbl_points[Place],tbl_points[Points],""))))))</f>
        <v/>
      </c>
      <c r="L7" s="3" t="str">
        <f>IF(K7="","",IF(K7="DNS",0,IF(K7="DQ",0,IF(K7="DNF",1,IF(AND(ISNUMBER(K7),K7&gt;59),1,_xlfn.XLOOKUP(K7,tbl_points[Place],tbl_points[Points],""))))))</f>
        <v/>
      </c>
      <c r="N7" s="3" t="str">
        <f>IF(M7="","",IF(M7="DNS",0,IF(M7="DQ",0,IF(M7="DNF",1,IF(AND(ISNUMBER(M7),M7&gt;59),1,_xlfn.XLOOKUP(M7,tbl_points[Place],tbl_points[Points],""))))))</f>
        <v/>
      </c>
      <c r="P7" s="3" t="str">
        <f>IF(O7="","",IF(O7="DNS",0,IF(O7="DQ",0,IF(O7="DNF",1,IF(AND(ISNUMBER(O7),O7&gt;59),1,_xlfn.XLOOKUP(O7,tbl_points[Place],tbl_points[Points],""))))))</f>
        <v/>
      </c>
      <c r="Q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" s="3">
        <f>tbl_individual[[#This Row],[Total]]-tbl_individual[[#This Row],[Lowest Score]]</f>
        <v>0</v>
      </c>
    </row>
    <row r="8" spans="1:19" x14ac:dyDescent="0.4">
      <c r="A8" t="s">
        <v>63</v>
      </c>
      <c r="B8" t="s">
        <v>11</v>
      </c>
      <c r="C8" t="s">
        <v>7</v>
      </c>
      <c r="D8" s="3">
        <v>8177</v>
      </c>
      <c r="F8" s="3" t="str">
        <f>IF(E8="","",IF(E8="DNS",0,IF(E8="DQ",0,IF(E8="DNF",1,IF(AND(ISNUMBER(E8),E8&gt;59),1,_xlfn.XLOOKUP(E8,tbl_points[Place],tbl_points[Points],""))))))</f>
        <v/>
      </c>
      <c r="H8" s="3" t="str">
        <f>IF(G8="","",IF(G8="DNS",0,IF(G8="DQ",0,IF(G8="DNF",1,IF(AND(ISNUMBER(G8),G8&gt;59),1,_xlfn.XLOOKUP(G8,tbl_points[Place],tbl_points[Points],""))))))</f>
        <v/>
      </c>
      <c r="J8" s="3" t="str">
        <f>IF(I8="","",IF(I8="DNS",0,IF(I8="DQ",0,IF(I8="DNF",1,IF(AND(ISNUMBER(I8),I8&gt;59),1,_xlfn.XLOOKUP(I8,tbl_points[Place],tbl_points[Points],""))))))</f>
        <v/>
      </c>
      <c r="L8" s="3" t="str">
        <f>IF(K8="","",IF(K8="DNS",0,IF(K8="DQ",0,IF(K8="DNF",1,IF(AND(ISNUMBER(K8),K8&gt;59),1,_xlfn.XLOOKUP(K8,tbl_points[Place],tbl_points[Points],""))))))</f>
        <v/>
      </c>
      <c r="N8" s="3" t="str">
        <f>IF(M8="","",IF(M8="DNS",0,IF(M8="DQ",0,IF(M8="DNF",1,IF(AND(ISNUMBER(M8),M8&gt;59),1,_xlfn.XLOOKUP(M8,tbl_points[Place],tbl_points[Points],""))))))</f>
        <v/>
      </c>
      <c r="P8" s="3" t="str">
        <f>IF(O8="","",IF(O8="DNS",0,IF(O8="DQ",0,IF(O8="DNF",1,IF(AND(ISNUMBER(O8),O8&gt;59),1,_xlfn.XLOOKUP(O8,tbl_points[Place],tbl_points[Points],""))))))</f>
        <v/>
      </c>
      <c r="Q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" s="3">
        <f>tbl_individual[[#This Row],[Total]]-tbl_individual[[#This Row],[Lowest Score]]</f>
        <v>0</v>
      </c>
    </row>
    <row r="9" spans="1:19" x14ac:dyDescent="0.4">
      <c r="A9" t="s">
        <v>60</v>
      </c>
      <c r="B9" t="s">
        <v>11</v>
      </c>
      <c r="C9" t="s">
        <v>7</v>
      </c>
      <c r="D9" s="3">
        <v>8140</v>
      </c>
      <c r="F9" s="3" t="str">
        <f>IF(E9="","",IF(E9="DNS",0,IF(E9="DQ",0,IF(E9="DNF",1,IF(AND(ISNUMBER(E9),E9&gt;59),1,_xlfn.XLOOKUP(E9,tbl_points[Place],tbl_points[Points],""))))))</f>
        <v/>
      </c>
      <c r="H9" s="3" t="str">
        <f>IF(G9="","",IF(G9="DNS",0,IF(G9="DQ",0,IF(G9="DNF",1,IF(AND(ISNUMBER(G9),G9&gt;59),1,_xlfn.XLOOKUP(G9,tbl_points[Place],tbl_points[Points],""))))))</f>
        <v/>
      </c>
      <c r="J9" s="3" t="str">
        <f>IF(I9="","",IF(I9="DNS",0,IF(I9="DQ",0,IF(I9="DNF",1,IF(AND(ISNUMBER(I9),I9&gt;59),1,_xlfn.XLOOKUP(I9,tbl_points[Place],tbl_points[Points],""))))))</f>
        <v/>
      </c>
      <c r="L9" s="3" t="str">
        <f>IF(K9="","",IF(K9="DNS",0,IF(K9="DQ",0,IF(K9="DNF",1,IF(AND(ISNUMBER(K9),K9&gt;59),1,_xlfn.XLOOKUP(K9,tbl_points[Place],tbl_points[Points],""))))))</f>
        <v/>
      </c>
      <c r="N9" s="3" t="str">
        <f>IF(M9="","",IF(M9="DNS",0,IF(M9="DQ",0,IF(M9="DNF",1,IF(AND(ISNUMBER(M9),M9&gt;59),1,_xlfn.XLOOKUP(M9,tbl_points[Place],tbl_points[Points],""))))))</f>
        <v/>
      </c>
      <c r="P9" s="3" t="str">
        <f>IF(O9="","",IF(O9="DNS",0,IF(O9="DQ",0,IF(O9="DNF",1,IF(AND(ISNUMBER(O9),O9&gt;59),1,_xlfn.XLOOKUP(O9,tbl_points[Place],tbl_points[Points],""))))))</f>
        <v/>
      </c>
      <c r="Q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" s="3">
        <f>tbl_individual[[#This Row],[Total]]-tbl_individual[[#This Row],[Lowest Score]]</f>
        <v>0</v>
      </c>
    </row>
    <row r="10" spans="1:19" x14ac:dyDescent="0.4">
      <c r="A10" t="s">
        <v>64</v>
      </c>
      <c r="B10" t="s">
        <v>11</v>
      </c>
      <c r="C10" t="s">
        <v>7</v>
      </c>
      <c r="D10" s="3">
        <v>8181</v>
      </c>
      <c r="F10" s="3" t="str">
        <f>IF(E10="","",IF(E10="DNS",0,IF(E10="DQ",0,IF(E10="DNF",1,IF(AND(ISNUMBER(E10),E10&gt;59),1,_xlfn.XLOOKUP(E10,tbl_points[Place],tbl_points[Points],""))))))</f>
        <v/>
      </c>
      <c r="H10" s="3" t="str">
        <f>IF(G10="","",IF(G10="DNS",0,IF(G10="DQ",0,IF(G10="DNF",1,IF(AND(ISNUMBER(G10),G10&gt;59),1,_xlfn.XLOOKUP(G10,tbl_points[Place],tbl_points[Points],""))))))</f>
        <v/>
      </c>
      <c r="J10" s="3" t="str">
        <f>IF(I10="","",IF(I10="DNS",0,IF(I10="DQ",0,IF(I10="DNF",1,IF(AND(ISNUMBER(I10),I10&gt;59),1,_xlfn.XLOOKUP(I10,tbl_points[Place],tbl_points[Points],""))))))</f>
        <v/>
      </c>
      <c r="L10" s="3" t="str">
        <f>IF(K10="","",IF(K10="DNS",0,IF(K10="DQ",0,IF(K10="DNF",1,IF(AND(ISNUMBER(K10),K10&gt;59),1,_xlfn.XLOOKUP(K10,tbl_points[Place],tbl_points[Points],""))))))</f>
        <v/>
      </c>
      <c r="N10" s="3" t="str">
        <f>IF(M10="","",IF(M10="DNS",0,IF(M10="DQ",0,IF(M10="DNF",1,IF(AND(ISNUMBER(M10),M10&gt;59),1,_xlfn.XLOOKUP(M10,tbl_points[Place],tbl_points[Points],""))))))</f>
        <v/>
      </c>
      <c r="P10" s="3" t="str">
        <f>IF(O10="","",IF(O10="DNS",0,IF(O10="DQ",0,IF(O10="DNF",1,IF(AND(ISNUMBER(O10),O10&gt;59),1,_xlfn.XLOOKUP(O10,tbl_points[Place],tbl_points[Points],""))))))</f>
        <v/>
      </c>
      <c r="Q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" s="3">
        <f>tbl_individual[[#This Row],[Total]]-tbl_individual[[#This Row],[Lowest Score]]</f>
        <v>0</v>
      </c>
    </row>
    <row r="11" spans="1:19" x14ac:dyDescent="0.4">
      <c r="A11" t="s">
        <v>65</v>
      </c>
      <c r="B11" t="s">
        <v>11</v>
      </c>
      <c r="C11" t="s">
        <v>7</v>
      </c>
      <c r="D11" s="3">
        <v>8185</v>
      </c>
      <c r="F11" s="3" t="str">
        <f>IF(E11="","",IF(E11="DNS",0,IF(E11="DQ",0,IF(E11="DNF",1,IF(AND(ISNUMBER(E11),E11&gt;59),1,_xlfn.XLOOKUP(E11,tbl_points[Place],tbl_points[Points],""))))))</f>
        <v/>
      </c>
      <c r="H11" s="3" t="str">
        <f>IF(G11="","",IF(G11="DNS",0,IF(G11="DQ",0,IF(G11="DNF",1,IF(AND(ISNUMBER(G11),G11&gt;59),1,_xlfn.XLOOKUP(G11,tbl_points[Place],tbl_points[Points],""))))))</f>
        <v/>
      </c>
      <c r="J11" s="3" t="str">
        <f>IF(I11="","",IF(I11="DNS",0,IF(I11="DQ",0,IF(I11="DNF",1,IF(AND(ISNUMBER(I11),I11&gt;59),1,_xlfn.XLOOKUP(I11,tbl_points[Place],tbl_points[Points],""))))))</f>
        <v/>
      </c>
      <c r="L11" s="3" t="str">
        <f>IF(K11="","",IF(K11="DNS",0,IF(K11="DQ",0,IF(K11="DNF",1,IF(AND(ISNUMBER(K11),K11&gt;59),1,_xlfn.XLOOKUP(K11,tbl_points[Place],tbl_points[Points],""))))))</f>
        <v/>
      </c>
      <c r="N11" s="3" t="str">
        <f>IF(M11="","",IF(M11="DNS",0,IF(M11="DQ",0,IF(M11="DNF",1,IF(AND(ISNUMBER(M11),M11&gt;59),1,_xlfn.XLOOKUP(M11,tbl_points[Place],tbl_points[Points],""))))))</f>
        <v/>
      </c>
      <c r="P11" s="3" t="str">
        <f>IF(O11="","",IF(O11="DNS",0,IF(O11="DQ",0,IF(O11="DNF",1,IF(AND(ISNUMBER(O11),O11&gt;59),1,_xlfn.XLOOKUP(O11,tbl_points[Place],tbl_points[Points],""))))))</f>
        <v/>
      </c>
      <c r="Q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" s="3">
        <f>tbl_individual[[#This Row],[Total]]-tbl_individual[[#This Row],[Lowest Score]]</f>
        <v>0</v>
      </c>
    </row>
    <row r="12" spans="1:19" x14ac:dyDescent="0.4">
      <c r="A12" t="s">
        <v>59</v>
      </c>
      <c r="B12" t="s">
        <v>11</v>
      </c>
      <c r="C12" t="s">
        <v>7</v>
      </c>
      <c r="D12" s="3">
        <v>8086</v>
      </c>
      <c r="F12" s="3" t="str">
        <f>IF(E12="","",IF(E12="DNS",0,IF(E12="DQ",0,IF(E12="DNF",1,IF(AND(ISNUMBER(E12),E12&gt;59),1,_xlfn.XLOOKUP(E12,tbl_points[Place],tbl_points[Points],""))))))</f>
        <v/>
      </c>
      <c r="H12" s="3" t="str">
        <f>IF(G12="","",IF(G12="DNS",0,IF(G12="DQ",0,IF(G12="DNF",1,IF(AND(ISNUMBER(G12),G12&gt;59),1,_xlfn.XLOOKUP(G12,tbl_points[Place],tbl_points[Points],""))))))</f>
        <v/>
      </c>
      <c r="J12" s="3" t="str">
        <f>IF(I12="","",IF(I12="DNS",0,IF(I12="DQ",0,IF(I12="DNF",1,IF(AND(ISNUMBER(I12),I12&gt;59),1,_xlfn.XLOOKUP(I12,tbl_points[Place],tbl_points[Points],""))))))</f>
        <v/>
      </c>
      <c r="L12" s="3" t="str">
        <f>IF(K12="","",IF(K12="DNS",0,IF(K12="DQ",0,IF(K12="DNF",1,IF(AND(ISNUMBER(K12),K12&gt;59),1,_xlfn.XLOOKUP(K12,tbl_points[Place],tbl_points[Points],""))))))</f>
        <v/>
      </c>
      <c r="N12" s="3" t="str">
        <f>IF(M12="","",IF(M12="DNS",0,IF(M12="DQ",0,IF(M12="DNF",1,IF(AND(ISNUMBER(M12),M12&gt;59),1,_xlfn.XLOOKUP(M12,tbl_points[Place],tbl_points[Points],""))))))</f>
        <v/>
      </c>
      <c r="P12" s="3" t="str">
        <f>IF(O12="","",IF(O12="DNS",0,IF(O12="DQ",0,IF(O12="DNF",1,IF(AND(ISNUMBER(O12),O12&gt;59),1,_xlfn.XLOOKUP(O12,tbl_points[Place],tbl_points[Points],""))))))</f>
        <v/>
      </c>
      <c r="Q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" s="3">
        <f>tbl_individual[[#This Row],[Total]]-tbl_individual[[#This Row],[Lowest Score]]</f>
        <v>0</v>
      </c>
    </row>
    <row r="13" spans="1:19" x14ac:dyDescent="0.4">
      <c r="A13" t="s">
        <v>58</v>
      </c>
      <c r="B13" t="s">
        <v>11</v>
      </c>
      <c r="C13" t="s">
        <v>7</v>
      </c>
      <c r="D13" s="3">
        <v>8049</v>
      </c>
      <c r="F13" s="3" t="str">
        <f>IF(E13="","",IF(E13="DNS",0,IF(E13="DQ",0,IF(E13="DNF",1,IF(AND(ISNUMBER(E13),E13&gt;59),1,_xlfn.XLOOKUP(E13,tbl_points[Place],tbl_points[Points],""))))))</f>
        <v/>
      </c>
      <c r="H13" s="3" t="str">
        <f>IF(G13="","",IF(G13="DNS",0,IF(G13="DQ",0,IF(G13="DNF",1,IF(AND(ISNUMBER(G13),G13&gt;59),1,_xlfn.XLOOKUP(G13,tbl_points[Place],tbl_points[Points],""))))))</f>
        <v/>
      </c>
      <c r="J13" s="3" t="str">
        <f>IF(I13="","",IF(I13="DNS",0,IF(I13="DQ",0,IF(I13="DNF",1,IF(AND(ISNUMBER(I13),I13&gt;59),1,_xlfn.XLOOKUP(I13,tbl_points[Place],tbl_points[Points],""))))))</f>
        <v/>
      </c>
      <c r="L13" s="3" t="str">
        <f>IF(K13="","",IF(K13="DNS",0,IF(K13="DQ",0,IF(K13="DNF",1,IF(AND(ISNUMBER(K13),K13&gt;59),1,_xlfn.XLOOKUP(K13,tbl_points[Place],tbl_points[Points],""))))))</f>
        <v/>
      </c>
      <c r="N13" s="3" t="str">
        <f>IF(M13="","",IF(M13="DNS",0,IF(M13="DQ",0,IF(M13="DNF",1,IF(AND(ISNUMBER(M13),M13&gt;59),1,_xlfn.XLOOKUP(M13,tbl_points[Place],tbl_points[Points],""))))))</f>
        <v/>
      </c>
      <c r="P13" s="3" t="str">
        <f>IF(O13="","",IF(O13="DNS",0,IF(O13="DQ",0,IF(O13="DNF",1,IF(AND(ISNUMBER(O13),O13&gt;59),1,_xlfn.XLOOKUP(O13,tbl_points[Place],tbl_points[Points],""))))))</f>
        <v/>
      </c>
      <c r="Q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" s="3">
        <f>tbl_individual[[#This Row],[Total]]-tbl_individual[[#This Row],[Lowest Score]]</f>
        <v>0</v>
      </c>
    </row>
    <row r="14" spans="1:19" x14ac:dyDescent="0.4">
      <c r="A14" t="s">
        <v>57</v>
      </c>
      <c r="B14" t="s">
        <v>11</v>
      </c>
      <c r="C14" t="s">
        <v>7</v>
      </c>
      <c r="D14" s="3">
        <v>8010</v>
      </c>
      <c r="F14" s="3" t="str">
        <f>IF(E14="","",IF(E14="DNS",0,IF(E14="DQ",0,IF(E14="DNF",1,IF(AND(ISNUMBER(E14),E14&gt;59),1,_xlfn.XLOOKUP(E14,tbl_points[Place],tbl_points[Points],""))))))</f>
        <v/>
      </c>
      <c r="H14" s="3" t="str">
        <f>IF(G14="","",IF(G14="DNS",0,IF(G14="DQ",0,IF(G14="DNF",1,IF(AND(ISNUMBER(G14),G14&gt;59),1,_xlfn.XLOOKUP(G14,tbl_points[Place],tbl_points[Points],""))))))</f>
        <v/>
      </c>
      <c r="J14" s="3" t="str">
        <f>IF(I14="","",IF(I14="DNS",0,IF(I14="DQ",0,IF(I14="DNF",1,IF(AND(ISNUMBER(I14),I14&gt;59),1,_xlfn.XLOOKUP(I14,tbl_points[Place],tbl_points[Points],""))))))</f>
        <v/>
      </c>
      <c r="L14" s="3" t="str">
        <f>IF(K14="","",IF(K14="DNS",0,IF(K14="DQ",0,IF(K14="DNF",1,IF(AND(ISNUMBER(K14),K14&gt;59),1,_xlfn.XLOOKUP(K14,tbl_points[Place],tbl_points[Points],""))))))</f>
        <v/>
      </c>
      <c r="N14" s="3" t="str">
        <f>IF(M14="","",IF(M14="DNS",0,IF(M14="DQ",0,IF(M14="DNF",1,IF(AND(ISNUMBER(M14),M14&gt;59),1,_xlfn.XLOOKUP(M14,tbl_points[Place],tbl_points[Points],""))))))</f>
        <v/>
      </c>
      <c r="P14" s="3" t="str">
        <f>IF(O14="","",IF(O14="DNS",0,IF(O14="DQ",0,IF(O14="DNF",1,IF(AND(ISNUMBER(O14),O14&gt;59),1,_xlfn.XLOOKUP(O14,tbl_points[Place],tbl_points[Points],""))))))</f>
        <v/>
      </c>
      <c r="Q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" s="3">
        <f>tbl_individual[[#This Row],[Total]]-tbl_individual[[#This Row],[Lowest Score]]</f>
        <v>0</v>
      </c>
    </row>
    <row r="15" spans="1:19" x14ac:dyDescent="0.4">
      <c r="A15" t="s">
        <v>94</v>
      </c>
      <c r="B15" t="s">
        <v>11</v>
      </c>
      <c r="C15" t="s">
        <v>3</v>
      </c>
      <c r="D15" s="3">
        <v>10119</v>
      </c>
      <c r="F15" s="3" t="str">
        <f>IF(E15="","",IF(E15="DNS",0,IF(E15="DQ",0,IF(E15="DNF",1,IF(AND(ISNUMBER(E15),E15&gt;59),1,_xlfn.XLOOKUP(E15,tbl_points[Place],tbl_points[Points],""))))))</f>
        <v/>
      </c>
      <c r="H15" s="3" t="str">
        <f>IF(G15="","",IF(G15="DNS",0,IF(G15="DQ",0,IF(G15="DNF",1,IF(AND(ISNUMBER(G15),G15&gt;59),1,_xlfn.XLOOKUP(G15,tbl_points[Place],tbl_points[Points],""))))))</f>
        <v/>
      </c>
      <c r="J15" s="3" t="str">
        <f>IF(I15="","",IF(I15="DNS",0,IF(I15="DQ",0,IF(I15="DNF",1,IF(AND(ISNUMBER(I15),I15&gt;59),1,_xlfn.XLOOKUP(I15,tbl_points[Place],tbl_points[Points],""))))))</f>
        <v/>
      </c>
      <c r="L15" s="3" t="str">
        <f>IF(K15="","",IF(K15="DNS",0,IF(K15="DQ",0,IF(K15="DNF",1,IF(AND(ISNUMBER(K15),K15&gt;59),1,_xlfn.XLOOKUP(K15,tbl_points[Place],tbl_points[Points],""))))))</f>
        <v/>
      </c>
      <c r="N15" s="3" t="str">
        <f>IF(M15="","",IF(M15="DNS",0,IF(M15="DQ",0,IF(M15="DNF",1,IF(AND(ISNUMBER(M15),M15&gt;59),1,_xlfn.XLOOKUP(M15,tbl_points[Place],tbl_points[Points],""))))))</f>
        <v/>
      </c>
      <c r="P15" s="3" t="str">
        <f>IF(O15="","",IF(O15="DNS",0,IF(O15="DQ",0,IF(O15="DNF",1,IF(AND(ISNUMBER(O15),O15&gt;59),1,_xlfn.XLOOKUP(O15,tbl_points[Place],tbl_points[Points],""))))))</f>
        <v/>
      </c>
      <c r="Q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" s="3">
        <f>tbl_individual[[#This Row],[Total]]-tbl_individual[[#This Row],[Lowest Score]]</f>
        <v>0</v>
      </c>
    </row>
    <row r="16" spans="1:19" x14ac:dyDescent="0.4">
      <c r="A16" t="s">
        <v>96</v>
      </c>
      <c r="B16" t="s">
        <v>11</v>
      </c>
      <c r="C16" t="s">
        <v>3</v>
      </c>
      <c r="D16" s="3">
        <v>10150</v>
      </c>
      <c r="F16" s="3" t="str">
        <f>IF(E16="","",IF(E16="DNS",0,IF(E16="DQ",0,IF(E16="DNF",1,IF(AND(ISNUMBER(E16),E16&gt;59),1,_xlfn.XLOOKUP(E16,tbl_points[Place],tbl_points[Points],""))))))</f>
        <v/>
      </c>
      <c r="H16" s="3" t="str">
        <f>IF(G16="","",IF(G16="DNS",0,IF(G16="DQ",0,IF(G16="DNF",1,IF(AND(ISNUMBER(G16),G16&gt;59),1,_xlfn.XLOOKUP(G16,tbl_points[Place],tbl_points[Points],""))))))</f>
        <v/>
      </c>
      <c r="J16" s="3" t="str">
        <f>IF(I16="","",IF(I16="DNS",0,IF(I16="DQ",0,IF(I16="DNF",1,IF(AND(ISNUMBER(I16),I16&gt;59),1,_xlfn.XLOOKUP(I16,tbl_points[Place],tbl_points[Points],""))))))</f>
        <v/>
      </c>
      <c r="L16" s="3" t="str">
        <f>IF(K16="","",IF(K16="DNS",0,IF(K16="DQ",0,IF(K16="DNF",1,IF(AND(ISNUMBER(K16),K16&gt;59),1,_xlfn.XLOOKUP(K16,tbl_points[Place],tbl_points[Points],""))))))</f>
        <v/>
      </c>
      <c r="N16" s="3" t="str">
        <f>IF(M16="","",IF(M16="DNS",0,IF(M16="DQ",0,IF(M16="DNF",1,IF(AND(ISNUMBER(M16),M16&gt;59),1,_xlfn.XLOOKUP(M16,tbl_points[Place],tbl_points[Points],""))))))</f>
        <v/>
      </c>
      <c r="P16" s="3" t="str">
        <f>IF(O16="","",IF(O16="DNS",0,IF(O16="DQ",0,IF(O16="DNF",1,IF(AND(ISNUMBER(O16),O16&gt;59),1,_xlfn.XLOOKUP(O16,tbl_points[Place],tbl_points[Points],""))))))</f>
        <v/>
      </c>
      <c r="Q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" s="3">
        <f>tbl_individual[[#This Row],[Total]]-tbl_individual[[#This Row],[Lowest Score]]</f>
        <v>0</v>
      </c>
    </row>
    <row r="17" spans="1:19" x14ac:dyDescent="0.4">
      <c r="A17" t="s">
        <v>89</v>
      </c>
      <c r="B17" t="s">
        <v>11</v>
      </c>
      <c r="C17" t="s">
        <v>3</v>
      </c>
      <c r="D17" s="3">
        <v>10110</v>
      </c>
      <c r="F17" s="3" t="str">
        <f>IF(E17="","",IF(E17="DNS",0,IF(E17="DQ",0,IF(E17="DNF",1,IF(AND(ISNUMBER(E17),E17&gt;59),1,_xlfn.XLOOKUP(E17,tbl_points[Place],tbl_points[Points],""))))))</f>
        <v/>
      </c>
      <c r="H17" s="3" t="str">
        <f>IF(G17="","",IF(G17="DNS",0,IF(G17="DQ",0,IF(G17="DNF",1,IF(AND(ISNUMBER(G17),G17&gt;59),1,_xlfn.XLOOKUP(G17,tbl_points[Place],tbl_points[Points],""))))))</f>
        <v/>
      </c>
      <c r="J17" s="3" t="str">
        <f>IF(I17="","",IF(I17="DNS",0,IF(I17="DQ",0,IF(I17="DNF",1,IF(AND(ISNUMBER(I17),I17&gt;59),1,_xlfn.XLOOKUP(I17,tbl_points[Place],tbl_points[Points],""))))))</f>
        <v/>
      </c>
      <c r="L17" s="3" t="str">
        <f>IF(K17="","",IF(K17="DNS",0,IF(K17="DQ",0,IF(K17="DNF",1,IF(AND(ISNUMBER(K17),K17&gt;59),1,_xlfn.XLOOKUP(K17,tbl_points[Place],tbl_points[Points],""))))))</f>
        <v/>
      </c>
      <c r="N17" s="3" t="str">
        <f>IF(M17="","",IF(M17="DNS",0,IF(M17="DQ",0,IF(M17="DNF",1,IF(AND(ISNUMBER(M17),M17&gt;59),1,_xlfn.XLOOKUP(M17,tbl_points[Place],tbl_points[Points],""))))))</f>
        <v/>
      </c>
      <c r="P17" s="3" t="str">
        <f>IF(O17="","",IF(O17="DNS",0,IF(O17="DQ",0,IF(O17="DNF",1,IF(AND(ISNUMBER(O17),O17&gt;59),1,_xlfn.XLOOKUP(O17,tbl_points[Place],tbl_points[Points],""))))))</f>
        <v/>
      </c>
      <c r="Q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" s="3">
        <f>tbl_individual[[#This Row],[Total]]-tbl_individual[[#This Row],[Lowest Score]]</f>
        <v>0</v>
      </c>
    </row>
    <row r="18" spans="1:19" x14ac:dyDescent="0.4">
      <c r="A18" t="s">
        <v>93</v>
      </c>
      <c r="B18" t="s">
        <v>11</v>
      </c>
      <c r="C18" t="s">
        <v>3</v>
      </c>
      <c r="D18" s="3">
        <v>10117</v>
      </c>
      <c r="F18" s="3" t="str">
        <f>IF(E18="","",IF(E18="DNS",0,IF(E18="DQ",0,IF(E18="DNF",1,IF(AND(ISNUMBER(E18),E18&gt;59),1,_xlfn.XLOOKUP(E18,tbl_points[Place],tbl_points[Points],""))))))</f>
        <v/>
      </c>
      <c r="H18" s="3" t="str">
        <f>IF(G18="","",IF(G18="DNS",0,IF(G18="DQ",0,IF(G18="DNF",1,IF(AND(ISNUMBER(G18),G18&gt;59),1,_xlfn.XLOOKUP(G18,tbl_points[Place],tbl_points[Points],""))))))</f>
        <v/>
      </c>
      <c r="J18" s="3" t="str">
        <f>IF(I18="","",IF(I18="DNS",0,IF(I18="DQ",0,IF(I18="DNF",1,IF(AND(ISNUMBER(I18),I18&gt;59),1,_xlfn.XLOOKUP(I18,tbl_points[Place],tbl_points[Points],""))))))</f>
        <v/>
      </c>
      <c r="L18" s="3" t="str">
        <f>IF(K18="","",IF(K18="DNS",0,IF(K18="DQ",0,IF(K18="DNF",1,IF(AND(ISNUMBER(K18),K18&gt;59),1,_xlfn.XLOOKUP(K18,tbl_points[Place],tbl_points[Points],""))))))</f>
        <v/>
      </c>
      <c r="N18" s="3" t="str">
        <f>IF(M18="","",IF(M18="DNS",0,IF(M18="DQ",0,IF(M18="DNF",1,IF(AND(ISNUMBER(M18),M18&gt;59),1,_xlfn.XLOOKUP(M18,tbl_points[Place],tbl_points[Points],""))))))</f>
        <v/>
      </c>
      <c r="P18" s="3" t="str">
        <f>IF(O18="","",IF(O18="DNS",0,IF(O18="DQ",0,IF(O18="DNF",1,IF(AND(ISNUMBER(O18),O18&gt;59),1,_xlfn.XLOOKUP(O18,tbl_points[Place],tbl_points[Points],""))))))</f>
        <v/>
      </c>
      <c r="Q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" s="3">
        <f>tbl_individual[[#This Row],[Total]]-tbl_individual[[#This Row],[Lowest Score]]</f>
        <v>0</v>
      </c>
    </row>
    <row r="19" spans="1:19" x14ac:dyDescent="0.4">
      <c r="A19" t="s">
        <v>90</v>
      </c>
      <c r="B19" t="s">
        <v>11</v>
      </c>
      <c r="C19" t="s">
        <v>3</v>
      </c>
      <c r="D19" s="3">
        <v>10111</v>
      </c>
      <c r="F19" s="3" t="str">
        <f>IF(E19="","",IF(E19="DNS",0,IF(E19="DQ",0,IF(E19="DNF",1,IF(AND(ISNUMBER(E19),E19&gt;59),1,_xlfn.XLOOKUP(E19,tbl_points[Place],tbl_points[Points],""))))))</f>
        <v/>
      </c>
      <c r="H19" s="3" t="str">
        <f>IF(G19="","",IF(G19="DNS",0,IF(G19="DQ",0,IF(G19="DNF",1,IF(AND(ISNUMBER(G19),G19&gt;59),1,_xlfn.XLOOKUP(G19,tbl_points[Place],tbl_points[Points],""))))))</f>
        <v/>
      </c>
      <c r="J19" s="3" t="str">
        <f>IF(I19="","",IF(I19="DNS",0,IF(I19="DQ",0,IF(I19="DNF",1,IF(AND(ISNUMBER(I19),I19&gt;59),1,_xlfn.XLOOKUP(I19,tbl_points[Place],tbl_points[Points],""))))))</f>
        <v/>
      </c>
      <c r="L19" s="3" t="str">
        <f>IF(K19="","",IF(K19="DNS",0,IF(K19="DQ",0,IF(K19="DNF",1,IF(AND(ISNUMBER(K19),K19&gt;59),1,_xlfn.XLOOKUP(K19,tbl_points[Place],tbl_points[Points],""))))))</f>
        <v/>
      </c>
      <c r="N19" s="3" t="str">
        <f>IF(M19="","",IF(M19="DNS",0,IF(M19="DQ",0,IF(M19="DNF",1,IF(AND(ISNUMBER(M19),M19&gt;59),1,_xlfn.XLOOKUP(M19,tbl_points[Place],tbl_points[Points],""))))))</f>
        <v/>
      </c>
      <c r="P19" s="3" t="str">
        <f>IF(O19="","",IF(O19="DNS",0,IF(O19="DQ",0,IF(O19="DNF",1,IF(AND(ISNUMBER(O19),O19&gt;59),1,_xlfn.XLOOKUP(O19,tbl_points[Place],tbl_points[Points],""))))))</f>
        <v/>
      </c>
      <c r="Q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" s="3">
        <f>tbl_individual[[#This Row],[Total]]-tbl_individual[[#This Row],[Lowest Score]]</f>
        <v>0</v>
      </c>
    </row>
    <row r="20" spans="1:19" x14ac:dyDescent="0.4">
      <c r="A20" t="s">
        <v>91</v>
      </c>
      <c r="B20" t="s">
        <v>11</v>
      </c>
      <c r="C20" t="s">
        <v>3</v>
      </c>
      <c r="D20" s="3">
        <v>10114</v>
      </c>
      <c r="F20" s="3" t="str">
        <f>IF(E20="","",IF(E20="DNS",0,IF(E20="DQ",0,IF(E20="DNF",1,IF(AND(ISNUMBER(E20),E20&gt;59),1,_xlfn.XLOOKUP(E20,tbl_points[Place],tbl_points[Points],""))))))</f>
        <v/>
      </c>
      <c r="H20" s="3" t="str">
        <f>IF(G20="","",IF(G20="DNS",0,IF(G20="DQ",0,IF(G20="DNF",1,IF(AND(ISNUMBER(G20),G20&gt;59),1,_xlfn.XLOOKUP(G20,tbl_points[Place],tbl_points[Points],""))))))</f>
        <v/>
      </c>
      <c r="J20" s="3" t="str">
        <f>IF(I20="","",IF(I20="DNS",0,IF(I20="DQ",0,IF(I20="DNF",1,IF(AND(ISNUMBER(I20),I20&gt;59),1,_xlfn.XLOOKUP(I20,tbl_points[Place],tbl_points[Points],""))))))</f>
        <v/>
      </c>
      <c r="L20" s="3" t="str">
        <f>IF(K20="","",IF(K20="DNS",0,IF(K20="DQ",0,IF(K20="DNF",1,IF(AND(ISNUMBER(K20),K20&gt;59),1,_xlfn.XLOOKUP(K20,tbl_points[Place],tbl_points[Points],""))))))</f>
        <v/>
      </c>
      <c r="N20" s="3" t="str">
        <f>IF(M20="","",IF(M20="DNS",0,IF(M20="DQ",0,IF(M20="DNF",1,IF(AND(ISNUMBER(M20),M20&gt;59),1,_xlfn.XLOOKUP(M20,tbl_points[Place],tbl_points[Points],""))))))</f>
        <v/>
      </c>
      <c r="P20" s="3" t="str">
        <f>IF(O20="","",IF(O20="DNS",0,IF(O20="DQ",0,IF(O20="DNF",1,IF(AND(ISNUMBER(O20),O20&gt;59),1,_xlfn.XLOOKUP(O20,tbl_points[Place],tbl_points[Points],""))))))</f>
        <v/>
      </c>
      <c r="Q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" s="3">
        <f>tbl_individual[[#This Row],[Total]]-tbl_individual[[#This Row],[Lowest Score]]</f>
        <v>0</v>
      </c>
    </row>
    <row r="21" spans="1:19" x14ac:dyDescent="0.4">
      <c r="A21" t="s">
        <v>92</v>
      </c>
      <c r="B21" t="s">
        <v>11</v>
      </c>
      <c r="C21" t="s">
        <v>3</v>
      </c>
      <c r="D21" s="3">
        <v>10115</v>
      </c>
      <c r="F21" s="3" t="str">
        <f>IF(E21="","",IF(E21="DNS",0,IF(E21="DQ",0,IF(E21="DNF",1,IF(AND(ISNUMBER(E21),E21&gt;59),1,_xlfn.XLOOKUP(E21,tbl_points[Place],tbl_points[Points],""))))))</f>
        <v/>
      </c>
      <c r="H21" s="3" t="str">
        <f>IF(G21="","",IF(G21="DNS",0,IF(G21="DQ",0,IF(G21="DNF",1,IF(AND(ISNUMBER(G21),G21&gt;59),1,_xlfn.XLOOKUP(G21,tbl_points[Place],tbl_points[Points],""))))))</f>
        <v/>
      </c>
      <c r="J21" s="3" t="str">
        <f>IF(I21="","",IF(I21="DNS",0,IF(I21="DQ",0,IF(I21="DNF",1,IF(AND(ISNUMBER(I21),I21&gt;59),1,_xlfn.XLOOKUP(I21,tbl_points[Place],tbl_points[Points],""))))))</f>
        <v/>
      </c>
      <c r="L21" s="3" t="str">
        <f>IF(K21="","",IF(K21="DNS",0,IF(K21="DQ",0,IF(K21="DNF",1,IF(AND(ISNUMBER(K21),K21&gt;59),1,_xlfn.XLOOKUP(K21,tbl_points[Place],tbl_points[Points],""))))))</f>
        <v/>
      </c>
      <c r="N21" s="3" t="str">
        <f>IF(M21="","",IF(M21="DNS",0,IF(M21="DQ",0,IF(M21="DNF",1,IF(AND(ISNUMBER(M21),M21&gt;59),1,_xlfn.XLOOKUP(M21,tbl_points[Place],tbl_points[Points],""))))))</f>
        <v/>
      </c>
      <c r="P21" s="3" t="str">
        <f>IF(O21="","",IF(O21="DNS",0,IF(O21="DQ",0,IF(O21="DNF",1,IF(AND(ISNUMBER(O21),O21&gt;59),1,_xlfn.XLOOKUP(O21,tbl_points[Place],tbl_points[Points],""))))))</f>
        <v/>
      </c>
      <c r="Q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" s="3">
        <f>tbl_individual[[#This Row],[Total]]-tbl_individual[[#This Row],[Lowest Score]]</f>
        <v>0</v>
      </c>
    </row>
    <row r="22" spans="1:19" x14ac:dyDescent="0.4">
      <c r="A22" t="s">
        <v>97</v>
      </c>
      <c r="B22" t="s">
        <v>11</v>
      </c>
      <c r="C22" t="s">
        <v>3</v>
      </c>
      <c r="D22" s="3">
        <v>10151</v>
      </c>
      <c r="F22" s="3" t="str">
        <f>IF(E22="","",IF(E22="DNS",0,IF(E22="DQ",0,IF(E22="DNF",1,IF(AND(ISNUMBER(E22),E22&gt;59),1,_xlfn.XLOOKUP(E22,tbl_points[Place],tbl_points[Points],""))))))</f>
        <v/>
      </c>
      <c r="H22" s="3" t="str">
        <f>IF(G22="","",IF(G22="DNS",0,IF(G22="DQ",0,IF(G22="DNF",1,IF(AND(ISNUMBER(G22),G22&gt;59),1,_xlfn.XLOOKUP(G22,tbl_points[Place],tbl_points[Points],""))))))</f>
        <v/>
      </c>
      <c r="J22" s="3" t="str">
        <f>IF(I22="","",IF(I22="DNS",0,IF(I22="DQ",0,IF(I22="DNF",1,IF(AND(ISNUMBER(I22),I22&gt;59),1,_xlfn.XLOOKUP(I22,tbl_points[Place],tbl_points[Points],""))))))</f>
        <v/>
      </c>
      <c r="L22" s="3" t="str">
        <f>IF(K22="","",IF(K22="DNS",0,IF(K22="DQ",0,IF(K22="DNF",1,IF(AND(ISNUMBER(K22),K22&gt;59),1,_xlfn.XLOOKUP(K22,tbl_points[Place],tbl_points[Points],""))))))</f>
        <v/>
      </c>
      <c r="N22" s="3" t="str">
        <f>IF(M22="","",IF(M22="DNS",0,IF(M22="DQ",0,IF(M22="DNF",1,IF(AND(ISNUMBER(M22),M22&gt;59),1,_xlfn.XLOOKUP(M22,tbl_points[Place],tbl_points[Points],""))))))</f>
        <v/>
      </c>
      <c r="P22" s="3" t="str">
        <f>IF(O22="","",IF(O22="DNS",0,IF(O22="DQ",0,IF(O22="DNF",1,IF(AND(ISNUMBER(O22),O22&gt;59),1,_xlfn.XLOOKUP(O22,tbl_points[Place],tbl_points[Points],""))))))</f>
        <v/>
      </c>
      <c r="Q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" s="3">
        <f>tbl_individual[[#This Row],[Total]]-tbl_individual[[#This Row],[Lowest Score]]</f>
        <v>0</v>
      </c>
    </row>
    <row r="23" spans="1:19" x14ac:dyDescent="0.4">
      <c r="A23" t="s">
        <v>95</v>
      </c>
      <c r="B23" t="s">
        <v>11</v>
      </c>
      <c r="C23" t="s">
        <v>3</v>
      </c>
      <c r="D23" s="3">
        <v>10126</v>
      </c>
      <c r="F23" s="3" t="str">
        <f>IF(E23="","",IF(E23="DNS",0,IF(E23="DQ",0,IF(E23="DNF",1,IF(AND(ISNUMBER(E23),E23&gt;59),1,_xlfn.XLOOKUP(E23,tbl_points[Place],tbl_points[Points],""))))))</f>
        <v/>
      </c>
      <c r="H23" s="3" t="str">
        <f>IF(G23="","",IF(G23="DNS",0,IF(G23="DQ",0,IF(G23="DNF",1,IF(AND(ISNUMBER(G23),G23&gt;59),1,_xlfn.XLOOKUP(G23,tbl_points[Place],tbl_points[Points],""))))))</f>
        <v/>
      </c>
      <c r="J23" s="3" t="str">
        <f>IF(I23="","",IF(I23="DNS",0,IF(I23="DQ",0,IF(I23="DNF",1,IF(AND(ISNUMBER(I23),I23&gt;59),1,_xlfn.XLOOKUP(I23,tbl_points[Place],tbl_points[Points],""))))))</f>
        <v/>
      </c>
      <c r="L23" s="3" t="str">
        <f>IF(K23="","",IF(K23="DNS",0,IF(K23="DQ",0,IF(K23="DNF",1,IF(AND(ISNUMBER(K23),K23&gt;59),1,_xlfn.XLOOKUP(K23,tbl_points[Place],tbl_points[Points],""))))))</f>
        <v/>
      </c>
      <c r="N23" s="3" t="str">
        <f>IF(M23="","",IF(M23="DNS",0,IF(M23="DQ",0,IF(M23="DNF",1,IF(AND(ISNUMBER(M23),M23&gt;59),1,_xlfn.XLOOKUP(M23,tbl_points[Place],tbl_points[Points],""))))))</f>
        <v/>
      </c>
      <c r="P23" s="3" t="str">
        <f>IF(O23="","",IF(O23="DNS",0,IF(O23="DQ",0,IF(O23="DNF",1,IF(AND(ISNUMBER(O23),O23&gt;59),1,_xlfn.XLOOKUP(O23,tbl_points[Place],tbl_points[Points],""))))))</f>
        <v/>
      </c>
      <c r="Q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" s="3">
        <f>tbl_individual[[#This Row],[Total]]-tbl_individual[[#This Row],[Lowest Score]]</f>
        <v>0</v>
      </c>
    </row>
    <row r="24" spans="1:19" x14ac:dyDescent="0.4">
      <c r="A24" t="s">
        <v>85</v>
      </c>
      <c r="B24" t="s">
        <v>11</v>
      </c>
      <c r="C24" t="s">
        <v>4</v>
      </c>
      <c r="D24" s="3">
        <v>1027</v>
      </c>
      <c r="F24" s="3" t="str">
        <f>IF(E24="","",IF(E24="DNS",0,IF(E24="DQ",0,IF(E24="DNF",1,IF(AND(ISNUMBER(E24),E24&gt;59),1,_xlfn.XLOOKUP(E24,tbl_points[Place],tbl_points[Points],""))))))</f>
        <v/>
      </c>
      <c r="H24" s="3" t="str">
        <f>IF(G24="","",IF(G24="DNS",0,IF(G24="DQ",0,IF(G24="DNF",1,IF(AND(ISNUMBER(G24),G24&gt;59),1,_xlfn.XLOOKUP(G24,tbl_points[Place],tbl_points[Points],""))))))</f>
        <v/>
      </c>
      <c r="J24" s="3" t="str">
        <f>IF(I24="","",IF(I24="DNS",0,IF(I24="DQ",0,IF(I24="DNF",1,IF(AND(ISNUMBER(I24),I24&gt;59),1,_xlfn.XLOOKUP(I24,tbl_points[Place],tbl_points[Points],""))))))</f>
        <v/>
      </c>
      <c r="L24" s="3" t="str">
        <f>IF(K24="","",IF(K24="DNS",0,IF(K24="DQ",0,IF(K24="DNF",1,IF(AND(ISNUMBER(K24),K24&gt;59),1,_xlfn.XLOOKUP(K24,tbl_points[Place],tbl_points[Points],""))))))</f>
        <v/>
      </c>
      <c r="N24" s="3" t="str">
        <f>IF(M24="","",IF(M24="DNS",0,IF(M24="DQ",0,IF(M24="DNF",1,IF(AND(ISNUMBER(M24),M24&gt;59),1,_xlfn.XLOOKUP(M24,tbl_points[Place],tbl_points[Points],""))))))</f>
        <v/>
      </c>
      <c r="P24" s="3" t="str">
        <f>IF(O24="","",IF(O24="DNS",0,IF(O24="DQ",0,IF(O24="DNF",1,IF(AND(ISNUMBER(O24),O24&gt;59),1,_xlfn.XLOOKUP(O24,tbl_points[Place],tbl_points[Points],""))))))</f>
        <v/>
      </c>
      <c r="Q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" s="3">
        <f>tbl_individual[[#This Row],[Total]]-tbl_individual[[#This Row],[Lowest Score]]</f>
        <v>0</v>
      </c>
    </row>
    <row r="25" spans="1:19" x14ac:dyDescent="0.4">
      <c r="A25" t="s">
        <v>87</v>
      </c>
      <c r="B25" t="s">
        <v>11</v>
      </c>
      <c r="C25" t="s">
        <v>4</v>
      </c>
      <c r="D25" s="3">
        <v>1029</v>
      </c>
      <c r="F25" s="3" t="str">
        <f>IF(E25="","",IF(E25="DNS",0,IF(E25="DQ",0,IF(E25="DNF",1,IF(AND(ISNUMBER(E25),E25&gt;59),1,_xlfn.XLOOKUP(E25,tbl_points[Place],tbl_points[Points],""))))))</f>
        <v/>
      </c>
      <c r="H25" s="3" t="str">
        <f>IF(G25="","",IF(G25="DNS",0,IF(G25="DQ",0,IF(G25="DNF",1,IF(AND(ISNUMBER(G25),G25&gt;59),1,_xlfn.XLOOKUP(G25,tbl_points[Place],tbl_points[Points],""))))))</f>
        <v/>
      </c>
      <c r="J25" s="3" t="str">
        <f>IF(I25="","",IF(I25="DNS",0,IF(I25="DQ",0,IF(I25="DNF",1,IF(AND(ISNUMBER(I25),I25&gt;59),1,_xlfn.XLOOKUP(I25,tbl_points[Place],tbl_points[Points],""))))))</f>
        <v/>
      </c>
      <c r="L25" s="3" t="str">
        <f>IF(K25="","",IF(K25="DNS",0,IF(K25="DQ",0,IF(K25="DNF",1,IF(AND(ISNUMBER(K25),K25&gt;59),1,_xlfn.XLOOKUP(K25,tbl_points[Place],tbl_points[Points],""))))))</f>
        <v/>
      </c>
      <c r="N25" s="3" t="str">
        <f>IF(M25="","",IF(M25="DNS",0,IF(M25="DQ",0,IF(M25="DNF",1,IF(AND(ISNUMBER(M25),M25&gt;59),1,_xlfn.XLOOKUP(M25,tbl_points[Place],tbl_points[Points],""))))))</f>
        <v/>
      </c>
      <c r="P25" s="3" t="str">
        <f>IF(O25="","",IF(O25="DNS",0,IF(O25="DQ",0,IF(O25="DNF",1,IF(AND(ISNUMBER(O25),O25&gt;59),1,_xlfn.XLOOKUP(O25,tbl_points[Place],tbl_points[Points],""))))))</f>
        <v/>
      </c>
      <c r="Q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" s="3">
        <f>tbl_individual[[#This Row],[Total]]-tbl_individual[[#This Row],[Lowest Score]]</f>
        <v>0</v>
      </c>
    </row>
    <row r="26" spans="1:19" x14ac:dyDescent="0.4">
      <c r="A26" t="s">
        <v>86</v>
      </c>
      <c r="B26" t="s">
        <v>11</v>
      </c>
      <c r="C26" t="s">
        <v>4</v>
      </c>
      <c r="D26" s="3">
        <v>1028</v>
      </c>
      <c r="F26" s="3" t="str">
        <f>IF(E26="","",IF(E26="DNS",0,IF(E26="DQ",0,IF(E26="DNF",1,IF(AND(ISNUMBER(E26),E26&gt;59),1,_xlfn.XLOOKUP(E26,tbl_points[Place],tbl_points[Points],""))))))</f>
        <v/>
      </c>
      <c r="H26" s="3" t="str">
        <f>IF(G26="","",IF(G26="DNS",0,IF(G26="DQ",0,IF(G26="DNF",1,IF(AND(ISNUMBER(G26),G26&gt;59),1,_xlfn.XLOOKUP(G26,tbl_points[Place],tbl_points[Points],""))))))</f>
        <v/>
      </c>
      <c r="J26" s="3" t="str">
        <f>IF(I26="","",IF(I26="DNS",0,IF(I26="DQ",0,IF(I26="DNF",1,IF(AND(ISNUMBER(I26),I26&gt;59),1,_xlfn.XLOOKUP(I26,tbl_points[Place],tbl_points[Points],""))))))</f>
        <v/>
      </c>
      <c r="L26" s="3" t="str">
        <f>IF(K26="","",IF(K26="DNS",0,IF(K26="DQ",0,IF(K26="DNF",1,IF(AND(ISNUMBER(K26),K26&gt;59),1,_xlfn.XLOOKUP(K26,tbl_points[Place],tbl_points[Points],""))))))</f>
        <v/>
      </c>
      <c r="N26" s="3" t="str">
        <f>IF(M26="","",IF(M26="DNS",0,IF(M26="DQ",0,IF(M26="DNF",1,IF(AND(ISNUMBER(M26),M26&gt;59),1,_xlfn.XLOOKUP(M26,tbl_points[Place],tbl_points[Points],""))))))</f>
        <v/>
      </c>
      <c r="P26" s="3" t="str">
        <f>IF(O26="","",IF(O26="DNS",0,IF(O26="DQ",0,IF(O26="DNF",1,IF(AND(ISNUMBER(O26),O26&gt;59),1,_xlfn.XLOOKUP(O26,tbl_points[Place],tbl_points[Points],""))))))</f>
        <v/>
      </c>
      <c r="Q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" s="3">
        <f>tbl_individual[[#This Row],[Total]]-tbl_individual[[#This Row],[Lowest Score]]</f>
        <v>0</v>
      </c>
    </row>
    <row r="27" spans="1:19" x14ac:dyDescent="0.4">
      <c r="A27" t="s">
        <v>83</v>
      </c>
      <c r="B27" t="s">
        <v>11</v>
      </c>
      <c r="C27" t="s">
        <v>4</v>
      </c>
      <c r="D27" s="3">
        <v>1019</v>
      </c>
      <c r="F27" s="3" t="str">
        <f>IF(E27="","",IF(E27="DNS",0,IF(E27="DQ",0,IF(E27="DNF",1,IF(AND(ISNUMBER(E27),E27&gt;59),1,_xlfn.XLOOKUP(E27,tbl_points[Place],tbl_points[Points],""))))))</f>
        <v/>
      </c>
      <c r="H27" s="3" t="str">
        <f>IF(G27="","",IF(G27="DNS",0,IF(G27="DQ",0,IF(G27="DNF",1,IF(AND(ISNUMBER(G27),G27&gt;59),1,_xlfn.XLOOKUP(G27,tbl_points[Place],tbl_points[Points],""))))))</f>
        <v/>
      </c>
      <c r="J27" s="3" t="str">
        <f>IF(I27="","",IF(I27="DNS",0,IF(I27="DQ",0,IF(I27="DNF",1,IF(AND(ISNUMBER(I27),I27&gt;59),1,_xlfn.XLOOKUP(I27,tbl_points[Place],tbl_points[Points],""))))))</f>
        <v/>
      </c>
      <c r="L27" s="3" t="str">
        <f>IF(K27="","",IF(K27="DNS",0,IF(K27="DQ",0,IF(K27="DNF",1,IF(AND(ISNUMBER(K27),K27&gt;59),1,_xlfn.XLOOKUP(K27,tbl_points[Place],tbl_points[Points],""))))))</f>
        <v/>
      </c>
      <c r="N27" s="3" t="str">
        <f>IF(M27="","",IF(M27="DNS",0,IF(M27="DQ",0,IF(M27="DNF",1,IF(AND(ISNUMBER(M27),M27&gt;59),1,_xlfn.XLOOKUP(M27,tbl_points[Place],tbl_points[Points],""))))))</f>
        <v/>
      </c>
      <c r="P27" s="3" t="str">
        <f>IF(O27="","",IF(O27="DNS",0,IF(O27="DQ",0,IF(O27="DNF",1,IF(AND(ISNUMBER(O27),O27&gt;59),1,_xlfn.XLOOKUP(O27,tbl_points[Place],tbl_points[Points],""))))))</f>
        <v/>
      </c>
      <c r="Q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" s="3">
        <f>tbl_individual[[#This Row],[Total]]-tbl_individual[[#This Row],[Lowest Score]]</f>
        <v>0</v>
      </c>
    </row>
    <row r="28" spans="1:19" x14ac:dyDescent="0.4">
      <c r="A28" t="s">
        <v>88</v>
      </c>
      <c r="B28" t="s">
        <v>11</v>
      </c>
      <c r="C28" t="s">
        <v>4</v>
      </c>
      <c r="D28" s="3">
        <v>1030</v>
      </c>
      <c r="F28" s="3" t="str">
        <f>IF(E28="","",IF(E28="DNS",0,IF(E28="DQ",0,IF(E28="DNF",1,IF(AND(ISNUMBER(E28),E28&gt;59),1,_xlfn.XLOOKUP(E28,tbl_points[Place],tbl_points[Points],""))))))</f>
        <v/>
      </c>
      <c r="H28" s="3" t="str">
        <f>IF(G28="","",IF(G28="DNS",0,IF(G28="DQ",0,IF(G28="DNF",1,IF(AND(ISNUMBER(G28),G28&gt;59),1,_xlfn.XLOOKUP(G28,tbl_points[Place],tbl_points[Points],""))))))</f>
        <v/>
      </c>
      <c r="J28" s="3" t="str">
        <f>IF(I28="","",IF(I28="DNS",0,IF(I28="DQ",0,IF(I28="DNF",1,IF(AND(ISNUMBER(I28),I28&gt;59),1,_xlfn.XLOOKUP(I28,tbl_points[Place],tbl_points[Points],""))))))</f>
        <v/>
      </c>
      <c r="L28" s="3" t="str">
        <f>IF(K28="","",IF(K28="DNS",0,IF(K28="DQ",0,IF(K28="DNF",1,IF(AND(ISNUMBER(K28),K28&gt;59),1,_xlfn.XLOOKUP(K28,tbl_points[Place],tbl_points[Points],""))))))</f>
        <v/>
      </c>
      <c r="N28" s="3" t="str">
        <f>IF(M28="","",IF(M28="DNS",0,IF(M28="DQ",0,IF(M28="DNF",1,IF(AND(ISNUMBER(M28),M28&gt;59),1,_xlfn.XLOOKUP(M28,tbl_points[Place],tbl_points[Points],""))))))</f>
        <v/>
      </c>
      <c r="P28" s="3" t="str">
        <f>IF(O28="","",IF(O28="DNS",0,IF(O28="DQ",0,IF(O28="DNF",1,IF(AND(ISNUMBER(O28),O28&gt;59),1,_xlfn.XLOOKUP(O28,tbl_points[Place],tbl_points[Points],""))))))</f>
        <v/>
      </c>
      <c r="Q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" s="3">
        <f>tbl_individual[[#This Row],[Total]]-tbl_individual[[#This Row],[Lowest Score]]</f>
        <v>0</v>
      </c>
    </row>
    <row r="29" spans="1:19" x14ac:dyDescent="0.4">
      <c r="A29" t="s">
        <v>84</v>
      </c>
      <c r="B29" t="s">
        <v>11</v>
      </c>
      <c r="C29" t="s">
        <v>4</v>
      </c>
      <c r="D29" s="3">
        <v>1020</v>
      </c>
      <c r="F29" s="3" t="str">
        <f>IF(E29="","",IF(E29="DNS",0,IF(E29="DQ",0,IF(E29="DNF",1,IF(AND(ISNUMBER(E29),E29&gt;59),1,_xlfn.XLOOKUP(E29,tbl_points[Place],tbl_points[Points],""))))))</f>
        <v/>
      </c>
      <c r="H29" s="3" t="str">
        <f>IF(G29="","",IF(G29="DNS",0,IF(G29="DQ",0,IF(G29="DNF",1,IF(AND(ISNUMBER(G29),G29&gt;59),1,_xlfn.XLOOKUP(G29,tbl_points[Place],tbl_points[Points],""))))))</f>
        <v/>
      </c>
      <c r="J29" s="3" t="str">
        <f>IF(I29="","",IF(I29="DNS",0,IF(I29="DQ",0,IF(I29="DNF",1,IF(AND(ISNUMBER(I29),I29&gt;59),1,_xlfn.XLOOKUP(I29,tbl_points[Place],tbl_points[Points],""))))))</f>
        <v/>
      </c>
      <c r="L29" s="3" t="str">
        <f>IF(K29="","",IF(K29="DNS",0,IF(K29="DQ",0,IF(K29="DNF",1,IF(AND(ISNUMBER(K29),K29&gt;59),1,_xlfn.XLOOKUP(K29,tbl_points[Place],tbl_points[Points],""))))))</f>
        <v/>
      </c>
      <c r="N29" s="3" t="str">
        <f>IF(M29="","",IF(M29="DNS",0,IF(M29="DQ",0,IF(M29="DNF",1,IF(AND(ISNUMBER(M29),M29&gt;59),1,_xlfn.XLOOKUP(M29,tbl_points[Place],tbl_points[Points],""))))))</f>
        <v/>
      </c>
      <c r="P29" s="3" t="str">
        <f>IF(O29="","",IF(O29="DNS",0,IF(O29="DQ",0,IF(O29="DNF",1,IF(AND(ISNUMBER(O29),O29&gt;59),1,_xlfn.XLOOKUP(O29,tbl_points[Place],tbl_points[Points],""))))))</f>
        <v/>
      </c>
      <c r="Q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" s="3">
        <f>tbl_individual[[#This Row],[Total]]-tbl_individual[[#This Row],[Lowest Score]]</f>
        <v>0</v>
      </c>
    </row>
    <row r="30" spans="1:19" x14ac:dyDescent="0.4">
      <c r="A30" t="s">
        <v>72</v>
      </c>
      <c r="B30" t="s">
        <v>11</v>
      </c>
      <c r="C30" t="s">
        <v>5</v>
      </c>
      <c r="D30" s="3">
        <v>900</v>
      </c>
      <c r="F30" s="3" t="str">
        <f>IF(E30="","",IF(E30="DNS",0,IF(E30="DQ",0,IF(E30="DNF",1,IF(AND(ISNUMBER(E30),E30&gt;59),1,_xlfn.XLOOKUP(E30,tbl_points[Place],tbl_points[Points],""))))))</f>
        <v/>
      </c>
      <c r="H30" s="3" t="str">
        <f>IF(G30="","",IF(G30="DNS",0,IF(G30="DQ",0,IF(G30="DNF",1,IF(AND(ISNUMBER(G30),G30&gt;59),1,_xlfn.XLOOKUP(G30,tbl_points[Place],tbl_points[Points],""))))))</f>
        <v/>
      </c>
      <c r="J30" s="3" t="str">
        <f>IF(I30="","",IF(I30="DNS",0,IF(I30="DQ",0,IF(I30="DNF",1,IF(AND(ISNUMBER(I30),I30&gt;59),1,_xlfn.XLOOKUP(I30,tbl_points[Place],tbl_points[Points],""))))))</f>
        <v/>
      </c>
      <c r="L30" s="3" t="str">
        <f>IF(K30="","",IF(K30="DNS",0,IF(K30="DQ",0,IF(K30="DNF",1,IF(AND(ISNUMBER(K30),K30&gt;59),1,_xlfn.XLOOKUP(K30,tbl_points[Place],tbl_points[Points],""))))))</f>
        <v/>
      </c>
      <c r="N30" s="3" t="str">
        <f>IF(M30="","",IF(M30="DNS",0,IF(M30="DQ",0,IF(M30="DNF",1,IF(AND(ISNUMBER(M30),M30&gt;59),1,_xlfn.XLOOKUP(M30,tbl_points[Place],tbl_points[Points],""))))))</f>
        <v/>
      </c>
      <c r="P30" s="3" t="str">
        <f>IF(O30="","",IF(O30="DNS",0,IF(O30="DQ",0,IF(O30="DNF",1,IF(AND(ISNUMBER(O30),O30&gt;59),1,_xlfn.XLOOKUP(O30,tbl_points[Place],tbl_points[Points],""))))))</f>
        <v/>
      </c>
      <c r="Q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" s="3">
        <f>tbl_individual[[#This Row],[Total]]-tbl_individual[[#This Row],[Lowest Score]]</f>
        <v>0</v>
      </c>
    </row>
    <row r="31" spans="1:19" x14ac:dyDescent="0.4">
      <c r="A31" t="s">
        <v>79</v>
      </c>
      <c r="B31" t="s">
        <v>11</v>
      </c>
      <c r="C31" t="s">
        <v>5</v>
      </c>
      <c r="D31" s="3">
        <v>907</v>
      </c>
      <c r="F31" s="3" t="str">
        <f>IF(E31="","",IF(E31="DNS",0,IF(E31="DQ",0,IF(E31="DNF",1,IF(AND(ISNUMBER(E31),E31&gt;59),1,_xlfn.XLOOKUP(E31,tbl_points[Place],tbl_points[Points],""))))))</f>
        <v/>
      </c>
      <c r="H31" s="3" t="str">
        <f>IF(G31="","",IF(G31="DNS",0,IF(G31="DQ",0,IF(G31="DNF",1,IF(AND(ISNUMBER(G31),G31&gt;59),1,_xlfn.XLOOKUP(G31,tbl_points[Place],tbl_points[Points],""))))))</f>
        <v/>
      </c>
      <c r="J31" s="3" t="str">
        <f>IF(I31="","",IF(I31="DNS",0,IF(I31="DQ",0,IF(I31="DNF",1,IF(AND(ISNUMBER(I31),I31&gt;59),1,_xlfn.XLOOKUP(I31,tbl_points[Place],tbl_points[Points],""))))))</f>
        <v/>
      </c>
      <c r="L31" s="3" t="str">
        <f>IF(K31="","",IF(K31="DNS",0,IF(K31="DQ",0,IF(K31="DNF",1,IF(AND(ISNUMBER(K31),K31&gt;59),1,_xlfn.XLOOKUP(K31,tbl_points[Place],tbl_points[Points],""))))))</f>
        <v/>
      </c>
      <c r="N31" s="3" t="str">
        <f>IF(M31="","",IF(M31="DNS",0,IF(M31="DQ",0,IF(M31="DNF",1,IF(AND(ISNUMBER(M31),M31&gt;59),1,_xlfn.XLOOKUP(M31,tbl_points[Place],tbl_points[Points],""))))))</f>
        <v/>
      </c>
      <c r="P31" s="3" t="str">
        <f>IF(O31="","",IF(O31="DNS",0,IF(O31="DQ",0,IF(O31="DNF",1,IF(AND(ISNUMBER(O31),O31&gt;59),1,_xlfn.XLOOKUP(O31,tbl_points[Place],tbl_points[Points],""))))))</f>
        <v/>
      </c>
      <c r="Q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" s="3">
        <f>tbl_individual[[#This Row],[Total]]-tbl_individual[[#This Row],[Lowest Score]]</f>
        <v>0</v>
      </c>
    </row>
    <row r="32" spans="1:19" x14ac:dyDescent="0.4">
      <c r="A32" t="s">
        <v>81</v>
      </c>
      <c r="B32" t="s">
        <v>11</v>
      </c>
      <c r="C32" t="s">
        <v>5</v>
      </c>
      <c r="D32" s="3">
        <v>909</v>
      </c>
      <c r="F32" s="3" t="str">
        <f>IF(E32="","",IF(E32="DNS",0,IF(E32="DQ",0,IF(E32="DNF",1,IF(AND(ISNUMBER(E32),E32&gt;59),1,_xlfn.XLOOKUP(E32,tbl_points[Place],tbl_points[Points],""))))))</f>
        <v/>
      </c>
      <c r="H32" s="3" t="str">
        <f>IF(G32="","",IF(G32="DNS",0,IF(G32="DQ",0,IF(G32="DNF",1,IF(AND(ISNUMBER(G32),G32&gt;59),1,_xlfn.XLOOKUP(G32,tbl_points[Place],tbl_points[Points],""))))))</f>
        <v/>
      </c>
      <c r="J32" s="3" t="str">
        <f>IF(I32="","",IF(I32="DNS",0,IF(I32="DQ",0,IF(I32="DNF",1,IF(AND(ISNUMBER(I32),I32&gt;59),1,_xlfn.XLOOKUP(I32,tbl_points[Place],tbl_points[Points],""))))))</f>
        <v/>
      </c>
      <c r="L32" s="3" t="str">
        <f>IF(K32="","",IF(K32="DNS",0,IF(K32="DQ",0,IF(K32="DNF",1,IF(AND(ISNUMBER(K32),K32&gt;59),1,_xlfn.XLOOKUP(K32,tbl_points[Place],tbl_points[Points],""))))))</f>
        <v/>
      </c>
      <c r="N32" s="3" t="str">
        <f>IF(M32="","",IF(M32="DNS",0,IF(M32="DQ",0,IF(M32="DNF",1,IF(AND(ISNUMBER(M32),M32&gt;59),1,_xlfn.XLOOKUP(M32,tbl_points[Place],tbl_points[Points],""))))))</f>
        <v/>
      </c>
      <c r="P32" s="3" t="str">
        <f>IF(O32="","",IF(O32="DNS",0,IF(O32="DQ",0,IF(O32="DNF",1,IF(AND(ISNUMBER(O32),O32&gt;59),1,_xlfn.XLOOKUP(O32,tbl_points[Place],tbl_points[Points],""))))))</f>
        <v/>
      </c>
      <c r="Q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" s="3">
        <f>tbl_individual[[#This Row],[Total]]-tbl_individual[[#This Row],[Lowest Score]]</f>
        <v>0</v>
      </c>
    </row>
    <row r="33" spans="1:19" x14ac:dyDescent="0.4">
      <c r="A33" t="s">
        <v>80</v>
      </c>
      <c r="B33" t="s">
        <v>11</v>
      </c>
      <c r="C33" t="s">
        <v>5</v>
      </c>
      <c r="D33" s="3">
        <v>908</v>
      </c>
      <c r="F33" s="3" t="str">
        <f>IF(E33="","",IF(E33="DNS",0,IF(E33="DQ",0,IF(E33="DNF",1,IF(AND(ISNUMBER(E33),E33&gt;59),1,_xlfn.XLOOKUP(E33,tbl_points[Place],tbl_points[Points],""))))))</f>
        <v/>
      </c>
      <c r="H33" s="3" t="str">
        <f>IF(G33="","",IF(G33="DNS",0,IF(G33="DQ",0,IF(G33="DNF",1,IF(AND(ISNUMBER(G33),G33&gt;59),1,_xlfn.XLOOKUP(G33,tbl_points[Place],tbl_points[Points],""))))))</f>
        <v/>
      </c>
      <c r="J33" s="3" t="str">
        <f>IF(I33="","",IF(I33="DNS",0,IF(I33="DQ",0,IF(I33="DNF",1,IF(AND(ISNUMBER(I33),I33&gt;59),1,_xlfn.XLOOKUP(I33,tbl_points[Place],tbl_points[Points],""))))))</f>
        <v/>
      </c>
      <c r="L33" s="3" t="str">
        <f>IF(K33="","",IF(K33="DNS",0,IF(K33="DQ",0,IF(K33="DNF",1,IF(AND(ISNUMBER(K33),K33&gt;59),1,_xlfn.XLOOKUP(K33,tbl_points[Place],tbl_points[Points],""))))))</f>
        <v/>
      </c>
      <c r="N33" s="3" t="str">
        <f>IF(M33="","",IF(M33="DNS",0,IF(M33="DQ",0,IF(M33="DNF",1,IF(AND(ISNUMBER(M33),M33&gt;59),1,_xlfn.XLOOKUP(M33,tbl_points[Place],tbl_points[Points],""))))))</f>
        <v/>
      </c>
      <c r="P33" s="3" t="str">
        <f>IF(O33="","",IF(O33="DNS",0,IF(O33="DQ",0,IF(O33="DNF",1,IF(AND(ISNUMBER(O33),O33&gt;59),1,_xlfn.XLOOKUP(O33,tbl_points[Place],tbl_points[Points],""))))))</f>
        <v/>
      </c>
      <c r="Q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" s="3">
        <f>tbl_individual[[#This Row],[Total]]-tbl_individual[[#This Row],[Lowest Score]]</f>
        <v>0</v>
      </c>
    </row>
    <row r="34" spans="1:19" x14ac:dyDescent="0.4">
      <c r="A34" t="s">
        <v>75</v>
      </c>
      <c r="B34" t="s">
        <v>11</v>
      </c>
      <c r="C34" t="s">
        <v>5</v>
      </c>
      <c r="D34" s="3">
        <v>903</v>
      </c>
      <c r="F34" s="3" t="str">
        <f>IF(E34="","",IF(E34="DNS",0,IF(E34="DQ",0,IF(E34="DNF",1,IF(AND(ISNUMBER(E34),E34&gt;59),1,_xlfn.XLOOKUP(E34,tbl_points[Place],tbl_points[Points],""))))))</f>
        <v/>
      </c>
      <c r="H34" s="3" t="str">
        <f>IF(G34="","",IF(G34="DNS",0,IF(G34="DQ",0,IF(G34="DNF",1,IF(AND(ISNUMBER(G34),G34&gt;59),1,_xlfn.XLOOKUP(G34,tbl_points[Place],tbl_points[Points],""))))))</f>
        <v/>
      </c>
      <c r="J34" s="3" t="str">
        <f>IF(I34="","",IF(I34="DNS",0,IF(I34="DQ",0,IF(I34="DNF",1,IF(AND(ISNUMBER(I34),I34&gt;59),1,_xlfn.XLOOKUP(I34,tbl_points[Place],tbl_points[Points],""))))))</f>
        <v/>
      </c>
      <c r="L34" s="3" t="str">
        <f>IF(K34="","",IF(K34="DNS",0,IF(K34="DQ",0,IF(K34="DNF",1,IF(AND(ISNUMBER(K34),K34&gt;59),1,_xlfn.XLOOKUP(K34,tbl_points[Place],tbl_points[Points],""))))))</f>
        <v/>
      </c>
      <c r="N34" s="3" t="str">
        <f>IF(M34="","",IF(M34="DNS",0,IF(M34="DQ",0,IF(M34="DNF",1,IF(AND(ISNUMBER(M34),M34&gt;59),1,_xlfn.XLOOKUP(M34,tbl_points[Place],tbl_points[Points],""))))))</f>
        <v/>
      </c>
      <c r="P34" s="3" t="str">
        <f>IF(O34="","",IF(O34="DNS",0,IF(O34="DQ",0,IF(O34="DNF",1,IF(AND(ISNUMBER(O34),O34&gt;59),1,_xlfn.XLOOKUP(O34,tbl_points[Place],tbl_points[Points],""))))))</f>
        <v/>
      </c>
      <c r="Q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" s="3">
        <f>tbl_individual[[#This Row],[Total]]-tbl_individual[[#This Row],[Lowest Score]]</f>
        <v>0</v>
      </c>
    </row>
    <row r="35" spans="1:19" x14ac:dyDescent="0.4">
      <c r="A35" t="s">
        <v>76</v>
      </c>
      <c r="B35" t="s">
        <v>11</v>
      </c>
      <c r="C35" t="s">
        <v>5</v>
      </c>
      <c r="D35" s="3">
        <v>904</v>
      </c>
      <c r="F35" s="3" t="str">
        <f>IF(E35="","",IF(E35="DNS",0,IF(E35="DQ",0,IF(E35="DNF",1,IF(AND(ISNUMBER(E35),E35&gt;59),1,_xlfn.XLOOKUP(E35,tbl_points[Place],tbl_points[Points],""))))))</f>
        <v/>
      </c>
      <c r="H35" s="3" t="str">
        <f>IF(G35="","",IF(G35="DNS",0,IF(G35="DQ",0,IF(G35="DNF",1,IF(AND(ISNUMBER(G35),G35&gt;59),1,_xlfn.XLOOKUP(G35,tbl_points[Place],tbl_points[Points],""))))))</f>
        <v/>
      </c>
      <c r="J35" s="3" t="str">
        <f>IF(I35="","",IF(I35="DNS",0,IF(I35="DQ",0,IF(I35="DNF",1,IF(AND(ISNUMBER(I35),I35&gt;59),1,_xlfn.XLOOKUP(I35,tbl_points[Place],tbl_points[Points],""))))))</f>
        <v/>
      </c>
      <c r="L35" s="3" t="str">
        <f>IF(K35="","",IF(K35="DNS",0,IF(K35="DQ",0,IF(K35="DNF",1,IF(AND(ISNUMBER(K35),K35&gt;59),1,_xlfn.XLOOKUP(K35,tbl_points[Place],tbl_points[Points],""))))))</f>
        <v/>
      </c>
      <c r="N35" s="3" t="str">
        <f>IF(M35="","",IF(M35="DNS",0,IF(M35="DQ",0,IF(M35="DNF",1,IF(AND(ISNUMBER(M35),M35&gt;59),1,_xlfn.XLOOKUP(M35,tbl_points[Place],tbl_points[Points],""))))))</f>
        <v/>
      </c>
      <c r="P35" s="3" t="str">
        <f>IF(O35="","",IF(O35="DNS",0,IF(O35="DQ",0,IF(O35="DNF",1,IF(AND(ISNUMBER(O35),O35&gt;59),1,_xlfn.XLOOKUP(O35,tbl_points[Place],tbl_points[Points],""))))))</f>
        <v/>
      </c>
      <c r="Q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" s="3">
        <f>tbl_individual[[#This Row],[Total]]-tbl_individual[[#This Row],[Lowest Score]]</f>
        <v>0</v>
      </c>
    </row>
    <row r="36" spans="1:19" x14ac:dyDescent="0.4">
      <c r="A36" t="s">
        <v>73</v>
      </c>
      <c r="B36" t="s">
        <v>11</v>
      </c>
      <c r="C36" t="s">
        <v>5</v>
      </c>
      <c r="D36" s="3">
        <v>901</v>
      </c>
      <c r="F36" s="3" t="str">
        <f>IF(E36="","",IF(E36="DNS",0,IF(E36="DQ",0,IF(E36="DNF",1,IF(AND(ISNUMBER(E36),E36&gt;59),1,_xlfn.XLOOKUP(E36,tbl_points[Place],tbl_points[Points],""))))))</f>
        <v/>
      </c>
      <c r="H36" s="3" t="str">
        <f>IF(G36="","",IF(G36="DNS",0,IF(G36="DQ",0,IF(G36="DNF",1,IF(AND(ISNUMBER(G36),G36&gt;59),1,_xlfn.XLOOKUP(G36,tbl_points[Place],tbl_points[Points],""))))))</f>
        <v/>
      </c>
      <c r="J36" s="3" t="str">
        <f>IF(I36="","",IF(I36="DNS",0,IF(I36="DQ",0,IF(I36="DNF",1,IF(AND(ISNUMBER(I36),I36&gt;59),1,_xlfn.XLOOKUP(I36,tbl_points[Place],tbl_points[Points],""))))))</f>
        <v/>
      </c>
      <c r="L36" s="3" t="str">
        <f>IF(K36="","",IF(K36="DNS",0,IF(K36="DQ",0,IF(K36="DNF",1,IF(AND(ISNUMBER(K36),K36&gt;59),1,_xlfn.XLOOKUP(K36,tbl_points[Place],tbl_points[Points],""))))))</f>
        <v/>
      </c>
      <c r="N36" s="3" t="str">
        <f>IF(M36="","",IF(M36="DNS",0,IF(M36="DQ",0,IF(M36="DNF",1,IF(AND(ISNUMBER(M36),M36&gt;59),1,_xlfn.XLOOKUP(M36,tbl_points[Place],tbl_points[Points],""))))))</f>
        <v/>
      </c>
      <c r="P36" s="3" t="str">
        <f>IF(O36="","",IF(O36="DNS",0,IF(O36="DQ",0,IF(O36="DNF",1,IF(AND(ISNUMBER(O36),O36&gt;59),1,_xlfn.XLOOKUP(O36,tbl_points[Place],tbl_points[Points],""))))))</f>
        <v/>
      </c>
      <c r="Q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6" s="3">
        <f>tbl_individual[[#This Row],[Total]]-tbl_individual[[#This Row],[Lowest Score]]</f>
        <v>0</v>
      </c>
    </row>
    <row r="37" spans="1:19" x14ac:dyDescent="0.4">
      <c r="A37" t="s">
        <v>77</v>
      </c>
      <c r="B37" t="s">
        <v>11</v>
      </c>
      <c r="C37" t="s">
        <v>5</v>
      </c>
      <c r="D37" s="3">
        <v>905</v>
      </c>
      <c r="F37" s="3" t="str">
        <f>IF(E37="","",IF(E37="DNS",0,IF(E37="DQ",0,IF(E37="DNF",1,IF(AND(ISNUMBER(E37),E37&gt;59),1,_xlfn.XLOOKUP(E37,tbl_points[Place],tbl_points[Points],""))))))</f>
        <v/>
      </c>
      <c r="H37" s="3" t="str">
        <f>IF(G37="","",IF(G37="DNS",0,IF(G37="DQ",0,IF(G37="DNF",1,IF(AND(ISNUMBER(G37),G37&gt;59),1,_xlfn.XLOOKUP(G37,tbl_points[Place],tbl_points[Points],""))))))</f>
        <v/>
      </c>
      <c r="J37" s="3" t="str">
        <f>IF(I37="","",IF(I37="DNS",0,IF(I37="DQ",0,IF(I37="DNF",1,IF(AND(ISNUMBER(I37),I37&gt;59),1,_xlfn.XLOOKUP(I37,tbl_points[Place],tbl_points[Points],""))))))</f>
        <v/>
      </c>
      <c r="L37" s="3" t="str">
        <f>IF(K37="","",IF(K37="DNS",0,IF(K37="DQ",0,IF(K37="DNF",1,IF(AND(ISNUMBER(K37),K37&gt;59),1,_xlfn.XLOOKUP(K37,tbl_points[Place],tbl_points[Points],""))))))</f>
        <v/>
      </c>
      <c r="N37" s="3" t="str">
        <f>IF(M37="","",IF(M37="DNS",0,IF(M37="DQ",0,IF(M37="DNF",1,IF(AND(ISNUMBER(M37),M37&gt;59),1,_xlfn.XLOOKUP(M37,tbl_points[Place],tbl_points[Points],""))))))</f>
        <v/>
      </c>
      <c r="P37" s="3" t="str">
        <f>IF(O37="","",IF(O37="DNS",0,IF(O37="DQ",0,IF(O37="DNF",1,IF(AND(ISNUMBER(O37),O37&gt;59),1,_xlfn.XLOOKUP(O37,tbl_points[Place],tbl_points[Points],""))))))</f>
        <v/>
      </c>
      <c r="Q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7" s="3">
        <f>tbl_individual[[#This Row],[Total]]-tbl_individual[[#This Row],[Lowest Score]]</f>
        <v>0</v>
      </c>
    </row>
    <row r="38" spans="1:19" x14ac:dyDescent="0.4">
      <c r="A38" t="s">
        <v>82</v>
      </c>
      <c r="B38" t="s">
        <v>11</v>
      </c>
      <c r="C38" t="s">
        <v>5</v>
      </c>
      <c r="D38" s="3">
        <v>910</v>
      </c>
      <c r="F38" s="3" t="str">
        <f>IF(E38="","",IF(E38="DNS",0,IF(E38="DQ",0,IF(E38="DNF",1,IF(AND(ISNUMBER(E38),E38&gt;59),1,_xlfn.XLOOKUP(E38,tbl_points[Place],tbl_points[Points],""))))))</f>
        <v/>
      </c>
      <c r="H38" s="3" t="str">
        <f>IF(G38="","",IF(G38="DNS",0,IF(G38="DQ",0,IF(G38="DNF",1,IF(AND(ISNUMBER(G38),G38&gt;59),1,_xlfn.XLOOKUP(G38,tbl_points[Place],tbl_points[Points],""))))))</f>
        <v/>
      </c>
      <c r="J38" s="3" t="str">
        <f>IF(I38="","",IF(I38="DNS",0,IF(I38="DQ",0,IF(I38="DNF",1,IF(AND(ISNUMBER(I38),I38&gt;59),1,_xlfn.XLOOKUP(I38,tbl_points[Place],tbl_points[Points],""))))))</f>
        <v/>
      </c>
      <c r="L38" s="3" t="str">
        <f>IF(K38="","",IF(K38="DNS",0,IF(K38="DQ",0,IF(K38="DNF",1,IF(AND(ISNUMBER(K38),K38&gt;59),1,_xlfn.XLOOKUP(K38,tbl_points[Place],tbl_points[Points],""))))))</f>
        <v/>
      </c>
      <c r="N38" s="3" t="str">
        <f>IF(M38="","",IF(M38="DNS",0,IF(M38="DQ",0,IF(M38="DNF",1,IF(AND(ISNUMBER(M38),M38&gt;59),1,_xlfn.XLOOKUP(M38,tbl_points[Place],tbl_points[Points],""))))))</f>
        <v/>
      </c>
      <c r="P38" s="3" t="str">
        <f>IF(O38="","",IF(O38="DNS",0,IF(O38="DQ",0,IF(O38="DNF",1,IF(AND(ISNUMBER(O38),O38&gt;59),1,_xlfn.XLOOKUP(O38,tbl_points[Place],tbl_points[Points],""))))))</f>
        <v/>
      </c>
      <c r="Q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8" s="3">
        <f>tbl_individual[[#This Row],[Total]]-tbl_individual[[#This Row],[Lowest Score]]</f>
        <v>0</v>
      </c>
    </row>
    <row r="39" spans="1:19" x14ac:dyDescent="0.4">
      <c r="A39" t="s">
        <v>74</v>
      </c>
      <c r="B39" t="s">
        <v>11</v>
      </c>
      <c r="C39" t="s">
        <v>5</v>
      </c>
      <c r="D39" s="3">
        <v>902</v>
      </c>
      <c r="F39" s="3" t="str">
        <f>IF(E39="","",IF(E39="DNS",0,IF(E39="DQ",0,IF(E39="DNF",1,IF(AND(ISNUMBER(E39),E39&gt;59),1,_xlfn.XLOOKUP(E39,tbl_points[Place],tbl_points[Points],""))))))</f>
        <v/>
      </c>
      <c r="H39" s="3" t="str">
        <f>IF(G39="","",IF(G39="DNS",0,IF(G39="DQ",0,IF(G39="DNF",1,IF(AND(ISNUMBER(G39),G39&gt;59),1,_xlfn.XLOOKUP(G39,tbl_points[Place],tbl_points[Points],""))))))</f>
        <v/>
      </c>
      <c r="J39" s="3" t="str">
        <f>IF(I39="","",IF(I39="DNS",0,IF(I39="DQ",0,IF(I39="DNF",1,IF(AND(ISNUMBER(I39),I39&gt;59),1,_xlfn.XLOOKUP(I39,tbl_points[Place],tbl_points[Points],""))))))</f>
        <v/>
      </c>
      <c r="L39" s="3" t="str">
        <f>IF(K39="","",IF(K39="DNS",0,IF(K39="DQ",0,IF(K39="DNF",1,IF(AND(ISNUMBER(K39),K39&gt;59),1,_xlfn.XLOOKUP(K39,tbl_points[Place],tbl_points[Points],""))))))</f>
        <v/>
      </c>
      <c r="N39" s="3" t="str">
        <f>IF(M39="","",IF(M39="DNS",0,IF(M39="DQ",0,IF(M39="DNF",1,IF(AND(ISNUMBER(M39),M39&gt;59),1,_xlfn.XLOOKUP(M39,tbl_points[Place],tbl_points[Points],""))))))</f>
        <v/>
      </c>
      <c r="P39" s="3" t="str">
        <f>IF(O39="","",IF(O39="DNS",0,IF(O39="DQ",0,IF(O39="DNF",1,IF(AND(ISNUMBER(O39),O39&gt;59),1,_xlfn.XLOOKUP(O39,tbl_points[Place],tbl_points[Points],""))))))</f>
        <v/>
      </c>
      <c r="Q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9" s="3">
        <f>tbl_individual[[#This Row],[Total]]-tbl_individual[[#This Row],[Lowest Score]]</f>
        <v>0</v>
      </c>
    </row>
    <row r="40" spans="1:19" x14ac:dyDescent="0.4">
      <c r="A40" t="s">
        <v>78</v>
      </c>
      <c r="B40" t="s">
        <v>11</v>
      </c>
      <c r="C40" t="s">
        <v>5</v>
      </c>
      <c r="D40" s="3">
        <v>906</v>
      </c>
      <c r="F40" s="3" t="str">
        <f>IF(E40="","",IF(E40="DNS",0,IF(E40="DQ",0,IF(E40="DNF",1,IF(AND(ISNUMBER(E40),E40&gt;59),1,_xlfn.XLOOKUP(E40,tbl_points[Place],tbl_points[Points],""))))))</f>
        <v/>
      </c>
      <c r="H40" s="3" t="str">
        <f>IF(G40="","",IF(G40="DNS",0,IF(G40="DQ",0,IF(G40="DNF",1,IF(AND(ISNUMBER(G40),G40&gt;59),1,_xlfn.XLOOKUP(G40,tbl_points[Place],tbl_points[Points],""))))))</f>
        <v/>
      </c>
      <c r="J40" s="3" t="str">
        <f>IF(I40="","",IF(I40="DNS",0,IF(I40="DQ",0,IF(I40="DNF",1,IF(AND(ISNUMBER(I40),I40&gt;59),1,_xlfn.XLOOKUP(I40,tbl_points[Place],tbl_points[Points],""))))))</f>
        <v/>
      </c>
      <c r="L40" s="3" t="str">
        <f>IF(K40="","",IF(K40="DNS",0,IF(K40="DQ",0,IF(K40="DNF",1,IF(AND(ISNUMBER(K40),K40&gt;59),1,_xlfn.XLOOKUP(K40,tbl_points[Place],tbl_points[Points],""))))))</f>
        <v/>
      </c>
      <c r="N40" s="3" t="str">
        <f>IF(M40="","",IF(M40="DNS",0,IF(M40="DQ",0,IF(M40="DNF",1,IF(AND(ISNUMBER(M40),M40&gt;59),1,_xlfn.XLOOKUP(M40,tbl_points[Place],tbl_points[Points],""))))))</f>
        <v/>
      </c>
      <c r="P40" s="3" t="str">
        <f>IF(O40="","",IF(O40="DNS",0,IF(O40="DQ",0,IF(O40="DNF",1,IF(AND(ISNUMBER(O40),O40&gt;59),1,_xlfn.XLOOKUP(O40,tbl_points[Place],tbl_points[Points],""))))))</f>
        <v/>
      </c>
      <c r="Q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0" s="3">
        <f>tbl_individual[[#This Row],[Total]]-tbl_individual[[#This Row],[Lowest Score]]</f>
        <v>0</v>
      </c>
    </row>
    <row r="41" spans="1:19" x14ac:dyDescent="0.4">
      <c r="A41" t="s">
        <v>70</v>
      </c>
      <c r="B41" t="s">
        <v>11</v>
      </c>
      <c r="C41" t="s">
        <v>6</v>
      </c>
      <c r="D41" s="3">
        <v>9471</v>
      </c>
      <c r="F41" s="3" t="str">
        <f>IF(E41="","",IF(E41="DNS",0,IF(E41="DQ",0,IF(E41="DNF",1,IF(AND(ISNUMBER(E41),E41&gt;59),1,_xlfn.XLOOKUP(E41,tbl_points[Place],tbl_points[Points],""))))))</f>
        <v/>
      </c>
      <c r="H41" s="3" t="str">
        <f>IF(G41="","",IF(G41="DNS",0,IF(G41="DQ",0,IF(G41="DNF",1,IF(AND(ISNUMBER(G41),G41&gt;59),1,_xlfn.XLOOKUP(G41,tbl_points[Place],tbl_points[Points],""))))))</f>
        <v/>
      </c>
      <c r="J41" s="3" t="str">
        <f>IF(I41="","",IF(I41="DNS",0,IF(I41="DQ",0,IF(I41="DNF",1,IF(AND(ISNUMBER(I41),I41&gt;59),1,_xlfn.XLOOKUP(I41,tbl_points[Place],tbl_points[Points],""))))))</f>
        <v/>
      </c>
      <c r="L41" s="3" t="str">
        <f>IF(K41="","",IF(K41="DNS",0,IF(K41="DQ",0,IF(K41="DNF",1,IF(AND(ISNUMBER(K41),K41&gt;59),1,_xlfn.XLOOKUP(K41,tbl_points[Place],tbl_points[Points],""))))))</f>
        <v/>
      </c>
      <c r="N41" s="3" t="str">
        <f>IF(M41="","",IF(M41="DNS",0,IF(M41="DQ",0,IF(M41="DNF",1,IF(AND(ISNUMBER(M41),M41&gt;59),1,_xlfn.XLOOKUP(M41,tbl_points[Place],tbl_points[Points],""))))))</f>
        <v/>
      </c>
      <c r="P41" s="3" t="str">
        <f>IF(O41="","",IF(O41="DNS",0,IF(O41="DQ",0,IF(O41="DNF",1,IF(AND(ISNUMBER(O41),O41&gt;59),1,_xlfn.XLOOKUP(O41,tbl_points[Place],tbl_points[Points],""))))))</f>
        <v/>
      </c>
      <c r="Q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1" s="3">
        <f>tbl_individual[[#This Row],[Total]]-tbl_individual[[#This Row],[Lowest Score]]</f>
        <v>0</v>
      </c>
    </row>
    <row r="42" spans="1:19" x14ac:dyDescent="0.4">
      <c r="A42" t="s">
        <v>67</v>
      </c>
      <c r="B42" t="s">
        <v>11</v>
      </c>
      <c r="C42" t="s">
        <v>6</v>
      </c>
      <c r="D42" s="3">
        <v>918</v>
      </c>
      <c r="F42" s="3" t="str">
        <f>IF(E42="","",IF(E42="DNS",0,IF(E42="DQ",0,IF(E42="DNF",1,IF(AND(ISNUMBER(E42),E42&gt;59),1,_xlfn.XLOOKUP(E42,tbl_points[Place],tbl_points[Points],""))))))</f>
        <v/>
      </c>
      <c r="H42" s="3" t="str">
        <f>IF(G42="","",IF(G42="DNS",0,IF(G42="DQ",0,IF(G42="DNF",1,IF(AND(ISNUMBER(G42),G42&gt;59),1,_xlfn.XLOOKUP(G42,tbl_points[Place],tbl_points[Points],""))))))</f>
        <v/>
      </c>
      <c r="J42" s="3" t="str">
        <f>IF(I42="","",IF(I42="DNS",0,IF(I42="DQ",0,IF(I42="DNF",1,IF(AND(ISNUMBER(I42),I42&gt;59),1,_xlfn.XLOOKUP(I42,tbl_points[Place],tbl_points[Points],""))))))</f>
        <v/>
      </c>
      <c r="L42" s="3" t="str">
        <f>IF(K42="","",IF(K42="DNS",0,IF(K42="DQ",0,IF(K42="DNF",1,IF(AND(ISNUMBER(K42),K42&gt;59),1,_xlfn.XLOOKUP(K42,tbl_points[Place],tbl_points[Points],""))))))</f>
        <v/>
      </c>
      <c r="N42" s="3" t="str">
        <f>IF(M42="","",IF(M42="DNS",0,IF(M42="DQ",0,IF(M42="DNF",1,IF(AND(ISNUMBER(M42),M42&gt;59),1,_xlfn.XLOOKUP(M42,tbl_points[Place],tbl_points[Points],""))))))</f>
        <v/>
      </c>
      <c r="P42" s="3" t="str">
        <f>IF(O42="","",IF(O42="DNS",0,IF(O42="DQ",0,IF(O42="DNF",1,IF(AND(ISNUMBER(O42),O42&gt;59),1,_xlfn.XLOOKUP(O42,tbl_points[Place],tbl_points[Points],""))))))</f>
        <v/>
      </c>
      <c r="Q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2" s="3">
        <f>tbl_individual[[#This Row],[Total]]-tbl_individual[[#This Row],[Lowest Score]]</f>
        <v>0</v>
      </c>
    </row>
    <row r="43" spans="1:19" x14ac:dyDescent="0.4">
      <c r="A43" t="s">
        <v>68</v>
      </c>
      <c r="B43" t="s">
        <v>11</v>
      </c>
      <c r="C43" t="s">
        <v>6</v>
      </c>
      <c r="D43" s="3">
        <v>9421</v>
      </c>
      <c r="F43" s="3" t="str">
        <f>IF(E43="","",IF(E43="DNS",0,IF(E43="DQ",0,IF(E43="DNF",1,IF(AND(ISNUMBER(E43),E43&gt;59),1,_xlfn.XLOOKUP(E43,tbl_points[Place],tbl_points[Points],""))))))</f>
        <v/>
      </c>
      <c r="H43" s="3" t="str">
        <f>IF(G43="","",IF(G43="DNS",0,IF(G43="DQ",0,IF(G43="DNF",1,IF(AND(ISNUMBER(G43),G43&gt;59),1,_xlfn.XLOOKUP(G43,tbl_points[Place],tbl_points[Points],""))))))</f>
        <v/>
      </c>
      <c r="J43" s="3" t="str">
        <f>IF(I43="","",IF(I43="DNS",0,IF(I43="DQ",0,IF(I43="DNF",1,IF(AND(ISNUMBER(I43),I43&gt;59),1,_xlfn.XLOOKUP(I43,tbl_points[Place],tbl_points[Points],""))))))</f>
        <v/>
      </c>
      <c r="L43" s="3" t="str">
        <f>IF(K43="","",IF(K43="DNS",0,IF(K43="DQ",0,IF(K43="DNF",1,IF(AND(ISNUMBER(K43),K43&gt;59),1,_xlfn.XLOOKUP(K43,tbl_points[Place],tbl_points[Points],""))))))</f>
        <v/>
      </c>
      <c r="N43" s="3" t="str">
        <f>IF(M43="","",IF(M43="DNS",0,IF(M43="DQ",0,IF(M43="DNF",1,IF(AND(ISNUMBER(M43),M43&gt;59),1,_xlfn.XLOOKUP(M43,tbl_points[Place],tbl_points[Points],""))))))</f>
        <v/>
      </c>
      <c r="P43" s="3" t="str">
        <f>IF(O43="","",IF(O43="DNS",0,IF(O43="DQ",0,IF(O43="DNF",1,IF(AND(ISNUMBER(O43),O43&gt;59),1,_xlfn.XLOOKUP(O43,tbl_points[Place],tbl_points[Points],""))))))</f>
        <v/>
      </c>
      <c r="Q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3" s="3">
        <f>tbl_individual[[#This Row],[Total]]-tbl_individual[[#This Row],[Lowest Score]]</f>
        <v>0</v>
      </c>
    </row>
    <row r="44" spans="1:19" x14ac:dyDescent="0.4">
      <c r="A44" t="s">
        <v>69</v>
      </c>
      <c r="B44" t="s">
        <v>11</v>
      </c>
      <c r="C44" t="s">
        <v>6</v>
      </c>
      <c r="D44" s="3">
        <v>9451</v>
      </c>
      <c r="F44" s="3" t="str">
        <f>IF(E44="","",IF(E44="DNS",0,IF(E44="DQ",0,IF(E44="DNF",1,IF(AND(ISNUMBER(E44),E44&gt;59),1,_xlfn.XLOOKUP(E44,tbl_points[Place],tbl_points[Points],""))))))</f>
        <v/>
      </c>
      <c r="H44" s="3" t="str">
        <f>IF(G44="","",IF(G44="DNS",0,IF(G44="DQ",0,IF(G44="DNF",1,IF(AND(ISNUMBER(G44),G44&gt;59),1,_xlfn.XLOOKUP(G44,tbl_points[Place],tbl_points[Points],""))))))</f>
        <v/>
      </c>
      <c r="J44" s="3" t="str">
        <f>IF(I44="","",IF(I44="DNS",0,IF(I44="DQ",0,IF(I44="DNF",1,IF(AND(ISNUMBER(I44),I44&gt;59),1,_xlfn.XLOOKUP(I44,tbl_points[Place],tbl_points[Points],""))))))</f>
        <v/>
      </c>
      <c r="L44" s="3" t="str">
        <f>IF(K44="","",IF(K44="DNS",0,IF(K44="DQ",0,IF(K44="DNF",1,IF(AND(ISNUMBER(K44),K44&gt;59),1,_xlfn.XLOOKUP(K44,tbl_points[Place],tbl_points[Points],""))))))</f>
        <v/>
      </c>
      <c r="N44" s="3" t="str">
        <f>IF(M44="","",IF(M44="DNS",0,IF(M44="DQ",0,IF(M44="DNF",1,IF(AND(ISNUMBER(M44),M44&gt;59),1,_xlfn.XLOOKUP(M44,tbl_points[Place],tbl_points[Points],""))))))</f>
        <v/>
      </c>
      <c r="P44" s="3" t="str">
        <f>IF(O44="","",IF(O44="DNS",0,IF(O44="DQ",0,IF(O44="DNF",1,IF(AND(ISNUMBER(O44),O44&gt;59),1,_xlfn.XLOOKUP(O44,tbl_points[Place],tbl_points[Points],""))))))</f>
        <v/>
      </c>
      <c r="Q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4" s="3">
        <f>tbl_individual[[#This Row],[Total]]-tbl_individual[[#This Row],[Lowest Score]]</f>
        <v>0</v>
      </c>
    </row>
    <row r="45" spans="1:19" x14ac:dyDescent="0.4">
      <c r="A45" t="s">
        <v>71</v>
      </c>
      <c r="B45" t="s">
        <v>11</v>
      </c>
      <c r="C45" t="s">
        <v>6</v>
      </c>
      <c r="D45" s="3">
        <v>9481</v>
      </c>
      <c r="F45" s="3" t="str">
        <f>IF(E45="","",IF(E45="DNS",0,IF(E45="DQ",0,IF(E45="DNF",1,IF(AND(ISNUMBER(E45),E45&gt;59),1,_xlfn.XLOOKUP(E45,tbl_points[Place],tbl_points[Points],""))))))</f>
        <v/>
      </c>
      <c r="H45" s="3" t="str">
        <f>IF(G45="","",IF(G45="DNS",0,IF(G45="DQ",0,IF(G45="DNF",1,IF(AND(ISNUMBER(G45),G45&gt;59),1,_xlfn.XLOOKUP(G45,tbl_points[Place],tbl_points[Points],""))))))</f>
        <v/>
      </c>
      <c r="J45" s="3" t="str">
        <f>IF(I45="","",IF(I45="DNS",0,IF(I45="DQ",0,IF(I45="DNF",1,IF(AND(ISNUMBER(I45),I45&gt;59),1,_xlfn.XLOOKUP(I45,tbl_points[Place],tbl_points[Points],""))))))</f>
        <v/>
      </c>
      <c r="L45" s="3" t="str">
        <f>IF(K45="","",IF(K45="DNS",0,IF(K45="DQ",0,IF(K45="DNF",1,IF(AND(ISNUMBER(K45),K45&gt;59),1,_xlfn.XLOOKUP(K45,tbl_points[Place],tbl_points[Points],""))))))</f>
        <v/>
      </c>
      <c r="N45" s="3" t="str">
        <f>IF(M45="","",IF(M45="DNS",0,IF(M45="DQ",0,IF(M45="DNF",1,IF(AND(ISNUMBER(M45),M45&gt;59),1,_xlfn.XLOOKUP(M45,tbl_points[Place],tbl_points[Points],""))))))</f>
        <v/>
      </c>
      <c r="P45" s="3" t="str">
        <f>IF(O45="","",IF(O45="DNS",0,IF(O45="DQ",0,IF(O45="DNF",1,IF(AND(ISNUMBER(O45),O45&gt;59),1,_xlfn.XLOOKUP(O45,tbl_points[Place],tbl_points[Points],""))))))</f>
        <v/>
      </c>
      <c r="Q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5" s="3">
        <f>tbl_individual[[#This Row],[Total]]-tbl_individual[[#This Row],[Lowest Score]]</f>
        <v>0</v>
      </c>
    </row>
    <row r="46" spans="1:19" x14ac:dyDescent="0.4">
      <c r="A46" t="s">
        <v>107</v>
      </c>
      <c r="B46" t="s">
        <v>11</v>
      </c>
      <c r="C46" t="s">
        <v>1</v>
      </c>
      <c r="D46" s="3">
        <v>12017</v>
      </c>
      <c r="F46" s="3" t="str">
        <f>IF(E46="","",IF(E46="DNS",0,IF(E46="DQ",0,IF(E46="DNF",1,IF(AND(ISNUMBER(E46),E46&gt;59),1,_xlfn.XLOOKUP(E46,tbl_points[Place],tbl_points[Points],""))))))</f>
        <v/>
      </c>
      <c r="H46" s="3" t="str">
        <f>IF(G46="","",IF(G46="DNS",0,IF(G46="DQ",0,IF(G46="DNF",1,IF(AND(ISNUMBER(G46),G46&gt;59),1,_xlfn.XLOOKUP(G46,tbl_points[Place],tbl_points[Points],""))))))</f>
        <v/>
      </c>
      <c r="J46" s="3" t="str">
        <f>IF(I46="","",IF(I46="DNS",0,IF(I46="DQ",0,IF(I46="DNF",1,IF(AND(ISNUMBER(I46),I46&gt;59),1,_xlfn.XLOOKUP(I46,tbl_points[Place],tbl_points[Points],""))))))</f>
        <v/>
      </c>
      <c r="L46" s="3" t="str">
        <f>IF(K46="","",IF(K46="DNS",0,IF(K46="DQ",0,IF(K46="DNF",1,IF(AND(ISNUMBER(K46),K46&gt;59),1,_xlfn.XLOOKUP(K46,tbl_points[Place],tbl_points[Points],""))))))</f>
        <v/>
      </c>
      <c r="N46" s="3" t="str">
        <f>IF(M46="","",IF(M46="DNS",0,IF(M46="DQ",0,IF(M46="DNF",1,IF(AND(ISNUMBER(M46),M46&gt;59),1,_xlfn.XLOOKUP(M46,tbl_points[Place],tbl_points[Points],""))))))</f>
        <v/>
      </c>
      <c r="P46" s="3" t="str">
        <f>IF(O46="","",IF(O46="DNS",0,IF(O46="DQ",0,IF(O46="DNF",1,IF(AND(ISNUMBER(O46),O46&gt;59),1,_xlfn.XLOOKUP(O46,tbl_points[Place],tbl_points[Points],""))))))</f>
        <v/>
      </c>
      <c r="Q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6" s="3">
        <f>tbl_individual[[#This Row],[Total]]-tbl_individual[[#This Row],[Lowest Score]]</f>
        <v>0</v>
      </c>
    </row>
    <row r="47" spans="1:19" x14ac:dyDescent="0.4">
      <c r="A47" t="s">
        <v>103</v>
      </c>
      <c r="B47" t="s">
        <v>11</v>
      </c>
      <c r="C47" t="s">
        <v>1</v>
      </c>
      <c r="D47" s="3">
        <v>12013</v>
      </c>
      <c r="F47" s="3" t="str">
        <f>IF(E47="","",IF(E47="DNS",0,IF(E47="DQ",0,IF(E47="DNF",1,IF(AND(ISNUMBER(E47),E47&gt;59),1,_xlfn.XLOOKUP(E47,tbl_points[Place],tbl_points[Points],""))))))</f>
        <v/>
      </c>
      <c r="H47" s="3" t="str">
        <f>IF(G47="","",IF(G47="DNS",0,IF(G47="DQ",0,IF(G47="DNF",1,IF(AND(ISNUMBER(G47),G47&gt;59),1,_xlfn.XLOOKUP(G47,tbl_points[Place],tbl_points[Points],""))))))</f>
        <v/>
      </c>
      <c r="J47" s="3" t="str">
        <f>IF(I47="","",IF(I47="DNS",0,IF(I47="DQ",0,IF(I47="DNF",1,IF(AND(ISNUMBER(I47),I47&gt;59),1,_xlfn.XLOOKUP(I47,tbl_points[Place],tbl_points[Points],""))))))</f>
        <v/>
      </c>
      <c r="L47" s="3" t="str">
        <f>IF(K47="","",IF(K47="DNS",0,IF(K47="DQ",0,IF(K47="DNF",1,IF(AND(ISNUMBER(K47),K47&gt;59),1,_xlfn.XLOOKUP(K47,tbl_points[Place],tbl_points[Points],""))))))</f>
        <v/>
      </c>
      <c r="N47" s="3" t="str">
        <f>IF(M47="","",IF(M47="DNS",0,IF(M47="DQ",0,IF(M47="DNF",1,IF(AND(ISNUMBER(M47),M47&gt;59),1,_xlfn.XLOOKUP(M47,tbl_points[Place],tbl_points[Points],""))))))</f>
        <v/>
      </c>
      <c r="P47" s="3" t="str">
        <f>IF(O47="","",IF(O47="DNS",0,IF(O47="DQ",0,IF(O47="DNF",1,IF(AND(ISNUMBER(O47),O47&gt;59),1,_xlfn.XLOOKUP(O47,tbl_points[Place],tbl_points[Points],""))))))</f>
        <v/>
      </c>
      <c r="Q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7" s="3">
        <f>tbl_individual[[#This Row],[Total]]-tbl_individual[[#This Row],[Lowest Score]]</f>
        <v>0</v>
      </c>
    </row>
    <row r="48" spans="1:19" x14ac:dyDescent="0.4">
      <c r="A48" t="s">
        <v>106</v>
      </c>
      <c r="B48" t="s">
        <v>11</v>
      </c>
      <c r="C48" t="s">
        <v>1</v>
      </c>
      <c r="D48" s="3">
        <v>12016</v>
      </c>
      <c r="F48" s="3" t="str">
        <f>IF(E48="","",IF(E48="DNS",0,IF(E48="DQ",0,IF(E48="DNF",1,IF(AND(ISNUMBER(E48),E48&gt;59),1,_xlfn.XLOOKUP(E48,tbl_points[Place],tbl_points[Points],""))))))</f>
        <v/>
      </c>
      <c r="H48" s="3" t="str">
        <f>IF(G48="","",IF(G48="DNS",0,IF(G48="DQ",0,IF(G48="DNF",1,IF(AND(ISNUMBER(G48),G48&gt;59),1,_xlfn.XLOOKUP(G48,tbl_points[Place],tbl_points[Points],""))))))</f>
        <v/>
      </c>
      <c r="J48" s="3" t="str">
        <f>IF(I48="","",IF(I48="DNS",0,IF(I48="DQ",0,IF(I48="DNF",1,IF(AND(ISNUMBER(I48),I48&gt;59),1,_xlfn.XLOOKUP(I48,tbl_points[Place],tbl_points[Points],""))))))</f>
        <v/>
      </c>
      <c r="L48" s="3" t="str">
        <f>IF(K48="","",IF(K48="DNS",0,IF(K48="DQ",0,IF(K48="DNF",1,IF(AND(ISNUMBER(K48),K48&gt;59),1,_xlfn.XLOOKUP(K48,tbl_points[Place],tbl_points[Points],""))))))</f>
        <v/>
      </c>
      <c r="N48" s="3" t="str">
        <f>IF(M48="","",IF(M48="DNS",0,IF(M48="DQ",0,IF(M48="DNF",1,IF(AND(ISNUMBER(M48),M48&gt;59),1,_xlfn.XLOOKUP(M48,tbl_points[Place],tbl_points[Points],""))))))</f>
        <v/>
      </c>
      <c r="P48" s="3" t="str">
        <f>IF(O48="","",IF(O48="DNS",0,IF(O48="DQ",0,IF(O48="DNF",1,IF(AND(ISNUMBER(O48),O48&gt;59),1,_xlfn.XLOOKUP(O48,tbl_points[Place],tbl_points[Points],""))))))</f>
        <v/>
      </c>
      <c r="Q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8" s="3">
        <f>tbl_individual[[#This Row],[Total]]-tbl_individual[[#This Row],[Lowest Score]]</f>
        <v>0</v>
      </c>
    </row>
    <row r="49" spans="1:19" x14ac:dyDescent="0.4">
      <c r="A49" t="s">
        <v>100</v>
      </c>
      <c r="B49" t="s">
        <v>11</v>
      </c>
      <c r="C49" t="s">
        <v>1</v>
      </c>
      <c r="D49" s="3">
        <v>12005</v>
      </c>
      <c r="F49" s="3" t="str">
        <f>IF(E49="","",IF(E49="DNS",0,IF(E49="DQ",0,IF(E49="DNF",1,IF(AND(ISNUMBER(E49),E49&gt;59),1,_xlfn.XLOOKUP(E49,tbl_points[Place],tbl_points[Points],""))))))</f>
        <v/>
      </c>
      <c r="H49" s="3" t="str">
        <f>IF(G49="","",IF(G49="DNS",0,IF(G49="DQ",0,IF(G49="DNF",1,IF(AND(ISNUMBER(G49),G49&gt;59),1,_xlfn.XLOOKUP(G49,tbl_points[Place],tbl_points[Points],""))))))</f>
        <v/>
      </c>
      <c r="J49" s="3" t="str">
        <f>IF(I49="","",IF(I49="DNS",0,IF(I49="DQ",0,IF(I49="DNF",1,IF(AND(ISNUMBER(I49),I49&gt;59),1,_xlfn.XLOOKUP(I49,tbl_points[Place],tbl_points[Points],""))))))</f>
        <v/>
      </c>
      <c r="L49" s="3" t="str">
        <f>IF(K49="","",IF(K49="DNS",0,IF(K49="DQ",0,IF(K49="DNF",1,IF(AND(ISNUMBER(K49),K49&gt;59),1,_xlfn.XLOOKUP(K49,tbl_points[Place],tbl_points[Points],""))))))</f>
        <v/>
      </c>
      <c r="N49" s="3" t="str">
        <f>IF(M49="","",IF(M49="DNS",0,IF(M49="DQ",0,IF(M49="DNF",1,IF(AND(ISNUMBER(M49),M49&gt;59),1,_xlfn.XLOOKUP(M49,tbl_points[Place],tbl_points[Points],""))))))</f>
        <v/>
      </c>
      <c r="P49" s="3" t="str">
        <f>IF(O49="","",IF(O49="DNS",0,IF(O49="DQ",0,IF(O49="DNF",1,IF(AND(ISNUMBER(O49),O49&gt;59),1,_xlfn.XLOOKUP(O49,tbl_points[Place],tbl_points[Points],""))))))</f>
        <v/>
      </c>
      <c r="Q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9" s="3">
        <f>tbl_individual[[#This Row],[Total]]-tbl_individual[[#This Row],[Lowest Score]]</f>
        <v>0</v>
      </c>
    </row>
    <row r="50" spans="1:19" x14ac:dyDescent="0.4">
      <c r="A50" t="s">
        <v>99</v>
      </c>
      <c r="B50" t="s">
        <v>11</v>
      </c>
      <c r="C50" t="s">
        <v>1</v>
      </c>
      <c r="D50" s="3">
        <v>12001</v>
      </c>
      <c r="F50" s="3" t="str">
        <f>IF(E50="","",IF(E50="DNS",0,IF(E50="DQ",0,IF(E50="DNF",1,IF(AND(ISNUMBER(E50),E50&gt;59),1,_xlfn.XLOOKUP(E50,tbl_points[Place],tbl_points[Points],""))))))</f>
        <v/>
      </c>
      <c r="H50" s="3" t="str">
        <f>IF(G50="","",IF(G50="DNS",0,IF(G50="DQ",0,IF(G50="DNF",1,IF(AND(ISNUMBER(G50),G50&gt;59),1,_xlfn.XLOOKUP(G50,tbl_points[Place],tbl_points[Points],""))))))</f>
        <v/>
      </c>
      <c r="J50" s="3" t="str">
        <f>IF(I50="","",IF(I50="DNS",0,IF(I50="DQ",0,IF(I50="DNF",1,IF(AND(ISNUMBER(I50),I50&gt;59),1,_xlfn.XLOOKUP(I50,tbl_points[Place],tbl_points[Points],""))))))</f>
        <v/>
      </c>
      <c r="L50" s="3" t="str">
        <f>IF(K50="","",IF(K50="DNS",0,IF(K50="DQ",0,IF(K50="DNF",1,IF(AND(ISNUMBER(K50),K50&gt;59),1,_xlfn.XLOOKUP(K50,tbl_points[Place],tbl_points[Points],""))))))</f>
        <v/>
      </c>
      <c r="N50" s="3" t="str">
        <f>IF(M50="","",IF(M50="DNS",0,IF(M50="DQ",0,IF(M50="DNF",1,IF(AND(ISNUMBER(M50),M50&gt;59),1,_xlfn.XLOOKUP(M50,tbl_points[Place],tbl_points[Points],""))))))</f>
        <v/>
      </c>
      <c r="P50" s="3" t="str">
        <f>IF(O50="","",IF(O50="DNS",0,IF(O50="DQ",0,IF(O50="DNF",1,IF(AND(ISNUMBER(O50),O50&gt;59),1,_xlfn.XLOOKUP(O50,tbl_points[Place],tbl_points[Points],""))))))</f>
        <v/>
      </c>
      <c r="Q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0" s="3">
        <f>tbl_individual[[#This Row],[Total]]-tbl_individual[[#This Row],[Lowest Score]]</f>
        <v>0</v>
      </c>
    </row>
    <row r="51" spans="1:19" x14ac:dyDescent="0.4">
      <c r="A51" t="s">
        <v>101</v>
      </c>
      <c r="B51" t="s">
        <v>11</v>
      </c>
      <c r="C51" t="s">
        <v>1</v>
      </c>
      <c r="D51" s="3">
        <v>12009</v>
      </c>
      <c r="F51" s="3" t="str">
        <f>IF(E51="","",IF(E51="DNS",0,IF(E51="DQ",0,IF(E51="DNF",1,IF(AND(ISNUMBER(E51),E51&gt;59),1,_xlfn.XLOOKUP(E51,tbl_points[Place],tbl_points[Points],""))))))</f>
        <v/>
      </c>
      <c r="H51" s="3" t="str">
        <f>IF(G51="","",IF(G51="DNS",0,IF(G51="DQ",0,IF(G51="DNF",1,IF(AND(ISNUMBER(G51),G51&gt;59),1,_xlfn.XLOOKUP(G51,tbl_points[Place],tbl_points[Points],""))))))</f>
        <v/>
      </c>
      <c r="J51" s="3" t="str">
        <f>IF(I51="","",IF(I51="DNS",0,IF(I51="DQ",0,IF(I51="DNF",1,IF(AND(ISNUMBER(I51),I51&gt;59),1,_xlfn.XLOOKUP(I51,tbl_points[Place],tbl_points[Points],""))))))</f>
        <v/>
      </c>
      <c r="L51" s="3" t="str">
        <f>IF(K51="","",IF(K51="DNS",0,IF(K51="DQ",0,IF(K51="DNF",1,IF(AND(ISNUMBER(K51),K51&gt;59),1,_xlfn.XLOOKUP(K51,tbl_points[Place],tbl_points[Points],""))))))</f>
        <v/>
      </c>
      <c r="N51" s="3" t="str">
        <f>IF(M51="","",IF(M51="DNS",0,IF(M51="DQ",0,IF(M51="DNF",1,IF(AND(ISNUMBER(M51),M51&gt;59),1,_xlfn.XLOOKUP(M51,tbl_points[Place],tbl_points[Points],""))))))</f>
        <v/>
      </c>
      <c r="P51" s="3" t="str">
        <f>IF(O51="","",IF(O51="DNS",0,IF(O51="DQ",0,IF(O51="DNF",1,IF(AND(ISNUMBER(O51),O51&gt;59),1,_xlfn.XLOOKUP(O51,tbl_points[Place],tbl_points[Points],""))))))</f>
        <v/>
      </c>
      <c r="Q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1" s="3">
        <f>tbl_individual[[#This Row],[Total]]-tbl_individual[[#This Row],[Lowest Score]]</f>
        <v>0</v>
      </c>
    </row>
    <row r="52" spans="1:19" x14ac:dyDescent="0.4">
      <c r="A52" t="s">
        <v>105</v>
      </c>
      <c r="B52" t="s">
        <v>11</v>
      </c>
      <c r="C52" t="s">
        <v>1</v>
      </c>
      <c r="D52" s="3">
        <v>12015</v>
      </c>
      <c r="F52" s="3" t="str">
        <f>IF(E52="","",IF(E52="DNS",0,IF(E52="DQ",0,IF(E52="DNF",1,IF(AND(ISNUMBER(E52),E52&gt;59),1,_xlfn.XLOOKUP(E52,tbl_points[Place],tbl_points[Points],""))))))</f>
        <v/>
      </c>
      <c r="H52" s="3" t="str">
        <f>IF(G52="","",IF(G52="DNS",0,IF(G52="DQ",0,IF(G52="DNF",1,IF(AND(ISNUMBER(G52),G52&gt;59),1,_xlfn.XLOOKUP(G52,tbl_points[Place],tbl_points[Points],""))))))</f>
        <v/>
      </c>
      <c r="J52" s="3" t="str">
        <f>IF(I52="","",IF(I52="DNS",0,IF(I52="DQ",0,IF(I52="DNF",1,IF(AND(ISNUMBER(I52),I52&gt;59),1,_xlfn.XLOOKUP(I52,tbl_points[Place],tbl_points[Points],""))))))</f>
        <v/>
      </c>
      <c r="L52" s="3" t="str">
        <f>IF(K52="","",IF(K52="DNS",0,IF(K52="DQ",0,IF(K52="DNF",1,IF(AND(ISNUMBER(K52),K52&gt;59),1,_xlfn.XLOOKUP(K52,tbl_points[Place],tbl_points[Points],""))))))</f>
        <v/>
      </c>
      <c r="N52" s="3" t="str">
        <f>IF(M52="","",IF(M52="DNS",0,IF(M52="DQ",0,IF(M52="DNF",1,IF(AND(ISNUMBER(M52),M52&gt;59),1,_xlfn.XLOOKUP(M52,tbl_points[Place],tbl_points[Points],""))))))</f>
        <v/>
      </c>
      <c r="P52" s="3" t="str">
        <f>IF(O52="","",IF(O52="DNS",0,IF(O52="DQ",0,IF(O52="DNF",1,IF(AND(ISNUMBER(O52),O52&gt;59),1,_xlfn.XLOOKUP(O52,tbl_points[Place],tbl_points[Points],""))))))</f>
        <v/>
      </c>
      <c r="Q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2" s="3">
        <f>tbl_individual[[#This Row],[Total]]-tbl_individual[[#This Row],[Lowest Score]]</f>
        <v>0</v>
      </c>
    </row>
    <row r="53" spans="1:19" x14ac:dyDescent="0.4">
      <c r="A53" t="s">
        <v>104</v>
      </c>
      <c r="B53" t="s">
        <v>11</v>
      </c>
      <c r="C53" t="s">
        <v>1</v>
      </c>
      <c r="D53" s="3">
        <v>12014</v>
      </c>
      <c r="F53" s="3" t="str">
        <f>IF(E53="","",IF(E53="DNS",0,IF(E53="DQ",0,IF(E53="DNF",1,IF(AND(ISNUMBER(E53),E53&gt;59),1,_xlfn.XLOOKUP(E53,tbl_points[Place],tbl_points[Points],""))))))</f>
        <v/>
      </c>
      <c r="H53" s="3" t="str">
        <f>IF(G53="","",IF(G53="DNS",0,IF(G53="DQ",0,IF(G53="DNF",1,IF(AND(ISNUMBER(G53),G53&gt;59),1,_xlfn.XLOOKUP(G53,tbl_points[Place],tbl_points[Points],""))))))</f>
        <v/>
      </c>
      <c r="J53" s="3" t="str">
        <f>IF(I53="","",IF(I53="DNS",0,IF(I53="DQ",0,IF(I53="DNF",1,IF(AND(ISNUMBER(I53),I53&gt;59),1,_xlfn.XLOOKUP(I53,tbl_points[Place],tbl_points[Points],""))))))</f>
        <v/>
      </c>
      <c r="L53" s="3" t="str">
        <f>IF(K53="","",IF(K53="DNS",0,IF(K53="DQ",0,IF(K53="DNF",1,IF(AND(ISNUMBER(K53),K53&gt;59),1,_xlfn.XLOOKUP(K53,tbl_points[Place],tbl_points[Points],""))))))</f>
        <v/>
      </c>
      <c r="N53" s="3" t="str">
        <f>IF(M53="","",IF(M53="DNS",0,IF(M53="DQ",0,IF(M53="DNF",1,IF(AND(ISNUMBER(M53),M53&gt;59),1,_xlfn.XLOOKUP(M53,tbl_points[Place],tbl_points[Points],""))))))</f>
        <v/>
      </c>
      <c r="P53" s="3" t="str">
        <f>IF(O53="","",IF(O53="DNS",0,IF(O53="DQ",0,IF(O53="DNF",1,IF(AND(ISNUMBER(O53),O53&gt;59),1,_xlfn.XLOOKUP(O53,tbl_points[Place],tbl_points[Points],""))))))</f>
        <v/>
      </c>
      <c r="Q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3" s="3">
        <f>tbl_individual[[#This Row],[Total]]-tbl_individual[[#This Row],[Lowest Score]]</f>
        <v>0</v>
      </c>
    </row>
    <row r="54" spans="1:19" x14ac:dyDescent="0.4">
      <c r="A54" t="s">
        <v>102</v>
      </c>
      <c r="B54" t="s">
        <v>11</v>
      </c>
      <c r="C54" t="s">
        <v>1</v>
      </c>
      <c r="D54" s="3">
        <v>12012</v>
      </c>
      <c r="F54" s="3" t="str">
        <f>IF(E54="","",IF(E54="DNS",0,IF(E54="DQ",0,IF(E54="DNF",1,IF(AND(ISNUMBER(E54),E54&gt;59),1,_xlfn.XLOOKUP(E54,tbl_points[Place],tbl_points[Points],""))))))</f>
        <v/>
      </c>
      <c r="H54" s="3" t="str">
        <f>IF(G54="","",IF(G54="DNS",0,IF(G54="DQ",0,IF(G54="DNF",1,IF(AND(ISNUMBER(G54),G54&gt;59),1,_xlfn.XLOOKUP(G54,tbl_points[Place],tbl_points[Points],""))))))</f>
        <v/>
      </c>
      <c r="J54" s="3" t="str">
        <f>IF(I54="","",IF(I54="DNS",0,IF(I54="DQ",0,IF(I54="DNF",1,IF(AND(ISNUMBER(I54),I54&gt;59),1,_xlfn.XLOOKUP(I54,tbl_points[Place],tbl_points[Points],""))))))</f>
        <v/>
      </c>
      <c r="L54" s="3" t="str">
        <f>IF(K54="","",IF(K54="DNS",0,IF(K54="DQ",0,IF(K54="DNF",1,IF(AND(ISNUMBER(K54),K54&gt;59),1,_xlfn.XLOOKUP(K54,tbl_points[Place],tbl_points[Points],""))))))</f>
        <v/>
      </c>
      <c r="N54" s="3" t="str">
        <f>IF(M54="","",IF(M54="DNS",0,IF(M54="DQ",0,IF(M54="DNF",1,IF(AND(ISNUMBER(M54),M54&gt;59),1,_xlfn.XLOOKUP(M54,tbl_points[Place],tbl_points[Points],""))))))</f>
        <v/>
      </c>
      <c r="P54" s="3" t="str">
        <f>IF(O54="","",IF(O54="DNS",0,IF(O54="DQ",0,IF(O54="DNF",1,IF(AND(ISNUMBER(O54),O54&gt;59),1,_xlfn.XLOOKUP(O54,tbl_points[Place],tbl_points[Points],""))))))</f>
        <v/>
      </c>
      <c r="Q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4" s="3">
        <f>tbl_individual[[#This Row],[Total]]-tbl_individual[[#This Row],[Lowest Score]]</f>
        <v>0</v>
      </c>
    </row>
    <row r="55" spans="1:19" x14ac:dyDescent="0.4">
      <c r="A55" t="s">
        <v>98</v>
      </c>
      <c r="B55" t="s">
        <v>11</v>
      </c>
      <c r="C55" t="s">
        <v>2</v>
      </c>
      <c r="D55" s="3">
        <v>1226</v>
      </c>
      <c r="F55" s="3" t="str">
        <f>IF(E55="","",IF(E55="DNS",0,IF(E55="DQ",0,IF(E55="DNF",1,IF(AND(ISNUMBER(E55),E55&gt;59),1,_xlfn.XLOOKUP(E55,tbl_points[Place],tbl_points[Points],""))))))</f>
        <v/>
      </c>
      <c r="H55" s="3" t="str">
        <f>IF(G55="","",IF(G55="DNS",0,IF(G55="DQ",0,IF(G55="DNF",1,IF(AND(ISNUMBER(G55),G55&gt;59),1,_xlfn.XLOOKUP(G55,tbl_points[Place],tbl_points[Points],""))))))</f>
        <v/>
      </c>
      <c r="J55" s="3" t="str">
        <f>IF(I55="","",IF(I55="DNS",0,IF(I55="DQ",0,IF(I55="DNF",1,IF(AND(ISNUMBER(I55),I55&gt;59),1,_xlfn.XLOOKUP(I55,tbl_points[Place],tbl_points[Points],""))))))</f>
        <v/>
      </c>
      <c r="L55" s="3" t="str">
        <f>IF(K55="","",IF(K55="DNS",0,IF(K55="DQ",0,IF(K55="DNF",1,IF(AND(ISNUMBER(K55),K55&gt;59),1,_xlfn.XLOOKUP(K55,tbl_points[Place],tbl_points[Points],""))))))</f>
        <v/>
      </c>
      <c r="N55" s="3" t="str">
        <f>IF(M55="","",IF(M55="DNS",0,IF(M55="DQ",0,IF(M55="DNF",1,IF(AND(ISNUMBER(M55),M55&gt;59),1,_xlfn.XLOOKUP(M55,tbl_points[Place],tbl_points[Points],""))))))</f>
        <v/>
      </c>
      <c r="P55" s="3" t="str">
        <f>IF(O55="","",IF(O55="DNS",0,IF(O55="DQ",0,IF(O55="DNF",1,IF(AND(ISNUMBER(O55),O55&gt;59),1,_xlfn.XLOOKUP(O55,tbl_points[Place],tbl_points[Points],""))))))</f>
        <v/>
      </c>
      <c r="Q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5" s="3">
        <f>tbl_individual[[#This Row],[Total]]-tbl_individual[[#This Row],[Lowest Score]]</f>
        <v>0</v>
      </c>
    </row>
    <row r="56" spans="1:19" x14ac:dyDescent="0.4">
      <c r="A56" t="s">
        <v>109</v>
      </c>
      <c r="B56" t="s">
        <v>12</v>
      </c>
      <c r="C56" t="s">
        <v>7</v>
      </c>
      <c r="D56" s="3">
        <v>8190</v>
      </c>
      <c r="F56" s="3" t="str">
        <f>IF(E56="","",IF(E56="DNS",0,IF(E56="DQ",0,IF(E56="DNF",1,IF(AND(ISNUMBER(E56),E56&gt;59),1,_xlfn.XLOOKUP(E56,tbl_points[Place],tbl_points[Points],""))))))</f>
        <v/>
      </c>
      <c r="H56" s="3" t="str">
        <f>IF(G56="","",IF(G56="DNS",0,IF(G56="DQ",0,IF(G56="DNF",1,IF(AND(ISNUMBER(G56),G56&gt;59),1,_xlfn.XLOOKUP(G56,tbl_points[Place],tbl_points[Points],""))))))</f>
        <v/>
      </c>
      <c r="J56" s="3" t="str">
        <f>IF(I56="","",IF(I56="DNS",0,IF(I56="DQ",0,IF(I56="DNF",1,IF(AND(ISNUMBER(I56),I56&gt;59),1,_xlfn.XLOOKUP(I56,tbl_points[Place],tbl_points[Points],""))))))</f>
        <v/>
      </c>
      <c r="L56" s="3" t="str">
        <f>IF(K56="","",IF(K56="DNS",0,IF(K56="DQ",0,IF(K56="DNF",1,IF(AND(ISNUMBER(K56),K56&gt;59),1,_xlfn.XLOOKUP(K56,tbl_points[Place],tbl_points[Points],""))))))</f>
        <v/>
      </c>
      <c r="N56" s="3" t="str">
        <f>IF(M56="","",IF(M56="DNS",0,IF(M56="DQ",0,IF(M56="DNF",1,IF(AND(ISNUMBER(M56),M56&gt;59),1,_xlfn.XLOOKUP(M56,tbl_points[Place],tbl_points[Points],""))))))</f>
        <v/>
      </c>
      <c r="P56" s="3" t="str">
        <f>IF(O56="","",IF(O56="DNS",0,IF(O56="DQ",0,IF(O56="DNF",1,IF(AND(ISNUMBER(O56),O56&gt;59),1,_xlfn.XLOOKUP(O56,tbl_points[Place],tbl_points[Points],""))))))</f>
        <v/>
      </c>
      <c r="Q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6" s="3">
        <f>tbl_individual[[#This Row],[Total]]-tbl_individual[[#This Row],[Lowest Score]]</f>
        <v>0</v>
      </c>
    </row>
    <row r="57" spans="1:19" x14ac:dyDescent="0.4">
      <c r="A57" t="s">
        <v>108</v>
      </c>
      <c r="B57" t="s">
        <v>12</v>
      </c>
      <c r="C57" t="s">
        <v>7</v>
      </c>
      <c r="D57" s="3">
        <v>8189</v>
      </c>
      <c r="F57" s="3" t="str">
        <f>IF(E57="","",IF(E57="DNS",0,IF(E57="DQ",0,IF(E57="DNF",1,IF(AND(ISNUMBER(E57),E57&gt;59),1,_xlfn.XLOOKUP(E57,tbl_points[Place],tbl_points[Points],""))))))</f>
        <v/>
      </c>
      <c r="H57" s="3" t="str">
        <f>IF(G57="","",IF(G57="DNS",0,IF(G57="DQ",0,IF(G57="DNF",1,IF(AND(ISNUMBER(G57),G57&gt;59),1,_xlfn.XLOOKUP(G57,tbl_points[Place],tbl_points[Points],""))))))</f>
        <v/>
      </c>
      <c r="J57" s="3" t="str">
        <f>IF(I57="","",IF(I57="DNS",0,IF(I57="DQ",0,IF(I57="DNF",1,IF(AND(ISNUMBER(I57),I57&gt;59),1,_xlfn.XLOOKUP(I57,tbl_points[Place],tbl_points[Points],""))))))</f>
        <v/>
      </c>
      <c r="L57" s="3" t="str">
        <f>IF(K57="","",IF(K57="DNS",0,IF(K57="DQ",0,IF(K57="DNF",1,IF(AND(ISNUMBER(K57),K57&gt;59),1,_xlfn.XLOOKUP(K57,tbl_points[Place],tbl_points[Points],""))))))</f>
        <v/>
      </c>
      <c r="N57" s="3" t="str">
        <f>IF(M57="","",IF(M57="DNS",0,IF(M57="DQ",0,IF(M57="DNF",1,IF(AND(ISNUMBER(M57),M57&gt;59),1,_xlfn.XLOOKUP(M57,tbl_points[Place],tbl_points[Points],""))))))</f>
        <v/>
      </c>
      <c r="P57" s="3" t="str">
        <f>IF(O57="","",IF(O57="DNS",0,IF(O57="DQ",0,IF(O57="DNF",1,IF(AND(ISNUMBER(O57),O57&gt;59),1,_xlfn.XLOOKUP(O57,tbl_points[Place],tbl_points[Points],""))))))</f>
        <v/>
      </c>
      <c r="Q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7" s="3">
        <f>tbl_individual[[#This Row],[Total]]-tbl_individual[[#This Row],[Lowest Score]]</f>
        <v>0</v>
      </c>
    </row>
    <row r="58" spans="1:19" x14ac:dyDescent="0.4">
      <c r="A58" t="s">
        <v>113</v>
      </c>
      <c r="B58" t="s">
        <v>12</v>
      </c>
      <c r="C58" t="s">
        <v>3</v>
      </c>
      <c r="D58" s="3">
        <v>10153</v>
      </c>
      <c r="F58" s="3" t="str">
        <f>IF(E58="","",IF(E58="DNS",0,IF(E58="DQ",0,IF(E58="DNF",1,IF(AND(ISNUMBER(E58),E58&gt;59),1,_xlfn.XLOOKUP(E58,tbl_points[Place],tbl_points[Points],""))))))</f>
        <v/>
      </c>
      <c r="H58" s="3" t="str">
        <f>IF(G58="","",IF(G58="DNS",0,IF(G58="DQ",0,IF(G58="DNF",1,IF(AND(ISNUMBER(G58),G58&gt;59),1,_xlfn.XLOOKUP(G58,tbl_points[Place],tbl_points[Points],""))))))</f>
        <v/>
      </c>
      <c r="J58" s="3" t="str">
        <f>IF(I58="","",IF(I58="DNS",0,IF(I58="DQ",0,IF(I58="DNF",1,IF(AND(ISNUMBER(I58),I58&gt;59),1,_xlfn.XLOOKUP(I58,tbl_points[Place],tbl_points[Points],""))))))</f>
        <v/>
      </c>
      <c r="L58" s="3" t="str">
        <f>IF(K58="","",IF(K58="DNS",0,IF(K58="DQ",0,IF(K58="DNF",1,IF(AND(ISNUMBER(K58),K58&gt;59),1,_xlfn.XLOOKUP(K58,tbl_points[Place],tbl_points[Points],""))))))</f>
        <v/>
      </c>
      <c r="N58" s="3" t="str">
        <f>IF(M58="","",IF(M58="DNS",0,IF(M58="DQ",0,IF(M58="DNF",1,IF(AND(ISNUMBER(M58),M58&gt;59),1,_xlfn.XLOOKUP(M58,tbl_points[Place],tbl_points[Points],""))))))</f>
        <v/>
      </c>
      <c r="P58" s="3" t="str">
        <f>IF(O58="","",IF(O58="DNS",0,IF(O58="DQ",0,IF(O58="DNF",1,IF(AND(ISNUMBER(O58),O58&gt;59),1,_xlfn.XLOOKUP(O58,tbl_points[Place],tbl_points[Points],""))))))</f>
        <v/>
      </c>
      <c r="Q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8" s="3">
        <f>tbl_individual[[#This Row],[Total]]-tbl_individual[[#This Row],[Lowest Score]]</f>
        <v>0</v>
      </c>
    </row>
    <row r="59" spans="1:19" x14ac:dyDescent="0.4">
      <c r="A59" t="s">
        <v>114</v>
      </c>
      <c r="B59" t="s">
        <v>12</v>
      </c>
      <c r="C59" t="s">
        <v>3</v>
      </c>
      <c r="D59" s="3">
        <v>10154</v>
      </c>
      <c r="F59" s="3" t="str">
        <f>IF(E59="","",IF(E59="DNS",0,IF(E59="DQ",0,IF(E59="DNF",1,IF(AND(ISNUMBER(E59),E59&gt;59),1,_xlfn.XLOOKUP(E59,tbl_points[Place],tbl_points[Points],""))))))</f>
        <v/>
      </c>
      <c r="H59" s="3" t="str">
        <f>IF(G59="","",IF(G59="DNS",0,IF(G59="DQ",0,IF(G59="DNF",1,IF(AND(ISNUMBER(G59),G59&gt;59),1,_xlfn.XLOOKUP(G59,tbl_points[Place],tbl_points[Points],""))))))</f>
        <v/>
      </c>
      <c r="J59" s="3" t="str">
        <f>IF(I59="","",IF(I59="DNS",0,IF(I59="DQ",0,IF(I59="DNF",1,IF(AND(ISNUMBER(I59),I59&gt;59),1,_xlfn.XLOOKUP(I59,tbl_points[Place],tbl_points[Points],""))))))</f>
        <v/>
      </c>
      <c r="L59" s="3" t="str">
        <f>IF(K59="","",IF(K59="DNS",0,IF(K59="DQ",0,IF(K59="DNF",1,IF(AND(ISNUMBER(K59),K59&gt;59),1,_xlfn.XLOOKUP(K59,tbl_points[Place],tbl_points[Points],""))))))</f>
        <v/>
      </c>
      <c r="N59" s="3" t="str">
        <f>IF(M59="","",IF(M59="DNS",0,IF(M59="DQ",0,IF(M59="DNF",1,IF(AND(ISNUMBER(M59),M59&gt;59),1,_xlfn.XLOOKUP(M59,tbl_points[Place],tbl_points[Points],""))))))</f>
        <v/>
      </c>
      <c r="P59" s="3" t="str">
        <f>IF(O59="","",IF(O59="DNS",0,IF(O59="DQ",0,IF(O59="DNF",1,IF(AND(ISNUMBER(O59),O59&gt;59),1,_xlfn.XLOOKUP(O59,tbl_points[Place],tbl_points[Points],""))))))</f>
        <v/>
      </c>
      <c r="Q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9" s="3">
        <f>tbl_individual[[#This Row],[Total]]-tbl_individual[[#This Row],[Lowest Score]]</f>
        <v>0</v>
      </c>
    </row>
    <row r="60" spans="1:19" x14ac:dyDescent="0.4">
      <c r="A60" t="s">
        <v>112</v>
      </c>
      <c r="B60" t="s">
        <v>12</v>
      </c>
      <c r="C60" t="s">
        <v>3</v>
      </c>
      <c r="D60" s="3">
        <v>10152</v>
      </c>
      <c r="F60" s="3" t="str">
        <f>IF(E60="","",IF(E60="DNS",0,IF(E60="DQ",0,IF(E60="DNF",1,IF(AND(ISNUMBER(E60),E60&gt;59),1,_xlfn.XLOOKUP(E60,tbl_points[Place],tbl_points[Points],""))))))</f>
        <v/>
      </c>
      <c r="H60" s="3" t="str">
        <f>IF(G60="","",IF(G60="DNS",0,IF(G60="DQ",0,IF(G60="DNF",1,IF(AND(ISNUMBER(G60),G60&gt;59),1,_xlfn.XLOOKUP(G60,tbl_points[Place],tbl_points[Points],""))))))</f>
        <v/>
      </c>
      <c r="J60" s="3" t="str">
        <f>IF(I60="","",IF(I60="DNS",0,IF(I60="DQ",0,IF(I60="DNF",1,IF(AND(ISNUMBER(I60),I60&gt;59),1,_xlfn.XLOOKUP(I60,tbl_points[Place],tbl_points[Points],""))))))</f>
        <v/>
      </c>
      <c r="L60" s="3" t="str">
        <f>IF(K60="","",IF(K60="DNS",0,IF(K60="DQ",0,IF(K60="DNF",1,IF(AND(ISNUMBER(K60),K60&gt;59),1,_xlfn.XLOOKUP(K60,tbl_points[Place],tbl_points[Points],""))))))</f>
        <v/>
      </c>
      <c r="N60" s="3" t="str">
        <f>IF(M60="","",IF(M60="DNS",0,IF(M60="DQ",0,IF(M60="DNF",1,IF(AND(ISNUMBER(M60),M60&gt;59),1,_xlfn.XLOOKUP(M60,tbl_points[Place],tbl_points[Points],""))))))</f>
        <v/>
      </c>
      <c r="P60" s="3" t="str">
        <f>IF(O60="","",IF(O60="DNS",0,IF(O60="DQ",0,IF(O60="DNF",1,IF(AND(ISNUMBER(O60),O60&gt;59),1,_xlfn.XLOOKUP(O60,tbl_points[Place],tbl_points[Points],""))))))</f>
        <v/>
      </c>
      <c r="Q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0" s="3">
        <f>tbl_individual[[#This Row],[Total]]-tbl_individual[[#This Row],[Lowest Score]]</f>
        <v>0</v>
      </c>
    </row>
    <row r="61" spans="1:19" x14ac:dyDescent="0.4">
      <c r="A61" t="s">
        <v>115</v>
      </c>
      <c r="B61" t="s">
        <v>12</v>
      </c>
      <c r="C61" t="s">
        <v>3</v>
      </c>
      <c r="D61" s="3">
        <v>10155</v>
      </c>
      <c r="F61" s="3" t="str">
        <f>IF(E61="","",IF(E61="DNS",0,IF(E61="DQ",0,IF(E61="DNF",1,IF(AND(ISNUMBER(E61),E61&gt;59),1,_xlfn.XLOOKUP(E61,tbl_points[Place],tbl_points[Points],""))))))</f>
        <v/>
      </c>
      <c r="H61" s="3" t="str">
        <f>IF(G61="","",IF(G61="DNS",0,IF(G61="DQ",0,IF(G61="DNF",1,IF(AND(ISNUMBER(G61),G61&gt;59),1,_xlfn.XLOOKUP(G61,tbl_points[Place],tbl_points[Points],""))))))</f>
        <v/>
      </c>
      <c r="J61" s="3" t="str">
        <f>IF(I61="","",IF(I61="DNS",0,IF(I61="DQ",0,IF(I61="DNF",1,IF(AND(ISNUMBER(I61),I61&gt;59),1,_xlfn.XLOOKUP(I61,tbl_points[Place],tbl_points[Points],""))))))</f>
        <v/>
      </c>
      <c r="L61" s="3" t="str">
        <f>IF(K61="","",IF(K61="DNS",0,IF(K61="DQ",0,IF(K61="DNF",1,IF(AND(ISNUMBER(K61),K61&gt;59),1,_xlfn.XLOOKUP(K61,tbl_points[Place],tbl_points[Points],""))))))</f>
        <v/>
      </c>
      <c r="N61" s="3" t="str">
        <f>IF(M61="","",IF(M61="DNS",0,IF(M61="DQ",0,IF(M61="DNF",1,IF(AND(ISNUMBER(M61),M61&gt;59),1,_xlfn.XLOOKUP(M61,tbl_points[Place],tbl_points[Points],""))))))</f>
        <v/>
      </c>
      <c r="P61" s="3" t="str">
        <f>IF(O61="","",IF(O61="DNS",0,IF(O61="DQ",0,IF(O61="DNF",1,IF(AND(ISNUMBER(O61),O61&gt;59),1,_xlfn.XLOOKUP(O61,tbl_points[Place],tbl_points[Points],""))))))</f>
        <v/>
      </c>
      <c r="Q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1" s="3">
        <f>tbl_individual[[#This Row],[Total]]-tbl_individual[[#This Row],[Lowest Score]]</f>
        <v>0</v>
      </c>
    </row>
    <row r="62" spans="1:19" x14ac:dyDescent="0.4">
      <c r="A62" t="s">
        <v>110</v>
      </c>
      <c r="B62" t="s">
        <v>12</v>
      </c>
      <c r="C62" s="4" t="s">
        <v>5</v>
      </c>
      <c r="D62" s="5">
        <v>911</v>
      </c>
      <c r="F62" s="5" t="str">
        <f>IF(E62="","",IF(E62="DNS",0,IF(E62="DQ",0,IF(E62="DNF",1,IF(AND(ISNUMBER(E62),E62&gt;59),1,_xlfn.XLOOKUP(E62,tbl_points[Place],tbl_points[Points],""))))))</f>
        <v/>
      </c>
      <c r="H62" s="5" t="str">
        <f>IF(G62="","",IF(G62="DNS",0,IF(G62="DQ",0,IF(G62="DNF",1,IF(AND(ISNUMBER(G62),G62&gt;59),1,_xlfn.XLOOKUP(G62,tbl_points[Place],tbl_points[Points],""))))))</f>
        <v/>
      </c>
      <c r="I62" s="5"/>
      <c r="J62" s="5" t="str">
        <f>IF(I62="","",IF(I62="DNS",0,IF(I62="DQ",0,IF(I62="DNF",1,IF(AND(ISNUMBER(I62),I62&gt;59),1,_xlfn.XLOOKUP(I62,tbl_points[Place],tbl_points[Points],""))))))</f>
        <v/>
      </c>
      <c r="K62" s="5"/>
      <c r="L62" s="5" t="str">
        <f>IF(K62="","",IF(K62="DNS",0,IF(K62="DQ",0,IF(K62="DNF",1,IF(AND(ISNUMBER(K62),K62&gt;59),1,_xlfn.XLOOKUP(K62,tbl_points[Place],tbl_points[Points],""))))))</f>
        <v/>
      </c>
      <c r="M62" s="5"/>
      <c r="N62" s="5" t="str">
        <f>IF(M62="","",IF(M62="DNS",0,IF(M62="DQ",0,IF(M62="DNF",1,IF(AND(ISNUMBER(M62),M62&gt;59),1,_xlfn.XLOOKUP(M62,tbl_points[Place],tbl_points[Points],""))))))</f>
        <v/>
      </c>
      <c r="O62" s="5"/>
      <c r="P62" s="5" t="str">
        <f>IF(O62="","",IF(O62="DNS",0,IF(O62="DQ",0,IF(O62="DNF",1,IF(AND(ISNUMBER(O62),O62&gt;59),1,_xlfn.XLOOKUP(O62,tbl_points[Place],tbl_points[Points],""))))))</f>
        <v/>
      </c>
      <c r="Q62" s="5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2" s="5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2" s="5">
        <f>tbl_individual[[#This Row],[Total]]-tbl_individual[[#This Row],[Lowest Score]]</f>
        <v>0</v>
      </c>
    </row>
    <row r="63" spans="1:19" x14ac:dyDescent="0.4">
      <c r="A63" t="s">
        <v>111</v>
      </c>
      <c r="B63" t="s">
        <v>12</v>
      </c>
      <c r="C63" t="s">
        <v>6</v>
      </c>
      <c r="D63" s="3">
        <v>929</v>
      </c>
      <c r="F63" s="3" t="str">
        <f>IF(E63="","",IF(E63="DNS",0,IF(E63="DQ",0,IF(E63="DNF",1,IF(AND(ISNUMBER(E63),E63&gt;59),1,_xlfn.XLOOKUP(E63,tbl_points[Place],tbl_points[Points],""))))))</f>
        <v/>
      </c>
      <c r="H63" s="3" t="str">
        <f>IF(G63="","",IF(G63="DNS",0,IF(G63="DQ",0,IF(G63="DNF",1,IF(AND(ISNUMBER(G63),G63&gt;59),1,_xlfn.XLOOKUP(G63,tbl_points[Place],tbl_points[Points],""))))))</f>
        <v/>
      </c>
      <c r="J63" s="3" t="str">
        <f>IF(I63="","",IF(I63="DNS",0,IF(I63="DQ",0,IF(I63="DNF",1,IF(AND(ISNUMBER(I63),I63&gt;59),1,_xlfn.XLOOKUP(I63,tbl_points[Place],tbl_points[Points],""))))))</f>
        <v/>
      </c>
      <c r="L63" s="3" t="str">
        <f>IF(K63="","",IF(K63="DNS",0,IF(K63="DQ",0,IF(K63="DNF",1,IF(AND(ISNUMBER(K63),K63&gt;59),1,_xlfn.XLOOKUP(K63,tbl_points[Place],tbl_points[Points],""))))))</f>
        <v/>
      </c>
      <c r="N63" s="3" t="str">
        <f>IF(M63="","",IF(M63="DNS",0,IF(M63="DQ",0,IF(M63="DNF",1,IF(AND(ISNUMBER(M63),M63&gt;59),1,_xlfn.XLOOKUP(M63,tbl_points[Place],tbl_points[Points],""))))))</f>
        <v/>
      </c>
      <c r="P63" s="3" t="str">
        <f>IF(O63="","",IF(O63="DNS",0,IF(O63="DQ",0,IF(O63="DNF",1,IF(AND(ISNUMBER(O63),O63&gt;59),1,_xlfn.XLOOKUP(O63,tbl_points[Place],tbl_points[Points],""))))))</f>
        <v/>
      </c>
      <c r="Q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3" s="3">
        <f>tbl_individual[[#This Row],[Total]]-tbl_individual[[#This Row],[Lowest Score]]</f>
        <v>0</v>
      </c>
    </row>
    <row r="64" spans="1:19" x14ac:dyDescent="0.4">
      <c r="A64" t="s">
        <v>116</v>
      </c>
      <c r="B64" t="s">
        <v>12</v>
      </c>
      <c r="C64" t="s">
        <v>1</v>
      </c>
      <c r="D64" s="3">
        <v>12018</v>
      </c>
      <c r="F64" s="3" t="str">
        <f>IF(E64="","",IF(E64="DNS",0,IF(E64="DQ",0,IF(E64="DNF",1,IF(AND(ISNUMBER(E64),E64&gt;59),1,_xlfn.XLOOKUP(E64,tbl_points[Place],tbl_points[Points],""))))))</f>
        <v/>
      </c>
      <c r="H64" s="3" t="str">
        <f>IF(G64="","",IF(G64="DNS",0,IF(G64="DQ",0,IF(G64="DNF",1,IF(AND(ISNUMBER(G64),G64&gt;59),1,_xlfn.XLOOKUP(G64,tbl_points[Place],tbl_points[Points],""))))))</f>
        <v/>
      </c>
      <c r="J64" s="3" t="str">
        <f>IF(I64="","",IF(I64="DNS",0,IF(I64="DQ",0,IF(I64="DNF",1,IF(AND(ISNUMBER(I64),I64&gt;59),1,_xlfn.XLOOKUP(I64,tbl_points[Place],tbl_points[Points],""))))))</f>
        <v/>
      </c>
      <c r="L64" s="3" t="str">
        <f>IF(K64="","",IF(K64="DNS",0,IF(K64="DQ",0,IF(K64="DNF",1,IF(AND(ISNUMBER(K64),K64&gt;59),1,_xlfn.XLOOKUP(K64,tbl_points[Place],tbl_points[Points],""))))))</f>
        <v/>
      </c>
      <c r="N64" s="3" t="str">
        <f>IF(M64="","",IF(M64="DNS",0,IF(M64="DQ",0,IF(M64="DNF",1,IF(AND(ISNUMBER(M64),M64&gt;59),1,_xlfn.XLOOKUP(M64,tbl_points[Place],tbl_points[Points],""))))))</f>
        <v/>
      </c>
      <c r="P64" s="3" t="str">
        <f>IF(O64="","",IF(O64="DNS",0,IF(O64="DQ",0,IF(O64="DNF",1,IF(AND(ISNUMBER(O64),O64&gt;59),1,_xlfn.XLOOKUP(O64,tbl_points[Place],tbl_points[Points],""))))))</f>
        <v/>
      </c>
      <c r="Q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4" s="3">
        <f>tbl_individual[[#This Row],[Total]]-tbl_individual[[#This Row],[Lowest Score]]</f>
        <v>0</v>
      </c>
    </row>
    <row r="65" spans="1:19" x14ac:dyDescent="0.4">
      <c r="A65" t="s">
        <v>117</v>
      </c>
      <c r="B65" t="s">
        <v>12</v>
      </c>
      <c r="C65" t="s">
        <v>1</v>
      </c>
      <c r="D65" s="3">
        <v>12019</v>
      </c>
      <c r="F65" s="3" t="str">
        <f>IF(E65="","",IF(E65="DNS",0,IF(E65="DQ",0,IF(E65="DNF",1,IF(AND(ISNUMBER(E65),E65&gt;59),1,_xlfn.XLOOKUP(E65,tbl_points[Place],tbl_points[Points],""))))))</f>
        <v/>
      </c>
      <c r="H65" s="3" t="str">
        <f>IF(G65="","",IF(G65="DNS",0,IF(G65="DQ",0,IF(G65="DNF",1,IF(AND(ISNUMBER(G65),G65&gt;59),1,_xlfn.XLOOKUP(G65,tbl_points[Place],tbl_points[Points],""))))))</f>
        <v/>
      </c>
      <c r="J65" s="3" t="str">
        <f>IF(I65="","",IF(I65="DNS",0,IF(I65="DQ",0,IF(I65="DNF",1,IF(AND(ISNUMBER(I65),I65&gt;59),1,_xlfn.XLOOKUP(I65,tbl_points[Place],tbl_points[Points],""))))))</f>
        <v/>
      </c>
      <c r="L65" s="3" t="str">
        <f>IF(K65="","",IF(K65="DNS",0,IF(K65="DQ",0,IF(K65="DNF",1,IF(AND(ISNUMBER(K65),K65&gt;59),1,_xlfn.XLOOKUP(K65,tbl_points[Place],tbl_points[Points],""))))))</f>
        <v/>
      </c>
      <c r="N65" s="3" t="str">
        <f>IF(M65="","",IF(M65="DNS",0,IF(M65="DQ",0,IF(M65="DNF",1,IF(AND(ISNUMBER(M65),M65&gt;59),1,_xlfn.XLOOKUP(M65,tbl_points[Place],tbl_points[Points],""))))))</f>
        <v/>
      </c>
      <c r="P65" s="3" t="str">
        <f>IF(O65="","",IF(O65="DNS",0,IF(O65="DQ",0,IF(O65="DNF",1,IF(AND(ISNUMBER(O65),O65&gt;59),1,_xlfn.XLOOKUP(O65,tbl_points[Place],tbl_points[Points],""))))))</f>
        <v/>
      </c>
      <c r="Q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5" s="3">
        <f>tbl_individual[[#This Row],[Total]]-tbl_individual[[#This Row],[Lowest Score]]</f>
        <v>0</v>
      </c>
    </row>
    <row r="66" spans="1:19" x14ac:dyDescent="0.4">
      <c r="A66" t="s">
        <v>118</v>
      </c>
      <c r="B66" t="s">
        <v>13</v>
      </c>
      <c r="C66" t="s">
        <v>7</v>
      </c>
      <c r="D66" s="3">
        <v>8191</v>
      </c>
      <c r="F66" s="3" t="str">
        <f>IF(E66="","",IF(E66="DNS",0,IF(E66="DQ",0,IF(E66="DNF",1,IF(AND(ISNUMBER(E66),E66&gt;59),1,_xlfn.XLOOKUP(E66,tbl_points[Place],tbl_points[Points],""))))))</f>
        <v/>
      </c>
      <c r="H66" s="3" t="str">
        <f>IF(G66="","",IF(G66="DNS",0,IF(G66="DQ",0,IF(G66="DNF",1,IF(AND(ISNUMBER(G66),G66&gt;59),1,_xlfn.XLOOKUP(G66,tbl_points[Place],tbl_points[Points],""))))))</f>
        <v/>
      </c>
      <c r="J66" s="3" t="str">
        <f>IF(I66="","",IF(I66="DNS",0,IF(I66="DQ",0,IF(I66="DNF",1,IF(AND(ISNUMBER(I66),I66&gt;59),1,_xlfn.XLOOKUP(I66,tbl_points[Place],tbl_points[Points],""))))))</f>
        <v/>
      </c>
      <c r="L66" s="3" t="str">
        <f>IF(K66="","",IF(K66="DNS",0,IF(K66="DQ",0,IF(K66="DNF",1,IF(AND(ISNUMBER(K66),K66&gt;59),1,_xlfn.XLOOKUP(K66,tbl_points[Place],tbl_points[Points],""))))))</f>
        <v/>
      </c>
      <c r="N66" s="3" t="str">
        <f>IF(M66="","",IF(M66="DNS",0,IF(M66="DQ",0,IF(M66="DNF",1,IF(AND(ISNUMBER(M66),M66&gt;59),1,_xlfn.XLOOKUP(M66,tbl_points[Place],tbl_points[Points],""))))))</f>
        <v/>
      </c>
      <c r="P66" s="3" t="str">
        <f>IF(O66="","",IF(O66="DNS",0,IF(O66="DQ",0,IF(O66="DNF",1,IF(AND(ISNUMBER(O66),O66&gt;59),1,_xlfn.XLOOKUP(O66,tbl_points[Place],tbl_points[Points],""))))))</f>
        <v/>
      </c>
      <c r="Q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6" s="3">
        <f>tbl_individual[[#This Row],[Total]]-tbl_individual[[#This Row],[Lowest Score]]</f>
        <v>0</v>
      </c>
    </row>
    <row r="67" spans="1:19" x14ac:dyDescent="0.4">
      <c r="A67" t="s">
        <v>119</v>
      </c>
      <c r="B67" t="s">
        <v>13</v>
      </c>
      <c r="C67" t="s">
        <v>7</v>
      </c>
      <c r="D67" s="3">
        <v>8192</v>
      </c>
      <c r="F67" s="3" t="str">
        <f>IF(E67="","",IF(E67="DNS",0,IF(E67="DQ",0,IF(E67="DNF",1,IF(AND(ISNUMBER(E67),E67&gt;59),1,_xlfn.XLOOKUP(E67,tbl_points[Place],tbl_points[Points],""))))))</f>
        <v/>
      </c>
      <c r="H67" s="3" t="str">
        <f>IF(G67="","",IF(G67="DNS",0,IF(G67="DQ",0,IF(G67="DNF",1,IF(AND(ISNUMBER(G67),G67&gt;59),1,_xlfn.XLOOKUP(G67,tbl_points[Place],tbl_points[Points],""))))))</f>
        <v/>
      </c>
      <c r="J67" s="3" t="str">
        <f>IF(I67="","",IF(I67="DNS",0,IF(I67="DQ",0,IF(I67="DNF",1,IF(AND(ISNUMBER(I67),I67&gt;59),1,_xlfn.XLOOKUP(I67,tbl_points[Place],tbl_points[Points],""))))))</f>
        <v/>
      </c>
      <c r="L67" s="3" t="str">
        <f>IF(K67="","",IF(K67="DNS",0,IF(K67="DQ",0,IF(K67="DNF",1,IF(AND(ISNUMBER(K67),K67&gt;59),1,_xlfn.XLOOKUP(K67,tbl_points[Place],tbl_points[Points],""))))))</f>
        <v/>
      </c>
      <c r="N67" s="3" t="str">
        <f>IF(M67="","",IF(M67="DNS",0,IF(M67="DQ",0,IF(M67="DNF",1,IF(AND(ISNUMBER(M67),M67&gt;59),1,_xlfn.XLOOKUP(M67,tbl_points[Place],tbl_points[Points],""))))))</f>
        <v/>
      </c>
      <c r="P67" s="3" t="str">
        <f>IF(O67="","",IF(O67="DNS",0,IF(O67="DQ",0,IF(O67="DNF",1,IF(AND(ISNUMBER(O67),O67&gt;59),1,_xlfn.XLOOKUP(O67,tbl_points[Place],tbl_points[Points],""))))))</f>
        <v/>
      </c>
      <c r="Q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7" s="3">
        <f>tbl_individual[[#This Row],[Total]]-tbl_individual[[#This Row],[Lowest Score]]</f>
        <v>0</v>
      </c>
    </row>
    <row r="68" spans="1:19" x14ac:dyDescent="0.4">
      <c r="A68" t="s">
        <v>121</v>
      </c>
      <c r="B68" t="s">
        <v>13</v>
      </c>
      <c r="C68" t="s">
        <v>3</v>
      </c>
      <c r="D68" s="3">
        <v>10157</v>
      </c>
      <c r="F68" s="3" t="str">
        <f>IF(E68="","",IF(E68="DNS",0,IF(E68="DQ",0,IF(E68="DNF",1,IF(AND(ISNUMBER(E68),E68&gt;59),1,_xlfn.XLOOKUP(E68,tbl_points[Place],tbl_points[Points],""))))))</f>
        <v/>
      </c>
      <c r="H68" s="3" t="str">
        <f>IF(G68="","",IF(G68="DNS",0,IF(G68="DQ",0,IF(G68="DNF",1,IF(AND(ISNUMBER(G68),G68&gt;59),1,_xlfn.XLOOKUP(G68,tbl_points[Place],tbl_points[Points],""))))))</f>
        <v/>
      </c>
      <c r="J68" s="3" t="str">
        <f>IF(I68="","",IF(I68="DNS",0,IF(I68="DQ",0,IF(I68="DNF",1,IF(AND(ISNUMBER(I68),I68&gt;59),1,_xlfn.XLOOKUP(I68,tbl_points[Place],tbl_points[Points],""))))))</f>
        <v/>
      </c>
      <c r="L68" s="3" t="str">
        <f>IF(K68="","",IF(K68="DNS",0,IF(K68="DQ",0,IF(K68="DNF",1,IF(AND(ISNUMBER(K68),K68&gt;59),1,_xlfn.XLOOKUP(K68,tbl_points[Place],tbl_points[Points],""))))))</f>
        <v/>
      </c>
      <c r="N68" s="3" t="str">
        <f>IF(M68="","",IF(M68="DNS",0,IF(M68="DQ",0,IF(M68="DNF",1,IF(AND(ISNUMBER(M68),M68&gt;59),1,_xlfn.XLOOKUP(M68,tbl_points[Place],tbl_points[Points],""))))))</f>
        <v/>
      </c>
      <c r="P68" s="3" t="str">
        <f>IF(O68="","",IF(O68="DNS",0,IF(O68="DQ",0,IF(O68="DNF",1,IF(AND(ISNUMBER(O68),O68&gt;59),1,_xlfn.XLOOKUP(O68,tbl_points[Place],tbl_points[Points],""))))))</f>
        <v/>
      </c>
      <c r="Q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8" s="3">
        <f>tbl_individual[[#This Row],[Total]]-tbl_individual[[#This Row],[Lowest Score]]</f>
        <v>0</v>
      </c>
    </row>
    <row r="69" spans="1:19" x14ac:dyDescent="0.4">
      <c r="A69" t="s">
        <v>120</v>
      </c>
      <c r="B69" t="s">
        <v>13</v>
      </c>
      <c r="C69" t="s">
        <v>3</v>
      </c>
      <c r="D69" s="3">
        <v>10156</v>
      </c>
      <c r="F69" s="3" t="str">
        <f>IF(E69="","",IF(E69="DNS",0,IF(E69="DQ",0,IF(E69="DNF",1,IF(AND(ISNUMBER(E69),E69&gt;59),1,_xlfn.XLOOKUP(E69,tbl_points[Place],tbl_points[Points],""))))))</f>
        <v/>
      </c>
      <c r="H69" s="3" t="str">
        <f>IF(G69="","",IF(G69="DNS",0,IF(G69="DQ",0,IF(G69="DNF",1,IF(AND(ISNUMBER(G69),G69&gt;59),1,_xlfn.XLOOKUP(G69,tbl_points[Place],tbl_points[Points],""))))))</f>
        <v/>
      </c>
      <c r="J69" s="3" t="str">
        <f>IF(I69="","",IF(I69="DNS",0,IF(I69="DQ",0,IF(I69="DNF",1,IF(AND(ISNUMBER(I69),I69&gt;59),1,_xlfn.XLOOKUP(I69,tbl_points[Place],tbl_points[Points],""))))))</f>
        <v/>
      </c>
      <c r="L69" s="3" t="str">
        <f>IF(K69="","",IF(K69="DNS",0,IF(K69="DQ",0,IF(K69="DNF",1,IF(AND(ISNUMBER(K69),K69&gt;59),1,_xlfn.XLOOKUP(K69,tbl_points[Place],tbl_points[Points],""))))))</f>
        <v/>
      </c>
      <c r="N69" s="3" t="str">
        <f>IF(M69="","",IF(M69="DNS",0,IF(M69="DQ",0,IF(M69="DNF",1,IF(AND(ISNUMBER(M69),M69&gt;59),1,_xlfn.XLOOKUP(M69,tbl_points[Place],tbl_points[Points],""))))))</f>
        <v/>
      </c>
      <c r="P69" s="3" t="str">
        <f>IF(O69="","",IF(O69="DNS",0,IF(O69="DQ",0,IF(O69="DNF",1,IF(AND(ISNUMBER(O69),O69&gt;59),1,_xlfn.XLOOKUP(O69,tbl_points[Place],tbl_points[Points],""))))))</f>
        <v/>
      </c>
      <c r="Q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9" s="3">
        <f>tbl_individual[[#This Row],[Total]]-tbl_individual[[#This Row],[Lowest Score]]</f>
        <v>0</v>
      </c>
    </row>
    <row r="70" spans="1:19" x14ac:dyDescent="0.4">
      <c r="A70" t="s">
        <v>122</v>
      </c>
      <c r="B70" t="s">
        <v>13</v>
      </c>
      <c r="C70" t="s">
        <v>1</v>
      </c>
      <c r="D70" s="3">
        <v>12020</v>
      </c>
      <c r="F70" s="3" t="str">
        <f>IF(E70="","",IF(E70="DNS",0,IF(E70="DQ",0,IF(E70="DNF",1,IF(AND(ISNUMBER(E70),E70&gt;59),1,_xlfn.XLOOKUP(E70,tbl_points[Place],tbl_points[Points],""))))))</f>
        <v/>
      </c>
      <c r="H70" s="3" t="str">
        <f>IF(G70="","",IF(G70="DNS",0,IF(G70="DQ",0,IF(G70="DNF",1,IF(AND(ISNUMBER(G70),G70&gt;59),1,_xlfn.XLOOKUP(G70,tbl_points[Place],tbl_points[Points],""))))))</f>
        <v/>
      </c>
      <c r="J70" s="3" t="str">
        <f>IF(I70="","",IF(I70="DNS",0,IF(I70="DQ",0,IF(I70="DNF",1,IF(AND(ISNUMBER(I70),I70&gt;59),1,_xlfn.XLOOKUP(I70,tbl_points[Place],tbl_points[Points],""))))))</f>
        <v/>
      </c>
      <c r="L70" s="3" t="str">
        <f>IF(K70="","",IF(K70="DNS",0,IF(K70="DQ",0,IF(K70="DNF",1,IF(AND(ISNUMBER(K70),K70&gt;59),1,_xlfn.XLOOKUP(K70,tbl_points[Place],tbl_points[Points],""))))))</f>
        <v/>
      </c>
      <c r="N70" s="3" t="str">
        <f>IF(M70="","",IF(M70="DNS",0,IF(M70="DQ",0,IF(M70="DNF",1,IF(AND(ISNUMBER(M70),M70&gt;59),1,_xlfn.XLOOKUP(M70,tbl_points[Place],tbl_points[Points],""))))))</f>
        <v/>
      </c>
      <c r="P70" s="3" t="str">
        <f>IF(O70="","",IF(O70="DNS",0,IF(O70="DQ",0,IF(O70="DNF",1,IF(AND(ISNUMBER(O70),O70&gt;59),1,_xlfn.XLOOKUP(O70,tbl_points[Place],tbl_points[Points],""))))))</f>
        <v/>
      </c>
      <c r="Q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0" s="3">
        <f>tbl_individual[[#This Row],[Total]]-tbl_individual[[#This Row],[Lowest Score]]</f>
        <v>0</v>
      </c>
    </row>
    <row r="71" spans="1:19" x14ac:dyDescent="0.4">
      <c r="A71" t="s">
        <v>123</v>
      </c>
      <c r="B71" t="s">
        <v>13</v>
      </c>
      <c r="C71" t="s">
        <v>1</v>
      </c>
      <c r="D71" s="3">
        <v>12021</v>
      </c>
      <c r="F71" s="3" t="str">
        <f>IF(E71="","",IF(E71="DNS",0,IF(E71="DQ",0,IF(E71="DNF",1,IF(AND(ISNUMBER(E71),E71&gt;59),1,_xlfn.XLOOKUP(E71,tbl_points[Place],tbl_points[Points],""))))))</f>
        <v/>
      </c>
      <c r="H71" s="3" t="str">
        <f>IF(G71="","",IF(G71="DNS",0,IF(G71="DQ",0,IF(G71="DNF",1,IF(AND(ISNUMBER(G71),G71&gt;59),1,_xlfn.XLOOKUP(G71,tbl_points[Place],tbl_points[Points],""))))))</f>
        <v/>
      </c>
      <c r="J71" s="3" t="str">
        <f>IF(I71="","",IF(I71="DNS",0,IF(I71="DQ",0,IF(I71="DNF",1,IF(AND(ISNUMBER(I71),I71&gt;59),1,_xlfn.XLOOKUP(I71,tbl_points[Place],tbl_points[Points],""))))))</f>
        <v/>
      </c>
      <c r="L71" s="3" t="str">
        <f>IF(K71="","",IF(K71="DNS",0,IF(K71="DQ",0,IF(K71="DNF",1,IF(AND(ISNUMBER(K71),K71&gt;59),1,_xlfn.XLOOKUP(K71,tbl_points[Place],tbl_points[Points],""))))))</f>
        <v/>
      </c>
      <c r="N71" s="3" t="str">
        <f>IF(M71="","",IF(M71="DNS",0,IF(M71="DQ",0,IF(M71="DNF",1,IF(AND(ISNUMBER(M71),M71&gt;59),1,_xlfn.XLOOKUP(M71,tbl_points[Place],tbl_points[Points],""))))))</f>
        <v/>
      </c>
      <c r="P71" s="3" t="str">
        <f>IF(O71="","",IF(O71="DNS",0,IF(O71="DQ",0,IF(O71="DNF",1,IF(AND(ISNUMBER(O71),O71&gt;59),1,_xlfn.XLOOKUP(O71,tbl_points[Place],tbl_points[Points],""))))))</f>
        <v/>
      </c>
      <c r="Q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1" s="3">
        <f>tbl_individual[[#This Row],[Total]]-tbl_individual[[#This Row],[Lowest Score]]</f>
        <v>0</v>
      </c>
    </row>
    <row r="72" spans="1:19" x14ac:dyDescent="0.4">
      <c r="A72" t="s">
        <v>124</v>
      </c>
      <c r="B72" t="s">
        <v>13</v>
      </c>
      <c r="C72" t="s">
        <v>1</v>
      </c>
      <c r="D72" s="3">
        <v>12022</v>
      </c>
      <c r="F72" s="3" t="str">
        <f>IF(E72="","",IF(E72="DNS",0,IF(E72="DQ",0,IF(E72="DNF",1,IF(AND(ISNUMBER(E72),E72&gt;59),1,_xlfn.XLOOKUP(E72,tbl_points[Place],tbl_points[Points],""))))))</f>
        <v/>
      </c>
      <c r="H72" s="3" t="str">
        <f>IF(G72="","",IF(G72="DNS",0,IF(G72="DQ",0,IF(G72="DNF",1,IF(AND(ISNUMBER(G72),G72&gt;59),1,_xlfn.XLOOKUP(G72,tbl_points[Place],tbl_points[Points],""))))))</f>
        <v/>
      </c>
      <c r="J72" s="3" t="str">
        <f>IF(I72="","",IF(I72="DNS",0,IF(I72="DQ",0,IF(I72="DNF",1,IF(AND(ISNUMBER(I72),I72&gt;59),1,_xlfn.XLOOKUP(I72,tbl_points[Place],tbl_points[Points],""))))))</f>
        <v/>
      </c>
      <c r="L72" s="3" t="str">
        <f>IF(K72="","",IF(K72="DNS",0,IF(K72="DQ",0,IF(K72="DNF",1,IF(AND(ISNUMBER(K72),K72&gt;59),1,_xlfn.XLOOKUP(K72,tbl_points[Place],tbl_points[Points],""))))))</f>
        <v/>
      </c>
      <c r="N72" s="3" t="str">
        <f>IF(M72="","",IF(M72="DNS",0,IF(M72="DQ",0,IF(M72="DNF",1,IF(AND(ISNUMBER(M72),M72&gt;59),1,_xlfn.XLOOKUP(M72,tbl_points[Place],tbl_points[Points],""))))))</f>
        <v/>
      </c>
      <c r="P72" s="3" t="str">
        <f>IF(O72="","",IF(O72="DNS",0,IF(O72="DQ",0,IF(O72="DNF",1,IF(AND(ISNUMBER(O72),O72&gt;59),1,_xlfn.XLOOKUP(O72,tbl_points[Place],tbl_points[Points],""))))))</f>
        <v/>
      </c>
      <c r="Q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2" s="3">
        <f>tbl_individual[[#This Row],[Total]]-tbl_individual[[#This Row],[Lowest Score]]</f>
        <v>0</v>
      </c>
    </row>
    <row r="73" spans="1:19" x14ac:dyDescent="0.4">
      <c r="A73" t="s">
        <v>125</v>
      </c>
      <c r="B73" t="s">
        <v>13</v>
      </c>
      <c r="C73" t="s">
        <v>1</v>
      </c>
      <c r="D73" s="3">
        <v>12023</v>
      </c>
      <c r="F73" s="3" t="str">
        <f>IF(E73="","",IF(E73="DNS",0,IF(E73="DQ",0,IF(E73="DNF",1,IF(AND(ISNUMBER(E73),E73&gt;59),1,_xlfn.XLOOKUP(E73,tbl_points[Place],tbl_points[Points],""))))))</f>
        <v/>
      </c>
      <c r="H73" s="3" t="str">
        <f>IF(G73="","",IF(G73="DNS",0,IF(G73="DQ",0,IF(G73="DNF",1,IF(AND(ISNUMBER(G73),G73&gt;59),1,_xlfn.XLOOKUP(G73,tbl_points[Place],tbl_points[Points],""))))))</f>
        <v/>
      </c>
      <c r="J73" s="3" t="str">
        <f>IF(I73="","",IF(I73="DNS",0,IF(I73="DQ",0,IF(I73="DNF",1,IF(AND(ISNUMBER(I73),I73&gt;59),1,_xlfn.XLOOKUP(I73,tbl_points[Place],tbl_points[Points],""))))))</f>
        <v/>
      </c>
      <c r="L73" s="3" t="str">
        <f>IF(K73="","",IF(K73="DNS",0,IF(K73="DQ",0,IF(K73="DNF",1,IF(AND(ISNUMBER(K73),K73&gt;59),1,_xlfn.XLOOKUP(K73,tbl_points[Place],tbl_points[Points],""))))))</f>
        <v/>
      </c>
      <c r="N73" s="3" t="str">
        <f>IF(M73="","",IF(M73="DNS",0,IF(M73="DQ",0,IF(M73="DNF",1,IF(AND(ISNUMBER(M73),M73&gt;59),1,_xlfn.XLOOKUP(M73,tbl_points[Place],tbl_points[Points],""))))))</f>
        <v/>
      </c>
      <c r="P73" s="3" t="str">
        <f>IF(O73="","",IF(O73="DNS",0,IF(O73="DQ",0,IF(O73="DNF",1,IF(AND(ISNUMBER(O73),O73&gt;59),1,_xlfn.XLOOKUP(O73,tbl_points[Place],tbl_points[Points],""))))))</f>
        <v/>
      </c>
      <c r="Q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3" s="3">
        <f>tbl_individual[[#This Row],[Total]]-tbl_individual[[#This Row],[Lowest Score]]</f>
        <v>0</v>
      </c>
    </row>
    <row r="74" spans="1:19" x14ac:dyDescent="0.4">
      <c r="A74" t="s">
        <v>126</v>
      </c>
      <c r="B74" t="s">
        <v>13</v>
      </c>
      <c r="C74" t="s">
        <v>2</v>
      </c>
      <c r="D74" s="3">
        <v>1227</v>
      </c>
      <c r="F74" s="3" t="str">
        <f>IF(E74="","",IF(E74="DNS",0,IF(E74="DQ",0,IF(E74="DNF",1,IF(AND(ISNUMBER(E74),E74&gt;59),1,_xlfn.XLOOKUP(E74,tbl_points[Place],tbl_points[Points],""))))))</f>
        <v/>
      </c>
      <c r="H74" s="3" t="str">
        <f>IF(G74="","",IF(G74="DNS",0,IF(G74="DQ",0,IF(G74="DNF",1,IF(AND(ISNUMBER(G74),G74&gt;59),1,_xlfn.XLOOKUP(G74,tbl_points[Place],tbl_points[Points],""))))))</f>
        <v/>
      </c>
      <c r="J74" s="3" t="str">
        <f>IF(I74="","",IF(I74="DNS",0,IF(I74="DQ",0,IF(I74="DNF",1,IF(AND(ISNUMBER(I74),I74&gt;59),1,_xlfn.XLOOKUP(I74,tbl_points[Place],tbl_points[Points],""))))))</f>
        <v/>
      </c>
      <c r="L74" s="3" t="str">
        <f>IF(K74="","",IF(K74="DNS",0,IF(K74="DQ",0,IF(K74="DNF",1,IF(AND(ISNUMBER(K74),K74&gt;59),1,_xlfn.XLOOKUP(K74,tbl_points[Place],tbl_points[Points],""))))))</f>
        <v/>
      </c>
      <c r="N74" s="3" t="str">
        <f>IF(M74="","",IF(M74="DNS",0,IF(M74="DQ",0,IF(M74="DNF",1,IF(AND(ISNUMBER(M74),M74&gt;59),1,_xlfn.XLOOKUP(M74,tbl_points[Place],tbl_points[Points],""))))))</f>
        <v/>
      </c>
      <c r="P74" s="3" t="str">
        <f>IF(O74="","",IF(O74="DNS",0,IF(O74="DQ",0,IF(O74="DNF",1,IF(AND(ISNUMBER(O74),O74&gt;59),1,_xlfn.XLOOKUP(O74,tbl_points[Place],tbl_points[Points],""))))))</f>
        <v/>
      </c>
      <c r="Q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4" s="3">
        <f>tbl_individual[[#This Row],[Total]]-tbl_individual[[#This Row],[Lowest Score]]</f>
        <v>0</v>
      </c>
    </row>
    <row r="75" spans="1:19" x14ac:dyDescent="0.4">
      <c r="A75" t="s">
        <v>128</v>
      </c>
      <c r="B75" t="s">
        <v>14</v>
      </c>
      <c r="C75" t="s">
        <v>7</v>
      </c>
      <c r="D75" s="3">
        <v>8194</v>
      </c>
      <c r="F75" s="3" t="str">
        <f>IF(E75="","",IF(E75="DNS",0,IF(E75="DQ",0,IF(E75="DNF",1,IF(AND(ISNUMBER(E75),E75&gt;59),1,_xlfn.XLOOKUP(E75,tbl_points[Place],tbl_points[Points],""))))))</f>
        <v/>
      </c>
      <c r="H75" s="3" t="str">
        <f>IF(G75="","",IF(G75="DNS",0,IF(G75="DQ",0,IF(G75="DNF",1,IF(AND(ISNUMBER(G75),G75&gt;59),1,_xlfn.XLOOKUP(G75,tbl_points[Place],tbl_points[Points],""))))))</f>
        <v/>
      </c>
      <c r="J75" s="3" t="str">
        <f>IF(I75="","",IF(I75="DNS",0,IF(I75="DQ",0,IF(I75="DNF",1,IF(AND(ISNUMBER(I75),I75&gt;59),1,_xlfn.XLOOKUP(I75,tbl_points[Place],tbl_points[Points],""))))))</f>
        <v/>
      </c>
      <c r="L75" s="3" t="str">
        <f>IF(K75="","",IF(K75="DNS",0,IF(K75="DQ",0,IF(K75="DNF",1,IF(AND(ISNUMBER(K75),K75&gt;59),1,_xlfn.XLOOKUP(K75,tbl_points[Place],tbl_points[Points],""))))))</f>
        <v/>
      </c>
      <c r="N75" s="3" t="str">
        <f>IF(M75="","",IF(M75="DNS",0,IF(M75="DQ",0,IF(M75="DNF",1,IF(AND(ISNUMBER(M75),M75&gt;59),1,_xlfn.XLOOKUP(M75,tbl_points[Place],tbl_points[Points],""))))))</f>
        <v/>
      </c>
      <c r="P75" s="3" t="str">
        <f>IF(O75="","",IF(O75="DNS",0,IF(O75="DQ",0,IF(O75="DNF",1,IF(AND(ISNUMBER(O75),O75&gt;59),1,_xlfn.XLOOKUP(O75,tbl_points[Place],tbl_points[Points],""))))))</f>
        <v/>
      </c>
      <c r="Q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5" s="3">
        <f>tbl_individual[[#This Row],[Total]]-tbl_individual[[#This Row],[Lowest Score]]</f>
        <v>0</v>
      </c>
    </row>
    <row r="76" spans="1:19" x14ac:dyDescent="0.4">
      <c r="A76" t="s">
        <v>127</v>
      </c>
      <c r="B76" t="s">
        <v>14</v>
      </c>
      <c r="C76" t="s">
        <v>7</v>
      </c>
      <c r="D76" s="3">
        <v>8193</v>
      </c>
      <c r="F76" s="3" t="str">
        <f>IF(E76="","",IF(E76="DNS",0,IF(E76="DQ",0,IF(E76="DNF",1,IF(AND(ISNUMBER(E76),E76&gt;59),1,_xlfn.XLOOKUP(E76,tbl_points[Place],tbl_points[Points],""))))))</f>
        <v/>
      </c>
      <c r="H76" s="3" t="str">
        <f>IF(G76="","",IF(G76="DNS",0,IF(G76="DQ",0,IF(G76="DNF",1,IF(AND(ISNUMBER(G76),G76&gt;59),1,_xlfn.XLOOKUP(G76,tbl_points[Place],tbl_points[Points],""))))))</f>
        <v/>
      </c>
      <c r="J76" s="3" t="str">
        <f>IF(I76="","",IF(I76="DNS",0,IF(I76="DQ",0,IF(I76="DNF",1,IF(AND(ISNUMBER(I76),I76&gt;59),1,_xlfn.XLOOKUP(I76,tbl_points[Place],tbl_points[Points],""))))))</f>
        <v/>
      </c>
      <c r="L76" s="3" t="str">
        <f>IF(K76="","",IF(K76="DNS",0,IF(K76="DQ",0,IF(K76="DNF",1,IF(AND(ISNUMBER(K76),K76&gt;59),1,_xlfn.XLOOKUP(K76,tbl_points[Place],tbl_points[Points],""))))))</f>
        <v/>
      </c>
      <c r="N76" s="3" t="str">
        <f>IF(M76="","",IF(M76="DNS",0,IF(M76="DQ",0,IF(M76="DNF",1,IF(AND(ISNUMBER(M76),M76&gt;59),1,_xlfn.XLOOKUP(M76,tbl_points[Place],tbl_points[Points],""))))))</f>
        <v/>
      </c>
      <c r="P76" s="3" t="str">
        <f>IF(O76="","",IF(O76="DNS",0,IF(O76="DQ",0,IF(O76="DNF",1,IF(AND(ISNUMBER(O76),O76&gt;59),1,_xlfn.XLOOKUP(O76,tbl_points[Place],tbl_points[Points],""))))))</f>
        <v/>
      </c>
      <c r="Q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6" s="3">
        <f>tbl_individual[[#This Row],[Total]]-tbl_individual[[#This Row],[Lowest Score]]</f>
        <v>0</v>
      </c>
    </row>
    <row r="77" spans="1:19" x14ac:dyDescent="0.4">
      <c r="A77" t="s">
        <v>131</v>
      </c>
      <c r="B77" t="s">
        <v>14</v>
      </c>
      <c r="C77" t="s">
        <v>3</v>
      </c>
      <c r="D77" s="3">
        <v>10158</v>
      </c>
      <c r="F77" s="3" t="str">
        <f>IF(E77="","",IF(E77="DNS",0,IF(E77="DQ",0,IF(E77="DNF",1,IF(AND(ISNUMBER(E77),E77&gt;59),1,_xlfn.XLOOKUP(E77,tbl_points[Place],tbl_points[Points],""))))))</f>
        <v/>
      </c>
      <c r="H77" s="3" t="str">
        <f>IF(G77="","",IF(G77="DNS",0,IF(G77="DQ",0,IF(G77="DNF",1,IF(AND(ISNUMBER(G77),G77&gt;59),1,_xlfn.XLOOKUP(G77,tbl_points[Place],tbl_points[Points],""))))))</f>
        <v/>
      </c>
      <c r="J77" s="3" t="str">
        <f>IF(I77="","",IF(I77="DNS",0,IF(I77="DQ",0,IF(I77="DNF",1,IF(AND(ISNUMBER(I77),I77&gt;59),1,_xlfn.XLOOKUP(I77,tbl_points[Place],tbl_points[Points],""))))))</f>
        <v/>
      </c>
      <c r="L77" s="3" t="str">
        <f>IF(K77="","",IF(K77="DNS",0,IF(K77="DQ",0,IF(K77="DNF",1,IF(AND(ISNUMBER(K77),K77&gt;59),1,_xlfn.XLOOKUP(K77,tbl_points[Place],tbl_points[Points],""))))))</f>
        <v/>
      </c>
      <c r="N77" s="3" t="str">
        <f>IF(M77="","",IF(M77="DNS",0,IF(M77="DQ",0,IF(M77="DNF",1,IF(AND(ISNUMBER(M77),M77&gt;59),1,_xlfn.XLOOKUP(M77,tbl_points[Place],tbl_points[Points],""))))))</f>
        <v/>
      </c>
      <c r="P77" s="3" t="str">
        <f>IF(O77="","",IF(O77="DNS",0,IF(O77="DQ",0,IF(O77="DNF",1,IF(AND(ISNUMBER(O77),O77&gt;59),1,_xlfn.XLOOKUP(O77,tbl_points[Place],tbl_points[Points],""))))))</f>
        <v/>
      </c>
      <c r="Q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7" s="3">
        <f>tbl_individual[[#This Row],[Total]]-tbl_individual[[#This Row],[Lowest Score]]</f>
        <v>0</v>
      </c>
    </row>
    <row r="78" spans="1:19" x14ac:dyDescent="0.4">
      <c r="A78" t="s">
        <v>132</v>
      </c>
      <c r="B78" t="s">
        <v>14</v>
      </c>
      <c r="C78" t="s">
        <v>3</v>
      </c>
      <c r="D78" s="3">
        <v>10159</v>
      </c>
      <c r="F78" s="3" t="str">
        <f>IF(E78="","",IF(E78="DNS",0,IF(E78="DQ",0,IF(E78="DNF",1,IF(AND(ISNUMBER(E78),E78&gt;59),1,_xlfn.XLOOKUP(E78,tbl_points[Place],tbl_points[Points],""))))))</f>
        <v/>
      </c>
      <c r="H78" s="3" t="str">
        <f>IF(G78="","",IF(G78="DNS",0,IF(G78="DQ",0,IF(G78="DNF",1,IF(AND(ISNUMBER(G78),G78&gt;59),1,_xlfn.XLOOKUP(G78,tbl_points[Place],tbl_points[Points],""))))))</f>
        <v/>
      </c>
      <c r="J78" s="3" t="str">
        <f>IF(I78="","",IF(I78="DNS",0,IF(I78="DQ",0,IF(I78="DNF",1,IF(AND(ISNUMBER(I78),I78&gt;59),1,_xlfn.XLOOKUP(I78,tbl_points[Place],tbl_points[Points],""))))))</f>
        <v/>
      </c>
      <c r="L78" s="3" t="str">
        <f>IF(K78="","",IF(K78="DNS",0,IF(K78="DQ",0,IF(K78="DNF",1,IF(AND(ISNUMBER(K78),K78&gt;59),1,_xlfn.XLOOKUP(K78,tbl_points[Place],tbl_points[Points],""))))))</f>
        <v/>
      </c>
      <c r="N78" s="3" t="str">
        <f>IF(M78="","",IF(M78="DNS",0,IF(M78="DQ",0,IF(M78="DNF",1,IF(AND(ISNUMBER(M78),M78&gt;59),1,_xlfn.XLOOKUP(M78,tbl_points[Place],tbl_points[Points],""))))))</f>
        <v/>
      </c>
      <c r="P78" s="3" t="str">
        <f>IF(O78="","",IF(O78="DNS",0,IF(O78="DQ",0,IF(O78="DNF",1,IF(AND(ISNUMBER(O78),O78&gt;59),1,_xlfn.XLOOKUP(O78,tbl_points[Place],tbl_points[Points],""))))))</f>
        <v/>
      </c>
      <c r="Q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8" s="3">
        <f>tbl_individual[[#This Row],[Total]]-tbl_individual[[#This Row],[Lowest Score]]</f>
        <v>0</v>
      </c>
    </row>
    <row r="79" spans="1:19" x14ac:dyDescent="0.4">
      <c r="A79" t="s">
        <v>130</v>
      </c>
      <c r="B79" t="s">
        <v>14</v>
      </c>
      <c r="C79" t="s">
        <v>5</v>
      </c>
      <c r="D79" s="3">
        <v>913</v>
      </c>
      <c r="F79" s="3" t="str">
        <f>IF(E79="","",IF(E79="DNS",0,IF(E79="DQ",0,IF(E79="DNF",1,IF(AND(ISNUMBER(E79),E79&gt;59),1,_xlfn.XLOOKUP(E79,tbl_points[Place],tbl_points[Points],""))))))</f>
        <v/>
      </c>
      <c r="H79" s="3" t="str">
        <f>IF(G79="","",IF(G79="DNS",0,IF(G79="DQ",0,IF(G79="DNF",1,IF(AND(ISNUMBER(G79),G79&gt;59),1,_xlfn.XLOOKUP(G79,tbl_points[Place],tbl_points[Points],""))))))</f>
        <v/>
      </c>
      <c r="J79" s="3" t="str">
        <f>IF(I79="","",IF(I79="DNS",0,IF(I79="DQ",0,IF(I79="DNF",1,IF(AND(ISNUMBER(I79),I79&gt;59),1,_xlfn.XLOOKUP(I79,tbl_points[Place],tbl_points[Points],""))))))</f>
        <v/>
      </c>
      <c r="L79" s="3" t="str">
        <f>IF(K79="","",IF(K79="DNS",0,IF(K79="DQ",0,IF(K79="DNF",1,IF(AND(ISNUMBER(K79),K79&gt;59),1,_xlfn.XLOOKUP(K79,tbl_points[Place],tbl_points[Points],""))))))</f>
        <v/>
      </c>
      <c r="N79" s="3" t="str">
        <f>IF(M79="","",IF(M79="DNS",0,IF(M79="DQ",0,IF(M79="DNF",1,IF(AND(ISNUMBER(M79),M79&gt;59),1,_xlfn.XLOOKUP(M79,tbl_points[Place],tbl_points[Points],""))))))</f>
        <v/>
      </c>
      <c r="P79" s="3" t="str">
        <f>IF(O79="","",IF(O79="DNS",0,IF(O79="DQ",0,IF(O79="DNF",1,IF(AND(ISNUMBER(O79),O79&gt;59),1,_xlfn.XLOOKUP(O79,tbl_points[Place],tbl_points[Points],""))))))</f>
        <v/>
      </c>
      <c r="Q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9" s="3">
        <f>tbl_individual[[#This Row],[Total]]-tbl_individual[[#This Row],[Lowest Score]]</f>
        <v>0</v>
      </c>
    </row>
    <row r="80" spans="1:19" x14ac:dyDescent="0.4">
      <c r="A80" t="s">
        <v>129</v>
      </c>
      <c r="B80" t="s">
        <v>14</v>
      </c>
      <c r="C80" t="s">
        <v>5</v>
      </c>
      <c r="D80" s="3">
        <v>912</v>
      </c>
      <c r="F80" s="3" t="str">
        <f>IF(E80="","",IF(E80="DNS",0,IF(E80="DQ",0,IF(E80="DNF",1,IF(AND(ISNUMBER(E80),E80&gt;59),1,_xlfn.XLOOKUP(E80,tbl_points[Place],tbl_points[Points],""))))))</f>
        <v/>
      </c>
      <c r="H80" s="3" t="str">
        <f>IF(G80="","",IF(G80="DNS",0,IF(G80="DQ",0,IF(G80="DNF",1,IF(AND(ISNUMBER(G80),G80&gt;59),1,_xlfn.XLOOKUP(G80,tbl_points[Place],tbl_points[Points],""))))))</f>
        <v/>
      </c>
      <c r="J80" s="3" t="str">
        <f>IF(I80="","",IF(I80="DNS",0,IF(I80="DQ",0,IF(I80="DNF",1,IF(AND(ISNUMBER(I80),I80&gt;59),1,_xlfn.XLOOKUP(I80,tbl_points[Place],tbl_points[Points],""))))))</f>
        <v/>
      </c>
      <c r="L80" s="3" t="str">
        <f>IF(K80="","",IF(K80="DNS",0,IF(K80="DQ",0,IF(K80="DNF",1,IF(AND(ISNUMBER(K80),K80&gt;59),1,_xlfn.XLOOKUP(K80,tbl_points[Place],tbl_points[Points],""))))))</f>
        <v/>
      </c>
      <c r="N80" s="3" t="str">
        <f>IF(M80="","",IF(M80="DNS",0,IF(M80="DQ",0,IF(M80="DNF",1,IF(AND(ISNUMBER(M80),M80&gt;59),1,_xlfn.XLOOKUP(M80,tbl_points[Place],tbl_points[Points],""))))))</f>
        <v/>
      </c>
      <c r="P80" s="3" t="str">
        <f>IF(O80="","",IF(O80="DNS",0,IF(O80="DQ",0,IF(O80="DNF",1,IF(AND(ISNUMBER(O80),O80&gt;59),1,_xlfn.XLOOKUP(O80,tbl_points[Place],tbl_points[Points],""))))))</f>
        <v/>
      </c>
      <c r="Q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0" s="3">
        <f>tbl_individual[[#This Row],[Total]]-tbl_individual[[#This Row],[Lowest Score]]</f>
        <v>0</v>
      </c>
    </row>
    <row r="81" spans="1:19" x14ac:dyDescent="0.4">
      <c r="A81" t="s">
        <v>135</v>
      </c>
      <c r="B81" t="s">
        <v>14</v>
      </c>
      <c r="C81" t="s">
        <v>1</v>
      </c>
      <c r="D81" s="3">
        <v>12026</v>
      </c>
      <c r="F81" s="3" t="str">
        <f>IF(E81="","",IF(E81="DNS",0,IF(E81="DQ",0,IF(E81="DNF",1,IF(AND(ISNUMBER(E81),E81&gt;59),1,_xlfn.XLOOKUP(E81,tbl_points[Place],tbl_points[Points],""))))))</f>
        <v/>
      </c>
      <c r="H81" s="3" t="str">
        <f>IF(G81="","",IF(G81="DNS",0,IF(G81="DQ",0,IF(G81="DNF",1,IF(AND(ISNUMBER(G81),G81&gt;59),1,_xlfn.XLOOKUP(G81,tbl_points[Place],tbl_points[Points],""))))))</f>
        <v/>
      </c>
      <c r="J81" s="3" t="str">
        <f>IF(I81="","",IF(I81="DNS",0,IF(I81="DQ",0,IF(I81="DNF",1,IF(AND(ISNUMBER(I81),I81&gt;59),1,_xlfn.XLOOKUP(I81,tbl_points[Place],tbl_points[Points],""))))))</f>
        <v/>
      </c>
      <c r="L81" s="3" t="str">
        <f>IF(K81="","",IF(K81="DNS",0,IF(K81="DQ",0,IF(K81="DNF",1,IF(AND(ISNUMBER(K81),K81&gt;59),1,_xlfn.XLOOKUP(K81,tbl_points[Place],tbl_points[Points],""))))))</f>
        <v/>
      </c>
      <c r="N81" s="3" t="str">
        <f>IF(M81="","",IF(M81="DNS",0,IF(M81="DQ",0,IF(M81="DNF",1,IF(AND(ISNUMBER(M81),M81&gt;59),1,_xlfn.XLOOKUP(M81,tbl_points[Place],tbl_points[Points],""))))))</f>
        <v/>
      </c>
      <c r="P81" s="3" t="str">
        <f>IF(O81="","",IF(O81="DNS",0,IF(O81="DQ",0,IF(O81="DNF",1,IF(AND(ISNUMBER(O81),O81&gt;59),1,_xlfn.XLOOKUP(O81,tbl_points[Place],tbl_points[Points],""))))))</f>
        <v/>
      </c>
      <c r="Q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1" s="3">
        <f>tbl_individual[[#This Row],[Total]]-tbl_individual[[#This Row],[Lowest Score]]</f>
        <v>0</v>
      </c>
    </row>
    <row r="82" spans="1:19" x14ac:dyDescent="0.4">
      <c r="A82" t="s">
        <v>134</v>
      </c>
      <c r="B82" t="s">
        <v>14</v>
      </c>
      <c r="C82" t="s">
        <v>1</v>
      </c>
      <c r="D82" s="3">
        <v>12025</v>
      </c>
      <c r="F82" s="3" t="str">
        <f>IF(E82="","",IF(E82="DNS",0,IF(E82="DQ",0,IF(E82="DNF",1,IF(AND(ISNUMBER(E82),E82&gt;59),1,_xlfn.XLOOKUP(E82,tbl_points[Place],tbl_points[Points],""))))))</f>
        <v/>
      </c>
      <c r="H82" s="3" t="str">
        <f>IF(G82="","",IF(G82="DNS",0,IF(G82="DQ",0,IF(G82="DNF",1,IF(AND(ISNUMBER(G82),G82&gt;59),1,_xlfn.XLOOKUP(G82,tbl_points[Place],tbl_points[Points],""))))))</f>
        <v/>
      </c>
      <c r="J82" s="3" t="str">
        <f>IF(I82="","",IF(I82="DNS",0,IF(I82="DQ",0,IF(I82="DNF",1,IF(AND(ISNUMBER(I82),I82&gt;59),1,_xlfn.XLOOKUP(I82,tbl_points[Place],tbl_points[Points],""))))))</f>
        <v/>
      </c>
      <c r="L82" s="3" t="str">
        <f>IF(K82="","",IF(K82="DNS",0,IF(K82="DQ",0,IF(K82="DNF",1,IF(AND(ISNUMBER(K82),K82&gt;59),1,_xlfn.XLOOKUP(K82,tbl_points[Place],tbl_points[Points],""))))))</f>
        <v/>
      </c>
      <c r="N82" s="3" t="str">
        <f>IF(M82="","",IF(M82="DNS",0,IF(M82="DQ",0,IF(M82="DNF",1,IF(AND(ISNUMBER(M82),M82&gt;59),1,_xlfn.XLOOKUP(M82,tbl_points[Place],tbl_points[Points],""))))))</f>
        <v/>
      </c>
      <c r="P82" s="3" t="str">
        <f>IF(O82="","",IF(O82="DNS",0,IF(O82="DQ",0,IF(O82="DNF",1,IF(AND(ISNUMBER(O82),O82&gt;59),1,_xlfn.XLOOKUP(O82,tbl_points[Place],tbl_points[Points],""))))))</f>
        <v/>
      </c>
      <c r="Q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2" s="3">
        <f>tbl_individual[[#This Row],[Total]]-tbl_individual[[#This Row],[Lowest Score]]</f>
        <v>0</v>
      </c>
    </row>
    <row r="83" spans="1:19" x14ac:dyDescent="0.4">
      <c r="A83" t="s">
        <v>137</v>
      </c>
      <c r="B83" t="s">
        <v>14</v>
      </c>
      <c r="C83" t="s">
        <v>1</v>
      </c>
      <c r="D83" s="3">
        <v>12028</v>
      </c>
      <c r="F83" s="3" t="str">
        <f>IF(E83="","",IF(E83="DNS",0,IF(E83="DQ",0,IF(E83="DNF",1,IF(AND(ISNUMBER(E83),E83&gt;59),1,_xlfn.XLOOKUP(E83,tbl_points[Place],tbl_points[Points],""))))))</f>
        <v/>
      </c>
      <c r="H83" s="3" t="str">
        <f>IF(G83="","",IF(G83="DNS",0,IF(G83="DQ",0,IF(G83="DNF",1,IF(AND(ISNUMBER(G83),G83&gt;59),1,_xlfn.XLOOKUP(G83,tbl_points[Place],tbl_points[Points],""))))))</f>
        <v/>
      </c>
      <c r="J83" s="3" t="str">
        <f>IF(I83="","",IF(I83="DNS",0,IF(I83="DQ",0,IF(I83="DNF",1,IF(AND(ISNUMBER(I83),I83&gt;59),1,_xlfn.XLOOKUP(I83,tbl_points[Place],tbl_points[Points],""))))))</f>
        <v/>
      </c>
      <c r="L83" s="3" t="str">
        <f>IF(K83="","",IF(K83="DNS",0,IF(K83="DQ",0,IF(K83="DNF",1,IF(AND(ISNUMBER(K83),K83&gt;59),1,_xlfn.XLOOKUP(K83,tbl_points[Place],tbl_points[Points],""))))))</f>
        <v/>
      </c>
      <c r="N83" s="3" t="str">
        <f>IF(M83="","",IF(M83="DNS",0,IF(M83="DQ",0,IF(M83="DNF",1,IF(AND(ISNUMBER(M83),M83&gt;59),1,_xlfn.XLOOKUP(M83,tbl_points[Place],tbl_points[Points],""))))))</f>
        <v/>
      </c>
      <c r="P83" s="3" t="str">
        <f>IF(O83="","",IF(O83="DNS",0,IF(O83="DQ",0,IF(O83="DNF",1,IF(AND(ISNUMBER(O83),O83&gt;59),1,_xlfn.XLOOKUP(O83,tbl_points[Place],tbl_points[Points],""))))))</f>
        <v/>
      </c>
      <c r="Q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3" s="3">
        <f>tbl_individual[[#This Row],[Total]]-tbl_individual[[#This Row],[Lowest Score]]</f>
        <v>0</v>
      </c>
    </row>
    <row r="84" spans="1:19" x14ac:dyDescent="0.4">
      <c r="A84" t="s">
        <v>136</v>
      </c>
      <c r="B84" t="s">
        <v>14</v>
      </c>
      <c r="C84" t="s">
        <v>1</v>
      </c>
      <c r="D84" s="3">
        <v>12027</v>
      </c>
      <c r="F84" s="3" t="str">
        <f>IF(E84="","",IF(E84="DNS",0,IF(E84="DQ",0,IF(E84="DNF",1,IF(AND(ISNUMBER(E84),E84&gt;59),1,_xlfn.XLOOKUP(E84,tbl_points[Place],tbl_points[Points],""))))))</f>
        <v/>
      </c>
      <c r="H84" s="3" t="str">
        <f>IF(G84="","",IF(G84="DNS",0,IF(G84="DQ",0,IF(G84="DNF",1,IF(AND(ISNUMBER(G84),G84&gt;59),1,_xlfn.XLOOKUP(G84,tbl_points[Place],tbl_points[Points],""))))))</f>
        <v/>
      </c>
      <c r="J84" s="3" t="str">
        <f>IF(I84="","",IF(I84="DNS",0,IF(I84="DQ",0,IF(I84="DNF",1,IF(AND(ISNUMBER(I84),I84&gt;59),1,_xlfn.XLOOKUP(I84,tbl_points[Place],tbl_points[Points],""))))))</f>
        <v/>
      </c>
      <c r="L84" s="3" t="str">
        <f>IF(K84="","",IF(K84="DNS",0,IF(K84="DQ",0,IF(K84="DNF",1,IF(AND(ISNUMBER(K84),K84&gt;59),1,_xlfn.XLOOKUP(K84,tbl_points[Place],tbl_points[Points],""))))))</f>
        <v/>
      </c>
      <c r="N84" s="3" t="str">
        <f>IF(M84="","",IF(M84="DNS",0,IF(M84="DQ",0,IF(M84="DNF",1,IF(AND(ISNUMBER(M84),M84&gt;59),1,_xlfn.XLOOKUP(M84,tbl_points[Place],tbl_points[Points],""))))))</f>
        <v/>
      </c>
      <c r="P84" s="3" t="str">
        <f>IF(O84="","",IF(O84="DNS",0,IF(O84="DQ",0,IF(O84="DNF",1,IF(AND(ISNUMBER(O84),O84&gt;59),1,_xlfn.XLOOKUP(O84,tbl_points[Place],tbl_points[Points],""))))))</f>
        <v/>
      </c>
      <c r="Q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4" s="3">
        <f>tbl_individual[[#This Row],[Total]]-tbl_individual[[#This Row],[Lowest Score]]</f>
        <v>0</v>
      </c>
    </row>
    <row r="85" spans="1:19" x14ac:dyDescent="0.4">
      <c r="A85" t="s">
        <v>138</v>
      </c>
      <c r="B85" t="s">
        <v>14</v>
      </c>
      <c r="C85" t="s">
        <v>1</v>
      </c>
      <c r="D85" s="3">
        <v>12029</v>
      </c>
      <c r="F85" s="3" t="str">
        <f>IF(E85="","",IF(E85="DNS",0,IF(E85="DQ",0,IF(E85="DNF",1,IF(AND(ISNUMBER(E85),E85&gt;59),1,_xlfn.XLOOKUP(E85,tbl_points[Place],tbl_points[Points],""))))))</f>
        <v/>
      </c>
      <c r="H85" s="3" t="str">
        <f>IF(G85="","",IF(G85="DNS",0,IF(G85="DQ",0,IF(G85="DNF",1,IF(AND(ISNUMBER(G85),G85&gt;59),1,_xlfn.XLOOKUP(G85,tbl_points[Place],tbl_points[Points],""))))))</f>
        <v/>
      </c>
      <c r="J85" s="3" t="str">
        <f>IF(I85="","",IF(I85="DNS",0,IF(I85="DQ",0,IF(I85="DNF",1,IF(AND(ISNUMBER(I85),I85&gt;59),1,_xlfn.XLOOKUP(I85,tbl_points[Place],tbl_points[Points],""))))))</f>
        <v/>
      </c>
      <c r="L85" s="3" t="str">
        <f>IF(K85="","",IF(K85="DNS",0,IF(K85="DQ",0,IF(K85="DNF",1,IF(AND(ISNUMBER(K85),K85&gt;59),1,_xlfn.XLOOKUP(K85,tbl_points[Place],tbl_points[Points],""))))))</f>
        <v/>
      </c>
      <c r="N85" s="3" t="str">
        <f>IF(M85="","",IF(M85="DNS",0,IF(M85="DQ",0,IF(M85="DNF",1,IF(AND(ISNUMBER(M85),M85&gt;59),1,_xlfn.XLOOKUP(M85,tbl_points[Place],tbl_points[Points],""))))))</f>
        <v/>
      </c>
      <c r="P85" s="3" t="str">
        <f>IF(O85="","",IF(O85="DNS",0,IF(O85="DQ",0,IF(O85="DNF",1,IF(AND(ISNUMBER(O85),O85&gt;59),1,_xlfn.XLOOKUP(O85,tbl_points[Place],tbl_points[Points],""))))))</f>
        <v/>
      </c>
      <c r="Q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5" s="3">
        <f>tbl_individual[[#This Row],[Total]]-tbl_individual[[#This Row],[Lowest Score]]</f>
        <v>0</v>
      </c>
    </row>
    <row r="86" spans="1:19" x14ac:dyDescent="0.4">
      <c r="A86" t="s">
        <v>133</v>
      </c>
      <c r="B86" t="s">
        <v>14</v>
      </c>
      <c r="C86" t="s">
        <v>1</v>
      </c>
      <c r="D86" s="3">
        <v>12024</v>
      </c>
      <c r="F86" s="3" t="str">
        <f>IF(E86="","",IF(E86="DNS",0,IF(E86="DQ",0,IF(E86="DNF",1,IF(AND(ISNUMBER(E86),E86&gt;59),1,_xlfn.XLOOKUP(E86,tbl_points[Place],tbl_points[Points],""))))))</f>
        <v/>
      </c>
      <c r="H86" s="3" t="str">
        <f>IF(G86="","",IF(G86="DNS",0,IF(G86="DQ",0,IF(G86="DNF",1,IF(AND(ISNUMBER(G86),G86&gt;59),1,_xlfn.XLOOKUP(G86,tbl_points[Place],tbl_points[Points],""))))))</f>
        <v/>
      </c>
      <c r="J86" s="3" t="str">
        <f>IF(I86="","",IF(I86="DNS",0,IF(I86="DQ",0,IF(I86="DNF",1,IF(AND(ISNUMBER(I86),I86&gt;59),1,_xlfn.XLOOKUP(I86,tbl_points[Place],tbl_points[Points],""))))))</f>
        <v/>
      </c>
      <c r="L86" s="3" t="str">
        <f>IF(K86="","",IF(K86="DNS",0,IF(K86="DQ",0,IF(K86="DNF",1,IF(AND(ISNUMBER(K86),K86&gt;59),1,_xlfn.XLOOKUP(K86,tbl_points[Place],tbl_points[Points],""))))))</f>
        <v/>
      </c>
      <c r="N86" s="3" t="str">
        <f>IF(M86="","",IF(M86="DNS",0,IF(M86="DQ",0,IF(M86="DNF",1,IF(AND(ISNUMBER(M86),M86&gt;59),1,_xlfn.XLOOKUP(M86,tbl_points[Place],tbl_points[Points],""))))))</f>
        <v/>
      </c>
      <c r="P86" s="3" t="str">
        <f>IF(O86="","",IF(O86="DNS",0,IF(O86="DQ",0,IF(O86="DNF",1,IF(AND(ISNUMBER(O86),O86&gt;59),1,_xlfn.XLOOKUP(O86,tbl_points[Place],tbl_points[Points],""))))))</f>
        <v/>
      </c>
      <c r="Q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6" s="3">
        <f>tbl_individual[[#This Row],[Total]]-tbl_individual[[#This Row],[Lowest Score]]</f>
        <v>0</v>
      </c>
    </row>
    <row r="87" spans="1:19" x14ac:dyDescent="0.4">
      <c r="A87" t="s">
        <v>139</v>
      </c>
      <c r="B87" t="s">
        <v>14</v>
      </c>
      <c r="C87" t="s">
        <v>1</v>
      </c>
      <c r="D87" s="3">
        <v>12030</v>
      </c>
      <c r="F87" s="3" t="str">
        <f>IF(E87="","",IF(E87="DNS",0,IF(E87="DQ",0,IF(E87="DNF",1,IF(AND(ISNUMBER(E87),E87&gt;59),1,_xlfn.XLOOKUP(E87,tbl_points[Place],tbl_points[Points],""))))))</f>
        <v/>
      </c>
      <c r="H87" s="3" t="str">
        <f>IF(G87="","",IF(G87="DNS",0,IF(G87="DQ",0,IF(G87="DNF",1,IF(AND(ISNUMBER(G87),G87&gt;59),1,_xlfn.XLOOKUP(G87,tbl_points[Place],tbl_points[Points],""))))))</f>
        <v/>
      </c>
      <c r="J87" s="3" t="str">
        <f>IF(I87="","",IF(I87="DNS",0,IF(I87="DQ",0,IF(I87="DNF",1,IF(AND(ISNUMBER(I87),I87&gt;59),1,_xlfn.XLOOKUP(I87,tbl_points[Place],tbl_points[Points],""))))))</f>
        <v/>
      </c>
      <c r="L87" s="3" t="str">
        <f>IF(K87="","",IF(K87="DNS",0,IF(K87="DQ",0,IF(K87="DNF",1,IF(AND(ISNUMBER(K87),K87&gt;59),1,_xlfn.XLOOKUP(K87,tbl_points[Place],tbl_points[Points],""))))))</f>
        <v/>
      </c>
      <c r="N87" s="3" t="str">
        <f>IF(M87="","",IF(M87="DNS",0,IF(M87="DQ",0,IF(M87="DNF",1,IF(AND(ISNUMBER(M87),M87&gt;59),1,_xlfn.XLOOKUP(M87,tbl_points[Place],tbl_points[Points],""))))))</f>
        <v/>
      </c>
      <c r="P87" s="3" t="str">
        <f>IF(O87="","",IF(O87="DNS",0,IF(O87="DQ",0,IF(O87="DNF",1,IF(AND(ISNUMBER(O87),O87&gt;59),1,_xlfn.XLOOKUP(O87,tbl_points[Place],tbl_points[Points],""))))))</f>
        <v/>
      </c>
      <c r="Q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7" s="3">
        <f>tbl_individual[[#This Row],[Total]]-tbl_individual[[#This Row],[Lowest Score]]</f>
        <v>0</v>
      </c>
    </row>
    <row r="88" spans="1:19" x14ac:dyDescent="0.4">
      <c r="A88" t="s">
        <v>143</v>
      </c>
      <c r="B88" t="s">
        <v>14</v>
      </c>
      <c r="C88" t="s">
        <v>2</v>
      </c>
      <c r="D88" s="3">
        <v>1233</v>
      </c>
      <c r="F88" s="3" t="str">
        <f>IF(E88="","",IF(E88="DNS",0,IF(E88="DQ",0,IF(E88="DNF",1,IF(AND(ISNUMBER(E88),E88&gt;59),1,_xlfn.XLOOKUP(E88,tbl_points[Place],tbl_points[Points],""))))))</f>
        <v/>
      </c>
      <c r="H88" s="3" t="str">
        <f>IF(G88="","",IF(G88="DNS",0,IF(G88="DQ",0,IF(G88="DNF",1,IF(AND(ISNUMBER(G88),G88&gt;59),1,_xlfn.XLOOKUP(G88,tbl_points[Place],tbl_points[Points],""))))))</f>
        <v/>
      </c>
      <c r="J88" s="3" t="str">
        <f>IF(I88="","",IF(I88="DNS",0,IF(I88="DQ",0,IF(I88="DNF",1,IF(AND(ISNUMBER(I88),I88&gt;59),1,_xlfn.XLOOKUP(I88,tbl_points[Place],tbl_points[Points],""))))))</f>
        <v/>
      </c>
      <c r="L88" s="3" t="str">
        <f>IF(K88="","",IF(K88="DNS",0,IF(K88="DQ",0,IF(K88="DNF",1,IF(AND(ISNUMBER(K88),K88&gt;59),1,_xlfn.XLOOKUP(K88,tbl_points[Place],tbl_points[Points],""))))))</f>
        <v/>
      </c>
      <c r="N88" s="3" t="str">
        <f>IF(M88="","",IF(M88="DNS",0,IF(M88="DQ",0,IF(M88="DNF",1,IF(AND(ISNUMBER(M88),M88&gt;59),1,_xlfn.XLOOKUP(M88,tbl_points[Place],tbl_points[Points],""))))))</f>
        <v/>
      </c>
      <c r="P88" s="3" t="str">
        <f>IF(O88="","",IF(O88="DNS",0,IF(O88="DQ",0,IF(O88="DNF",1,IF(AND(ISNUMBER(O88),O88&gt;59),1,_xlfn.XLOOKUP(O88,tbl_points[Place],tbl_points[Points],""))))))</f>
        <v/>
      </c>
      <c r="Q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8" s="3">
        <f>tbl_individual[[#This Row],[Total]]-tbl_individual[[#This Row],[Lowest Score]]</f>
        <v>0</v>
      </c>
    </row>
    <row r="89" spans="1:19" x14ac:dyDescent="0.4">
      <c r="A89" t="s">
        <v>141</v>
      </c>
      <c r="B89" t="s">
        <v>14</v>
      </c>
      <c r="C89" t="s">
        <v>2</v>
      </c>
      <c r="D89" s="3">
        <v>1231</v>
      </c>
      <c r="F89" s="3" t="str">
        <f>IF(E89="","",IF(E89="DNS",0,IF(E89="DQ",0,IF(E89="DNF",1,IF(AND(ISNUMBER(E89),E89&gt;59),1,_xlfn.XLOOKUP(E89,tbl_points[Place],tbl_points[Points],""))))))</f>
        <v/>
      </c>
      <c r="H89" s="3" t="str">
        <f>IF(G89="","",IF(G89="DNS",0,IF(G89="DQ",0,IF(G89="DNF",1,IF(AND(ISNUMBER(G89),G89&gt;59),1,_xlfn.XLOOKUP(G89,tbl_points[Place],tbl_points[Points],""))))))</f>
        <v/>
      </c>
      <c r="J89" s="3" t="str">
        <f>IF(I89="","",IF(I89="DNS",0,IF(I89="DQ",0,IF(I89="DNF",1,IF(AND(ISNUMBER(I89),I89&gt;59),1,_xlfn.XLOOKUP(I89,tbl_points[Place],tbl_points[Points],""))))))</f>
        <v/>
      </c>
      <c r="L89" s="3" t="str">
        <f>IF(K89="","",IF(K89="DNS",0,IF(K89="DQ",0,IF(K89="DNF",1,IF(AND(ISNUMBER(K89),K89&gt;59),1,_xlfn.XLOOKUP(K89,tbl_points[Place],tbl_points[Points],""))))))</f>
        <v/>
      </c>
      <c r="N89" s="3" t="str">
        <f>IF(M89="","",IF(M89="DNS",0,IF(M89="DQ",0,IF(M89="DNF",1,IF(AND(ISNUMBER(M89),M89&gt;59),1,_xlfn.XLOOKUP(M89,tbl_points[Place],tbl_points[Points],""))))))</f>
        <v/>
      </c>
      <c r="P89" s="3" t="str">
        <f>IF(O89="","",IF(O89="DNS",0,IF(O89="DQ",0,IF(O89="DNF",1,IF(AND(ISNUMBER(O89),O89&gt;59),1,_xlfn.XLOOKUP(O89,tbl_points[Place],tbl_points[Points],""))))))</f>
        <v/>
      </c>
      <c r="Q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9" s="3">
        <f>tbl_individual[[#This Row],[Total]]-tbl_individual[[#This Row],[Lowest Score]]</f>
        <v>0</v>
      </c>
    </row>
    <row r="90" spans="1:19" x14ac:dyDescent="0.4">
      <c r="A90" t="s">
        <v>140</v>
      </c>
      <c r="B90" t="s">
        <v>14</v>
      </c>
      <c r="C90" t="s">
        <v>2</v>
      </c>
      <c r="D90" s="3">
        <v>1230</v>
      </c>
      <c r="F90" s="3" t="str">
        <f>IF(E90="","",IF(E90="DNS",0,IF(E90="DQ",0,IF(E90="DNF",1,IF(AND(ISNUMBER(E90),E90&gt;59),1,_xlfn.XLOOKUP(E90,tbl_points[Place],tbl_points[Points],""))))))</f>
        <v/>
      </c>
      <c r="H90" s="3" t="str">
        <f>IF(G90="","",IF(G90="DNS",0,IF(G90="DQ",0,IF(G90="DNF",1,IF(AND(ISNUMBER(G90),G90&gt;59),1,_xlfn.XLOOKUP(G90,tbl_points[Place],tbl_points[Points],""))))))</f>
        <v/>
      </c>
      <c r="J90" s="3" t="str">
        <f>IF(I90="","",IF(I90="DNS",0,IF(I90="DQ",0,IF(I90="DNF",1,IF(AND(ISNUMBER(I90),I90&gt;59),1,_xlfn.XLOOKUP(I90,tbl_points[Place],tbl_points[Points],""))))))</f>
        <v/>
      </c>
      <c r="L90" s="3" t="str">
        <f>IF(K90="","",IF(K90="DNS",0,IF(K90="DQ",0,IF(K90="DNF",1,IF(AND(ISNUMBER(K90),K90&gt;59),1,_xlfn.XLOOKUP(K90,tbl_points[Place],tbl_points[Points],""))))))</f>
        <v/>
      </c>
      <c r="N90" s="3" t="str">
        <f>IF(M90="","",IF(M90="DNS",0,IF(M90="DQ",0,IF(M90="DNF",1,IF(AND(ISNUMBER(M90),M90&gt;59),1,_xlfn.XLOOKUP(M90,tbl_points[Place],tbl_points[Points],""))))))</f>
        <v/>
      </c>
      <c r="P90" s="3" t="str">
        <f>IF(O90="","",IF(O90="DNS",0,IF(O90="DQ",0,IF(O90="DNF",1,IF(AND(ISNUMBER(O90),O90&gt;59),1,_xlfn.XLOOKUP(O90,tbl_points[Place],tbl_points[Points],""))))))</f>
        <v/>
      </c>
      <c r="Q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0" s="3">
        <f>tbl_individual[[#This Row],[Total]]-tbl_individual[[#This Row],[Lowest Score]]</f>
        <v>0</v>
      </c>
    </row>
    <row r="91" spans="1:19" x14ac:dyDescent="0.4">
      <c r="A91" t="s">
        <v>142</v>
      </c>
      <c r="B91" t="s">
        <v>14</v>
      </c>
      <c r="C91" t="s">
        <v>2</v>
      </c>
      <c r="D91" s="3">
        <v>1232</v>
      </c>
      <c r="F91" s="3" t="str">
        <f>IF(E91="","",IF(E91="DNS",0,IF(E91="DQ",0,IF(E91="DNF",1,IF(AND(ISNUMBER(E91),E91&gt;59),1,_xlfn.XLOOKUP(E91,tbl_points[Place],tbl_points[Points],""))))))</f>
        <v/>
      </c>
      <c r="H91" s="3" t="str">
        <f>IF(G91="","",IF(G91="DNS",0,IF(G91="DQ",0,IF(G91="DNF",1,IF(AND(ISNUMBER(G91),G91&gt;59),1,_xlfn.XLOOKUP(G91,tbl_points[Place],tbl_points[Points],""))))))</f>
        <v/>
      </c>
      <c r="J91" s="3" t="str">
        <f>IF(I91="","",IF(I91="DNS",0,IF(I91="DQ",0,IF(I91="DNF",1,IF(AND(ISNUMBER(I91),I91&gt;59),1,_xlfn.XLOOKUP(I91,tbl_points[Place],tbl_points[Points],""))))))</f>
        <v/>
      </c>
      <c r="L91" s="3" t="str">
        <f>IF(K91="","",IF(K91="DNS",0,IF(K91="DQ",0,IF(K91="DNF",1,IF(AND(ISNUMBER(K91),K91&gt;59),1,_xlfn.XLOOKUP(K91,tbl_points[Place],tbl_points[Points],""))))))</f>
        <v/>
      </c>
      <c r="N91" s="3" t="str">
        <f>IF(M91="","",IF(M91="DNS",0,IF(M91="DQ",0,IF(M91="DNF",1,IF(AND(ISNUMBER(M91),M91&gt;59),1,_xlfn.XLOOKUP(M91,tbl_points[Place],tbl_points[Points],""))))))</f>
        <v/>
      </c>
      <c r="P91" s="3" t="str">
        <f>IF(O91="","",IF(O91="DNS",0,IF(O91="DQ",0,IF(O91="DNF",1,IF(AND(ISNUMBER(O91),O91&gt;59),1,_xlfn.XLOOKUP(O91,tbl_points[Place],tbl_points[Points],""))))))</f>
        <v/>
      </c>
      <c r="Q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1" s="3">
        <f>tbl_individual[[#This Row],[Total]]-tbl_individual[[#This Row],[Lowest Score]]</f>
        <v>0</v>
      </c>
    </row>
    <row r="92" spans="1:19" x14ac:dyDescent="0.4">
      <c r="A92" t="s">
        <v>145</v>
      </c>
      <c r="B92" t="s">
        <v>15</v>
      </c>
      <c r="C92" t="s">
        <v>7</v>
      </c>
      <c r="D92" s="3">
        <v>8196</v>
      </c>
      <c r="F92" s="3" t="str">
        <f>IF(E92="","",IF(E92="DNS",0,IF(E92="DQ",0,IF(E92="DNF",1,IF(AND(ISNUMBER(E92),E92&gt;59),1,_xlfn.XLOOKUP(E92,tbl_points[Place],tbl_points[Points],""))))))</f>
        <v/>
      </c>
      <c r="H92" s="3" t="str">
        <f>IF(G92="","",IF(G92="DNS",0,IF(G92="DQ",0,IF(G92="DNF",1,IF(AND(ISNUMBER(G92),G92&gt;59),1,_xlfn.XLOOKUP(G92,tbl_points[Place],tbl_points[Points],""))))))</f>
        <v/>
      </c>
      <c r="J92" s="3" t="str">
        <f>IF(I92="","",IF(I92="DNS",0,IF(I92="DQ",0,IF(I92="DNF",1,IF(AND(ISNUMBER(I92),I92&gt;59),1,_xlfn.XLOOKUP(I92,tbl_points[Place],tbl_points[Points],""))))))</f>
        <v/>
      </c>
      <c r="L92" s="3" t="str">
        <f>IF(K92="","",IF(K92="DNS",0,IF(K92="DQ",0,IF(K92="DNF",1,IF(AND(ISNUMBER(K92),K92&gt;59),1,_xlfn.XLOOKUP(K92,tbl_points[Place],tbl_points[Points],""))))))</f>
        <v/>
      </c>
      <c r="N92" s="3" t="str">
        <f>IF(M92="","",IF(M92="DNS",0,IF(M92="DQ",0,IF(M92="DNF",1,IF(AND(ISNUMBER(M92),M92&gt;59),1,_xlfn.XLOOKUP(M92,tbl_points[Place],tbl_points[Points],""))))))</f>
        <v/>
      </c>
      <c r="P92" s="3" t="str">
        <f>IF(O92="","",IF(O92="DNS",0,IF(O92="DQ",0,IF(O92="DNF",1,IF(AND(ISNUMBER(O92),O92&gt;59),1,_xlfn.XLOOKUP(O92,tbl_points[Place],tbl_points[Points],""))))))</f>
        <v/>
      </c>
      <c r="Q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2" s="3">
        <f>tbl_individual[[#This Row],[Total]]-tbl_individual[[#This Row],[Lowest Score]]</f>
        <v>0</v>
      </c>
    </row>
    <row r="93" spans="1:19" x14ac:dyDescent="0.4">
      <c r="A93" t="s">
        <v>144</v>
      </c>
      <c r="B93" t="s">
        <v>15</v>
      </c>
      <c r="C93" t="s">
        <v>7</v>
      </c>
      <c r="D93" s="3">
        <v>8195</v>
      </c>
      <c r="F93" s="3" t="str">
        <f>IF(E93="","",IF(E93="DNS",0,IF(E93="DQ",0,IF(E93="DNF",1,IF(AND(ISNUMBER(E93),E93&gt;59),1,_xlfn.XLOOKUP(E93,tbl_points[Place],tbl_points[Points],""))))))</f>
        <v/>
      </c>
      <c r="H93" s="3" t="str">
        <f>IF(G93="","",IF(G93="DNS",0,IF(G93="DQ",0,IF(G93="DNF",1,IF(AND(ISNUMBER(G93),G93&gt;59),1,_xlfn.XLOOKUP(G93,tbl_points[Place],tbl_points[Points],""))))))</f>
        <v/>
      </c>
      <c r="J93" s="3" t="str">
        <f>IF(I93="","",IF(I93="DNS",0,IF(I93="DQ",0,IF(I93="DNF",1,IF(AND(ISNUMBER(I93),I93&gt;59),1,_xlfn.XLOOKUP(I93,tbl_points[Place],tbl_points[Points],""))))))</f>
        <v/>
      </c>
      <c r="L93" s="3" t="str">
        <f>IF(K93="","",IF(K93="DNS",0,IF(K93="DQ",0,IF(K93="DNF",1,IF(AND(ISNUMBER(K93),K93&gt;59),1,_xlfn.XLOOKUP(K93,tbl_points[Place],tbl_points[Points],""))))))</f>
        <v/>
      </c>
      <c r="N93" s="3" t="str">
        <f>IF(M93="","",IF(M93="DNS",0,IF(M93="DQ",0,IF(M93="DNF",1,IF(AND(ISNUMBER(M93),M93&gt;59),1,_xlfn.XLOOKUP(M93,tbl_points[Place],tbl_points[Points],""))))))</f>
        <v/>
      </c>
      <c r="P93" s="3" t="str">
        <f>IF(O93="","",IF(O93="DNS",0,IF(O93="DQ",0,IF(O93="DNF",1,IF(AND(ISNUMBER(O93),O93&gt;59),1,_xlfn.XLOOKUP(O93,tbl_points[Place],tbl_points[Points],""))))))</f>
        <v/>
      </c>
      <c r="Q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3" s="3">
        <f>tbl_individual[[#This Row],[Total]]-tbl_individual[[#This Row],[Lowest Score]]</f>
        <v>0</v>
      </c>
    </row>
    <row r="94" spans="1:19" x14ac:dyDescent="0.4">
      <c r="A94" t="s">
        <v>146</v>
      </c>
      <c r="B94" t="s">
        <v>15</v>
      </c>
      <c r="C94" t="s">
        <v>1</v>
      </c>
      <c r="D94" s="3">
        <v>12031</v>
      </c>
      <c r="F94" s="3" t="str">
        <f>IF(E94="","",IF(E94="DNS",0,IF(E94="DQ",0,IF(E94="DNF",1,IF(AND(ISNUMBER(E94),E94&gt;59),1,_xlfn.XLOOKUP(E94,tbl_points[Place],tbl_points[Points],""))))))</f>
        <v/>
      </c>
      <c r="H94" s="3" t="str">
        <f>IF(G94="","",IF(G94="DNS",0,IF(G94="DQ",0,IF(G94="DNF",1,IF(AND(ISNUMBER(G94),G94&gt;59),1,_xlfn.XLOOKUP(G94,tbl_points[Place],tbl_points[Points],""))))))</f>
        <v/>
      </c>
      <c r="J94" s="3" t="str">
        <f>IF(I94="","",IF(I94="DNS",0,IF(I94="DQ",0,IF(I94="DNF",1,IF(AND(ISNUMBER(I94),I94&gt;59),1,_xlfn.XLOOKUP(I94,tbl_points[Place],tbl_points[Points],""))))))</f>
        <v/>
      </c>
      <c r="L94" s="3" t="str">
        <f>IF(K94="","",IF(K94="DNS",0,IF(K94="DQ",0,IF(K94="DNF",1,IF(AND(ISNUMBER(K94),K94&gt;59),1,_xlfn.XLOOKUP(K94,tbl_points[Place],tbl_points[Points],""))))))</f>
        <v/>
      </c>
      <c r="N94" s="3" t="str">
        <f>IF(M94="","",IF(M94="DNS",0,IF(M94="DQ",0,IF(M94="DNF",1,IF(AND(ISNUMBER(M94),M94&gt;59),1,_xlfn.XLOOKUP(M94,tbl_points[Place],tbl_points[Points],""))))))</f>
        <v/>
      </c>
      <c r="P94" s="3" t="str">
        <f>IF(O94="","",IF(O94="DNS",0,IF(O94="DQ",0,IF(O94="DNF",1,IF(AND(ISNUMBER(O94),O94&gt;59),1,_xlfn.XLOOKUP(O94,tbl_points[Place],tbl_points[Points],""))))))</f>
        <v/>
      </c>
      <c r="Q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4" s="3">
        <f>tbl_individual[[#This Row],[Total]]-tbl_individual[[#This Row],[Lowest Score]]</f>
        <v>0</v>
      </c>
    </row>
    <row r="95" spans="1:19" x14ac:dyDescent="0.4">
      <c r="A95" t="s">
        <v>152</v>
      </c>
      <c r="B95" t="s">
        <v>16</v>
      </c>
      <c r="C95" t="s">
        <v>7</v>
      </c>
      <c r="D95" s="3">
        <v>802</v>
      </c>
      <c r="F95" s="3" t="str">
        <f>IF(E95="","",IF(E95="DNS",0,IF(E95="DQ",0,IF(E95="DNF",1,IF(AND(ISNUMBER(E95),E95&gt;59),1,_xlfn.XLOOKUP(E95,tbl_points[Place],tbl_points[Points],""))))))</f>
        <v/>
      </c>
      <c r="H95" s="3" t="str">
        <f>IF(G95="","",IF(G95="DNS",0,IF(G95="DQ",0,IF(G95="DNF",1,IF(AND(ISNUMBER(G95),G95&gt;59),1,_xlfn.XLOOKUP(G95,tbl_points[Place],tbl_points[Points],""))))))</f>
        <v/>
      </c>
      <c r="J95" s="3" t="str">
        <f>IF(I95="","",IF(I95="DNS",0,IF(I95="DQ",0,IF(I95="DNF",1,IF(AND(ISNUMBER(I95),I95&gt;59),1,_xlfn.XLOOKUP(I95,tbl_points[Place],tbl_points[Points],""))))))</f>
        <v/>
      </c>
      <c r="L95" s="3" t="str">
        <f>IF(K95="","",IF(K95="DNS",0,IF(K95="DQ",0,IF(K95="DNF",1,IF(AND(ISNUMBER(K95),K95&gt;59),1,_xlfn.XLOOKUP(K95,tbl_points[Place],tbl_points[Points],""))))))</f>
        <v/>
      </c>
      <c r="N95" s="3" t="str">
        <f>IF(M95="","",IF(M95="DNS",0,IF(M95="DQ",0,IF(M95="DNF",1,IF(AND(ISNUMBER(M95),M95&gt;59),1,_xlfn.XLOOKUP(M95,tbl_points[Place],tbl_points[Points],""))))))</f>
        <v/>
      </c>
      <c r="P95" s="3" t="str">
        <f>IF(O95="","",IF(O95="DNS",0,IF(O95="DQ",0,IF(O95="DNF",1,IF(AND(ISNUMBER(O95),O95&gt;59),1,_xlfn.XLOOKUP(O95,tbl_points[Place],tbl_points[Points],""))))))</f>
        <v/>
      </c>
      <c r="Q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5" s="3">
        <f>tbl_individual[[#This Row],[Total]]-tbl_individual[[#This Row],[Lowest Score]]</f>
        <v>0</v>
      </c>
    </row>
    <row r="96" spans="1:19" x14ac:dyDescent="0.4">
      <c r="A96" t="s">
        <v>147</v>
      </c>
      <c r="B96" t="s">
        <v>16</v>
      </c>
      <c r="C96" t="s">
        <v>7</v>
      </c>
      <c r="D96" s="3">
        <v>8197</v>
      </c>
      <c r="F96" s="3" t="str">
        <f>IF(E96="","",IF(E96="DNS",0,IF(E96="DQ",0,IF(E96="DNF",1,IF(AND(ISNUMBER(E96),E96&gt;59),1,_xlfn.XLOOKUP(E96,tbl_points[Place],tbl_points[Points],""))))))</f>
        <v/>
      </c>
      <c r="H96" s="3" t="str">
        <f>IF(G96="","",IF(G96="DNS",0,IF(G96="DQ",0,IF(G96="DNF",1,IF(AND(ISNUMBER(G96),G96&gt;59),1,_xlfn.XLOOKUP(G96,tbl_points[Place],tbl_points[Points],""))))))</f>
        <v/>
      </c>
      <c r="J96" s="3" t="str">
        <f>IF(I96="","",IF(I96="DNS",0,IF(I96="DQ",0,IF(I96="DNF",1,IF(AND(ISNUMBER(I96),I96&gt;59),1,_xlfn.XLOOKUP(I96,tbl_points[Place],tbl_points[Points],""))))))</f>
        <v/>
      </c>
      <c r="L96" s="3" t="str">
        <f>IF(K96="","",IF(K96="DNS",0,IF(K96="DQ",0,IF(K96="DNF",1,IF(AND(ISNUMBER(K96),K96&gt;59),1,_xlfn.XLOOKUP(K96,tbl_points[Place],tbl_points[Points],""))))))</f>
        <v/>
      </c>
      <c r="N96" s="3" t="str">
        <f>IF(M96="","",IF(M96="DNS",0,IF(M96="DQ",0,IF(M96="DNF",1,IF(AND(ISNUMBER(M96),M96&gt;59),1,_xlfn.XLOOKUP(M96,tbl_points[Place],tbl_points[Points],""))))))</f>
        <v/>
      </c>
      <c r="P96" s="3" t="str">
        <f>IF(O96="","",IF(O96="DNS",0,IF(O96="DQ",0,IF(O96="DNF",1,IF(AND(ISNUMBER(O96),O96&gt;59),1,_xlfn.XLOOKUP(O96,tbl_points[Place],tbl_points[Points],""))))))</f>
        <v/>
      </c>
      <c r="Q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6" s="3">
        <f>tbl_individual[[#This Row],[Total]]-tbl_individual[[#This Row],[Lowest Score]]</f>
        <v>0</v>
      </c>
    </row>
    <row r="97" spans="1:19" x14ac:dyDescent="0.4">
      <c r="A97" t="s">
        <v>148</v>
      </c>
      <c r="B97" t="s">
        <v>16</v>
      </c>
      <c r="C97" t="s">
        <v>7</v>
      </c>
      <c r="D97" s="3">
        <v>8198</v>
      </c>
      <c r="F97" s="3" t="str">
        <f>IF(E97="","",IF(E97="DNS",0,IF(E97="DQ",0,IF(E97="DNF",1,IF(AND(ISNUMBER(E97),E97&gt;59),1,_xlfn.XLOOKUP(E97,tbl_points[Place],tbl_points[Points],""))))))</f>
        <v/>
      </c>
      <c r="H97" s="3" t="str">
        <f>IF(G97="","",IF(G97="DNS",0,IF(G97="DQ",0,IF(G97="DNF",1,IF(AND(ISNUMBER(G97),G97&gt;59),1,_xlfn.XLOOKUP(G97,tbl_points[Place],tbl_points[Points],""))))))</f>
        <v/>
      </c>
      <c r="J97" s="3" t="str">
        <f>IF(I97="","",IF(I97="DNS",0,IF(I97="DQ",0,IF(I97="DNF",1,IF(AND(ISNUMBER(I97),I97&gt;59),1,_xlfn.XLOOKUP(I97,tbl_points[Place],tbl_points[Points],""))))))</f>
        <v/>
      </c>
      <c r="L97" s="3" t="str">
        <f>IF(K97="","",IF(K97="DNS",0,IF(K97="DQ",0,IF(K97="DNF",1,IF(AND(ISNUMBER(K97),K97&gt;59),1,_xlfn.XLOOKUP(K97,tbl_points[Place],tbl_points[Points],""))))))</f>
        <v/>
      </c>
      <c r="N97" s="3" t="str">
        <f>IF(M97="","",IF(M97="DNS",0,IF(M97="DQ",0,IF(M97="DNF",1,IF(AND(ISNUMBER(M97),M97&gt;59),1,_xlfn.XLOOKUP(M97,tbl_points[Place],tbl_points[Points],""))))))</f>
        <v/>
      </c>
      <c r="P97" s="3" t="str">
        <f>IF(O97="","",IF(O97="DNS",0,IF(O97="DQ",0,IF(O97="DNF",1,IF(AND(ISNUMBER(O97),O97&gt;59),1,_xlfn.XLOOKUP(O97,tbl_points[Place],tbl_points[Points],""))))))</f>
        <v/>
      </c>
      <c r="Q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7" s="3">
        <f>tbl_individual[[#This Row],[Total]]-tbl_individual[[#This Row],[Lowest Score]]</f>
        <v>0</v>
      </c>
    </row>
    <row r="98" spans="1:19" x14ac:dyDescent="0.4">
      <c r="A98" t="s">
        <v>150</v>
      </c>
      <c r="B98" t="s">
        <v>16</v>
      </c>
      <c r="C98" t="s">
        <v>7</v>
      </c>
      <c r="D98" s="3">
        <v>800</v>
      </c>
      <c r="F98" s="3" t="str">
        <f>IF(E98="","",IF(E98="DNS",0,IF(E98="DQ",0,IF(E98="DNF",1,IF(AND(ISNUMBER(E98),E98&gt;59),1,_xlfn.XLOOKUP(E98,tbl_points[Place],tbl_points[Points],""))))))</f>
        <v/>
      </c>
      <c r="H98" s="3" t="str">
        <f>IF(G98="","",IF(G98="DNS",0,IF(G98="DQ",0,IF(G98="DNF",1,IF(AND(ISNUMBER(G98),G98&gt;59),1,_xlfn.XLOOKUP(G98,tbl_points[Place],tbl_points[Points],""))))))</f>
        <v/>
      </c>
      <c r="J98" s="3" t="str">
        <f>IF(I98="","",IF(I98="DNS",0,IF(I98="DQ",0,IF(I98="DNF",1,IF(AND(ISNUMBER(I98),I98&gt;59),1,_xlfn.XLOOKUP(I98,tbl_points[Place],tbl_points[Points],""))))))</f>
        <v/>
      </c>
      <c r="L98" s="3" t="str">
        <f>IF(K98="","",IF(K98="DNS",0,IF(K98="DQ",0,IF(K98="DNF",1,IF(AND(ISNUMBER(K98),K98&gt;59),1,_xlfn.XLOOKUP(K98,tbl_points[Place],tbl_points[Points],""))))))</f>
        <v/>
      </c>
      <c r="N98" s="3" t="str">
        <f>IF(M98="","",IF(M98="DNS",0,IF(M98="DQ",0,IF(M98="DNF",1,IF(AND(ISNUMBER(M98),M98&gt;59),1,_xlfn.XLOOKUP(M98,tbl_points[Place],tbl_points[Points],""))))))</f>
        <v/>
      </c>
      <c r="P98" s="3" t="str">
        <f>IF(O98="","",IF(O98="DNS",0,IF(O98="DQ",0,IF(O98="DNF",1,IF(AND(ISNUMBER(O98),O98&gt;59),1,_xlfn.XLOOKUP(O98,tbl_points[Place],tbl_points[Points],""))))))</f>
        <v/>
      </c>
      <c r="Q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8" s="3">
        <f>tbl_individual[[#This Row],[Total]]-tbl_individual[[#This Row],[Lowest Score]]</f>
        <v>0</v>
      </c>
    </row>
    <row r="99" spans="1:19" x14ac:dyDescent="0.4">
      <c r="A99" t="s">
        <v>151</v>
      </c>
      <c r="B99" t="s">
        <v>16</v>
      </c>
      <c r="C99" t="s">
        <v>7</v>
      </c>
      <c r="D99" s="3">
        <v>801</v>
      </c>
      <c r="F99" s="3" t="str">
        <f>IF(E99="","",IF(E99="DNS",0,IF(E99="DQ",0,IF(E99="DNF",1,IF(AND(ISNUMBER(E99),E99&gt;59),1,_xlfn.XLOOKUP(E99,tbl_points[Place],tbl_points[Points],""))))))</f>
        <v/>
      </c>
      <c r="H99" s="3" t="str">
        <f>IF(G99="","",IF(G99="DNS",0,IF(G99="DQ",0,IF(G99="DNF",1,IF(AND(ISNUMBER(G99),G99&gt;59),1,_xlfn.XLOOKUP(G99,tbl_points[Place],tbl_points[Points],""))))))</f>
        <v/>
      </c>
      <c r="J99" s="3" t="str">
        <f>IF(I99="","",IF(I99="DNS",0,IF(I99="DQ",0,IF(I99="DNF",1,IF(AND(ISNUMBER(I99),I99&gt;59),1,_xlfn.XLOOKUP(I99,tbl_points[Place],tbl_points[Points],""))))))</f>
        <v/>
      </c>
      <c r="L99" s="3" t="str">
        <f>IF(K99="","",IF(K99="DNS",0,IF(K99="DQ",0,IF(K99="DNF",1,IF(AND(ISNUMBER(K99),K99&gt;59),1,_xlfn.XLOOKUP(K99,tbl_points[Place],tbl_points[Points],""))))))</f>
        <v/>
      </c>
      <c r="N99" s="3" t="str">
        <f>IF(M99="","",IF(M99="DNS",0,IF(M99="DQ",0,IF(M99="DNF",1,IF(AND(ISNUMBER(M99),M99&gt;59),1,_xlfn.XLOOKUP(M99,tbl_points[Place],tbl_points[Points],""))))))</f>
        <v/>
      </c>
      <c r="P99" s="3" t="str">
        <f>IF(O99="","",IF(O99="DNS",0,IF(O99="DQ",0,IF(O99="DNF",1,IF(AND(ISNUMBER(O99),O99&gt;59),1,_xlfn.XLOOKUP(O99,tbl_points[Place],tbl_points[Points],""))))))</f>
        <v/>
      </c>
      <c r="Q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9" s="3">
        <f>tbl_individual[[#This Row],[Total]]-tbl_individual[[#This Row],[Lowest Score]]</f>
        <v>0</v>
      </c>
    </row>
    <row r="100" spans="1:19" x14ac:dyDescent="0.4">
      <c r="A100" t="s">
        <v>149</v>
      </c>
      <c r="B100" t="s">
        <v>16</v>
      </c>
      <c r="C100" t="s">
        <v>7</v>
      </c>
      <c r="D100" s="3">
        <v>8199</v>
      </c>
      <c r="F100" s="3" t="str">
        <f>IF(E100="","",IF(E100="DNS",0,IF(E100="DQ",0,IF(E100="DNF",1,IF(AND(ISNUMBER(E100),E100&gt;59),1,_xlfn.XLOOKUP(E100,tbl_points[Place],tbl_points[Points],""))))))</f>
        <v/>
      </c>
      <c r="H100" s="3" t="str">
        <f>IF(G100="","",IF(G100="DNS",0,IF(G100="DQ",0,IF(G100="DNF",1,IF(AND(ISNUMBER(G100),G100&gt;59),1,_xlfn.XLOOKUP(G100,tbl_points[Place],tbl_points[Points],""))))))</f>
        <v/>
      </c>
      <c r="J100" s="3" t="str">
        <f>IF(I100="","",IF(I100="DNS",0,IF(I100="DQ",0,IF(I100="DNF",1,IF(AND(ISNUMBER(I100),I100&gt;59),1,_xlfn.XLOOKUP(I100,tbl_points[Place],tbl_points[Points],""))))))</f>
        <v/>
      </c>
      <c r="L100" s="3" t="str">
        <f>IF(K100="","",IF(K100="DNS",0,IF(K100="DQ",0,IF(K100="DNF",1,IF(AND(ISNUMBER(K100),K100&gt;59),1,_xlfn.XLOOKUP(K100,tbl_points[Place],tbl_points[Points],""))))))</f>
        <v/>
      </c>
      <c r="N100" s="3" t="str">
        <f>IF(M100="","",IF(M100="DNS",0,IF(M100="DQ",0,IF(M100="DNF",1,IF(AND(ISNUMBER(M100),M100&gt;59),1,_xlfn.XLOOKUP(M100,tbl_points[Place],tbl_points[Points],""))))))</f>
        <v/>
      </c>
      <c r="P100" s="3" t="str">
        <f>IF(O100="","",IF(O100="DNS",0,IF(O100="DQ",0,IF(O100="DNF",1,IF(AND(ISNUMBER(O100),O100&gt;59),1,_xlfn.XLOOKUP(O100,tbl_points[Place],tbl_points[Points],""))))))</f>
        <v/>
      </c>
      <c r="Q1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0" s="3">
        <f>tbl_individual[[#This Row],[Total]]-tbl_individual[[#This Row],[Lowest Score]]</f>
        <v>0</v>
      </c>
    </row>
    <row r="101" spans="1:19" x14ac:dyDescent="0.4">
      <c r="A101" t="s">
        <v>154</v>
      </c>
      <c r="B101" t="s">
        <v>16</v>
      </c>
      <c r="C101" t="s">
        <v>8</v>
      </c>
      <c r="D101" s="3">
        <v>854</v>
      </c>
      <c r="F101" s="3" t="str">
        <f>IF(E101="","",IF(E101="DNS",0,IF(E101="DQ",0,IF(E101="DNF",1,IF(AND(ISNUMBER(E101),E101&gt;59),1,_xlfn.XLOOKUP(E101,tbl_points[Place],tbl_points[Points],""))))))</f>
        <v/>
      </c>
      <c r="H101" s="3" t="str">
        <f>IF(G101="","",IF(G101="DNS",0,IF(G101="DQ",0,IF(G101="DNF",1,IF(AND(ISNUMBER(G101),G101&gt;59),1,_xlfn.XLOOKUP(G101,tbl_points[Place],tbl_points[Points],""))))))</f>
        <v/>
      </c>
      <c r="J101" s="3" t="str">
        <f>IF(I101="","",IF(I101="DNS",0,IF(I101="DQ",0,IF(I101="DNF",1,IF(AND(ISNUMBER(I101),I101&gt;59),1,_xlfn.XLOOKUP(I101,tbl_points[Place],tbl_points[Points],""))))))</f>
        <v/>
      </c>
      <c r="L101" s="3" t="str">
        <f>IF(K101="","",IF(K101="DNS",0,IF(K101="DQ",0,IF(K101="DNF",1,IF(AND(ISNUMBER(K101),K101&gt;59),1,_xlfn.XLOOKUP(K101,tbl_points[Place],tbl_points[Points],""))))))</f>
        <v/>
      </c>
      <c r="N101" s="3" t="str">
        <f>IF(M101="","",IF(M101="DNS",0,IF(M101="DQ",0,IF(M101="DNF",1,IF(AND(ISNUMBER(M101),M101&gt;59),1,_xlfn.XLOOKUP(M101,tbl_points[Place],tbl_points[Points],""))))))</f>
        <v/>
      </c>
      <c r="P101" s="3" t="str">
        <f>IF(O101="","",IF(O101="DNS",0,IF(O101="DQ",0,IF(O101="DNF",1,IF(AND(ISNUMBER(O101),O101&gt;59),1,_xlfn.XLOOKUP(O101,tbl_points[Place],tbl_points[Points],""))))))</f>
        <v/>
      </c>
      <c r="Q1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1" s="3">
        <f>tbl_individual[[#This Row],[Total]]-tbl_individual[[#This Row],[Lowest Score]]</f>
        <v>0</v>
      </c>
    </row>
    <row r="102" spans="1:19" x14ac:dyDescent="0.4">
      <c r="A102" t="s">
        <v>153</v>
      </c>
      <c r="B102" t="s">
        <v>16</v>
      </c>
      <c r="C102" t="s">
        <v>8</v>
      </c>
      <c r="D102" s="3">
        <v>825</v>
      </c>
      <c r="F102" s="3" t="str">
        <f>IF(E102="","",IF(E102="DNS",0,IF(E102="DQ",0,IF(E102="DNF",1,IF(AND(ISNUMBER(E102),E102&gt;59),1,_xlfn.XLOOKUP(E102,tbl_points[Place],tbl_points[Points],""))))))</f>
        <v/>
      </c>
      <c r="H102" s="3" t="str">
        <f>IF(G102="","",IF(G102="DNS",0,IF(G102="DQ",0,IF(G102="DNF",1,IF(AND(ISNUMBER(G102),G102&gt;59),1,_xlfn.XLOOKUP(G102,tbl_points[Place],tbl_points[Points],""))))))</f>
        <v/>
      </c>
      <c r="J102" s="3" t="str">
        <f>IF(I102="","",IF(I102="DNS",0,IF(I102="DQ",0,IF(I102="DNF",1,IF(AND(ISNUMBER(I102),I102&gt;59),1,_xlfn.XLOOKUP(I102,tbl_points[Place],tbl_points[Points],""))))))</f>
        <v/>
      </c>
      <c r="L102" s="3" t="str">
        <f>IF(K102="","",IF(K102="DNS",0,IF(K102="DQ",0,IF(K102="DNF",1,IF(AND(ISNUMBER(K102),K102&gt;59),1,_xlfn.XLOOKUP(K102,tbl_points[Place],tbl_points[Points],""))))))</f>
        <v/>
      </c>
      <c r="N102" s="3" t="str">
        <f>IF(M102="","",IF(M102="DNS",0,IF(M102="DQ",0,IF(M102="DNF",1,IF(AND(ISNUMBER(M102),M102&gt;59),1,_xlfn.XLOOKUP(M102,tbl_points[Place],tbl_points[Points],""))))))</f>
        <v/>
      </c>
      <c r="P102" s="3" t="str">
        <f>IF(O102="","",IF(O102="DNS",0,IF(O102="DQ",0,IF(O102="DNF",1,IF(AND(ISNUMBER(O102),O102&gt;59),1,_xlfn.XLOOKUP(O102,tbl_points[Place],tbl_points[Points],""))))))</f>
        <v/>
      </c>
      <c r="Q1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2" s="3">
        <f>tbl_individual[[#This Row],[Total]]-tbl_individual[[#This Row],[Lowest Score]]</f>
        <v>0</v>
      </c>
    </row>
    <row r="103" spans="1:19" x14ac:dyDescent="0.4">
      <c r="A103" t="s">
        <v>156</v>
      </c>
      <c r="B103" t="s">
        <v>16</v>
      </c>
      <c r="C103" t="s">
        <v>3</v>
      </c>
      <c r="D103" s="3">
        <v>10160</v>
      </c>
      <c r="F103" s="3" t="str">
        <f>IF(E103="","",IF(E103="DNS",0,IF(E103="DQ",0,IF(E103="DNF",1,IF(AND(ISNUMBER(E103),E103&gt;59),1,_xlfn.XLOOKUP(E103,tbl_points[Place],tbl_points[Points],""))))))</f>
        <v/>
      </c>
      <c r="H103" s="3" t="str">
        <f>IF(G103="","",IF(G103="DNS",0,IF(G103="DQ",0,IF(G103="DNF",1,IF(AND(ISNUMBER(G103),G103&gt;59),1,_xlfn.XLOOKUP(G103,tbl_points[Place],tbl_points[Points],""))))))</f>
        <v/>
      </c>
      <c r="J103" s="3" t="str">
        <f>IF(I103="","",IF(I103="DNS",0,IF(I103="DQ",0,IF(I103="DNF",1,IF(AND(ISNUMBER(I103),I103&gt;59),1,_xlfn.XLOOKUP(I103,tbl_points[Place],tbl_points[Points],""))))))</f>
        <v/>
      </c>
      <c r="L103" s="3" t="str">
        <f>IF(K103="","",IF(K103="DNS",0,IF(K103="DQ",0,IF(K103="DNF",1,IF(AND(ISNUMBER(K103),K103&gt;59),1,_xlfn.XLOOKUP(K103,tbl_points[Place],tbl_points[Points],""))))))</f>
        <v/>
      </c>
      <c r="N103" s="3" t="str">
        <f>IF(M103="","",IF(M103="DNS",0,IF(M103="DQ",0,IF(M103="DNF",1,IF(AND(ISNUMBER(M103),M103&gt;59),1,_xlfn.XLOOKUP(M103,tbl_points[Place],tbl_points[Points],""))))))</f>
        <v/>
      </c>
      <c r="P103" s="3" t="str">
        <f>IF(O103="","",IF(O103="DNS",0,IF(O103="DQ",0,IF(O103="DNF",1,IF(AND(ISNUMBER(O103),O103&gt;59),1,_xlfn.XLOOKUP(O103,tbl_points[Place],tbl_points[Points],""))))))</f>
        <v/>
      </c>
      <c r="Q1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3" s="3">
        <f>tbl_individual[[#This Row],[Total]]-tbl_individual[[#This Row],[Lowest Score]]</f>
        <v>0</v>
      </c>
    </row>
    <row r="104" spans="1:19" x14ac:dyDescent="0.4">
      <c r="A104" t="s">
        <v>155</v>
      </c>
      <c r="B104" t="s">
        <v>16</v>
      </c>
      <c r="C104" t="s">
        <v>6</v>
      </c>
      <c r="D104" s="3">
        <v>9491</v>
      </c>
      <c r="F104" s="3" t="str">
        <f>IF(E104="","",IF(E104="DNS",0,IF(E104="DQ",0,IF(E104="DNF",1,IF(AND(ISNUMBER(E104),E104&gt;59),1,_xlfn.XLOOKUP(E104,tbl_points[Place],tbl_points[Points],""))))))</f>
        <v/>
      </c>
      <c r="H104" s="3" t="str">
        <f>IF(G104="","",IF(G104="DNS",0,IF(G104="DQ",0,IF(G104="DNF",1,IF(AND(ISNUMBER(G104),G104&gt;59),1,_xlfn.XLOOKUP(G104,tbl_points[Place],tbl_points[Points],""))))))</f>
        <v/>
      </c>
      <c r="J104" s="3" t="str">
        <f>IF(I104="","",IF(I104="DNS",0,IF(I104="DQ",0,IF(I104="DNF",1,IF(AND(ISNUMBER(I104),I104&gt;59),1,_xlfn.XLOOKUP(I104,tbl_points[Place],tbl_points[Points],""))))))</f>
        <v/>
      </c>
      <c r="L104" s="3" t="str">
        <f>IF(K104="","",IF(K104="DNS",0,IF(K104="DQ",0,IF(K104="DNF",1,IF(AND(ISNUMBER(K104),K104&gt;59),1,_xlfn.XLOOKUP(K104,tbl_points[Place],tbl_points[Points],""))))))</f>
        <v/>
      </c>
      <c r="N104" s="3" t="str">
        <f>IF(M104="","",IF(M104="DNS",0,IF(M104="DQ",0,IF(M104="DNF",1,IF(AND(ISNUMBER(M104),M104&gt;59),1,_xlfn.XLOOKUP(M104,tbl_points[Place],tbl_points[Points],""))))))</f>
        <v/>
      </c>
      <c r="P104" s="3" t="str">
        <f>IF(O104="","",IF(O104="DNS",0,IF(O104="DQ",0,IF(O104="DNF",1,IF(AND(ISNUMBER(O104),O104&gt;59),1,_xlfn.XLOOKUP(O104,tbl_points[Place],tbl_points[Points],""))))))</f>
        <v/>
      </c>
      <c r="Q1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4" s="3">
        <f>tbl_individual[[#This Row],[Total]]-tbl_individual[[#This Row],[Lowest Score]]</f>
        <v>0</v>
      </c>
    </row>
    <row r="105" spans="1:19" x14ac:dyDescent="0.4">
      <c r="A105" t="s">
        <v>157</v>
      </c>
      <c r="B105" t="s">
        <v>16</v>
      </c>
      <c r="C105" t="s">
        <v>1</v>
      </c>
      <c r="D105" s="3">
        <v>12032</v>
      </c>
      <c r="F105" s="3" t="str">
        <f>IF(E105="","",IF(E105="DNS",0,IF(E105="DQ",0,IF(E105="DNF",1,IF(AND(ISNUMBER(E105),E105&gt;59),1,_xlfn.XLOOKUP(E105,tbl_points[Place],tbl_points[Points],""))))))</f>
        <v/>
      </c>
      <c r="H105" s="3" t="str">
        <f>IF(G105="","",IF(G105="DNS",0,IF(G105="DQ",0,IF(G105="DNF",1,IF(AND(ISNUMBER(G105),G105&gt;59),1,_xlfn.XLOOKUP(G105,tbl_points[Place],tbl_points[Points],""))))))</f>
        <v/>
      </c>
      <c r="J105" s="3" t="str">
        <f>IF(I105="","",IF(I105="DNS",0,IF(I105="DQ",0,IF(I105="DNF",1,IF(AND(ISNUMBER(I105),I105&gt;59),1,_xlfn.XLOOKUP(I105,tbl_points[Place],tbl_points[Points],""))))))</f>
        <v/>
      </c>
      <c r="L105" s="3" t="str">
        <f>IF(K105="","",IF(K105="DNS",0,IF(K105="DQ",0,IF(K105="DNF",1,IF(AND(ISNUMBER(K105),K105&gt;59),1,_xlfn.XLOOKUP(K105,tbl_points[Place],tbl_points[Points],""))))))</f>
        <v/>
      </c>
      <c r="N105" s="3" t="str">
        <f>IF(M105="","",IF(M105="DNS",0,IF(M105="DQ",0,IF(M105="DNF",1,IF(AND(ISNUMBER(M105),M105&gt;59),1,_xlfn.XLOOKUP(M105,tbl_points[Place],tbl_points[Points],""))))))</f>
        <v/>
      </c>
      <c r="P105" s="3" t="str">
        <f>IF(O105="","",IF(O105="DNS",0,IF(O105="DQ",0,IF(O105="DNF",1,IF(AND(ISNUMBER(O105),O105&gt;59),1,_xlfn.XLOOKUP(O105,tbl_points[Place],tbl_points[Points],""))))))</f>
        <v/>
      </c>
      <c r="Q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5" s="3">
        <f>tbl_individual[[#This Row],[Total]]-tbl_individual[[#This Row],[Lowest Score]]</f>
        <v>0</v>
      </c>
    </row>
    <row r="106" spans="1:19" x14ac:dyDescent="0.4">
      <c r="A106" t="s">
        <v>158</v>
      </c>
      <c r="B106" t="s">
        <v>16</v>
      </c>
      <c r="C106" t="s">
        <v>1</v>
      </c>
      <c r="D106" s="3">
        <v>12033</v>
      </c>
      <c r="F106" s="3" t="str">
        <f>IF(E106="","",IF(E106="DNS",0,IF(E106="DQ",0,IF(E106="DNF",1,IF(AND(ISNUMBER(E106),E106&gt;59),1,_xlfn.XLOOKUP(E106,tbl_points[Place],tbl_points[Points],""))))))</f>
        <v/>
      </c>
      <c r="H106" s="3" t="str">
        <f>IF(G106="","",IF(G106="DNS",0,IF(G106="DQ",0,IF(G106="DNF",1,IF(AND(ISNUMBER(G106),G106&gt;59),1,_xlfn.XLOOKUP(G106,tbl_points[Place],tbl_points[Points],""))))))</f>
        <v/>
      </c>
      <c r="J106" s="3" t="str">
        <f>IF(I106="","",IF(I106="DNS",0,IF(I106="DQ",0,IF(I106="DNF",1,IF(AND(ISNUMBER(I106),I106&gt;59),1,_xlfn.XLOOKUP(I106,tbl_points[Place],tbl_points[Points],""))))))</f>
        <v/>
      </c>
      <c r="L106" s="3" t="str">
        <f>IF(K106="","",IF(K106="DNS",0,IF(K106="DQ",0,IF(K106="DNF",1,IF(AND(ISNUMBER(K106),K106&gt;59),1,_xlfn.XLOOKUP(K106,tbl_points[Place],tbl_points[Points],""))))))</f>
        <v/>
      </c>
      <c r="N106" s="3" t="str">
        <f>IF(M106="","",IF(M106="DNS",0,IF(M106="DQ",0,IF(M106="DNF",1,IF(AND(ISNUMBER(M106),M106&gt;59),1,_xlfn.XLOOKUP(M106,tbl_points[Place],tbl_points[Points],""))))))</f>
        <v/>
      </c>
      <c r="P106" s="3" t="str">
        <f>IF(O106="","",IF(O106="DNS",0,IF(O106="DQ",0,IF(O106="DNF",1,IF(AND(ISNUMBER(O106),O106&gt;59),1,_xlfn.XLOOKUP(O106,tbl_points[Place],tbl_points[Points],""))))))</f>
        <v/>
      </c>
      <c r="Q1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6" s="3">
        <f>tbl_individual[[#This Row],[Total]]-tbl_individual[[#This Row],[Lowest Score]]</f>
        <v>0</v>
      </c>
    </row>
    <row r="107" spans="1:19" x14ac:dyDescent="0.4">
      <c r="A107" t="s">
        <v>160</v>
      </c>
      <c r="B107" t="s">
        <v>17</v>
      </c>
      <c r="C107" t="s">
        <v>7</v>
      </c>
      <c r="D107" s="3">
        <v>804</v>
      </c>
      <c r="F107" s="3" t="str">
        <f>IF(E107="","",IF(E107="DNS",0,IF(E107="DQ",0,IF(E107="DNF",1,IF(AND(ISNUMBER(E107),E107&gt;59),1,_xlfn.XLOOKUP(E107,tbl_points[Place],tbl_points[Points],""))))))</f>
        <v/>
      </c>
      <c r="H107" s="3" t="str">
        <f>IF(G107="","",IF(G107="DNS",0,IF(G107="DQ",0,IF(G107="DNF",1,IF(AND(ISNUMBER(G107),G107&gt;59),1,_xlfn.XLOOKUP(G107,tbl_points[Place],tbl_points[Points],""))))))</f>
        <v/>
      </c>
      <c r="J107" s="3" t="str">
        <f>IF(I107="","",IF(I107="DNS",0,IF(I107="DQ",0,IF(I107="DNF",1,IF(AND(ISNUMBER(I107),I107&gt;59),1,_xlfn.XLOOKUP(I107,tbl_points[Place],tbl_points[Points],""))))))</f>
        <v/>
      </c>
      <c r="L107" s="3" t="str">
        <f>IF(K107="","",IF(K107="DNS",0,IF(K107="DQ",0,IF(K107="DNF",1,IF(AND(ISNUMBER(K107),K107&gt;59),1,_xlfn.XLOOKUP(K107,tbl_points[Place],tbl_points[Points],""))))))</f>
        <v/>
      </c>
      <c r="N107" s="3" t="str">
        <f>IF(M107="","",IF(M107="DNS",0,IF(M107="DQ",0,IF(M107="DNF",1,IF(AND(ISNUMBER(M107),M107&gt;59),1,_xlfn.XLOOKUP(M107,tbl_points[Place],tbl_points[Points],""))))))</f>
        <v/>
      </c>
      <c r="P107" s="3" t="str">
        <f>IF(O107="","",IF(O107="DNS",0,IF(O107="DQ",0,IF(O107="DNF",1,IF(AND(ISNUMBER(O107),O107&gt;59),1,_xlfn.XLOOKUP(O107,tbl_points[Place],tbl_points[Points],""))))))</f>
        <v/>
      </c>
      <c r="Q1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7" s="3">
        <f>tbl_individual[[#This Row],[Total]]-tbl_individual[[#This Row],[Lowest Score]]</f>
        <v>0</v>
      </c>
    </row>
    <row r="108" spans="1:19" x14ac:dyDescent="0.4">
      <c r="A108" t="s">
        <v>159</v>
      </c>
      <c r="B108" t="s">
        <v>17</v>
      </c>
      <c r="C108" t="s">
        <v>7</v>
      </c>
      <c r="D108" s="3">
        <v>803</v>
      </c>
      <c r="F108" s="3" t="str">
        <f>IF(E108="","",IF(E108="DNS",0,IF(E108="DQ",0,IF(E108="DNF",1,IF(AND(ISNUMBER(E108),E108&gt;59),1,_xlfn.XLOOKUP(E108,tbl_points[Place],tbl_points[Points],""))))))</f>
        <v/>
      </c>
      <c r="H108" s="3" t="str">
        <f>IF(G108="","",IF(G108="DNS",0,IF(G108="DQ",0,IF(G108="DNF",1,IF(AND(ISNUMBER(G108),G108&gt;59),1,_xlfn.XLOOKUP(G108,tbl_points[Place],tbl_points[Points],""))))))</f>
        <v/>
      </c>
      <c r="J108" s="3" t="str">
        <f>IF(I108="","",IF(I108="DNS",0,IF(I108="DQ",0,IF(I108="DNF",1,IF(AND(ISNUMBER(I108),I108&gt;59),1,_xlfn.XLOOKUP(I108,tbl_points[Place],tbl_points[Points],""))))))</f>
        <v/>
      </c>
      <c r="L108" s="3" t="str">
        <f>IF(K108="","",IF(K108="DNS",0,IF(K108="DQ",0,IF(K108="DNF",1,IF(AND(ISNUMBER(K108),K108&gt;59),1,_xlfn.XLOOKUP(K108,tbl_points[Place],tbl_points[Points],""))))))</f>
        <v/>
      </c>
      <c r="N108" s="3" t="str">
        <f>IF(M108="","",IF(M108="DNS",0,IF(M108="DQ",0,IF(M108="DNF",1,IF(AND(ISNUMBER(M108),M108&gt;59),1,_xlfn.XLOOKUP(M108,tbl_points[Place],tbl_points[Points],""))))))</f>
        <v/>
      </c>
      <c r="P108" s="3" t="str">
        <f>IF(O108="","",IF(O108="DNS",0,IF(O108="DQ",0,IF(O108="DNF",1,IF(AND(ISNUMBER(O108),O108&gt;59),1,_xlfn.XLOOKUP(O108,tbl_points[Place],tbl_points[Points],""))))))</f>
        <v/>
      </c>
      <c r="Q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8" s="3">
        <f>tbl_individual[[#This Row],[Total]]-tbl_individual[[#This Row],[Lowest Score]]</f>
        <v>0</v>
      </c>
    </row>
    <row r="109" spans="1:19" x14ac:dyDescent="0.4">
      <c r="A109" t="s">
        <v>166</v>
      </c>
      <c r="B109" t="s">
        <v>17</v>
      </c>
      <c r="C109" t="s">
        <v>3</v>
      </c>
      <c r="D109" s="3">
        <v>10161</v>
      </c>
      <c r="F109" s="3" t="str">
        <f>IF(E109="","",IF(E109="DNS",0,IF(E109="DQ",0,IF(E109="DNF",1,IF(AND(ISNUMBER(E109),E109&gt;59),1,_xlfn.XLOOKUP(E109,tbl_points[Place],tbl_points[Points],""))))))</f>
        <v/>
      </c>
      <c r="H109" s="3" t="str">
        <f>IF(G109="","",IF(G109="DNS",0,IF(G109="DQ",0,IF(G109="DNF",1,IF(AND(ISNUMBER(G109),G109&gt;59),1,_xlfn.XLOOKUP(G109,tbl_points[Place],tbl_points[Points],""))))))</f>
        <v/>
      </c>
      <c r="J109" s="3" t="str">
        <f>IF(I109="","",IF(I109="DNS",0,IF(I109="DQ",0,IF(I109="DNF",1,IF(AND(ISNUMBER(I109),I109&gt;59),1,_xlfn.XLOOKUP(I109,tbl_points[Place],tbl_points[Points],""))))))</f>
        <v/>
      </c>
      <c r="L109" s="3" t="str">
        <f>IF(K109="","",IF(K109="DNS",0,IF(K109="DQ",0,IF(K109="DNF",1,IF(AND(ISNUMBER(K109),K109&gt;59),1,_xlfn.XLOOKUP(K109,tbl_points[Place],tbl_points[Points],""))))))</f>
        <v/>
      </c>
      <c r="N109" s="3" t="str">
        <f>IF(M109="","",IF(M109="DNS",0,IF(M109="DQ",0,IF(M109="DNF",1,IF(AND(ISNUMBER(M109),M109&gt;59),1,_xlfn.XLOOKUP(M109,tbl_points[Place],tbl_points[Points],""))))))</f>
        <v/>
      </c>
      <c r="P109" s="3" t="str">
        <f>IF(O109="","",IF(O109="DNS",0,IF(O109="DQ",0,IF(O109="DNF",1,IF(AND(ISNUMBER(O109),O109&gt;59),1,_xlfn.XLOOKUP(O109,tbl_points[Place],tbl_points[Points],""))))))</f>
        <v/>
      </c>
      <c r="Q1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9" s="3">
        <f>tbl_individual[[#This Row],[Total]]-tbl_individual[[#This Row],[Lowest Score]]</f>
        <v>0</v>
      </c>
    </row>
    <row r="110" spans="1:19" x14ac:dyDescent="0.4">
      <c r="A110" t="s">
        <v>162</v>
      </c>
      <c r="B110" t="s">
        <v>17</v>
      </c>
      <c r="C110" t="s">
        <v>5</v>
      </c>
      <c r="D110" s="3">
        <v>915</v>
      </c>
      <c r="F110" s="3" t="str">
        <f>IF(E110="","",IF(E110="DNS",0,IF(E110="DQ",0,IF(E110="DNF",1,IF(AND(ISNUMBER(E110),E110&gt;59),1,_xlfn.XLOOKUP(E110,tbl_points[Place],tbl_points[Points],""))))))</f>
        <v/>
      </c>
      <c r="H110" s="3" t="str">
        <f>IF(G110="","",IF(G110="DNS",0,IF(G110="DQ",0,IF(G110="DNF",1,IF(AND(ISNUMBER(G110),G110&gt;59),1,_xlfn.XLOOKUP(G110,tbl_points[Place],tbl_points[Points],""))))))</f>
        <v/>
      </c>
      <c r="J110" s="3" t="str">
        <f>IF(I110="","",IF(I110="DNS",0,IF(I110="DQ",0,IF(I110="DNF",1,IF(AND(ISNUMBER(I110),I110&gt;59),1,_xlfn.XLOOKUP(I110,tbl_points[Place],tbl_points[Points],""))))))</f>
        <v/>
      </c>
      <c r="L110" s="3" t="str">
        <f>IF(K110="","",IF(K110="DNS",0,IF(K110="DQ",0,IF(K110="DNF",1,IF(AND(ISNUMBER(K110),K110&gt;59),1,_xlfn.XLOOKUP(K110,tbl_points[Place],tbl_points[Points],""))))))</f>
        <v/>
      </c>
      <c r="N110" s="3" t="str">
        <f>IF(M110="","",IF(M110="DNS",0,IF(M110="DQ",0,IF(M110="DNF",1,IF(AND(ISNUMBER(M110),M110&gt;59),1,_xlfn.XLOOKUP(M110,tbl_points[Place],tbl_points[Points],""))))))</f>
        <v/>
      </c>
      <c r="P110" s="3" t="str">
        <f>IF(O110="","",IF(O110="DNS",0,IF(O110="DQ",0,IF(O110="DNF",1,IF(AND(ISNUMBER(O110),O110&gt;59),1,_xlfn.XLOOKUP(O110,tbl_points[Place],tbl_points[Points],""))))))</f>
        <v/>
      </c>
      <c r="Q1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0" s="3">
        <f>tbl_individual[[#This Row],[Total]]-tbl_individual[[#This Row],[Lowest Score]]</f>
        <v>0</v>
      </c>
    </row>
    <row r="111" spans="1:19" x14ac:dyDescent="0.4">
      <c r="A111" t="s">
        <v>163</v>
      </c>
      <c r="B111" t="s">
        <v>17</v>
      </c>
      <c r="C111" t="s">
        <v>5</v>
      </c>
      <c r="D111" s="3">
        <v>916</v>
      </c>
      <c r="F111" s="3" t="str">
        <f>IF(E111="","",IF(E111="DNS",0,IF(E111="DQ",0,IF(E111="DNF",1,IF(AND(ISNUMBER(E111),E111&gt;59),1,_xlfn.XLOOKUP(E111,tbl_points[Place],tbl_points[Points],""))))))</f>
        <v/>
      </c>
      <c r="H111" s="3" t="str">
        <f>IF(G111="","",IF(G111="DNS",0,IF(G111="DQ",0,IF(G111="DNF",1,IF(AND(ISNUMBER(G111),G111&gt;59),1,_xlfn.XLOOKUP(G111,tbl_points[Place],tbl_points[Points],""))))))</f>
        <v/>
      </c>
      <c r="J111" s="3" t="str">
        <f>IF(I111="","",IF(I111="DNS",0,IF(I111="DQ",0,IF(I111="DNF",1,IF(AND(ISNUMBER(I111),I111&gt;59),1,_xlfn.XLOOKUP(I111,tbl_points[Place],tbl_points[Points],""))))))</f>
        <v/>
      </c>
      <c r="L111" s="3" t="str">
        <f>IF(K111="","",IF(K111="DNS",0,IF(K111="DQ",0,IF(K111="DNF",1,IF(AND(ISNUMBER(K111),K111&gt;59),1,_xlfn.XLOOKUP(K111,tbl_points[Place],tbl_points[Points],""))))))</f>
        <v/>
      </c>
      <c r="N111" s="3" t="str">
        <f>IF(M111="","",IF(M111="DNS",0,IF(M111="DQ",0,IF(M111="DNF",1,IF(AND(ISNUMBER(M111),M111&gt;59),1,_xlfn.XLOOKUP(M111,tbl_points[Place],tbl_points[Points],""))))))</f>
        <v/>
      </c>
      <c r="P111" s="3" t="str">
        <f>IF(O111="","",IF(O111="DNS",0,IF(O111="DQ",0,IF(O111="DNF",1,IF(AND(ISNUMBER(O111),O111&gt;59),1,_xlfn.XLOOKUP(O111,tbl_points[Place],tbl_points[Points],""))))))</f>
        <v/>
      </c>
      <c r="Q1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1" s="3">
        <f>tbl_individual[[#This Row],[Total]]-tbl_individual[[#This Row],[Lowest Score]]</f>
        <v>0</v>
      </c>
    </row>
    <row r="112" spans="1:19" x14ac:dyDescent="0.4">
      <c r="A112" t="s">
        <v>164</v>
      </c>
      <c r="B112" t="s">
        <v>17</v>
      </c>
      <c r="C112" t="s">
        <v>5</v>
      </c>
      <c r="D112" s="3">
        <v>917</v>
      </c>
      <c r="F112" s="3" t="str">
        <f>IF(E112="","",IF(E112="DNS",0,IF(E112="DQ",0,IF(E112="DNF",1,IF(AND(ISNUMBER(E112),E112&gt;59),1,_xlfn.XLOOKUP(E112,tbl_points[Place],tbl_points[Points],""))))))</f>
        <v/>
      </c>
      <c r="H112" s="3" t="str">
        <f>IF(G112="","",IF(G112="DNS",0,IF(G112="DQ",0,IF(G112="DNF",1,IF(AND(ISNUMBER(G112),G112&gt;59),1,_xlfn.XLOOKUP(G112,tbl_points[Place],tbl_points[Points],""))))))</f>
        <v/>
      </c>
      <c r="J112" s="3" t="str">
        <f>IF(I112="","",IF(I112="DNS",0,IF(I112="DQ",0,IF(I112="DNF",1,IF(AND(ISNUMBER(I112),I112&gt;59),1,_xlfn.XLOOKUP(I112,tbl_points[Place],tbl_points[Points],""))))))</f>
        <v/>
      </c>
      <c r="L112" s="3" t="str">
        <f>IF(K112="","",IF(K112="DNS",0,IF(K112="DQ",0,IF(K112="DNF",1,IF(AND(ISNUMBER(K112),K112&gt;59),1,_xlfn.XLOOKUP(K112,tbl_points[Place],tbl_points[Points],""))))))</f>
        <v/>
      </c>
      <c r="N112" s="3" t="str">
        <f>IF(M112="","",IF(M112="DNS",0,IF(M112="DQ",0,IF(M112="DNF",1,IF(AND(ISNUMBER(M112),M112&gt;59),1,_xlfn.XLOOKUP(M112,tbl_points[Place],tbl_points[Points],""))))))</f>
        <v/>
      </c>
      <c r="P112" s="3" t="str">
        <f>IF(O112="","",IF(O112="DNS",0,IF(O112="DQ",0,IF(O112="DNF",1,IF(AND(ISNUMBER(O112),O112&gt;59),1,_xlfn.XLOOKUP(O112,tbl_points[Place],tbl_points[Points],""))))))</f>
        <v/>
      </c>
      <c r="Q1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2" s="3">
        <f>tbl_individual[[#This Row],[Total]]-tbl_individual[[#This Row],[Lowest Score]]</f>
        <v>0</v>
      </c>
    </row>
    <row r="113" spans="1:19" x14ac:dyDescent="0.4">
      <c r="A113" t="s">
        <v>161</v>
      </c>
      <c r="B113" t="s">
        <v>17</v>
      </c>
      <c r="C113" t="s">
        <v>5</v>
      </c>
      <c r="D113" s="3">
        <v>914</v>
      </c>
      <c r="F113" s="3" t="str">
        <f>IF(E113="","",IF(E113="DNS",0,IF(E113="DQ",0,IF(E113="DNF",1,IF(AND(ISNUMBER(E113),E113&gt;59),1,_xlfn.XLOOKUP(E113,tbl_points[Place],tbl_points[Points],""))))))</f>
        <v/>
      </c>
      <c r="H113" s="3" t="str">
        <f>IF(G113="","",IF(G113="DNS",0,IF(G113="DQ",0,IF(G113="DNF",1,IF(AND(ISNUMBER(G113),G113&gt;59),1,_xlfn.XLOOKUP(G113,tbl_points[Place],tbl_points[Points],""))))))</f>
        <v/>
      </c>
      <c r="J113" s="3" t="str">
        <f>IF(I113="","",IF(I113="DNS",0,IF(I113="DQ",0,IF(I113="DNF",1,IF(AND(ISNUMBER(I113),I113&gt;59),1,_xlfn.XLOOKUP(I113,tbl_points[Place],tbl_points[Points],""))))))</f>
        <v/>
      </c>
      <c r="L113" s="3" t="str">
        <f>IF(K113="","",IF(K113="DNS",0,IF(K113="DQ",0,IF(K113="DNF",1,IF(AND(ISNUMBER(K113),K113&gt;59),1,_xlfn.XLOOKUP(K113,tbl_points[Place],tbl_points[Points],""))))))</f>
        <v/>
      </c>
      <c r="N113" s="3" t="str">
        <f>IF(M113="","",IF(M113="DNS",0,IF(M113="DQ",0,IF(M113="DNF",1,IF(AND(ISNUMBER(M113),M113&gt;59),1,_xlfn.XLOOKUP(M113,tbl_points[Place],tbl_points[Points],""))))))</f>
        <v/>
      </c>
      <c r="P113" s="3" t="str">
        <f>IF(O113="","",IF(O113="DNS",0,IF(O113="DQ",0,IF(O113="DNF",1,IF(AND(ISNUMBER(O113),O113&gt;59),1,_xlfn.XLOOKUP(O113,tbl_points[Place],tbl_points[Points],""))))))</f>
        <v/>
      </c>
      <c r="Q1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3" s="3">
        <f>tbl_individual[[#This Row],[Total]]-tbl_individual[[#This Row],[Lowest Score]]</f>
        <v>0</v>
      </c>
    </row>
    <row r="114" spans="1:19" x14ac:dyDescent="0.4">
      <c r="A114" t="s">
        <v>165</v>
      </c>
      <c r="B114" t="s">
        <v>17</v>
      </c>
      <c r="C114" t="s">
        <v>6</v>
      </c>
      <c r="D114" s="3">
        <v>925</v>
      </c>
      <c r="F114" s="3" t="str">
        <f>IF(E114="","",IF(E114="DNS",0,IF(E114="DQ",0,IF(E114="DNF",1,IF(AND(ISNUMBER(E114),E114&gt;59),1,_xlfn.XLOOKUP(E114,tbl_points[Place],tbl_points[Points],""))))))</f>
        <v/>
      </c>
      <c r="H114" s="3" t="str">
        <f>IF(G114="","",IF(G114="DNS",0,IF(G114="DQ",0,IF(G114="DNF",1,IF(AND(ISNUMBER(G114),G114&gt;59),1,_xlfn.XLOOKUP(G114,tbl_points[Place],tbl_points[Points],""))))))</f>
        <v/>
      </c>
      <c r="J114" s="3" t="str">
        <f>IF(I114="","",IF(I114="DNS",0,IF(I114="DQ",0,IF(I114="DNF",1,IF(AND(ISNUMBER(I114),I114&gt;59),1,_xlfn.XLOOKUP(I114,tbl_points[Place],tbl_points[Points],""))))))</f>
        <v/>
      </c>
      <c r="L114" s="3" t="str">
        <f>IF(K114="","",IF(K114="DNS",0,IF(K114="DQ",0,IF(K114="DNF",1,IF(AND(ISNUMBER(K114),K114&gt;59),1,_xlfn.XLOOKUP(K114,tbl_points[Place],tbl_points[Points],""))))))</f>
        <v/>
      </c>
      <c r="N114" s="3" t="str">
        <f>IF(M114="","",IF(M114="DNS",0,IF(M114="DQ",0,IF(M114="DNF",1,IF(AND(ISNUMBER(M114),M114&gt;59),1,_xlfn.XLOOKUP(M114,tbl_points[Place],tbl_points[Points],""))))))</f>
        <v/>
      </c>
      <c r="P114" s="3" t="str">
        <f>IF(O114="","",IF(O114="DNS",0,IF(O114="DQ",0,IF(O114="DNF",1,IF(AND(ISNUMBER(O114),O114&gt;59),1,_xlfn.XLOOKUP(O114,tbl_points[Place],tbl_points[Points],""))))))</f>
        <v/>
      </c>
      <c r="Q1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4" s="3">
        <f>tbl_individual[[#This Row],[Total]]-tbl_individual[[#This Row],[Lowest Score]]</f>
        <v>0</v>
      </c>
    </row>
    <row r="115" spans="1:19" x14ac:dyDescent="0.4">
      <c r="A115" t="s">
        <v>168</v>
      </c>
      <c r="B115" t="s">
        <v>17</v>
      </c>
      <c r="C115" t="s">
        <v>1</v>
      </c>
      <c r="D115" s="3">
        <v>12035</v>
      </c>
      <c r="F115" s="3" t="str">
        <f>IF(E115="","",IF(E115="DNS",0,IF(E115="DQ",0,IF(E115="DNF",1,IF(AND(ISNUMBER(E115),E115&gt;59),1,_xlfn.XLOOKUP(E115,tbl_points[Place],tbl_points[Points],""))))))</f>
        <v/>
      </c>
      <c r="H115" s="3" t="str">
        <f>IF(G115="","",IF(G115="DNS",0,IF(G115="DQ",0,IF(G115="DNF",1,IF(AND(ISNUMBER(G115),G115&gt;59),1,_xlfn.XLOOKUP(G115,tbl_points[Place],tbl_points[Points],""))))))</f>
        <v/>
      </c>
      <c r="J115" s="3" t="str">
        <f>IF(I115="","",IF(I115="DNS",0,IF(I115="DQ",0,IF(I115="DNF",1,IF(AND(ISNUMBER(I115),I115&gt;59),1,_xlfn.XLOOKUP(I115,tbl_points[Place],tbl_points[Points],""))))))</f>
        <v/>
      </c>
      <c r="L115" s="3" t="str">
        <f>IF(K115="","",IF(K115="DNS",0,IF(K115="DQ",0,IF(K115="DNF",1,IF(AND(ISNUMBER(K115),K115&gt;59),1,_xlfn.XLOOKUP(K115,tbl_points[Place],tbl_points[Points],""))))))</f>
        <v/>
      </c>
      <c r="N115" s="3" t="str">
        <f>IF(M115="","",IF(M115="DNS",0,IF(M115="DQ",0,IF(M115="DNF",1,IF(AND(ISNUMBER(M115),M115&gt;59),1,_xlfn.XLOOKUP(M115,tbl_points[Place],tbl_points[Points],""))))))</f>
        <v/>
      </c>
      <c r="P115" s="3" t="str">
        <f>IF(O115="","",IF(O115="DNS",0,IF(O115="DQ",0,IF(O115="DNF",1,IF(AND(ISNUMBER(O115),O115&gt;59),1,_xlfn.XLOOKUP(O115,tbl_points[Place],tbl_points[Points],""))))))</f>
        <v/>
      </c>
      <c r="Q1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5" s="3">
        <f>tbl_individual[[#This Row],[Total]]-tbl_individual[[#This Row],[Lowest Score]]</f>
        <v>0</v>
      </c>
    </row>
    <row r="116" spans="1:19" x14ac:dyDescent="0.4">
      <c r="A116" t="s">
        <v>167</v>
      </c>
      <c r="B116" t="s">
        <v>17</v>
      </c>
      <c r="C116" t="s">
        <v>1</v>
      </c>
      <c r="D116" s="3">
        <v>12034</v>
      </c>
      <c r="F116" s="3" t="str">
        <f>IF(E116="","",IF(E116="DNS",0,IF(E116="DQ",0,IF(E116="DNF",1,IF(AND(ISNUMBER(E116),E116&gt;59),1,_xlfn.XLOOKUP(E116,tbl_points[Place],tbl_points[Points],""))))))</f>
        <v/>
      </c>
      <c r="H116" s="3" t="str">
        <f>IF(G116="","",IF(G116="DNS",0,IF(G116="DQ",0,IF(G116="DNF",1,IF(AND(ISNUMBER(G116),G116&gt;59),1,_xlfn.XLOOKUP(G116,tbl_points[Place],tbl_points[Points],""))))))</f>
        <v/>
      </c>
      <c r="J116" s="3" t="str">
        <f>IF(I116="","",IF(I116="DNS",0,IF(I116="DQ",0,IF(I116="DNF",1,IF(AND(ISNUMBER(I116),I116&gt;59),1,_xlfn.XLOOKUP(I116,tbl_points[Place],tbl_points[Points],""))))))</f>
        <v/>
      </c>
      <c r="L116" s="3" t="str">
        <f>IF(K116="","",IF(K116="DNS",0,IF(K116="DQ",0,IF(K116="DNF",1,IF(AND(ISNUMBER(K116),K116&gt;59),1,_xlfn.XLOOKUP(K116,tbl_points[Place],tbl_points[Points],""))))))</f>
        <v/>
      </c>
      <c r="N116" s="3" t="str">
        <f>IF(M116="","",IF(M116="DNS",0,IF(M116="DQ",0,IF(M116="DNF",1,IF(AND(ISNUMBER(M116),M116&gt;59),1,_xlfn.XLOOKUP(M116,tbl_points[Place],tbl_points[Points],""))))))</f>
        <v/>
      </c>
      <c r="P116" s="3" t="str">
        <f>IF(O116="","",IF(O116="DNS",0,IF(O116="DQ",0,IF(O116="DNF",1,IF(AND(ISNUMBER(O116),O116&gt;59),1,_xlfn.XLOOKUP(O116,tbl_points[Place],tbl_points[Points],""))))))</f>
        <v/>
      </c>
      <c r="Q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6" s="3">
        <f>tbl_individual[[#This Row],[Total]]-tbl_individual[[#This Row],[Lowest Score]]</f>
        <v>0</v>
      </c>
    </row>
    <row r="117" spans="1:19" x14ac:dyDescent="0.4">
      <c r="A117" t="s">
        <v>175</v>
      </c>
      <c r="B117" t="s">
        <v>18</v>
      </c>
      <c r="C117" t="s">
        <v>7</v>
      </c>
      <c r="D117" s="3">
        <v>840</v>
      </c>
      <c r="F117" s="3" t="str">
        <f>IF(E117="","",IF(E117="DNS",0,IF(E117="DQ",0,IF(E117="DNF",1,IF(AND(ISNUMBER(E117),E117&gt;59),1,_xlfn.XLOOKUP(E117,tbl_points[Place],tbl_points[Points],""))))))</f>
        <v/>
      </c>
      <c r="H117" s="3" t="str">
        <f>IF(G117="","",IF(G117="DNS",0,IF(G117="DQ",0,IF(G117="DNF",1,IF(AND(ISNUMBER(G117),G117&gt;59),1,_xlfn.XLOOKUP(G117,tbl_points[Place],tbl_points[Points],""))))))</f>
        <v/>
      </c>
      <c r="J117" s="3" t="str">
        <f>IF(I117="","",IF(I117="DNS",0,IF(I117="DQ",0,IF(I117="DNF",1,IF(AND(ISNUMBER(I117),I117&gt;59),1,_xlfn.XLOOKUP(I117,tbl_points[Place],tbl_points[Points],""))))))</f>
        <v/>
      </c>
      <c r="L117" s="3" t="str">
        <f>IF(K117="","",IF(K117="DNS",0,IF(K117="DQ",0,IF(K117="DNF",1,IF(AND(ISNUMBER(K117),K117&gt;59),1,_xlfn.XLOOKUP(K117,tbl_points[Place],tbl_points[Points],""))))))</f>
        <v/>
      </c>
      <c r="N117" s="3" t="str">
        <f>IF(M117="","",IF(M117="DNS",0,IF(M117="DQ",0,IF(M117="DNF",1,IF(AND(ISNUMBER(M117),M117&gt;59),1,_xlfn.XLOOKUP(M117,tbl_points[Place],tbl_points[Points],""))))))</f>
        <v/>
      </c>
      <c r="P117" s="3" t="str">
        <f>IF(O117="","",IF(O117="DNS",0,IF(O117="DQ",0,IF(O117="DNF",1,IF(AND(ISNUMBER(O117),O117&gt;59),1,_xlfn.XLOOKUP(O117,tbl_points[Place],tbl_points[Points],""))))))</f>
        <v/>
      </c>
      <c r="Q1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7" s="3">
        <f>tbl_individual[[#This Row],[Total]]-tbl_individual[[#This Row],[Lowest Score]]</f>
        <v>0</v>
      </c>
    </row>
    <row r="118" spans="1:19" x14ac:dyDescent="0.4">
      <c r="A118" t="s">
        <v>174</v>
      </c>
      <c r="B118" t="s">
        <v>18</v>
      </c>
      <c r="C118" t="s">
        <v>7</v>
      </c>
      <c r="D118" s="3">
        <v>839</v>
      </c>
      <c r="F118" s="3" t="str">
        <f>IF(E118="","",IF(E118="DNS",0,IF(E118="DQ",0,IF(E118="DNF",1,IF(AND(ISNUMBER(E118),E118&gt;59),1,_xlfn.XLOOKUP(E118,tbl_points[Place],tbl_points[Points],""))))))</f>
        <v/>
      </c>
      <c r="H118" s="3" t="str">
        <f>IF(G118="","",IF(G118="DNS",0,IF(G118="DQ",0,IF(G118="DNF",1,IF(AND(ISNUMBER(G118),G118&gt;59),1,_xlfn.XLOOKUP(G118,tbl_points[Place],tbl_points[Points],""))))))</f>
        <v/>
      </c>
      <c r="J118" s="3" t="str">
        <f>IF(I118="","",IF(I118="DNS",0,IF(I118="DQ",0,IF(I118="DNF",1,IF(AND(ISNUMBER(I118),I118&gt;59),1,_xlfn.XLOOKUP(I118,tbl_points[Place],tbl_points[Points],""))))))</f>
        <v/>
      </c>
      <c r="L118" s="3" t="str">
        <f>IF(K118="","",IF(K118="DNS",0,IF(K118="DQ",0,IF(K118="DNF",1,IF(AND(ISNUMBER(K118),K118&gt;59),1,_xlfn.XLOOKUP(K118,tbl_points[Place],tbl_points[Points],""))))))</f>
        <v/>
      </c>
      <c r="N118" s="3" t="str">
        <f>IF(M118="","",IF(M118="DNS",0,IF(M118="DQ",0,IF(M118="DNF",1,IF(AND(ISNUMBER(M118),M118&gt;59),1,_xlfn.XLOOKUP(M118,tbl_points[Place],tbl_points[Points],""))))))</f>
        <v/>
      </c>
      <c r="P118" s="3" t="str">
        <f>IF(O118="","",IF(O118="DNS",0,IF(O118="DQ",0,IF(O118="DNF",1,IF(AND(ISNUMBER(O118),O118&gt;59),1,_xlfn.XLOOKUP(O118,tbl_points[Place],tbl_points[Points],""))))))</f>
        <v/>
      </c>
      <c r="Q1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8" s="3">
        <f>tbl_individual[[#This Row],[Total]]-tbl_individual[[#This Row],[Lowest Score]]</f>
        <v>0</v>
      </c>
    </row>
    <row r="119" spans="1:19" x14ac:dyDescent="0.4">
      <c r="A119" t="s">
        <v>172</v>
      </c>
      <c r="B119" t="s">
        <v>18</v>
      </c>
      <c r="C119" t="s">
        <v>7</v>
      </c>
      <c r="D119" s="3">
        <v>837</v>
      </c>
      <c r="F119" s="3" t="str">
        <f>IF(E119="","",IF(E119="DNS",0,IF(E119="DQ",0,IF(E119="DNF",1,IF(AND(ISNUMBER(E119),E119&gt;59),1,_xlfn.XLOOKUP(E119,tbl_points[Place],tbl_points[Points],""))))))</f>
        <v/>
      </c>
      <c r="H119" s="3" t="str">
        <f>IF(G119="","",IF(G119="DNS",0,IF(G119="DQ",0,IF(G119="DNF",1,IF(AND(ISNUMBER(G119),G119&gt;59),1,_xlfn.XLOOKUP(G119,tbl_points[Place],tbl_points[Points],""))))))</f>
        <v/>
      </c>
      <c r="J119" s="3" t="str">
        <f>IF(I119="","",IF(I119="DNS",0,IF(I119="DQ",0,IF(I119="DNF",1,IF(AND(ISNUMBER(I119),I119&gt;59),1,_xlfn.XLOOKUP(I119,tbl_points[Place],tbl_points[Points],""))))))</f>
        <v/>
      </c>
      <c r="L119" s="3" t="str">
        <f>IF(K119="","",IF(K119="DNS",0,IF(K119="DQ",0,IF(K119="DNF",1,IF(AND(ISNUMBER(K119),K119&gt;59),1,_xlfn.XLOOKUP(K119,tbl_points[Place],tbl_points[Points],""))))))</f>
        <v/>
      </c>
      <c r="N119" s="3" t="str">
        <f>IF(M119="","",IF(M119="DNS",0,IF(M119="DQ",0,IF(M119="DNF",1,IF(AND(ISNUMBER(M119),M119&gt;59),1,_xlfn.XLOOKUP(M119,tbl_points[Place],tbl_points[Points],""))))))</f>
        <v/>
      </c>
      <c r="P119" s="3" t="str">
        <f>IF(O119="","",IF(O119="DNS",0,IF(O119="DQ",0,IF(O119="DNF",1,IF(AND(ISNUMBER(O119),O119&gt;59),1,_xlfn.XLOOKUP(O119,tbl_points[Place],tbl_points[Points],""))))))</f>
        <v/>
      </c>
      <c r="Q1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9" s="3">
        <f>tbl_individual[[#This Row],[Total]]-tbl_individual[[#This Row],[Lowest Score]]</f>
        <v>0</v>
      </c>
    </row>
    <row r="120" spans="1:19" x14ac:dyDescent="0.4">
      <c r="A120" t="s">
        <v>173</v>
      </c>
      <c r="B120" t="s">
        <v>18</v>
      </c>
      <c r="C120" t="s">
        <v>7</v>
      </c>
      <c r="D120" s="3">
        <v>838</v>
      </c>
      <c r="F120" s="3" t="str">
        <f>IF(E120="","",IF(E120="DNS",0,IF(E120="DQ",0,IF(E120="DNF",1,IF(AND(ISNUMBER(E120),E120&gt;59),1,_xlfn.XLOOKUP(E120,tbl_points[Place],tbl_points[Points],""))))))</f>
        <v/>
      </c>
      <c r="H120" s="3" t="str">
        <f>IF(G120="","",IF(G120="DNS",0,IF(G120="DQ",0,IF(G120="DNF",1,IF(AND(ISNUMBER(G120),G120&gt;59),1,_xlfn.XLOOKUP(G120,tbl_points[Place],tbl_points[Points],""))))))</f>
        <v/>
      </c>
      <c r="J120" s="3" t="str">
        <f>IF(I120="","",IF(I120="DNS",0,IF(I120="DQ",0,IF(I120="DNF",1,IF(AND(ISNUMBER(I120),I120&gt;59),1,_xlfn.XLOOKUP(I120,tbl_points[Place],tbl_points[Points],""))))))</f>
        <v/>
      </c>
      <c r="L120" s="3" t="str">
        <f>IF(K120="","",IF(K120="DNS",0,IF(K120="DQ",0,IF(K120="DNF",1,IF(AND(ISNUMBER(K120),K120&gt;59),1,_xlfn.XLOOKUP(K120,tbl_points[Place],tbl_points[Points],""))))))</f>
        <v/>
      </c>
      <c r="N120" s="3" t="str">
        <f>IF(M120="","",IF(M120="DNS",0,IF(M120="DQ",0,IF(M120="DNF",1,IF(AND(ISNUMBER(M120),M120&gt;59),1,_xlfn.XLOOKUP(M120,tbl_points[Place],tbl_points[Points],""))))))</f>
        <v/>
      </c>
      <c r="P120" s="3" t="str">
        <f>IF(O120="","",IF(O120="DNS",0,IF(O120="DQ",0,IF(O120="DNF",1,IF(AND(ISNUMBER(O120),O120&gt;59),1,_xlfn.XLOOKUP(O120,tbl_points[Place],tbl_points[Points],""))))))</f>
        <v/>
      </c>
      <c r="Q1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0" s="3">
        <f>tbl_individual[[#This Row],[Total]]-tbl_individual[[#This Row],[Lowest Score]]</f>
        <v>0</v>
      </c>
    </row>
    <row r="121" spans="1:19" x14ac:dyDescent="0.4">
      <c r="A121" t="s">
        <v>169</v>
      </c>
      <c r="B121" t="s">
        <v>18</v>
      </c>
      <c r="C121" t="s">
        <v>8</v>
      </c>
      <c r="D121" s="3">
        <v>859</v>
      </c>
      <c r="F121" s="3" t="str">
        <f>IF(E121="","",IF(E121="DNS",0,IF(E121="DQ",0,IF(E121="DNF",1,IF(AND(ISNUMBER(E121),E121&gt;59),1,_xlfn.XLOOKUP(E121,tbl_points[Place],tbl_points[Points],""))))))</f>
        <v/>
      </c>
      <c r="H121" s="3" t="str">
        <f>IF(G121="","",IF(G121="DNS",0,IF(G121="DQ",0,IF(G121="DNF",1,IF(AND(ISNUMBER(G121),G121&gt;59),1,_xlfn.XLOOKUP(G121,tbl_points[Place],tbl_points[Points],""))))))</f>
        <v/>
      </c>
      <c r="J121" s="3" t="str">
        <f>IF(I121="","",IF(I121="DNS",0,IF(I121="DQ",0,IF(I121="DNF",1,IF(AND(ISNUMBER(I121),I121&gt;59),1,_xlfn.XLOOKUP(I121,tbl_points[Place],tbl_points[Points],""))))))</f>
        <v/>
      </c>
      <c r="L121" s="3" t="str">
        <f>IF(K121="","",IF(K121="DNS",0,IF(K121="DQ",0,IF(K121="DNF",1,IF(AND(ISNUMBER(K121),K121&gt;59),1,_xlfn.XLOOKUP(K121,tbl_points[Place],tbl_points[Points],""))))))</f>
        <v/>
      </c>
      <c r="N121" s="3" t="str">
        <f>IF(M121="","",IF(M121="DNS",0,IF(M121="DQ",0,IF(M121="DNF",1,IF(AND(ISNUMBER(M121),M121&gt;59),1,_xlfn.XLOOKUP(M121,tbl_points[Place],tbl_points[Points],""))))))</f>
        <v/>
      </c>
      <c r="P121" s="3" t="str">
        <f>IF(O121="","",IF(O121="DNS",0,IF(O121="DQ",0,IF(O121="DNF",1,IF(AND(ISNUMBER(O121),O121&gt;59),1,_xlfn.XLOOKUP(O121,tbl_points[Place],tbl_points[Points],""))))))</f>
        <v/>
      </c>
      <c r="Q1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1" s="3">
        <f>tbl_individual[[#This Row],[Total]]-tbl_individual[[#This Row],[Lowest Score]]</f>
        <v>0</v>
      </c>
    </row>
    <row r="122" spans="1:19" x14ac:dyDescent="0.4">
      <c r="A122" t="s">
        <v>170</v>
      </c>
      <c r="B122" t="s">
        <v>18</v>
      </c>
      <c r="C122" t="s">
        <v>8</v>
      </c>
      <c r="D122" s="3">
        <v>860</v>
      </c>
      <c r="F122" s="3" t="str">
        <f>IF(E122="","",IF(E122="DNS",0,IF(E122="DQ",0,IF(E122="DNF",1,IF(AND(ISNUMBER(E122),E122&gt;59),1,_xlfn.XLOOKUP(E122,tbl_points[Place],tbl_points[Points],""))))))</f>
        <v/>
      </c>
      <c r="H122" s="3" t="str">
        <f>IF(G122="","",IF(G122="DNS",0,IF(G122="DQ",0,IF(G122="DNF",1,IF(AND(ISNUMBER(G122),G122&gt;59),1,_xlfn.XLOOKUP(G122,tbl_points[Place],tbl_points[Points],""))))))</f>
        <v/>
      </c>
      <c r="J122" s="3" t="str">
        <f>IF(I122="","",IF(I122="DNS",0,IF(I122="DQ",0,IF(I122="DNF",1,IF(AND(ISNUMBER(I122),I122&gt;59),1,_xlfn.XLOOKUP(I122,tbl_points[Place],tbl_points[Points],""))))))</f>
        <v/>
      </c>
      <c r="L122" s="3" t="str">
        <f>IF(K122="","",IF(K122="DNS",0,IF(K122="DQ",0,IF(K122="DNF",1,IF(AND(ISNUMBER(K122),K122&gt;59),1,_xlfn.XLOOKUP(K122,tbl_points[Place],tbl_points[Points],""))))))</f>
        <v/>
      </c>
      <c r="N122" s="3" t="str">
        <f>IF(M122="","",IF(M122="DNS",0,IF(M122="DQ",0,IF(M122="DNF",1,IF(AND(ISNUMBER(M122),M122&gt;59),1,_xlfn.XLOOKUP(M122,tbl_points[Place],tbl_points[Points],""))))))</f>
        <v/>
      </c>
      <c r="P122" s="3" t="str">
        <f>IF(O122="","",IF(O122="DNS",0,IF(O122="DQ",0,IF(O122="DNF",1,IF(AND(ISNUMBER(O122),O122&gt;59),1,_xlfn.XLOOKUP(O122,tbl_points[Place],tbl_points[Points],""))))))</f>
        <v/>
      </c>
      <c r="Q1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2" s="3">
        <f>tbl_individual[[#This Row],[Total]]-tbl_individual[[#This Row],[Lowest Score]]</f>
        <v>0</v>
      </c>
    </row>
    <row r="123" spans="1:19" x14ac:dyDescent="0.4">
      <c r="A123" t="s">
        <v>171</v>
      </c>
      <c r="B123" t="s">
        <v>18</v>
      </c>
      <c r="C123" t="s">
        <v>8</v>
      </c>
      <c r="D123" s="3">
        <v>861</v>
      </c>
      <c r="F123" s="3" t="str">
        <f>IF(E123="","",IF(E123="DNS",0,IF(E123="DQ",0,IF(E123="DNF",1,IF(AND(ISNUMBER(E123),E123&gt;59),1,_xlfn.XLOOKUP(E123,tbl_points[Place],tbl_points[Points],""))))))</f>
        <v/>
      </c>
      <c r="H123" s="3" t="str">
        <f>IF(G123="","",IF(G123="DNS",0,IF(G123="DQ",0,IF(G123="DNF",1,IF(AND(ISNUMBER(G123),G123&gt;59),1,_xlfn.XLOOKUP(G123,tbl_points[Place],tbl_points[Points],""))))))</f>
        <v/>
      </c>
      <c r="J123" s="3" t="str">
        <f>IF(I123="","",IF(I123="DNS",0,IF(I123="DQ",0,IF(I123="DNF",1,IF(AND(ISNUMBER(I123),I123&gt;59),1,_xlfn.XLOOKUP(I123,tbl_points[Place],tbl_points[Points],""))))))</f>
        <v/>
      </c>
      <c r="L123" s="3" t="str">
        <f>IF(K123="","",IF(K123="DNS",0,IF(K123="DQ",0,IF(K123="DNF",1,IF(AND(ISNUMBER(K123),K123&gt;59),1,_xlfn.XLOOKUP(K123,tbl_points[Place],tbl_points[Points],""))))))</f>
        <v/>
      </c>
      <c r="N123" s="3" t="str">
        <f>IF(M123="","",IF(M123="DNS",0,IF(M123="DQ",0,IF(M123="DNF",1,IF(AND(ISNUMBER(M123),M123&gt;59),1,_xlfn.XLOOKUP(M123,tbl_points[Place],tbl_points[Points],""))))))</f>
        <v/>
      </c>
      <c r="P123" s="3" t="str">
        <f>IF(O123="","",IF(O123="DNS",0,IF(O123="DQ",0,IF(O123="DNF",1,IF(AND(ISNUMBER(O123),O123&gt;59),1,_xlfn.XLOOKUP(O123,tbl_points[Place],tbl_points[Points],""))))))</f>
        <v/>
      </c>
      <c r="Q1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3" s="3">
        <f>tbl_individual[[#This Row],[Total]]-tbl_individual[[#This Row],[Lowest Score]]</f>
        <v>0</v>
      </c>
    </row>
    <row r="124" spans="1:19" x14ac:dyDescent="0.4">
      <c r="A124" t="s">
        <v>178</v>
      </c>
      <c r="B124" t="s">
        <v>18</v>
      </c>
      <c r="C124" t="s">
        <v>5</v>
      </c>
      <c r="D124" s="3">
        <v>957</v>
      </c>
      <c r="F124" s="3" t="str">
        <f>IF(E124="","",IF(E124="DNS",0,IF(E124="DQ",0,IF(E124="DNF",1,IF(AND(ISNUMBER(E124),E124&gt;59),1,_xlfn.XLOOKUP(E124,tbl_points[Place],tbl_points[Points],""))))))</f>
        <v/>
      </c>
      <c r="H124" s="3" t="str">
        <f>IF(G124="","",IF(G124="DNS",0,IF(G124="DQ",0,IF(G124="DNF",1,IF(AND(ISNUMBER(G124),G124&gt;59),1,_xlfn.XLOOKUP(G124,tbl_points[Place],tbl_points[Points],""))))))</f>
        <v/>
      </c>
      <c r="J124" s="3" t="str">
        <f>IF(I124="","",IF(I124="DNS",0,IF(I124="DQ",0,IF(I124="DNF",1,IF(AND(ISNUMBER(I124),I124&gt;59),1,_xlfn.XLOOKUP(I124,tbl_points[Place],tbl_points[Points],""))))))</f>
        <v/>
      </c>
      <c r="L124" s="3" t="str">
        <f>IF(K124="","",IF(K124="DNS",0,IF(K124="DQ",0,IF(K124="DNF",1,IF(AND(ISNUMBER(K124),K124&gt;59),1,_xlfn.XLOOKUP(K124,tbl_points[Place],tbl_points[Points],""))))))</f>
        <v/>
      </c>
      <c r="N124" s="3" t="str">
        <f>IF(M124="","",IF(M124="DNS",0,IF(M124="DQ",0,IF(M124="DNF",1,IF(AND(ISNUMBER(M124),M124&gt;59),1,_xlfn.XLOOKUP(M124,tbl_points[Place],tbl_points[Points],""))))))</f>
        <v/>
      </c>
      <c r="P124" s="3" t="str">
        <f>IF(O124="","",IF(O124="DNS",0,IF(O124="DQ",0,IF(O124="DNF",1,IF(AND(ISNUMBER(O124),O124&gt;59),1,_xlfn.XLOOKUP(O124,tbl_points[Place],tbl_points[Points],""))))))</f>
        <v/>
      </c>
      <c r="Q1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4" s="3">
        <f>tbl_individual[[#This Row],[Total]]-tbl_individual[[#This Row],[Lowest Score]]</f>
        <v>0</v>
      </c>
    </row>
    <row r="125" spans="1:19" x14ac:dyDescent="0.4">
      <c r="A125" t="s">
        <v>176</v>
      </c>
      <c r="B125" t="s">
        <v>18</v>
      </c>
      <c r="C125" t="s">
        <v>5</v>
      </c>
      <c r="D125" s="3">
        <v>955</v>
      </c>
      <c r="F125" s="3" t="str">
        <f>IF(E125="","",IF(E125="DNS",0,IF(E125="DQ",0,IF(E125="DNF",1,IF(AND(ISNUMBER(E125),E125&gt;59),1,_xlfn.XLOOKUP(E125,tbl_points[Place],tbl_points[Points],""))))))</f>
        <v/>
      </c>
      <c r="H125" s="3" t="str">
        <f>IF(G125="","",IF(G125="DNS",0,IF(G125="DQ",0,IF(G125="DNF",1,IF(AND(ISNUMBER(G125),G125&gt;59),1,_xlfn.XLOOKUP(G125,tbl_points[Place],tbl_points[Points],""))))))</f>
        <v/>
      </c>
      <c r="J125" s="3" t="str">
        <f>IF(I125="","",IF(I125="DNS",0,IF(I125="DQ",0,IF(I125="DNF",1,IF(AND(ISNUMBER(I125),I125&gt;59),1,_xlfn.XLOOKUP(I125,tbl_points[Place],tbl_points[Points],""))))))</f>
        <v/>
      </c>
      <c r="L125" s="3" t="str">
        <f>IF(K125="","",IF(K125="DNS",0,IF(K125="DQ",0,IF(K125="DNF",1,IF(AND(ISNUMBER(K125),K125&gt;59),1,_xlfn.XLOOKUP(K125,tbl_points[Place],tbl_points[Points],""))))))</f>
        <v/>
      </c>
      <c r="N125" s="3" t="str">
        <f>IF(M125="","",IF(M125="DNS",0,IF(M125="DQ",0,IF(M125="DNF",1,IF(AND(ISNUMBER(M125),M125&gt;59),1,_xlfn.XLOOKUP(M125,tbl_points[Place],tbl_points[Points],""))))))</f>
        <v/>
      </c>
      <c r="P125" s="3" t="str">
        <f>IF(O125="","",IF(O125="DNS",0,IF(O125="DQ",0,IF(O125="DNF",1,IF(AND(ISNUMBER(O125),O125&gt;59),1,_xlfn.XLOOKUP(O125,tbl_points[Place],tbl_points[Points],""))))))</f>
        <v/>
      </c>
      <c r="Q1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5" s="3">
        <f>tbl_individual[[#This Row],[Total]]-tbl_individual[[#This Row],[Lowest Score]]</f>
        <v>0</v>
      </c>
    </row>
    <row r="126" spans="1:19" x14ac:dyDescent="0.4">
      <c r="A126" t="s">
        <v>177</v>
      </c>
      <c r="B126" t="s">
        <v>18</v>
      </c>
      <c r="C126" t="s">
        <v>5</v>
      </c>
      <c r="D126" s="3">
        <v>956</v>
      </c>
      <c r="F126" s="3" t="str">
        <f>IF(E126="","",IF(E126="DNS",0,IF(E126="DQ",0,IF(E126="DNF",1,IF(AND(ISNUMBER(E126),E126&gt;59),1,_xlfn.XLOOKUP(E126,tbl_points[Place],tbl_points[Points],""))))))</f>
        <v/>
      </c>
      <c r="H126" s="3" t="str">
        <f>IF(G126="","",IF(G126="DNS",0,IF(G126="DQ",0,IF(G126="DNF",1,IF(AND(ISNUMBER(G126),G126&gt;59),1,_xlfn.XLOOKUP(G126,tbl_points[Place],tbl_points[Points],""))))))</f>
        <v/>
      </c>
      <c r="J126" s="3" t="str">
        <f>IF(I126="","",IF(I126="DNS",0,IF(I126="DQ",0,IF(I126="DNF",1,IF(AND(ISNUMBER(I126),I126&gt;59),1,_xlfn.XLOOKUP(I126,tbl_points[Place],tbl_points[Points],""))))))</f>
        <v/>
      </c>
      <c r="L126" s="3" t="str">
        <f>IF(K126="","",IF(K126="DNS",0,IF(K126="DQ",0,IF(K126="DNF",1,IF(AND(ISNUMBER(K126),K126&gt;59),1,_xlfn.XLOOKUP(K126,tbl_points[Place],tbl_points[Points],""))))))</f>
        <v/>
      </c>
      <c r="N126" s="3" t="str">
        <f>IF(M126="","",IF(M126="DNS",0,IF(M126="DQ",0,IF(M126="DNF",1,IF(AND(ISNUMBER(M126),M126&gt;59),1,_xlfn.XLOOKUP(M126,tbl_points[Place],tbl_points[Points],""))))))</f>
        <v/>
      </c>
      <c r="P126" s="3" t="str">
        <f>IF(O126="","",IF(O126="DNS",0,IF(O126="DQ",0,IF(O126="DNF",1,IF(AND(ISNUMBER(O126),O126&gt;59),1,_xlfn.XLOOKUP(O126,tbl_points[Place],tbl_points[Points],""))))))</f>
        <v/>
      </c>
      <c r="Q1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6" s="3">
        <f>tbl_individual[[#This Row],[Total]]-tbl_individual[[#This Row],[Lowest Score]]</f>
        <v>0</v>
      </c>
    </row>
    <row r="127" spans="1:19" x14ac:dyDescent="0.4">
      <c r="A127" t="s">
        <v>181</v>
      </c>
      <c r="B127" t="s">
        <v>19</v>
      </c>
      <c r="C127" t="s">
        <v>7</v>
      </c>
      <c r="D127" s="3">
        <v>808</v>
      </c>
      <c r="F127" s="3" t="str">
        <f>IF(E127="","",IF(E127="DNS",0,IF(E127="DQ",0,IF(E127="DNF",1,IF(AND(ISNUMBER(E127),E127&gt;59),1,_xlfn.XLOOKUP(E127,tbl_points[Place],tbl_points[Points],""))))))</f>
        <v/>
      </c>
      <c r="H127" s="3" t="str">
        <f>IF(G127="","",IF(G127="DNS",0,IF(G127="DQ",0,IF(G127="DNF",1,IF(AND(ISNUMBER(G127),G127&gt;59),1,_xlfn.XLOOKUP(G127,tbl_points[Place],tbl_points[Points],""))))))</f>
        <v/>
      </c>
      <c r="J127" s="3" t="str">
        <f>IF(I127="","",IF(I127="DNS",0,IF(I127="DQ",0,IF(I127="DNF",1,IF(AND(ISNUMBER(I127),I127&gt;59),1,_xlfn.XLOOKUP(I127,tbl_points[Place],tbl_points[Points],""))))))</f>
        <v/>
      </c>
      <c r="L127" s="3" t="str">
        <f>IF(K127="","",IF(K127="DNS",0,IF(K127="DQ",0,IF(K127="DNF",1,IF(AND(ISNUMBER(K127),K127&gt;59),1,_xlfn.XLOOKUP(K127,tbl_points[Place],tbl_points[Points],""))))))</f>
        <v/>
      </c>
      <c r="N127" s="3" t="str">
        <f>IF(M127="","",IF(M127="DNS",0,IF(M127="DQ",0,IF(M127="DNF",1,IF(AND(ISNUMBER(M127),M127&gt;59),1,_xlfn.XLOOKUP(M127,tbl_points[Place],tbl_points[Points],""))))))</f>
        <v/>
      </c>
      <c r="P127" s="3" t="str">
        <f>IF(O127="","",IF(O127="DNS",0,IF(O127="DQ",0,IF(O127="DNF",1,IF(AND(ISNUMBER(O127),O127&gt;59),1,_xlfn.XLOOKUP(O127,tbl_points[Place],tbl_points[Points],""))))))</f>
        <v/>
      </c>
      <c r="Q1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7" s="3">
        <f>tbl_individual[[#This Row],[Total]]-tbl_individual[[#This Row],[Lowest Score]]</f>
        <v>0</v>
      </c>
    </row>
    <row r="128" spans="1:19" x14ac:dyDescent="0.4">
      <c r="A128" t="s">
        <v>180</v>
      </c>
      <c r="B128" t="s">
        <v>19</v>
      </c>
      <c r="C128" t="s">
        <v>7</v>
      </c>
      <c r="D128" s="3">
        <v>807</v>
      </c>
      <c r="F128" s="3" t="str">
        <f>IF(E128="","",IF(E128="DNS",0,IF(E128="DQ",0,IF(E128="DNF",1,IF(AND(ISNUMBER(E128),E128&gt;59),1,_xlfn.XLOOKUP(E128,tbl_points[Place],tbl_points[Points],""))))))</f>
        <v/>
      </c>
      <c r="H128" s="3" t="str">
        <f>IF(G128="","",IF(G128="DNS",0,IF(G128="DQ",0,IF(G128="DNF",1,IF(AND(ISNUMBER(G128),G128&gt;59),1,_xlfn.XLOOKUP(G128,tbl_points[Place],tbl_points[Points],""))))))</f>
        <v/>
      </c>
      <c r="J128" s="3" t="str">
        <f>IF(I128="","",IF(I128="DNS",0,IF(I128="DQ",0,IF(I128="DNF",1,IF(AND(ISNUMBER(I128),I128&gt;59),1,_xlfn.XLOOKUP(I128,tbl_points[Place],tbl_points[Points],""))))))</f>
        <v/>
      </c>
      <c r="L128" s="3" t="str">
        <f>IF(K128="","",IF(K128="DNS",0,IF(K128="DQ",0,IF(K128="DNF",1,IF(AND(ISNUMBER(K128),K128&gt;59),1,_xlfn.XLOOKUP(K128,tbl_points[Place],tbl_points[Points],""))))))</f>
        <v/>
      </c>
      <c r="N128" s="3" t="str">
        <f>IF(M128="","",IF(M128="DNS",0,IF(M128="DQ",0,IF(M128="DNF",1,IF(AND(ISNUMBER(M128),M128&gt;59),1,_xlfn.XLOOKUP(M128,tbl_points[Place],tbl_points[Points],""))))))</f>
        <v/>
      </c>
      <c r="P128" s="3" t="str">
        <f>IF(O128="","",IF(O128="DNS",0,IF(O128="DQ",0,IF(O128="DNF",1,IF(AND(ISNUMBER(O128),O128&gt;59),1,_xlfn.XLOOKUP(O128,tbl_points[Place],tbl_points[Points],""))))))</f>
        <v/>
      </c>
      <c r="Q1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8" s="3">
        <f>tbl_individual[[#This Row],[Total]]-tbl_individual[[#This Row],[Lowest Score]]</f>
        <v>0</v>
      </c>
    </row>
    <row r="129" spans="1:19" x14ac:dyDescent="0.4">
      <c r="A129" t="s">
        <v>179</v>
      </c>
      <c r="B129" t="s">
        <v>19</v>
      </c>
      <c r="C129" t="s">
        <v>7</v>
      </c>
      <c r="D129" s="3">
        <v>806</v>
      </c>
      <c r="F129" s="3" t="str">
        <f>IF(E129="","",IF(E129="DNS",0,IF(E129="DQ",0,IF(E129="DNF",1,IF(AND(ISNUMBER(E129),E129&gt;59),1,_xlfn.XLOOKUP(E129,tbl_points[Place],tbl_points[Points],""))))))</f>
        <v/>
      </c>
      <c r="H129" s="3" t="str">
        <f>IF(G129="","",IF(G129="DNS",0,IF(G129="DQ",0,IF(G129="DNF",1,IF(AND(ISNUMBER(G129),G129&gt;59),1,_xlfn.XLOOKUP(G129,tbl_points[Place],tbl_points[Points],""))))))</f>
        <v/>
      </c>
      <c r="J129" s="3" t="str">
        <f>IF(I129="","",IF(I129="DNS",0,IF(I129="DQ",0,IF(I129="DNF",1,IF(AND(ISNUMBER(I129),I129&gt;59),1,_xlfn.XLOOKUP(I129,tbl_points[Place],tbl_points[Points],""))))))</f>
        <v/>
      </c>
      <c r="L129" s="3" t="str">
        <f>IF(K129="","",IF(K129="DNS",0,IF(K129="DQ",0,IF(K129="DNF",1,IF(AND(ISNUMBER(K129),K129&gt;59),1,_xlfn.XLOOKUP(K129,tbl_points[Place],tbl_points[Points],""))))))</f>
        <v/>
      </c>
      <c r="N129" s="3" t="str">
        <f>IF(M129="","",IF(M129="DNS",0,IF(M129="DQ",0,IF(M129="DNF",1,IF(AND(ISNUMBER(M129),M129&gt;59),1,_xlfn.XLOOKUP(M129,tbl_points[Place],tbl_points[Points],""))))))</f>
        <v/>
      </c>
      <c r="P129" s="3" t="str">
        <f>IF(O129="","",IF(O129="DNS",0,IF(O129="DQ",0,IF(O129="DNF",1,IF(AND(ISNUMBER(O129),O129&gt;59),1,_xlfn.XLOOKUP(O129,tbl_points[Place],tbl_points[Points],""))))))</f>
        <v/>
      </c>
      <c r="Q1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9" s="3">
        <f>tbl_individual[[#This Row],[Total]]-tbl_individual[[#This Row],[Lowest Score]]</f>
        <v>0</v>
      </c>
    </row>
    <row r="130" spans="1:19" x14ac:dyDescent="0.4">
      <c r="A130" t="s">
        <v>182</v>
      </c>
      <c r="B130" t="s">
        <v>19</v>
      </c>
      <c r="C130" t="s">
        <v>8</v>
      </c>
      <c r="D130" s="3">
        <v>868</v>
      </c>
      <c r="F130" s="3" t="str">
        <f>IF(E130="","",IF(E130="DNS",0,IF(E130="DQ",0,IF(E130="DNF",1,IF(AND(ISNUMBER(E130),E130&gt;59),1,_xlfn.XLOOKUP(E130,tbl_points[Place],tbl_points[Points],""))))))</f>
        <v/>
      </c>
      <c r="H130" s="3" t="str">
        <f>IF(G130="","",IF(G130="DNS",0,IF(G130="DQ",0,IF(G130="DNF",1,IF(AND(ISNUMBER(G130),G130&gt;59),1,_xlfn.XLOOKUP(G130,tbl_points[Place],tbl_points[Points],""))))))</f>
        <v/>
      </c>
      <c r="J130" s="3" t="str">
        <f>IF(I130="","",IF(I130="DNS",0,IF(I130="DQ",0,IF(I130="DNF",1,IF(AND(ISNUMBER(I130),I130&gt;59),1,_xlfn.XLOOKUP(I130,tbl_points[Place],tbl_points[Points],""))))))</f>
        <v/>
      </c>
      <c r="L130" s="3" t="str">
        <f>IF(K130="","",IF(K130="DNS",0,IF(K130="DQ",0,IF(K130="DNF",1,IF(AND(ISNUMBER(K130),K130&gt;59),1,_xlfn.XLOOKUP(K130,tbl_points[Place],tbl_points[Points],""))))))</f>
        <v/>
      </c>
      <c r="N130" s="3" t="str">
        <f>IF(M130="","",IF(M130="DNS",0,IF(M130="DQ",0,IF(M130="DNF",1,IF(AND(ISNUMBER(M130),M130&gt;59),1,_xlfn.XLOOKUP(M130,tbl_points[Place],tbl_points[Points],""))))))</f>
        <v/>
      </c>
      <c r="P130" s="3" t="str">
        <f>IF(O130="","",IF(O130="DNS",0,IF(O130="DQ",0,IF(O130="DNF",1,IF(AND(ISNUMBER(O130),O130&gt;59),1,_xlfn.XLOOKUP(O130,tbl_points[Place],tbl_points[Points],""))))))</f>
        <v/>
      </c>
      <c r="Q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0" s="3">
        <f>tbl_individual[[#This Row],[Total]]-tbl_individual[[#This Row],[Lowest Score]]</f>
        <v>0</v>
      </c>
    </row>
    <row r="131" spans="1:19" x14ac:dyDescent="0.4">
      <c r="A131" t="s">
        <v>183</v>
      </c>
      <c r="B131" t="s">
        <v>19</v>
      </c>
      <c r="C131" t="s">
        <v>4</v>
      </c>
      <c r="D131" s="3">
        <v>1032</v>
      </c>
      <c r="F131" s="3" t="str">
        <f>IF(E131="","",IF(E131="DNS",0,IF(E131="DQ",0,IF(E131="DNF",1,IF(AND(ISNUMBER(E131),E131&gt;59),1,_xlfn.XLOOKUP(E131,tbl_points[Place],tbl_points[Points],""))))))</f>
        <v/>
      </c>
      <c r="H131" s="3" t="str">
        <f>IF(G131="","",IF(G131="DNS",0,IF(G131="DQ",0,IF(G131="DNF",1,IF(AND(ISNUMBER(G131),G131&gt;59),1,_xlfn.XLOOKUP(G131,tbl_points[Place],tbl_points[Points],""))))))</f>
        <v/>
      </c>
      <c r="J131" s="3" t="str">
        <f>IF(I131="","",IF(I131="DNS",0,IF(I131="DQ",0,IF(I131="DNF",1,IF(AND(ISNUMBER(I131),I131&gt;59),1,_xlfn.XLOOKUP(I131,tbl_points[Place],tbl_points[Points],""))))))</f>
        <v/>
      </c>
      <c r="L131" s="3" t="str">
        <f>IF(K131="","",IF(K131="DNS",0,IF(K131="DQ",0,IF(K131="DNF",1,IF(AND(ISNUMBER(K131),K131&gt;59),1,_xlfn.XLOOKUP(K131,tbl_points[Place],tbl_points[Points],""))))))</f>
        <v/>
      </c>
      <c r="N131" s="3" t="str">
        <f>IF(M131="","",IF(M131="DNS",0,IF(M131="DQ",0,IF(M131="DNF",1,IF(AND(ISNUMBER(M131),M131&gt;59),1,_xlfn.XLOOKUP(M131,tbl_points[Place],tbl_points[Points],""))))))</f>
        <v/>
      </c>
      <c r="P131" s="3" t="str">
        <f>IF(O131="","",IF(O131="DNS",0,IF(O131="DQ",0,IF(O131="DNF",1,IF(AND(ISNUMBER(O131),O131&gt;59),1,_xlfn.XLOOKUP(O131,tbl_points[Place],tbl_points[Points],""))))))</f>
        <v/>
      </c>
      <c r="Q1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1" s="3">
        <f>tbl_individual[[#This Row],[Total]]-tbl_individual[[#This Row],[Lowest Score]]</f>
        <v>0</v>
      </c>
    </row>
    <row r="132" spans="1:19" x14ac:dyDescent="0.4">
      <c r="A132" t="s">
        <v>187</v>
      </c>
      <c r="B132" t="s">
        <v>20</v>
      </c>
      <c r="C132" t="s">
        <v>3</v>
      </c>
      <c r="D132" s="3">
        <v>10164</v>
      </c>
      <c r="F132" s="3" t="str">
        <f>IF(E132="","",IF(E132="DNS",0,IF(E132="DQ",0,IF(E132="DNF",1,IF(AND(ISNUMBER(E132),E132&gt;59),1,_xlfn.XLOOKUP(E132,tbl_points[Place],tbl_points[Points],""))))))</f>
        <v/>
      </c>
      <c r="H132" s="3" t="str">
        <f>IF(G132="","",IF(G132="DNS",0,IF(G132="DQ",0,IF(G132="DNF",1,IF(AND(ISNUMBER(G132),G132&gt;59),1,_xlfn.XLOOKUP(G132,tbl_points[Place],tbl_points[Points],""))))))</f>
        <v/>
      </c>
      <c r="J132" s="3" t="str">
        <f>IF(I132="","",IF(I132="DNS",0,IF(I132="DQ",0,IF(I132="DNF",1,IF(AND(ISNUMBER(I132),I132&gt;59),1,_xlfn.XLOOKUP(I132,tbl_points[Place],tbl_points[Points],""))))))</f>
        <v/>
      </c>
      <c r="L132" s="3" t="str">
        <f>IF(K132="","",IF(K132="DNS",0,IF(K132="DQ",0,IF(K132="DNF",1,IF(AND(ISNUMBER(K132),K132&gt;59),1,_xlfn.XLOOKUP(K132,tbl_points[Place],tbl_points[Points],""))))))</f>
        <v/>
      </c>
      <c r="N132" s="3" t="str">
        <f>IF(M132="","",IF(M132="DNS",0,IF(M132="DQ",0,IF(M132="DNF",1,IF(AND(ISNUMBER(M132),M132&gt;59),1,_xlfn.XLOOKUP(M132,tbl_points[Place],tbl_points[Points],""))))))</f>
        <v/>
      </c>
      <c r="P132" s="3" t="str">
        <f>IF(O132="","",IF(O132="DNS",0,IF(O132="DQ",0,IF(O132="DNF",1,IF(AND(ISNUMBER(O132),O132&gt;59),1,_xlfn.XLOOKUP(O132,tbl_points[Place],tbl_points[Points],""))))))</f>
        <v/>
      </c>
      <c r="Q1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2" s="3">
        <f>tbl_individual[[#This Row],[Total]]-tbl_individual[[#This Row],[Lowest Score]]</f>
        <v>0</v>
      </c>
    </row>
    <row r="133" spans="1:19" x14ac:dyDescent="0.4">
      <c r="A133" t="s">
        <v>185</v>
      </c>
      <c r="B133" t="s">
        <v>20</v>
      </c>
      <c r="C133" t="s">
        <v>3</v>
      </c>
      <c r="D133" s="3">
        <v>10162</v>
      </c>
      <c r="F133" s="3" t="str">
        <f>IF(E133="","",IF(E133="DNS",0,IF(E133="DQ",0,IF(E133="DNF",1,IF(AND(ISNUMBER(E133),E133&gt;59),1,_xlfn.XLOOKUP(E133,tbl_points[Place],tbl_points[Points],""))))))</f>
        <v/>
      </c>
      <c r="H133" s="3" t="str">
        <f>IF(G133="","",IF(G133="DNS",0,IF(G133="DQ",0,IF(G133="DNF",1,IF(AND(ISNUMBER(G133),G133&gt;59),1,_xlfn.XLOOKUP(G133,tbl_points[Place],tbl_points[Points],""))))))</f>
        <v/>
      </c>
      <c r="J133" s="3" t="str">
        <f>IF(I133="","",IF(I133="DNS",0,IF(I133="DQ",0,IF(I133="DNF",1,IF(AND(ISNUMBER(I133),I133&gt;59),1,_xlfn.XLOOKUP(I133,tbl_points[Place],tbl_points[Points],""))))))</f>
        <v/>
      </c>
      <c r="L133" s="3" t="str">
        <f>IF(K133="","",IF(K133="DNS",0,IF(K133="DQ",0,IF(K133="DNF",1,IF(AND(ISNUMBER(K133),K133&gt;59),1,_xlfn.XLOOKUP(K133,tbl_points[Place],tbl_points[Points],""))))))</f>
        <v/>
      </c>
      <c r="N133" s="3" t="str">
        <f>IF(M133="","",IF(M133="DNS",0,IF(M133="DQ",0,IF(M133="DNF",1,IF(AND(ISNUMBER(M133),M133&gt;59),1,_xlfn.XLOOKUP(M133,tbl_points[Place],tbl_points[Points],""))))))</f>
        <v/>
      </c>
      <c r="P133" s="3" t="str">
        <f>IF(O133="","",IF(O133="DNS",0,IF(O133="DQ",0,IF(O133="DNF",1,IF(AND(ISNUMBER(O133),O133&gt;59),1,_xlfn.XLOOKUP(O133,tbl_points[Place],tbl_points[Points],""))))))</f>
        <v/>
      </c>
      <c r="Q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3" s="3">
        <f>tbl_individual[[#This Row],[Total]]-tbl_individual[[#This Row],[Lowest Score]]</f>
        <v>0</v>
      </c>
    </row>
    <row r="134" spans="1:19" x14ac:dyDescent="0.4">
      <c r="A134" t="s">
        <v>186</v>
      </c>
      <c r="B134" t="s">
        <v>20</v>
      </c>
      <c r="C134" t="s">
        <v>3</v>
      </c>
      <c r="D134" s="3">
        <v>10163</v>
      </c>
      <c r="F134" s="3" t="str">
        <f>IF(E134="","",IF(E134="DNS",0,IF(E134="DQ",0,IF(E134="DNF",1,IF(AND(ISNUMBER(E134),E134&gt;59),1,_xlfn.XLOOKUP(E134,tbl_points[Place],tbl_points[Points],""))))))</f>
        <v/>
      </c>
      <c r="H134" s="3" t="str">
        <f>IF(G134="","",IF(G134="DNS",0,IF(G134="DQ",0,IF(G134="DNF",1,IF(AND(ISNUMBER(G134),G134&gt;59),1,_xlfn.XLOOKUP(G134,tbl_points[Place],tbl_points[Points],""))))))</f>
        <v/>
      </c>
      <c r="J134" s="3" t="str">
        <f>IF(I134="","",IF(I134="DNS",0,IF(I134="DQ",0,IF(I134="DNF",1,IF(AND(ISNUMBER(I134),I134&gt;59),1,_xlfn.XLOOKUP(I134,tbl_points[Place],tbl_points[Points],""))))))</f>
        <v/>
      </c>
      <c r="L134" s="3" t="str">
        <f>IF(K134="","",IF(K134="DNS",0,IF(K134="DQ",0,IF(K134="DNF",1,IF(AND(ISNUMBER(K134),K134&gt;59),1,_xlfn.XLOOKUP(K134,tbl_points[Place],tbl_points[Points],""))))))</f>
        <v/>
      </c>
      <c r="N134" s="3" t="str">
        <f>IF(M134="","",IF(M134="DNS",0,IF(M134="DQ",0,IF(M134="DNF",1,IF(AND(ISNUMBER(M134),M134&gt;59),1,_xlfn.XLOOKUP(M134,tbl_points[Place],tbl_points[Points],""))))))</f>
        <v/>
      </c>
      <c r="P134" s="3" t="str">
        <f>IF(O134="","",IF(O134="DNS",0,IF(O134="DQ",0,IF(O134="DNF",1,IF(AND(ISNUMBER(O134),O134&gt;59),1,_xlfn.XLOOKUP(O134,tbl_points[Place],tbl_points[Points],""))))))</f>
        <v/>
      </c>
      <c r="Q1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4" s="3">
        <f>tbl_individual[[#This Row],[Total]]-tbl_individual[[#This Row],[Lowest Score]]</f>
        <v>0</v>
      </c>
    </row>
    <row r="135" spans="1:19" x14ac:dyDescent="0.4">
      <c r="A135" t="s">
        <v>184</v>
      </c>
      <c r="B135" t="s">
        <v>20</v>
      </c>
      <c r="C135" t="s">
        <v>5</v>
      </c>
      <c r="D135" s="3">
        <v>918</v>
      </c>
      <c r="F135" s="3" t="str">
        <f>IF(E135="","",IF(E135="DNS",0,IF(E135="DQ",0,IF(E135="DNF",1,IF(AND(ISNUMBER(E135),E135&gt;59),1,_xlfn.XLOOKUP(E135,tbl_points[Place],tbl_points[Points],""))))))</f>
        <v/>
      </c>
      <c r="H135" s="3" t="str">
        <f>IF(G135="","",IF(G135="DNS",0,IF(G135="DQ",0,IF(G135="DNF",1,IF(AND(ISNUMBER(G135),G135&gt;59),1,_xlfn.XLOOKUP(G135,tbl_points[Place],tbl_points[Points],""))))))</f>
        <v/>
      </c>
      <c r="J135" s="3" t="str">
        <f>IF(I135="","",IF(I135="DNS",0,IF(I135="DQ",0,IF(I135="DNF",1,IF(AND(ISNUMBER(I135),I135&gt;59),1,_xlfn.XLOOKUP(I135,tbl_points[Place],tbl_points[Points],""))))))</f>
        <v/>
      </c>
      <c r="L135" s="3" t="str">
        <f>IF(K135="","",IF(K135="DNS",0,IF(K135="DQ",0,IF(K135="DNF",1,IF(AND(ISNUMBER(K135),K135&gt;59),1,_xlfn.XLOOKUP(K135,tbl_points[Place],tbl_points[Points],""))))))</f>
        <v/>
      </c>
      <c r="N135" s="3" t="str">
        <f>IF(M135="","",IF(M135="DNS",0,IF(M135="DQ",0,IF(M135="DNF",1,IF(AND(ISNUMBER(M135),M135&gt;59),1,_xlfn.XLOOKUP(M135,tbl_points[Place],tbl_points[Points],""))))))</f>
        <v/>
      </c>
      <c r="P135" s="3" t="str">
        <f>IF(O135="","",IF(O135="DNS",0,IF(O135="DQ",0,IF(O135="DNF",1,IF(AND(ISNUMBER(O135),O135&gt;59),1,_xlfn.XLOOKUP(O135,tbl_points[Place],tbl_points[Points],""))))))</f>
        <v/>
      </c>
      <c r="Q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5" s="3">
        <f>tbl_individual[[#This Row],[Total]]-tbl_individual[[#This Row],[Lowest Score]]</f>
        <v>0</v>
      </c>
    </row>
    <row r="136" spans="1:19" x14ac:dyDescent="0.4">
      <c r="A136" t="s">
        <v>188</v>
      </c>
      <c r="B136" t="s">
        <v>20</v>
      </c>
      <c r="C136" t="s">
        <v>1</v>
      </c>
      <c r="D136" s="3">
        <v>12036</v>
      </c>
      <c r="F136" s="3" t="str">
        <f>IF(E136="","",IF(E136="DNS",0,IF(E136="DQ",0,IF(E136="DNF",1,IF(AND(ISNUMBER(E136),E136&gt;59),1,_xlfn.XLOOKUP(E136,tbl_points[Place],tbl_points[Points],""))))))</f>
        <v/>
      </c>
      <c r="H136" s="3" t="str">
        <f>IF(G136="","",IF(G136="DNS",0,IF(G136="DQ",0,IF(G136="DNF",1,IF(AND(ISNUMBER(G136),G136&gt;59),1,_xlfn.XLOOKUP(G136,tbl_points[Place],tbl_points[Points],""))))))</f>
        <v/>
      </c>
      <c r="J136" s="3" t="str">
        <f>IF(I136="","",IF(I136="DNS",0,IF(I136="DQ",0,IF(I136="DNF",1,IF(AND(ISNUMBER(I136),I136&gt;59),1,_xlfn.XLOOKUP(I136,tbl_points[Place],tbl_points[Points],""))))))</f>
        <v/>
      </c>
      <c r="L136" s="3" t="str">
        <f>IF(K136="","",IF(K136="DNS",0,IF(K136="DQ",0,IF(K136="DNF",1,IF(AND(ISNUMBER(K136),K136&gt;59),1,_xlfn.XLOOKUP(K136,tbl_points[Place],tbl_points[Points],""))))))</f>
        <v/>
      </c>
      <c r="N136" s="3" t="str">
        <f>IF(M136="","",IF(M136="DNS",0,IF(M136="DQ",0,IF(M136="DNF",1,IF(AND(ISNUMBER(M136),M136&gt;59),1,_xlfn.XLOOKUP(M136,tbl_points[Place],tbl_points[Points],""))))))</f>
        <v/>
      </c>
      <c r="P136" s="3" t="str">
        <f>IF(O136="","",IF(O136="DNS",0,IF(O136="DQ",0,IF(O136="DNF",1,IF(AND(ISNUMBER(O136),O136&gt;59),1,_xlfn.XLOOKUP(O136,tbl_points[Place],tbl_points[Points],""))))))</f>
        <v/>
      </c>
      <c r="Q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6" s="3">
        <f>tbl_individual[[#This Row],[Total]]-tbl_individual[[#This Row],[Lowest Score]]</f>
        <v>0</v>
      </c>
    </row>
    <row r="137" spans="1:19" x14ac:dyDescent="0.4">
      <c r="A137" t="s">
        <v>189</v>
      </c>
      <c r="B137" t="s">
        <v>20</v>
      </c>
      <c r="C137" t="s">
        <v>1</v>
      </c>
      <c r="D137" s="3">
        <v>12037</v>
      </c>
      <c r="F137" s="3" t="str">
        <f>IF(E137="","",IF(E137="DNS",0,IF(E137="DQ",0,IF(E137="DNF",1,IF(AND(ISNUMBER(E137),E137&gt;59),1,_xlfn.XLOOKUP(E137,tbl_points[Place],tbl_points[Points],""))))))</f>
        <v/>
      </c>
      <c r="H137" s="3" t="str">
        <f>IF(G137="","",IF(G137="DNS",0,IF(G137="DQ",0,IF(G137="DNF",1,IF(AND(ISNUMBER(G137),G137&gt;59),1,_xlfn.XLOOKUP(G137,tbl_points[Place],tbl_points[Points],""))))))</f>
        <v/>
      </c>
      <c r="J137" s="3" t="str">
        <f>IF(I137="","",IF(I137="DNS",0,IF(I137="DQ",0,IF(I137="DNF",1,IF(AND(ISNUMBER(I137),I137&gt;59),1,_xlfn.XLOOKUP(I137,tbl_points[Place],tbl_points[Points],""))))))</f>
        <v/>
      </c>
      <c r="L137" s="3" t="str">
        <f>IF(K137="","",IF(K137="DNS",0,IF(K137="DQ",0,IF(K137="DNF",1,IF(AND(ISNUMBER(K137),K137&gt;59),1,_xlfn.XLOOKUP(K137,tbl_points[Place],tbl_points[Points],""))))))</f>
        <v/>
      </c>
      <c r="N137" s="3" t="str">
        <f>IF(M137="","",IF(M137="DNS",0,IF(M137="DQ",0,IF(M137="DNF",1,IF(AND(ISNUMBER(M137),M137&gt;59),1,_xlfn.XLOOKUP(M137,tbl_points[Place],tbl_points[Points],""))))))</f>
        <v/>
      </c>
      <c r="P137" s="3" t="str">
        <f>IF(O137="","",IF(O137="DNS",0,IF(O137="DQ",0,IF(O137="DNF",1,IF(AND(ISNUMBER(O137),O137&gt;59),1,_xlfn.XLOOKUP(O137,tbl_points[Place],tbl_points[Points],""))))))</f>
        <v/>
      </c>
      <c r="Q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7" s="3">
        <f>tbl_individual[[#This Row],[Total]]-tbl_individual[[#This Row],[Lowest Score]]</f>
        <v>0</v>
      </c>
    </row>
    <row r="138" spans="1:19" x14ac:dyDescent="0.4">
      <c r="A138" t="s">
        <v>191</v>
      </c>
      <c r="B138" t="s">
        <v>21</v>
      </c>
      <c r="C138" t="s">
        <v>7</v>
      </c>
      <c r="D138" s="3">
        <v>810</v>
      </c>
      <c r="F138" s="3" t="str">
        <f>IF(E138="","",IF(E138="DNS",0,IF(E138="DQ",0,IF(E138="DNF",1,IF(AND(ISNUMBER(E138),E138&gt;59),1,_xlfn.XLOOKUP(E138,tbl_points[Place],tbl_points[Points],""))))))</f>
        <v/>
      </c>
      <c r="H138" s="3" t="str">
        <f>IF(G138="","",IF(G138="DNS",0,IF(G138="DQ",0,IF(G138="DNF",1,IF(AND(ISNUMBER(G138),G138&gt;59),1,_xlfn.XLOOKUP(G138,tbl_points[Place],tbl_points[Points],""))))))</f>
        <v/>
      </c>
      <c r="J138" s="3" t="str">
        <f>IF(I138="","",IF(I138="DNS",0,IF(I138="DQ",0,IF(I138="DNF",1,IF(AND(ISNUMBER(I138),I138&gt;59),1,_xlfn.XLOOKUP(I138,tbl_points[Place],tbl_points[Points],""))))))</f>
        <v/>
      </c>
      <c r="L138" s="3" t="str">
        <f>IF(K138="","",IF(K138="DNS",0,IF(K138="DQ",0,IF(K138="DNF",1,IF(AND(ISNUMBER(K138),K138&gt;59),1,_xlfn.XLOOKUP(K138,tbl_points[Place],tbl_points[Points],""))))))</f>
        <v/>
      </c>
      <c r="N138" s="3" t="str">
        <f>IF(M138="","",IF(M138="DNS",0,IF(M138="DQ",0,IF(M138="DNF",1,IF(AND(ISNUMBER(M138),M138&gt;59),1,_xlfn.XLOOKUP(M138,tbl_points[Place],tbl_points[Points],""))))))</f>
        <v/>
      </c>
      <c r="P138" s="3" t="str">
        <f>IF(O138="","",IF(O138="DNS",0,IF(O138="DQ",0,IF(O138="DNF",1,IF(AND(ISNUMBER(O138),O138&gt;59),1,_xlfn.XLOOKUP(O138,tbl_points[Place],tbl_points[Points],""))))))</f>
        <v/>
      </c>
      <c r="Q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8" s="3">
        <f>tbl_individual[[#This Row],[Total]]-tbl_individual[[#This Row],[Lowest Score]]</f>
        <v>0</v>
      </c>
    </row>
    <row r="139" spans="1:19" x14ac:dyDescent="0.4">
      <c r="A139" t="s">
        <v>192</v>
      </c>
      <c r="B139" t="s">
        <v>21</v>
      </c>
      <c r="C139" t="s">
        <v>7</v>
      </c>
      <c r="D139" s="3">
        <v>811</v>
      </c>
      <c r="F139" s="3" t="str">
        <f>IF(E139="","",IF(E139="DNS",0,IF(E139="DQ",0,IF(E139="DNF",1,IF(AND(ISNUMBER(E139),E139&gt;59),1,_xlfn.XLOOKUP(E139,tbl_points[Place],tbl_points[Points],""))))))</f>
        <v/>
      </c>
      <c r="H139" s="3" t="str">
        <f>IF(G139="","",IF(G139="DNS",0,IF(G139="DQ",0,IF(G139="DNF",1,IF(AND(ISNUMBER(G139),G139&gt;59),1,_xlfn.XLOOKUP(G139,tbl_points[Place],tbl_points[Points],""))))))</f>
        <v/>
      </c>
      <c r="J139" s="3" t="str">
        <f>IF(I139="","",IF(I139="DNS",0,IF(I139="DQ",0,IF(I139="DNF",1,IF(AND(ISNUMBER(I139),I139&gt;59),1,_xlfn.XLOOKUP(I139,tbl_points[Place],tbl_points[Points],""))))))</f>
        <v/>
      </c>
      <c r="L139" s="3" t="str">
        <f>IF(K139="","",IF(K139="DNS",0,IF(K139="DQ",0,IF(K139="DNF",1,IF(AND(ISNUMBER(K139),K139&gt;59),1,_xlfn.XLOOKUP(K139,tbl_points[Place],tbl_points[Points],""))))))</f>
        <v/>
      </c>
      <c r="N139" s="3" t="str">
        <f>IF(M139="","",IF(M139="DNS",0,IF(M139="DQ",0,IF(M139="DNF",1,IF(AND(ISNUMBER(M139),M139&gt;59),1,_xlfn.XLOOKUP(M139,tbl_points[Place],tbl_points[Points],""))))))</f>
        <v/>
      </c>
      <c r="P139" s="3" t="str">
        <f>IF(O139="","",IF(O139="DNS",0,IF(O139="DQ",0,IF(O139="DNF",1,IF(AND(ISNUMBER(O139),O139&gt;59),1,_xlfn.XLOOKUP(O139,tbl_points[Place],tbl_points[Points],""))))))</f>
        <v/>
      </c>
      <c r="Q1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9" s="3">
        <f>tbl_individual[[#This Row],[Total]]-tbl_individual[[#This Row],[Lowest Score]]</f>
        <v>0</v>
      </c>
    </row>
    <row r="140" spans="1:19" x14ac:dyDescent="0.4">
      <c r="A140" t="s">
        <v>193</v>
      </c>
      <c r="B140" t="s">
        <v>21</v>
      </c>
      <c r="C140" t="s">
        <v>7</v>
      </c>
      <c r="D140" s="3">
        <v>812</v>
      </c>
      <c r="F140" s="3" t="str">
        <f>IF(E140="","",IF(E140="DNS",0,IF(E140="DQ",0,IF(E140="DNF",1,IF(AND(ISNUMBER(E140),E140&gt;59),1,_xlfn.XLOOKUP(E140,tbl_points[Place],tbl_points[Points],""))))))</f>
        <v/>
      </c>
      <c r="H140" s="3" t="str">
        <f>IF(G140="","",IF(G140="DNS",0,IF(G140="DQ",0,IF(G140="DNF",1,IF(AND(ISNUMBER(G140),G140&gt;59),1,_xlfn.XLOOKUP(G140,tbl_points[Place],tbl_points[Points],""))))))</f>
        <v/>
      </c>
      <c r="J140" s="3" t="str">
        <f>IF(I140="","",IF(I140="DNS",0,IF(I140="DQ",0,IF(I140="DNF",1,IF(AND(ISNUMBER(I140),I140&gt;59),1,_xlfn.XLOOKUP(I140,tbl_points[Place],tbl_points[Points],""))))))</f>
        <v/>
      </c>
      <c r="L140" s="3" t="str">
        <f>IF(K140="","",IF(K140="DNS",0,IF(K140="DQ",0,IF(K140="DNF",1,IF(AND(ISNUMBER(K140),K140&gt;59),1,_xlfn.XLOOKUP(K140,tbl_points[Place],tbl_points[Points],""))))))</f>
        <v/>
      </c>
      <c r="N140" s="3" t="str">
        <f>IF(M140="","",IF(M140="DNS",0,IF(M140="DQ",0,IF(M140="DNF",1,IF(AND(ISNUMBER(M140),M140&gt;59),1,_xlfn.XLOOKUP(M140,tbl_points[Place],tbl_points[Points],""))))))</f>
        <v/>
      </c>
      <c r="P140" s="3" t="str">
        <f>IF(O140="","",IF(O140="DNS",0,IF(O140="DQ",0,IF(O140="DNF",1,IF(AND(ISNUMBER(O140),O140&gt;59),1,_xlfn.XLOOKUP(O140,tbl_points[Place],tbl_points[Points],""))))))</f>
        <v/>
      </c>
      <c r="Q1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0" s="3">
        <f>tbl_individual[[#This Row],[Total]]-tbl_individual[[#This Row],[Lowest Score]]</f>
        <v>0</v>
      </c>
    </row>
    <row r="141" spans="1:19" x14ac:dyDescent="0.4">
      <c r="A141" t="s">
        <v>190</v>
      </c>
      <c r="B141" t="s">
        <v>21</v>
      </c>
      <c r="C141" t="s">
        <v>7</v>
      </c>
      <c r="D141" s="3">
        <v>809</v>
      </c>
      <c r="F141" s="3" t="str">
        <f>IF(E141="","",IF(E141="DNS",0,IF(E141="DQ",0,IF(E141="DNF",1,IF(AND(ISNUMBER(E141),E141&gt;59),1,_xlfn.XLOOKUP(E141,tbl_points[Place],tbl_points[Points],""))))))</f>
        <v/>
      </c>
      <c r="H141" s="3" t="str">
        <f>IF(G141="","",IF(G141="DNS",0,IF(G141="DQ",0,IF(G141="DNF",1,IF(AND(ISNUMBER(G141),G141&gt;59),1,_xlfn.XLOOKUP(G141,tbl_points[Place],tbl_points[Points],""))))))</f>
        <v/>
      </c>
      <c r="J141" s="3" t="str">
        <f>IF(I141="","",IF(I141="DNS",0,IF(I141="DQ",0,IF(I141="DNF",1,IF(AND(ISNUMBER(I141),I141&gt;59),1,_xlfn.XLOOKUP(I141,tbl_points[Place],tbl_points[Points],""))))))</f>
        <v/>
      </c>
      <c r="L141" s="3" t="str">
        <f>IF(K141="","",IF(K141="DNS",0,IF(K141="DQ",0,IF(K141="DNF",1,IF(AND(ISNUMBER(K141),K141&gt;59),1,_xlfn.XLOOKUP(K141,tbl_points[Place],tbl_points[Points],""))))))</f>
        <v/>
      </c>
      <c r="N141" s="3" t="str">
        <f>IF(M141="","",IF(M141="DNS",0,IF(M141="DQ",0,IF(M141="DNF",1,IF(AND(ISNUMBER(M141),M141&gt;59),1,_xlfn.XLOOKUP(M141,tbl_points[Place],tbl_points[Points],""))))))</f>
        <v/>
      </c>
      <c r="P141" s="3" t="str">
        <f>IF(O141="","",IF(O141="DNS",0,IF(O141="DQ",0,IF(O141="DNF",1,IF(AND(ISNUMBER(O141),O141&gt;59),1,_xlfn.XLOOKUP(O141,tbl_points[Place],tbl_points[Points],""))))))</f>
        <v/>
      </c>
      <c r="Q1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1" s="3">
        <f>tbl_individual[[#This Row],[Total]]-tbl_individual[[#This Row],[Lowest Score]]</f>
        <v>0</v>
      </c>
    </row>
    <row r="142" spans="1:19" x14ac:dyDescent="0.4">
      <c r="A142" t="s">
        <v>204</v>
      </c>
      <c r="B142" t="s">
        <v>21</v>
      </c>
      <c r="C142" t="s">
        <v>3</v>
      </c>
      <c r="D142" s="3">
        <v>10171</v>
      </c>
      <c r="F142" s="3" t="str">
        <f>IF(E142="","",IF(E142="DNS",0,IF(E142="DQ",0,IF(E142="DNF",1,IF(AND(ISNUMBER(E142),E142&gt;59),1,_xlfn.XLOOKUP(E142,tbl_points[Place],tbl_points[Points],""))))))</f>
        <v/>
      </c>
      <c r="H142" s="3" t="str">
        <f>IF(G142="","",IF(G142="DNS",0,IF(G142="DQ",0,IF(G142="DNF",1,IF(AND(ISNUMBER(G142),G142&gt;59),1,_xlfn.XLOOKUP(G142,tbl_points[Place],tbl_points[Points],""))))))</f>
        <v/>
      </c>
      <c r="J142" s="3" t="str">
        <f>IF(I142="","",IF(I142="DNS",0,IF(I142="DQ",0,IF(I142="DNF",1,IF(AND(ISNUMBER(I142),I142&gt;59),1,_xlfn.XLOOKUP(I142,tbl_points[Place],tbl_points[Points],""))))))</f>
        <v/>
      </c>
      <c r="L142" s="3" t="str">
        <f>IF(K142="","",IF(K142="DNS",0,IF(K142="DQ",0,IF(K142="DNF",1,IF(AND(ISNUMBER(K142),K142&gt;59),1,_xlfn.XLOOKUP(K142,tbl_points[Place],tbl_points[Points],""))))))</f>
        <v/>
      </c>
      <c r="N142" s="3" t="str">
        <f>IF(M142="","",IF(M142="DNS",0,IF(M142="DQ",0,IF(M142="DNF",1,IF(AND(ISNUMBER(M142),M142&gt;59),1,_xlfn.XLOOKUP(M142,tbl_points[Place],tbl_points[Points],""))))))</f>
        <v/>
      </c>
      <c r="P142" s="3" t="str">
        <f>IF(O142="","",IF(O142="DNS",0,IF(O142="DQ",0,IF(O142="DNF",1,IF(AND(ISNUMBER(O142),O142&gt;59),1,_xlfn.XLOOKUP(O142,tbl_points[Place],tbl_points[Points],""))))))</f>
        <v/>
      </c>
      <c r="Q1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2" s="3">
        <f>tbl_individual[[#This Row],[Total]]-tbl_individual[[#This Row],[Lowest Score]]</f>
        <v>0</v>
      </c>
    </row>
    <row r="143" spans="1:19" x14ac:dyDescent="0.4">
      <c r="A143" t="s">
        <v>203</v>
      </c>
      <c r="B143" t="s">
        <v>21</v>
      </c>
      <c r="C143" t="s">
        <v>3</v>
      </c>
      <c r="D143" s="3">
        <v>10170</v>
      </c>
      <c r="F143" s="3" t="str">
        <f>IF(E143="","",IF(E143="DNS",0,IF(E143="DQ",0,IF(E143="DNF",1,IF(AND(ISNUMBER(E143),E143&gt;59),1,_xlfn.XLOOKUP(E143,tbl_points[Place],tbl_points[Points],""))))))</f>
        <v/>
      </c>
      <c r="H143" s="3" t="str">
        <f>IF(G143="","",IF(G143="DNS",0,IF(G143="DQ",0,IF(G143="DNF",1,IF(AND(ISNUMBER(G143),G143&gt;59),1,_xlfn.XLOOKUP(G143,tbl_points[Place],tbl_points[Points],""))))))</f>
        <v/>
      </c>
      <c r="J143" s="3" t="str">
        <f>IF(I143="","",IF(I143="DNS",0,IF(I143="DQ",0,IF(I143="DNF",1,IF(AND(ISNUMBER(I143),I143&gt;59),1,_xlfn.XLOOKUP(I143,tbl_points[Place],tbl_points[Points],""))))))</f>
        <v/>
      </c>
      <c r="L143" s="3" t="str">
        <f>IF(K143="","",IF(K143="DNS",0,IF(K143="DQ",0,IF(K143="DNF",1,IF(AND(ISNUMBER(K143),K143&gt;59),1,_xlfn.XLOOKUP(K143,tbl_points[Place],tbl_points[Points],""))))))</f>
        <v/>
      </c>
      <c r="N143" s="3" t="str">
        <f>IF(M143="","",IF(M143="DNS",0,IF(M143="DQ",0,IF(M143="DNF",1,IF(AND(ISNUMBER(M143),M143&gt;59),1,_xlfn.XLOOKUP(M143,tbl_points[Place],tbl_points[Points],""))))))</f>
        <v/>
      </c>
      <c r="P143" s="3" t="str">
        <f>IF(O143="","",IF(O143="DNS",0,IF(O143="DQ",0,IF(O143="DNF",1,IF(AND(ISNUMBER(O143),O143&gt;59),1,_xlfn.XLOOKUP(O143,tbl_points[Place],tbl_points[Points],""))))))</f>
        <v/>
      </c>
      <c r="Q1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3" s="3">
        <f>tbl_individual[[#This Row],[Total]]-tbl_individual[[#This Row],[Lowest Score]]</f>
        <v>0</v>
      </c>
    </row>
    <row r="144" spans="1:19" x14ac:dyDescent="0.4">
      <c r="A144" t="s">
        <v>199</v>
      </c>
      <c r="B144" t="s">
        <v>21</v>
      </c>
      <c r="C144" t="s">
        <v>3</v>
      </c>
      <c r="D144" s="3">
        <v>10166</v>
      </c>
      <c r="F144" s="3" t="str">
        <f>IF(E144="","",IF(E144="DNS",0,IF(E144="DQ",0,IF(E144="DNF",1,IF(AND(ISNUMBER(E144),E144&gt;59),1,_xlfn.XLOOKUP(E144,tbl_points[Place],tbl_points[Points],""))))))</f>
        <v/>
      </c>
      <c r="H144" s="3" t="str">
        <f>IF(G144="","",IF(G144="DNS",0,IF(G144="DQ",0,IF(G144="DNF",1,IF(AND(ISNUMBER(G144),G144&gt;59),1,_xlfn.XLOOKUP(G144,tbl_points[Place],tbl_points[Points],""))))))</f>
        <v/>
      </c>
      <c r="J144" s="3" t="str">
        <f>IF(I144="","",IF(I144="DNS",0,IF(I144="DQ",0,IF(I144="DNF",1,IF(AND(ISNUMBER(I144),I144&gt;59),1,_xlfn.XLOOKUP(I144,tbl_points[Place],tbl_points[Points],""))))))</f>
        <v/>
      </c>
      <c r="L144" s="3" t="str">
        <f>IF(K144="","",IF(K144="DNS",0,IF(K144="DQ",0,IF(K144="DNF",1,IF(AND(ISNUMBER(K144),K144&gt;59),1,_xlfn.XLOOKUP(K144,tbl_points[Place],tbl_points[Points],""))))))</f>
        <v/>
      </c>
      <c r="N144" s="3" t="str">
        <f>IF(M144="","",IF(M144="DNS",0,IF(M144="DQ",0,IF(M144="DNF",1,IF(AND(ISNUMBER(M144),M144&gt;59),1,_xlfn.XLOOKUP(M144,tbl_points[Place],tbl_points[Points],""))))))</f>
        <v/>
      </c>
      <c r="P144" s="3" t="str">
        <f>IF(O144="","",IF(O144="DNS",0,IF(O144="DQ",0,IF(O144="DNF",1,IF(AND(ISNUMBER(O144),O144&gt;59),1,_xlfn.XLOOKUP(O144,tbl_points[Place],tbl_points[Points],""))))))</f>
        <v/>
      </c>
      <c r="Q1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4" s="3">
        <f>tbl_individual[[#This Row],[Total]]-tbl_individual[[#This Row],[Lowest Score]]</f>
        <v>0</v>
      </c>
    </row>
    <row r="145" spans="1:19" x14ac:dyDescent="0.4">
      <c r="A145" t="s">
        <v>200</v>
      </c>
      <c r="B145" t="s">
        <v>21</v>
      </c>
      <c r="C145" t="s">
        <v>3</v>
      </c>
      <c r="D145" s="3">
        <v>10167</v>
      </c>
      <c r="F145" s="3" t="str">
        <f>IF(E145="","",IF(E145="DNS",0,IF(E145="DQ",0,IF(E145="DNF",1,IF(AND(ISNUMBER(E145),E145&gt;59),1,_xlfn.XLOOKUP(E145,tbl_points[Place],tbl_points[Points],""))))))</f>
        <v/>
      </c>
      <c r="H145" s="3" t="str">
        <f>IF(G145="","",IF(G145="DNS",0,IF(G145="DQ",0,IF(G145="DNF",1,IF(AND(ISNUMBER(G145),G145&gt;59),1,_xlfn.XLOOKUP(G145,tbl_points[Place],tbl_points[Points],""))))))</f>
        <v/>
      </c>
      <c r="J145" s="3" t="str">
        <f>IF(I145="","",IF(I145="DNS",0,IF(I145="DQ",0,IF(I145="DNF",1,IF(AND(ISNUMBER(I145),I145&gt;59),1,_xlfn.XLOOKUP(I145,tbl_points[Place],tbl_points[Points],""))))))</f>
        <v/>
      </c>
      <c r="L145" s="3" t="str">
        <f>IF(K145="","",IF(K145="DNS",0,IF(K145="DQ",0,IF(K145="DNF",1,IF(AND(ISNUMBER(K145),K145&gt;59),1,_xlfn.XLOOKUP(K145,tbl_points[Place],tbl_points[Points],""))))))</f>
        <v/>
      </c>
      <c r="N145" s="3" t="str">
        <f>IF(M145="","",IF(M145="DNS",0,IF(M145="DQ",0,IF(M145="DNF",1,IF(AND(ISNUMBER(M145),M145&gt;59),1,_xlfn.XLOOKUP(M145,tbl_points[Place],tbl_points[Points],""))))))</f>
        <v/>
      </c>
      <c r="P145" s="3" t="str">
        <f>IF(O145="","",IF(O145="DNS",0,IF(O145="DQ",0,IF(O145="DNF",1,IF(AND(ISNUMBER(O145),O145&gt;59),1,_xlfn.XLOOKUP(O145,tbl_points[Place],tbl_points[Points],""))))))</f>
        <v/>
      </c>
      <c r="Q1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5" s="3">
        <f>tbl_individual[[#This Row],[Total]]-tbl_individual[[#This Row],[Lowest Score]]</f>
        <v>0</v>
      </c>
    </row>
    <row r="146" spans="1:19" x14ac:dyDescent="0.4">
      <c r="A146" t="s">
        <v>198</v>
      </c>
      <c r="B146" t="s">
        <v>21</v>
      </c>
      <c r="C146" t="s">
        <v>3</v>
      </c>
      <c r="D146" s="3">
        <v>10165</v>
      </c>
      <c r="F146" s="3" t="str">
        <f>IF(E146="","",IF(E146="DNS",0,IF(E146="DQ",0,IF(E146="DNF",1,IF(AND(ISNUMBER(E146),E146&gt;59),1,_xlfn.XLOOKUP(E146,tbl_points[Place],tbl_points[Points],""))))))</f>
        <v/>
      </c>
      <c r="H146" s="3" t="str">
        <f>IF(G146="","",IF(G146="DNS",0,IF(G146="DQ",0,IF(G146="DNF",1,IF(AND(ISNUMBER(G146),G146&gt;59),1,_xlfn.XLOOKUP(G146,tbl_points[Place],tbl_points[Points],""))))))</f>
        <v/>
      </c>
      <c r="J146" s="3" t="str">
        <f>IF(I146="","",IF(I146="DNS",0,IF(I146="DQ",0,IF(I146="DNF",1,IF(AND(ISNUMBER(I146),I146&gt;59),1,_xlfn.XLOOKUP(I146,tbl_points[Place],tbl_points[Points],""))))))</f>
        <v/>
      </c>
      <c r="L146" s="3" t="str">
        <f>IF(K146="","",IF(K146="DNS",0,IF(K146="DQ",0,IF(K146="DNF",1,IF(AND(ISNUMBER(K146),K146&gt;59),1,_xlfn.XLOOKUP(K146,tbl_points[Place],tbl_points[Points],""))))))</f>
        <v/>
      </c>
      <c r="N146" s="3" t="str">
        <f>IF(M146="","",IF(M146="DNS",0,IF(M146="DQ",0,IF(M146="DNF",1,IF(AND(ISNUMBER(M146),M146&gt;59),1,_xlfn.XLOOKUP(M146,tbl_points[Place],tbl_points[Points],""))))))</f>
        <v/>
      </c>
      <c r="P146" s="3" t="str">
        <f>IF(O146="","",IF(O146="DNS",0,IF(O146="DQ",0,IF(O146="DNF",1,IF(AND(ISNUMBER(O146),O146&gt;59),1,_xlfn.XLOOKUP(O146,tbl_points[Place],tbl_points[Points],""))))))</f>
        <v/>
      </c>
      <c r="Q1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6" s="3">
        <f>tbl_individual[[#This Row],[Total]]-tbl_individual[[#This Row],[Lowest Score]]</f>
        <v>0</v>
      </c>
    </row>
    <row r="147" spans="1:19" x14ac:dyDescent="0.4">
      <c r="A147" t="s">
        <v>202</v>
      </c>
      <c r="B147" t="s">
        <v>21</v>
      </c>
      <c r="C147" t="s">
        <v>3</v>
      </c>
      <c r="D147" s="3">
        <v>10169</v>
      </c>
      <c r="F147" s="3" t="str">
        <f>IF(E147="","",IF(E147="DNS",0,IF(E147="DQ",0,IF(E147="DNF",1,IF(AND(ISNUMBER(E147),E147&gt;59),1,_xlfn.XLOOKUP(E147,tbl_points[Place],tbl_points[Points],""))))))</f>
        <v/>
      </c>
      <c r="H147" s="3" t="str">
        <f>IF(G147="","",IF(G147="DNS",0,IF(G147="DQ",0,IF(G147="DNF",1,IF(AND(ISNUMBER(G147),G147&gt;59),1,_xlfn.XLOOKUP(G147,tbl_points[Place],tbl_points[Points],""))))))</f>
        <v/>
      </c>
      <c r="J147" s="3" t="str">
        <f>IF(I147="","",IF(I147="DNS",0,IF(I147="DQ",0,IF(I147="DNF",1,IF(AND(ISNUMBER(I147),I147&gt;59),1,_xlfn.XLOOKUP(I147,tbl_points[Place],tbl_points[Points],""))))))</f>
        <v/>
      </c>
      <c r="L147" s="3" t="str">
        <f>IF(K147="","",IF(K147="DNS",0,IF(K147="DQ",0,IF(K147="DNF",1,IF(AND(ISNUMBER(K147),K147&gt;59),1,_xlfn.XLOOKUP(K147,tbl_points[Place],tbl_points[Points],""))))))</f>
        <v/>
      </c>
      <c r="N147" s="3" t="str">
        <f>IF(M147="","",IF(M147="DNS",0,IF(M147="DQ",0,IF(M147="DNF",1,IF(AND(ISNUMBER(M147),M147&gt;59),1,_xlfn.XLOOKUP(M147,tbl_points[Place],tbl_points[Points],""))))))</f>
        <v/>
      </c>
      <c r="P147" s="3" t="str">
        <f>IF(O147="","",IF(O147="DNS",0,IF(O147="DQ",0,IF(O147="DNF",1,IF(AND(ISNUMBER(O147),O147&gt;59),1,_xlfn.XLOOKUP(O147,tbl_points[Place],tbl_points[Points],""))))))</f>
        <v/>
      </c>
      <c r="Q1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7" s="3">
        <f>tbl_individual[[#This Row],[Total]]-tbl_individual[[#This Row],[Lowest Score]]</f>
        <v>0</v>
      </c>
    </row>
    <row r="148" spans="1:19" x14ac:dyDescent="0.4">
      <c r="A148" t="s">
        <v>201</v>
      </c>
      <c r="B148" t="s">
        <v>21</v>
      </c>
      <c r="C148" t="s">
        <v>3</v>
      </c>
      <c r="D148" s="3">
        <v>10168</v>
      </c>
      <c r="F148" s="3" t="str">
        <f>IF(E148="","",IF(E148="DNS",0,IF(E148="DQ",0,IF(E148="DNF",1,IF(AND(ISNUMBER(E148),E148&gt;59),1,_xlfn.XLOOKUP(E148,tbl_points[Place],tbl_points[Points],""))))))</f>
        <v/>
      </c>
      <c r="H148" s="3" t="str">
        <f>IF(G148="","",IF(G148="DNS",0,IF(G148="DQ",0,IF(G148="DNF",1,IF(AND(ISNUMBER(G148),G148&gt;59),1,_xlfn.XLOOKUP(G148,tbl_points[Place],tbl_points[Points],""))))))</f>
        <v/>
      </c>
      <c r="J148" s="3" t="str">
        <f>IF(I148="","",IF(I148="DNS",0,IF(I148="DQ",0,IF(I148="DNF",1,IF(AND(ISNUMBER(I148),I148&gt;59),1,_xlfn.XLOOKUP(I148,tbl_points[Place],tbl_points[Points],""))))))</f>
        <v/>
      </c>
      <c r="L148" s="3" t="str">
        <f>IF(K148="","",IF(K148="DNS",0,IF(K148="DQ",0,IF(K148="DNF",1,IF(AND(ISNUMBER(K148),K148&gt;59),1,_xlfn.XLOOKUP(K148,tbl_points[Place],tbl_points[Points],""))))))</f>
        <v/>
      </c>
      <c r="N148" s="3" t="str">
        <f>IF(M148="","",IF(M148="DNS",0,IF(M148="DQ",0,IF(M148="DNF",1,IF(AND(ISNUMBER(M148),M148&gt;59),1,_xlfn.XLOOKUP(M148,tbl_points[Place],tbl_points[Points],""))))))</f>
        <v/>
      </c>
      <c r="P148" s="3" t="str">
        <f>IF(O148="","",IF(O148="DNS",0,IF(O148="DQ",0,IF(O148="DNF",1,IF(AND(ISNUMBER(O148),O148&gt;59),1,_xlfn.XLOOKUP(O148,tbl_points[Place],tbl_points[Points],""))))))</f>
        <v/>
      </c>
      <c r="Q1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8" s="3">
        <f>tbl_individual[[#This Row],[Total]]-tbl_individual[[#This Row],[Lowest Score]]</f>
        <v>0</v>
      </c>
    </row>
    <row r="149" spans="1:19" x14ac:dyDescent="0.4">
      <c r="A149" t="s">
        <v>195</v>
      </c>
      <c r="B149" t="s">
        <v>21</v>
      </c>
      <c r="C149" t="s">
        <v>5</v>
      </c>
      <c r="D149" s="3">
        <v>920</v>
      </c>
      <c r="F149" s="3" t="str">
        <f>IF(E149="","",IF(E149="DNS",0,IF(E149="DQ",0,IF(E149="DNF",1,IF(AND(ISNUMBER(E149),E149&gt;59),1,_xlfn.XLOOKUP(E149,tbl_points[Place],tbl_points[Points],""))))))</f>
        <v/>
      </c>
      <c r="H149" s="3" t="str">
        <f>IF(G149="","",IF(G149="DNS",0,IF(G149="DQ",0,IF(G149="DNF",1,IF(AND(ISNUMBER(G149),G149&gt;59),1,_xlfn.XLOOKUP(G149,tbl_points[Place],tbl_points[Points],""))))))</f>
        <v/>
      </c>
      <c r="J149" s="3" t="str">
        <f>IF(I149="","",IF(I149="DNS",0,IF(I149="DQ",0,IF(I149="DNF",1,IF(AND(ISNUMBER(I149),I149&gt;59),1,_xlfn.XLOOKUP(I149,tbl_points[Place],tbl_points[Points],""))))))</f>
        <v/>
      </c>
      <c r="L149" s="3" t="str">
        <f>IF(K149="","",IF(K149="DNS",0,IF(K149="DQ",0,IF(K149="DNF",1,IF(AND(ISNUMBER(K149),K149&gt;59),1,_xlfn.XLOOKUP(K149,tbl_points[Place],tbl_points[Points],""))))))</f>
        <v/>
      </c>
      <c r="N149" s="3" t="str">
        <f>IF(M149="","",IF(M149="DNS",0,IF(M149="DQ",0,IF(M149="DNF",1,IF(AND(ISNUMBER(M149),M149&gt;59),1,_xlfn.XLOOKUP(M149,tbl_points[Place],tbl_points[Points],""))))))</f>
        <v/>
      </c>
      <c r="P149" s="3" t="str">
        <f>IF(O149="","",IF(O149="DNS",0,IF(O149="DQ",0,IF(O149="DNF",1,IF(AND(ISNUMBER(O149),O149&gt;59),1,_xlfn.XLOOKUP(O149,tbl_points[Place],tbl_points[Points],""))))))</f>
        <v/>
      </c>
      <c r="Q1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9" s="3">
        <f>tbl_individual[[#This Row],[Total]]-tbl_individual[[#This Row],[Lowest Score]]</f>
        <v>0</v>
      </c>
    </row>
    <row r="150" spans="1:19" x14ac:dyDescent="0.4">
      <c r="A150" t="s">
        <v>197</v>
      </c>
      <c r="B150" t="s">
        <v>21</v>
      </c>
      <c r="C150" t="s">
        <v>5</v>
      </c>
      <c r="D150" s="3">
        <v>922</v>
      </c>
      <c r="F150" s="3" t="str">
        <f>IF(E150="","",IF(E150="DNS",0,IF(E150="DQ",0,IF(E150="DNF",1,IF(AND(ISNUMBER(E150),E150&gt;59),1,_xlfn.XLOOKUP(E150,tbl_points[Place],tbl_points[Points],""))))))</f>
        <v/>
      </c>
      <c r="H150" s="3" t="str">
        <f>IF(G150="","",IF(G150="DNS",0,IF(G150="DQ",0,IF(G150="DNF",1,IF(AND(ISNUMBER(G150),G150&gt;59),1,_xlfn.XLOOKUP(G150,tbl_points[Place],tbl_points[Points],""))))))</f>
        <v/>
      </c>
      <c r="J150" s="3" t="str">
        <f>IF(I150="","",IF(I150="DNS",0,IF(I150="DQ",0,IF(I150="DNF",1,IF(AND(ISNUMBER(I150),I150&gt;59),1,_xlfn.XLOOKUP(I150,tbl_points[Place],tbl_points[Points],""))))))</f>
        <v/>
      </c>
      <c r="L150" s="3" t="str">
        <f>IF(K150="","",IF(K150="DNS",0,IF(K150="DQ",0,IF(K150="DNF",1,IF(AND(ISNUMBER(K150),K150&gt;59),1,_xlfn.XLOOKUP(K150,tbl_points[Place],tbl_points[Points],""))))))</f>
        <v/>
      </c>
      <c r="N150" s="3" t="str">
        <f>IF(M150="","",IF(M150="DNS",0,IF(M150="DQ",0,IF(M150="DNF",1,IF(AND(ISNUMBER(M150),M150&gt;59),1,_xlfn.XLOOKUP(M150,tbl_points[Place],tbl_points[Points],""))))))</f>
        <v/>
      </c>
      <c r="P150" s="3" t="str">
        <f>IF(O150="","",IF(O150="DNS",0,IF(O150="DQ",0,IF(O150="DNF",1,IF(AND(ISNUMBER(O150),O150&gt;59),1,_xlfn.XLOOKUP(O150,tbl_points[Place],tbl_points[Points],""))))))</f>
        <v/>
      </c>
      <c r="Q1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0" s="3">
        <f>tbl_individual[[#This Row],[Total]]-tbl_individual[[#This Row],[Lowest Score]]</f>
        <v>0</v>
      </c>
    </row>
    <row r="151" spans="1:19" x14ac:dyDescent="0.4">
      <c r="A151" t="s">
        <v>196</v>
      </c>
      <c r="B151" t="s">
        <v>21</v>
      </c>
      <c r="C151" t="s">
        <v>5</v>
      </c>
      <c r="D151" s="3">
        <v>921</v>
      </c>
      <c r="F151" s="3" t="str">
        <f>IF(E151="","",IF(E151="DNS",0,IF(E151="DQ",0,IF(E151="DNF",1,IF(AND(ISNUMBER(E151),E151&gt;59),1,_xlfn.XLOOKUP(E151,tbl_points[Place],tbl_points[Points],""))))))</f>
        <v/>
      </c>
      <c r="H151" s="3" t="str">
        <f>IF(G151="","",IF(G151="DNS",0,IF(G151="DQ",0,IF(G151="DNF",1,IF(AND(ISNUMBER(G151),G151&gt;59),1,_xlfn.XLOOKUP(G151,tbl_points[Place],tbl_points[Points],""))))))</f>
        <v/>
      </c>
      <c r="J151" s="3" t="str">
        <f>IF(I151="","",IF(I151="DNS",0,IF(I151="DQ",0,IF(I151="DNF",1,IF(AND(ISNUMBER(I151),I151&gt;59),1,_xlfn.XLOOKUP(I151,tbl_points[Place],tbl_points[Points],""))))))</f>
        <v/>
      </c>
      <c r="L151" s="3" t="str">
        <f>IF(K151="","",IF(K151="DNS",0,IF(K151="DQ",0,IF(K151="DNF",1,IF(AND(ISNUMBER(K151),K151&gt;59),1,_xlfn.XLOOKUP(K151,tbl_points[Place],tbl_points[Points],""))))))</f>
        <v/>
      </c>
      <c r="N151" s="3" t="str">
        <f>IF(M151="","",IF(M151="DNS",0,IF(M151="DQ",0,IF(M151="DNF",1,IF(AND(ISNUMBER(M151),M151&gt;59),1,_xlfn.XLOOKUP(M151,tbl_points[Place],tbl_points[Points],""))))))</f>
        <v/>
      </c>
      <c r="P151" s="3" t="str">
        <f>IF(O151="","",IF(O151="DNS",0,IF(O151="DQ",0,IF(O151="DNF",1,IF(AND(ISNUMBER(O151),O151&gt;59),1,_xlfn.XLOOKUP(O151,tbl_points[Place],tbl_points[Points],""))))))</f>
        <v/>
      </c>
      <c r="Q1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1" s="3">
        <f>tbl_individual[[#This Row],[Total]]-tbl_individual[[#This Row],[Lowest Score]]</f>
        <v>0</v>
      </c>
    </row>
    <row r="152" spans="1:19" x14ac:dyDescent="0.4">
      <c r="A152" t="s">
        <v>194</v>
      </c>
      <c r="B152" t="s">
        <v>21</v>
      </c>
      <c r="C152" t="s">
        <v>5</v>
      </c>
      <c r="D152" s="3">
        <v>919</v>
      </c>
      <c r="F152" s="3" t="str">
        <f>IF(E152="","",IF(E152="DNS",0,IF(E152="DQ",0,IF(E152="DNF",1,IF(AND(ISNUMBER(E152),E152&gt;59),1,_xlfn.XLOOKUP(E152,tbl_points[Place],tbl_points[Points],""))))))</f>
        <v/>
      </c>
      <c r="H152" s="3" t="str">
        <f>IF(G152="","",IF(G152="DNS",0,IF(G152="DQ",0,IF(G152="DNF",1,IF(AND(ISNUMBER(G152),G152&gt;59),1,_xlfn.XLOOKUP(G152,tbl_points[Place],tbl_points[Points],""))))))</f>
        <v/>
      </c>
      <c r="J152" s="3" t="str">
        <f>IF(I152="","",IF(I152="DNS",0,IF(I152="DQ",0,IF(I152="DNF",1,IF(AND(ISNUMBER(I152),I152&gt;59),1,_xlfn.XLOOKUP(I152,tbl_points[Place],tbl_points[Points],""))))))</f>
        <v/>
      </c>
      <c r="L152" s="3" t="str">
        <f>IF(K152="","",IF(K152="DNS",0,IF(K152="DQ",0,IF(K152="DNF",1,IF(AND(ISNUMBER(K152),K152&gt;59),1,_xlfn.XLOOKUP(K152,tbl_points[Place],tbl_points[Points],""))))))</f>
        <v/>
      </c>
      <c r="N152" s="3" t="str">
        <f>IF(M152="","",IF(M152="DNS",0,IF(M152="DQ",0,IF(M152="DNF",1,IF(AND(ISNUMBER(M152),M152&gt;59),1,_xlfn.XLOOKUP(M152,tbl_points[Place],tbl_points[Points],""))))))</f>
        <v/>
      </c>
      <c r="P152" s="3" t="str">
        <f>IF(O152="","",IF(O152="DNS",0,IF(O152="DQ",0,IF(O152="DNF",1,IF(AND(ISNUMBER(O152),O152&gt;59),1,_xlfn.XLOOKUP(O152,tbl_points[Place],tbl_points[Points],""))))))</f>
        <v/>
      </c>
      <c r="Q1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2" s="3">
        <f>tbl_individual[[#This Row],[Total]]-tbl_individual[[#This Row],[Lowest Score]]</f>
        <v>0</v>
      </c>
    </row>
    <row r="153" spans="1:19" x14ac:dyDescent="0.4">
      <c r="A153" t="s">
        <v>214</v>
      </c>
      <c r="B153" t="s">
        <v>21</v>
      </c>
      <c r="C153" t="s">
        <v>1</v>
      </c>
      <c r="D153" s="3">
        <v>12047</v>
      </c>
      <c r="F153" s="3" t="str">
        <f>IF(E153="","",IF(E153="DNS",0,IF(E153="DQ",0,IF(E153="DNF",1,IF(AND(ISNUMBER(E153),E153&gt;59),1,_xlfn.XLOOKUP(E153,tbl_points[Place],tbl_points[Points],""))))))</f>
        <v/>
      </c>
      <c r="H153" s="3" t="str">
        <f>IF(G153="","",IF(G153="DNS",0,IF(G153="DQ",0,IF(G153="DNF",1,IF(AND(ISNUMBER(G153),G153&gt;59),1,_xlfn.XLOOKUP(G153,tbl_points[Place],tbl_points[Points],""))))))</f>
        <v/>
      </c>
      <c r="J153" s="3" t="str">
        <f>IF(I153="","",IF(I153="DNS",0,IF(I153="DQ",0,IF(I153="DNF",1,IF(AND(ISNUMBER(I153),I153&gt;59),1,_xlfn.XLOOKUP(I153,tbl_points[Place],tbl_points[Points],""))))))</f>
        <v/>
      </c>
      <c r="L153" s="3" t="str">
        <f>IF(K153="","",IF(K153="DNS",0,IF(K153="DQ",0,IF(K153="DNF",1,IF(AND(ISNUMBER(K153),K153&gt;59),1,_xlfn.XLOOKUP(K153,tbl_points[Place],tbl_points[Points],""))))))</f>
        <v/>
      </c>
      <c r="N153" s="3" t="str">
        <f>IF(M153="","",IF(M153="DNS",0,IF(M153="DQ",0,IF(M153="DNF",1,IF(AND(ISNUMBER(M153),M153&gt;59),1,_xlfn.XLOOKUP(M153,tbl_points[Place],tbl_points[Points],""))))))</f>
        <v/>
      </c>
      <c r="P153" s="3" t="str">
        <f>IF(O153="","",IF(O153="DNS",0,IF(O153="DQ",0,IF(O153="DNF",1,IF(AND(ISNUMBER(O153),O153&gt;59),1,_xlfn.XLOOKUP(O153,tbl_points[Place],tbl_points[Points],""))))))</f>
        <v/>
      </c>
      <c r="Q1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3" s="3">
        <f>tbl_individual[[#This Row],[Total]]-tbl_individual[[#This Row],[Lowest Score]]</f>
        <v>0</v>
      </c>
    </row>
    <row r="154" spans="1:19" x14ac:dyDescent="0.4">
      <c r="A154" t="s">
        <v>209</v>
      </c>
      <c r="B154" t="s">
        <v>21</v>
      </c>
      <c r="C154" t="s">
        <v>1</v>
      </c>
      <c r="D154" s="3">
        <v>12042</v>
      </c>
      <c r="F154" s="3" t="str">
        <f>IF(E154="","",IF(E154="DNS",0,IF(E154="DQ",0,IF(E154="DNF",1,IF(AND(ISNUMBER(E154),E154&gt;59),1,_xlfn.XLOOKUP(E154,tbl_points[Place],tbl_points[Points],""))))))</f>
        <v/>
      </c>
      <c r="H154" s="3" t="str">
        <f>IF(G154="","",IF(G154="DNS",0,IF(G154="DQ",0,IF(G154="DNF",1,IF(AND(ISNUMBER(G154),G154&gt;59),1,_xlfn.XLOOKUP(G154,tbl_points[Place],tbl_points[Points],""))))))</f>
        <v/>
      </c>
      <c r="J154" s="3" t="str">
        <f>IF(I154="","",IF(I154="DNS",0,IF(I154="DQ",0,IF(I154="DNF",1,IF(AND(ISNUMBER(I154),I154&gt;59),1,_xlfn.XLOOKUP(I154,tbl_points[Place],tbl_points[Points],""))))))</f>
        <v/>
      </c>
      <c r="L154" s="3" t="str">
        <f>IF(K154="","",IF(K154="DNS",0,IF(K154="DQ",0,IF(K154="DNF",1,IF(AND(ISNUMBER(K154),K154&gt;59),1,_xlfn.XLOOKUP(K154,tbl_points[Place],tbl_points[Points],""))))))</f>
        <v/>
      </c>
      <c r="N154" s="3" t="str">
        <f>IF(M154="","",IF(M154="DNS",0,IF(M154="DQ",0,IF(M154="DNF",1,IF(AND(ISNUMBER(M154),M154&gt;59),1,_xlfn.XLOOKUP(M154,tbl_points[Place],tbl_points[Points],""))))))</f>
        <v/>
      </c>
      <c r="P154" s="3" t="str">
        <f>IF(O154="","",IF(O154="DNS",0,IF(O154="DQ",0,IF(O154="DNF",1,IF(AND(ISNUMBER(O154),O154&gt;59),1,_xlfn.XLOOKUP(O154,tbl_points[Place],tbl_points[Points],""))))))</f>
        <v/>
      </c>
      <c r="Q1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4" s="3">
        <f>tbl_individual[[#This Row],[Total]]-tbl_individual[[#This Row],[Lowest Score]]</f>
        <v>0</v>
      </c>
    </row>
    <row r="155" spans="1:19" x14ac:dyDescent="0.4">
      <c r="A155" t="s">
        <v>212</v>
      </c>
      <c r="B155" t="s">
        <v>21</v>
      </c>
      <c r="C155" t="s">
        <v>1</v>
      </c>
      <c r="D155" s="3">
        <v>12045</v>
      </c>
      <c r="F155" s="3" t="str">
        <f>IF(E155="","",IF(E155="DNS",0,IF(E155="DQ",0,IF(E155="DNF",1,IF(AND(ISNUMBER(E155),E155&gt;59),1,_xlfn.XLOOKUP(E155,tbl_points[Place],tbl_points[Points],""))))))</f>
        <v/>
      </c>
      <c r="H155" s="3" t="str">
        <f>IF(G155="","",IF(G155="DNS",0,IF(G155="DQ",0,IF(G155="DNF",1,IF(AND(ISNUMBER(G155),G155&gt;59),1,_xlfn.XLOOKUP(G155,tbl_points[Place],tbl_points[Points],""))))))</f>
        <v/>
      </c>
      <c r="J155" s="3" t="str">
        <f>IF(I155="","",IF(I155="DNS",0,IF(I155="DQ",0,IF(I155="DNF",1,IF(AND(ISNUMBER(I155),I155&gt;59),1,_xlfn.XLOOKUP(I155,tbl_points[Place],tbl_points[Points],""))))))</f>
        <v/>
      </c>
      <c r="L155" s="3" t="str">
        <f>IF(K155="","",IF(K155="DNS",0,IF(K155="DQ",0,IF(K155="DNF",1,IF(AND(ISNUMBER(K155),K155&gt;59),1,_xlfn.XLOOKUP(K155,tbl_points[Place],tbl_points[Points],""))))))</f>
        <v/>
      </c>
      <c r="N155" s="3" t="str">
        <f>IF(M155="","",IF(M155="DNS",0,IF(M155="DQ",0,IF(M155="DNF",1,IF(AND(ISNUMBER(M155),M155&gt;59),1,_xlfn.XLOOKUP(M155,tbl_points[Place],tbl_points[Points],""))))))</f>
        <v/>
      </c>
      <c r="P155" s="3" t="str">
        <f>IF(O155="","",IF(O155="DNS",0,IF(O155="DQ",0,IF(O155="DNF",1,IF(AND(ISNUMBER(O155),O155&gt;59),1,_xlfn.XLOOKUP(O155,tbl_points[Place],tbl_points[Points],""))))))</f>
        <v/>
      </c>
      <c r="Q1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5" s="3">
        <f>tbl_individual[[#This Row],[Total]]-tbl_individual[[#This Row],[Lowest Score]]</f>
        <v>0</v>
      </c>
    </row>
    <row r="156" spans="1:19" x14ac:dyDescent="0.4">
      <c r="A156" t="s">
        <v>215</v>
      </c>
      <c r="B156" t="s">
        <v>21</v>
      </c>
      <c r="C156" t="s">
        <v>1</v>
      </c>
      <c r="D156" s="3">
        <v>12048</v>
      </c>
      <c r="F156" s="3" t="str">
        <f>IF(E156="","",IF(E156="DNS",0,IF(E156="DQ",0,IF(E156="DNF",1,IF(AND(ISNUMBER(E156),E156&gt;59),1,_xlfn.XLOOKUP(E156,tbl_points[Place],tbl_points[Points],""))))))</f>
        <v/>
      </c>
      <c r="H156" s="3" t="str">
        <f>IF(G156="","",IF(G156="DNS",0,IF(G156="DQ",0,IF(G156="DNF",1,IF(AND(ISNUMBER(G156),G156&gt;59),1,_xlfn.XLOOKUP(G156,tbl_points[Place],tbl_points[Points],""))))))</f>
        <v/>
      </c>
      <c r="J156" s="3" t="str">
        <f>IF(I156="","",IF(I156="DNS",0,IF(I156="DQ",0,IF(I156="DNF",1,IF(AND(ISNUMBER(I156),I156&gt;59),1,_xlfn.XLOOKUP(I156,tbl_points[Place],tbl_points[Points],""))))))</f>
        <v/>
      </c>
      <c r="L156" s="3" t="str">
        <f>IF(K156="","",IF(K156="DNS",0,IF(K156="DQ",0,IF(K156="DNF",1,IF(AND(ISNUMBER(K156),K156&gt;59),1,_xlfn.XLOOKUP(K156,tbl_points[Place],tbl_points[Points],""))))))</f>
        <v/>
      </c>
      <c r="N156" s="3" t="str">
        <f>IF(M156="","",IF(M156="DNS",0,IF(M156="DQ",0,IF(M156="DNF",1,IF(AND(ISNUMBER(M156),M156&gt;59),1,_xlfn.XLOOKUP(M156,tbl_points[Place],tbl_points[Points],""))))))</f>
        <v/>
      </c>
      <c r="P156" s="3" t="str">
        <f>IF(O156="","",IF(O156="DNS",0,IF(O156="DQ",0,IF(O156="DNF",1,IF(AND(ISNUMBER(O156),O156&gt;59),1,_xlfn.XLOOKUP(O156,tbl_points[Place],tbl_points[Points],""))))))</f>
        <v/>
      </c>
      <c r="Q1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6" s="3">
        <f>tbl_individual[[#This Row],[Total]]-tbl_individual[[#This Row],[Lowest Score]]</f>
        <v>0</v>
      </c>
    </row>
    <row r="157" spans="1:19" x14ac:dyDescent="0.4">
      <c r="A157" t="s">
        <v>206</v>
      </c>
      <c r="B157" t="s">
        <v>21</v>
      </c>
      <c r="C157" t="s">
        <v>1</v>
      </c>
      <c r="D157" s="3">
        <v>12039</v>
      </c>
      <c r="F157" s="3" t="str">
        <f>IF(E157="","",IF(E157="DNS",0,IF(E157="DQ",0,IF(E157="DNF",1,IF(AND(ISNUMBER(E157),E157&gt;59),1,_xlfn.XLOOKUP(E157,tbl_points[Place],tbl_points[Points],""))))))</f>
        <v/>
      </c>
      <c r="H157" s="3" t="str">
        <f>IF(G157="","",IF(G157="DNS",0,IF(G157="DQ",0,IF(G157="DNF",1,IF(AND(ISNUMBER(G157),G157&gt;59),1,_xlfn.XLOOKUP(G157,tbl_points[Place],tbl_points[Points],""))))))</f>
        <v/>
      </c>
      <c r="J157" s="3" t="str">
        <f>IF(I157="","",IF(I157="DNS",0,IF(I157="DQ",0,IF(I157="DNF",1,IF(AND(ISNUMBER(I157),I157&gt;59),1,_xlfn.XLOOKUP(I157,tbl_points[Place],tbl_points[Points],""))))))</f>
        <v/>
      </c>
      <c r="L157" s="3" t="str">
        <f>IF(K157="","",IF(K157="DNS",0,IF(K157="DQ",0,IF(K157="DNF",1,IF(AND(ISNUMBER(K157),K157&gt;59),1,_xlfn.XLOOKUP(K157,tbl_points[Place],tbl_points[Points],""))))))</f>
        <v/>
      </c>
      <c r="N157" s="3" t="str">
        <f>IF(M157="","",IF(M157="DNS",0,IF(M157="DQ",0,IF(M157="DNF",1,IF(AND(ISNUMBER(M157),M157&gt;59),1,_xlfn.XLOOKUP(M157,tbl_points[Place],tbl_points[Points],""))))))</f>
        <v/>
      </c>
      <c r="P157" s="3" t="str">
        <f>IF(O157="","",IF(O157="DNS",0,IF(O157="DQ",0,IF(O157="DNF",1,IF(AND(ISNUMBER(O157),O157&gt;59),1,_xlfn.XLOOKUP(O157,tbl_points[Place],tbl_points[Points],""))))))</f>
        <v/>
      </c>
      <c r="Q1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7" s="3">
        <f>tbl_individual[[#This Row],[Total]]-tbl_individual[[#This Row],[Lowest Score]]</f>
        <v>0</v>
      </c>
    </row>
    <row r="158" spans="1:19" x14ac:dyDescent="0.4">
      <c r="A158" t="s">
        <v>205</v>
      </c>
      <c r="B158" t="s">
        <v>21</v>
      </c>
      <c r="C158" t="s">
        <v>1</v>
      </c>
      <c r="D158" s="3">
        <v>12038</v>
      </c>
      <c r="F158" s="3" t="str">
        <f>IF(E158="","",IF(E158="DNS",0,IF(E158="DQ",0,IF(E158="DNF",1,IF(AND(ISNUMBER(E158),E158&gt;59),1,_xlfn.XLOOKUP(E158,tbl_points[Place],tbl_points[Points],""))))))</f>
        <v/>
      </c>
      <c r="H158" s="3" t="str">
        <f>IF(G158="","",IF(G158="DNS",0,IF(G158="DQ",0,IF(G158="DNF",1,IF(AND(ISNUMBER(G158),G158&gt;59),1,_xlfn.XLOOKUP(G158,tbl_points[Place],tbl_points[Points],""))))))</f>
        <v/>
      </c>
      <c r="J158" s="3" t="str">
        <f>IF(I158="","",IF(I158="DNS",0,IF(I158="DQ",0,IF(I158="DNF",1,IF(AND(ISNUMBER(I158),I158&gt;59),1,_xlfn.XLOOKUP(I158,tbl_points[Place],tbl_points[Points],""))))))</f>
        <v/>
      </c>
      <c r="L158" s="3" t="str">
        <f>IF(K158="","",IF(K158="DNS",0,IF(K158="DQ",0,IF(K158="DNF",1,IF(AND(ISNUMBER(K158),K158&gt;59),1,_xlfn.XLOOKUP(K158,tbl_points[Place],tbl_points[Points],""))))))</f>
        <v/>
      </c>
      <c r="N158" s="3" t="str">
        <f>IF(M158="","",IF(M158="DNS",0,IF(M158="DQ",0,IF(M158="DNF",1,IF(AND(ISNUMBER(M158),M158&gt;59),1,_xlfn.XLOOKUP(M158,tbl_points[Place],tbl_points[Points],""))))))</f>
        <v/>
      </c>
      <c r="P158" s="3" t="str">
        <f>IF(O158="","",IF(O158="DNS",0,IF(O158="DQ",0,IF(O158="DNF",1,IF(AND(ISNUMBER(O158),O158&gt;59),1,_xlfn.XLOOKUP(O158,tbl_points[Place],tbl_points[Points],""))))))</f>
        <v/>
      </c>
      <c r="Q1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8" s="3">
        <f>tbl_individual[[#This Row],[Total]]-tbl_individual[[#This Row],[Lowest Score]]</f>
        <v>0</v>
      </c>
    </row>
    <row r="159" spans="1:19" x14ac:dyDescent="0.4">
      <c r="A159" t="s">
        <v>207</v>
      </c>
      <c r="B159" t="s">
        <v>21</v>
      </c>
      <c r="C159" t="s">
        <v>1</v>
      </c>
      <c r="D159" s="3">
        <v>12040</v>
      </c>
      <c r="F159" s="3" t="str">
        <f>IF(E159="","",IF(E159="DNS",0,IF(E159="DQ",0,IF(E159="DNF",1,IF(AND(ISNUMBER(E159),E159&gt;59),1,_xlfn.XLOOKUP(E159,tbl_points[Place],tbl_points[Points],""))))))</f>
        <v/>
      </c>
      <c r="H159" s="3" t="str">
        <f>IF(G159="","",IF(G159="DNS",0,IF(G159="DQ",0,IF(G159="DNF",1,IF(AND(ISNUMBER(G159),G159&gt;59),1,_xlfn.XLOOKUP(G159,tbl_points[Place],tbl_points[Points],""))))))</f>
        <v/>
      </c>
      <c r="J159" s="3" t="str">
        <f>IF(I159="","",IF(I159="DNS",0,IF(I159="DQ",0,IF(I159="DNF",1,IF(AND(ISNUMBER(I159),I159&gt;59),1,_xlfn.XLOOKUP(I159,tbl_points[Place],tbl_points[Points],""))))))</f>
        <v/>
      </c>
      <c r="L159" s="3" t="str">
        <f>IF(K159="","",IF(K159="DNS",0,IF(K159="DQ",0,IF(K159="DNF",1,IF(AND(ISNUMBER(K159),K159&gt;59),1,_xlfn.XLOOKUP(K159,tbl_points[Place],tbl_points[Points],""))))))</f>
        <v/>
      </c>
      <c r="N159" s="3" t="str">
        <f>IF(M159="","",IF(M159="DNS",0,IF(M159="DQ",0,IF(M159="DNF",1,IF(AND(ISNUMBER(M159),M159&gt;59),1,_xlfn.XLOOKUP(M159,tbl_points[Place],tbl_points[Points],""))))))</f>
        <v/>
      </c>
      <c r="P159" s="3" t="str">
        <f>IF(O159="","",IF(O159="DNS",0,IF(O159="DQ",0,IF(O159="DNF",1,IF(AND(ISNUMBER(O159),O159&gt;59),1,_xlfn.XLOOKUP(O159,tbl_points[Place],tbl_points[Points],""))))))</f>
        <v/>
      </c>
      <c r="Q1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9" s="3">
        <f>tbl_individual[[#This Row],[Total]]-tbl_individual[[#This Row],[Lowest Score]]</f>
        <v>0</v>
      </c>
    </row>
    <row r="160" spans="1:19" x14ac:dyDescent="0.4">
      <c r="A160" t="s">
        <v>211</v>
      </c>
      <c r="B160" t="s">
        <v>21</v>
      </c>
      <c r="C160" t="s">
        <v>1</v>
      </c>
      <c r="D160" s="3">
        <v>12044</v>
      </c>
      <c r="F160" s="3" t="str">
        <f>IF(E160="","",IF(E160="DNS",0,IF(E160="DQ",0,IF(E160="DNF",1,IF(AND(ISNUMBER(E160),E160&gt;59),1,_xlfn.XLOOKUP(E160,tbl_points[Place],tbl_points[Points],""))))))</f>
        <v/>
      </c>
      <c r="H160" s="3" t="str">
        <f>IF(G160="","",IF(G160="DNS",0,IF(G160="DQ",0,IF(G160="DNF",1,IF(AND(ISNUMBER(G160),G160&gt;59),1,_xlfn.XLOOKUP(G160,tbl_points[Place],tbl_points[Points],""))))))</f>
        <v/>
      </c>
      <c r="J160" s="3" t="str">
        <f>IF(I160="","",IF(I160="DNS",0,IF(I160="DQ",0,IF(I160="DNF",1,IF(AND(ISNUMBER(I160),I160&gt;59),1,_xlfn.XLOOKUP(I160,tbl_points[Place],tbl_points[Points],""))))))</f>
        <v/>
      </c>
      <c r="L160" s="3" t="str">
        <f>IF(K160="","",IF(K160="DNS",0,IF(K160="DQ",0,IF(K160="DNF",1,IF(AND(ISNUMBER(K160),K160&gt;59),1,_xlfn.XLOOKUP(K160,tbl_points[Place],tbl_points[Points],""))))))</f>
        <v/>
      </c>
      <c r="N160" s="3" t="str">
        <f>IF(M160="","",IF(M160="DNS",0,IF(M160="DQ",0,IF(M160="DNF",1,IF(AND(ISNUMBER(M160),M160&gt;59),1,_xlfn.XLOOKUP(M160,tbl_points[Place],tbl_points[Points],""))))))</f>
        <v/>
      </c>
      <c r="P160" s="3" t="str">
        <f>IF(O160="","",IF(O160="DNS",0,IF(O160="DQ",0,IF(O160="DNF",1,IF(AND(ISNUMBER(O160),O160&gt;59),1,_xlfn.XLOOKUP(O160,tbl_points[Place],tbl_points[Points],""))))))</f>
        <v/>
      </c>
      <c r="Q1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0" s="3">
        <f>tbl_individual[[#This Row],[Total]]-tbl_individual[[#This Row],[Lowest Score]]</f>
        <v>0</v>
      </c>
    </row>
    <row r="161" spans="1:19" x14ac:dyDescent="0.4">
      <c r="A161" t="s">
        <v>213</v>
      </c>
      <c r="B161" t="s">
        <v>21</v>
      </c>
      <c r="C161" t="s">
        <v>1</v>
      </c>
      <c r="D161" s="3">
        <v>12046</v>
      </c>
      <c r="F161" s="3" t="str">
        <f>IF(E161="","",IF(E161="DNS",0,IF(E161="DQ",0,IF(E161="DNF",1,IF(AND(ISNUMBER(E161),E161&gt;59),1,_xlfn.XLOOKUP(E161,tbl_points[Place],tbl_points[Points],""))))))</f>
        <v/>
      </c>
      <c r="H161" s="3" t="str">
        <f>IF(G161="","",IF(G161="DNS",0,IF(G161="DQ",0,IF(G161="DNF",1,IF(AND(ISNUMBER(G161),G161&gt;59),1,_xlfn.XLOOKUP(G161,tbl_points[Place],tbl_points[Points],""))))))</f>
        <v/>
      </c>
      <c r="J161" s="3" t="str">
        <f>IF(I161="","",IF(I161="DNS",0,IF(I161="DQ",0,IF(I161="DNF",1,IF(AND(ISNUMBER(I161),I161&gt;59),1,_xlfn.XLOOKUP(I161,tbl_points[Place],tbl_points[Points],""))))))</f>
        <v/>
      </c>
      <c r="L161" s="3" t="str">
        <f>IF(K161="","",IF(K161="DNS",0,IF(K161="DQ",0,IF(K161="DNF",1,IF(AND(ISNUMBER(K161),K161&gt;59),1,_xlfn.XLOOKUP(K161,tbl_points[Place],tbl_points[Points],""))))))</f>
        <v/>
      </c>
      <c r="N161" s="3" t="str">
        <f>IF(M161="","",IF(M161="DNS",0,IF(M161="DQ",0,IF(M161="DNF",1,IF(AND(ISNUMBER(M161),M161&gt;59),1,_xlfn.XLOOKUP(M161,tbl_points[Place],tbl_points[Points],""))))))</f>
        <v/>
      </c>
      <c r="P161" s="3" t="str">
        <f>IF(O161="","",IF(O161="DNS",0,IF(O161="DQ",0,IF(O161="DNF",1,IF(AND(ISNUMBER(O161),O161&gt;59),1,_xlfn.XLOOKUP(O161,tbl_points[Place],tbl_points[Points],""))))))</f>
        <v/>
      </c>
      <c r="Q1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1" s="3">
        <f>tbl_individual[[#This Row],[Total]]-tbl_individual[[#This Row],[Lowest Score]]</f>
        <v>0</v>
      </c>
    </row>
    <row r="162" spans="1:19" x14ac:dyDescent="0.4">
      <c r="A162" t="s">
        <v>210</v>
      </c>
      <c r="B162" t="s">
        <v>21</v>
      </c>
      <c r="C162" t="s">
        <v>1</v>
      </c>
      <c r="D162" s="3">
        <v>12043</v>
      </c>
      <c r="F162" s="3" t="str">
        <f>IF(E162="","",IF(E162="DNS",0,IF(E162="DQ",0,IF(E162="DNF",1,IF(AND(ISNUMBER(E162),E162&gt;59),1,_xlfn.XLOOKUP(E162,tbl_points[Place],tbl_points[Points],""))))))</f>
        <v/>
      </c>
      <c r="H162" s="3" t="str">
        <f>IF(G162="","",IF(G162="DNS",0,IF(G162="DQ",0,IF(G162="DNF",1,IF(AND(ISNUMBER(G162),G162&gt;59),1,_xlfn.XLOOKUP(G162,tbl_points[Place],tbl_points[Points],""))))))</f>
        <v/>
      </c>
      <c r="J162" s="3" t="str">
        <f>IF(I162="","",IF(I162="DNS",0,IF(I162="DQ",0,IF(I162="DNF",1,IF(AND(ISNUMBER(I162),I162&gt;59),1,_xlfn.XLOOKUP(I162,tbl_points[Place],tbl_points[Points],""))))))</f>
        <v/>
      </c>
      <c r="L162" s="3" t="str">
        <f>IF(K162="","",IF(K162="DNS",0,IF(K162="DQ",0,IF(K162="DNF",1,IF(AND(ISNUMBER(K162),K162&gt;59),1,_xlfn.XLOOKUP(K162,tbl_points[Place],tbl_points[Points],""))))))</f>
        <v/>
      </c>
      <c r="N162" s="3" t="str">
        <f>IF(M162="","",IF(M162="DNS",0,IF(M162="DQ",0,IF(M162="DNF",1,IF(AND(ISNUMBER(M162),M162&gt;59),1,_xlfn.XLOOKUP(M162,tbl_points[Place],tbl_points[Points],""))))))</f>
        <v/>
      </c>
      <c r="P162" s="3" t="str">
        <f>IF(O162="","",IF(O162="DNS",0,IF(O162="DQ",0,IF(O162="DNF",1,IF(AND(ISNUMBER(O162),O162&gt;59),1,_xlfn.XLOOKUP(O162,tbl_points[Place],tbl_points[Points],""))))))</f>
        <v/>
      </c>
      <c r="Q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2" s="3">
        <f>tbl_individual[[#This Row],[Total]]-tbl_individual[[#This Row],[Lowest Score]]</f>
        <v>0</v>
      </c>
    </row>
    <row r="163" spans="1:19" x14ac:dyDescent="0.4">
      <c r="A163" t="s">
        <v>208</v>
      </c>
      <c r="B163" t="s">
        <v>21</v>
      </c>
      <c r="C163" t="s">
        <v>1</v>
      </c>
      <c r="D163" s="3">
        <v>12041</v>
      </c>
      <c r="F163" s="3" t="str">
        <f>IF(E163="","",IF(E163="DNS",0,IF(E163="DQ",0,IF(E163="DNF",1,IF(AND(ISNUMBER(E163),E163&gt;59),1,_xlfn.XLOOKUP(E163,tbl_points[Place],tbl_points[Points],""))))))</f>
        <v/>
      </c>
      <c r="H163" s="3" t="str">
        <f>IF(G163="","",IF(G163="DNS",0,IF(G163="DQ",0,IF(G163="DNF",1,IF(AND(ISNUMBER(G163),G163&gt;59),1,_xlfn.XLOOKUP(G163,tbl_points[Place],tbl_points[Points],""))))))</f>
        <v/>
      </c>
      <c r="J163" s="3" t="str">
        <f>IF(I163="","",IF(I163="DNS",0,IF(I163="DQ",0,IF(I163="DNF",1,IF(AND(ISNUMBER(I163),I163&gt;59),1,_xlfn.XLOOKUP(I163,tbl_points[Place],tbl_points[Points],""))))))</f>
        <v/>
      </c>
      <c r="L163" s="3" t="str">
        <f>IF(K163="","",IF(K163="DNS",0,IF(K163="DQ",0,IF(K163="DNF",1,IF(AND(ISNUMBER(K163),K163&gt;59),1,_xlfn.XLOOKUP(K163,tbl_points[Place],tbl_points[Points],""))))))</f>
        <v/>
      </c>
      <c r="N163" s="3" t="str">
        <f>IF(M163="","",IF(M163="DNS",0,IF(M163="DQ",0,IF(M163="DNF",1,IF(AND(ISNUMBER(M163),M163&gt;59),1,_xlfn.XLOOKUP(M163,tbl_points[Place],tbl_points[Points],""))))))</f>
        <v/>
      </c>
      <c r="P163" s="3" t="str">
        <f>IF(O163="","",IF(O163="DNS",0,IF(O163="DQ",0,IF(O163="DNF",1,IF(AND(ISNUMBER(O163),O163&gt;59),1,_xlfn.XLOOKUP(O163,tbl_points[Place],tbl_points[Points],""))))))</f>
        <v/>
      </c>
      <c r="Q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3" s="3">
        <f>tbl_individual[[#This Row],[Total]]-tbl_individual[[#This Row],[Lowest Score]]</f>
        <v>0</v>
      </c>
    </row>
    <row r="164" spans="1:19" x14ac:dyDescent="0.4">
      <c r="A164" t="s">
        <v>216</v>
      </c>
      <c r="B164" t="s">
        <v>21</v>
      </c>
      <c r="C164" t="s">
        <v>2</v>
      </c>
      <c r="D164" s="3">
        <v>1234</v>
      </c>
      <c r="F164" s="3" t="str">
        <f>IF(E164="","",IF(E164="DNS",0,IF(E164="DQ",0,IF(E164="DNF",1,IF(AND(ISNUMBER(E164),E164&gt;59),1,_xlfn.XLOOKUP(E164,tbl_points[Place],tbl_points[Points],""))))))</f>
        <v/>
      </c>
      <c r="H164" s="3" t="str">
        <f>IF(G164="","",IF(G164="DNS",0,IF(G164="DQ",0,IF(G164="DNF",1,IF(AND(ISNUMBER(G164),G164&gt;59),1,_xlfn.XLOOKUP(G164,tbl_points[Place],tbl_points[Points],""))))))</f>
        <v/>
      </c>
      <c r="J164" s="3" t="str">
        <f>IF(I164="","",IF(I164="DNS",0,IF(I164="DQ",0,IF(I164="DNF",1,IF(AND(ISNUMBER(I164),I164&gt;59),1,_xlfn.XLOOKUP(I164,tbl_points[Place],tbl_points[Points],""))))))</f>
        <v/>
      </c>
      <c r="L164" s="3" t="str">
        <f>IF(K164="","",IF(K164="DNS",0,IF(K164="DQ",0,IF(K164="DNF",1,IF(AND(ISNUMBER(K164),K164&gt;59),1,_xlfn.XLOOKUP(K164,tbl_points[Place],tbl_points[Points],""))))))</f>
        <v/>
      </c>
      <c r="N164" s="3" t="str">
        <f>IF(M164="","",IF(M164="DNS",0,IF(M164="DQ",0,IF(M164="DNF",1,IF(AND(ISNUMBER(M164),M164&gt;59),1,_xlfn.XLOOKUP(M164,tbl_points[Place],tbl_points[Points],""))))))</f>
        <v/>
      </c>
      <c r="P164" s="3" t="str">
        <f>IF(O164="","",IF(O164="DNS",0,IF(O164="DQ",0,IF(O164="DNF",1,IF(AND(ISNUMBER(O164),O164&gt;59),1,_xlfn.XLOOKUP(O164,tbl_points[Place],tbl_points[Points],""))))))</f>
        <v/>
      </c>
      <c r="Q1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4" s="3">
        <f>tbl_individual[[#This Row],[Total]]-tbl_individual[[#This Row],[Lowest Score]]</f>
        <v>0</v>
      </c>
    </row>
    <row r="165" spans="1:19" x14ac:dyDescent="0.4">
      <c r="A165" t="s">
        <v>218</v>
      </c>
      <c r="B165" t="s">
        <v>21</v>
      </c>
      <c r="C165" t="s">
        <v>2</v>
      </c>
      <c r="D165" s="3">
        <v>1236</v>
      </c>
      <c r="F165" s="3" t="str">
        <f>IF(E165="","",IF(E165="DNS",0,IF(E165="DQ",0,IF(E165="DNF",1,IF(AND(ISNUMBER(E165),E165&gt;59),1,_xlfn.XLOOKUP(E165,tbl_points[Place],tbl_points[Points],""))))))</f>
        <v/>
      </c>
      <c r="H165" s="3" t="str">
        <f>IF(G165="","",IF(G165="DNS",0,IF(G165="DQ",0,IF(G165="DNF",1,IF(AND(ISNUMBER(G165),G165&gt;59),1,_xlfn.XLOOKUP(G165,tbl_points[Place],tbl_points[Points],""))))))</f>
        <v/>
      </c>
      <c r="J165" s="3" t="str">
        <f>IF(I165="","",IF(I165="DNS",0,IF(I165="DQ",0,IF(I165="DNF",1,IF(AND(ISNUMBER(I165),I165&gt;59),1,_xlfn.XLOOKUP(I165,tbl_points[Place],tbl_points[Points],""))))))</f>
        <v/>
      </c>
      <c r="L165" s="3" t="str">
        <f>IF(K165="","",IF(K165="DNS",0,IF(K165="DQ",0,IF(K165="DNF",1,IF(AND(ISNUMBER(K165),K165&gt;59),1,_xlfn.XLOOKUP(K165,tbl_points[Place],tbl_points[Points],""))))))</f>
        <v/>
      </c>
      <c r="N165" s="3" t="str">
        <f>IF(M165="","",IF(M165="DNS",0,IF(M165="DQ",0,IF(M165="DNF",1,IF(AND(ISNUMBER(M165),M165&gt;59),1,_xlfn.XLOOKUP(M165,tbl_points[Place],tbl_points[Points],""))))))</f>
        <v/>
      </c>
      <c r="P165" s="3" t="str">
        <f>IF(O165="","",IF(O165="DNS",0,IF(O165="DQ",0,IF(O165="DNF",1,IF(AND(ISNUMBER(O165),O165&gt;59),1,_xlfn.XLOOKUP(O165,tbl_points[Place],tbl_points[Points],""))))))</f>
        <v/>
      </c>
      <c r="Q1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5" s="3">
        <f>tbl_individual[[#This Row],[Total]]-tbl_individual[[#This Row],[Lowest Score]]</f>
        <v>0</v>
      </c>
    </row>
    <row r="166" spans="1:19" x14ac:dyDescent="0.4">
      <c r="A166" t="s">
        <v>217</v>
      </c>
      <c r="B166" t="s">
        <v>21</v>
      </c>
      <c r="C166" t="s">
        <v>2</v>
      </c>
      <c r="D166" s="3">
        <v>1235</v>
      </c>
      <c r="F166" s="3" t="str">
        <f>IF(E166="","",IF(E166="DNS",0,IF(E166="DQ",0,IF(E166="DNF",1,IF(AND(ISNUMBER(E166),E166&gt;59),1,_xlfn.XLOOKUP(E166,tbl_points[Place],tbl_points[Points],""))))))</f>
        <v/>
      </c>
      <c r="H166" s="3" t="str">
        <f>IF(G166="","",IF(G166="DNS",0,IF(G166="DQ",0,IF(G166="DNF",1,IF(AND(ISNUMBER(G166),G166&gt;59),1,_xlfn.XLOOKUP(G166,tbl_points[Place],tbl_points[Points],""))))))</f>
        <v/>
      </c>
      <c r="J166" s="3" t="str">
        <f>IF(I166="","",IF(I166="DNS",0,IF(I166="DQ",0,IF(I166="DNF",1,IF(AND(ISNUMBER(I166),I166&gt;59),1,_xlfn.XLOOKUP(I166,tbl_points[Place],tbl_points[Points],""))))))</f>
        <v/>
      </c>
      <c r="L166" s="3" t="str">
        <f>IF(K166="","",IF(K166="DNS",0,IF(K166="DQ",0,IF(K166="DNF",1,IF(AND(ISNUMBER(K166),K166&gt;59),1,_xlfn.XLOOKUP(K166,tbl_points[Place],tbl_points[Points],""))))))</f>
        <v/>
      </c>
      <c r="N166" s="3" t="str">
        <f>IF(M166="","",IF(M166="DNS",0,IF(M166="DQ",0,IF(M166="DNF",1,IF(AND(ISNUMBER(M166),M166&gt;59),1,_xlfn.XLOOKUP(M166,tbl_points[Place],tbl_points[Points],""))))))</f>
        <v/>
      </c>
      <c r="P166" s="3" t="str">
        <f>IF(O166="","",IF(O166="DNS",0,IF(O166="DQ",0,IF(O166="DNF",1,IF(AND(ISNUMBER(O166),O166&gt;59),1,_xlfn.XLOOKUP(O166,tbl_points[Place],tbl_points[Points],""))))))</f>
        <v/>
      </c>
      <c r="Q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6" s="3">
        <f>tbl_individual[[#This Row],[Total]]-tbl_individual[[#This Row],[Lowest Score]]</f>
        <v>0</v>
      </c>
    </row>
    <row r="167" spans="1:19" x14ac:dyDescent="0.4">
      <c r="A167" t="s">
        <v>227</v>
      </c>
      <c r="B167" t="s">
        <v>22</v>
      </c>
      <c r="C167" t="s">
        <v>3</v>
      </c>
      <c r="D167" s="3">
        <v>10177</v>
      </c>
      <c r="F167" s="3" t="str">
        <f>IF(E167="","",IF(E167="DNS",0,IF(E167="DQ",0,IF(E167="DNF",1,IF(AND(ISNUMBER(E167),E167&gt;59),1,_xlfn.XLOOKUP(E167,tbl_points[Place],tbl_points[Points],""))))))</f>
        <v/>
      </c>
      <c r="H167" s="3" t="str">
        <f>IF(G167="","",IF(G167="DNS",0,IF(G167="DQ",0,IF(G167="DNF",1,IF(AND(ISNUMBER(G167),G167&gt;59),1,_xlfn.XLOOKUP(G167,tbl_points[Place],tbl_points[Points],""))))))</f>
        <v/>
      </c>
      <c r="J167" s="3" t="str">
        <f>IF(I167="","",IF(I167="DNS",0,IF(I167="DQ",0,IF(I167="DNF",1,IF(AND(ISNUMBER(I167),I167&gt;59),1,_xlfn.XLOOKUP(I167,tbl_points[Place],tbl_points[Points],""))))))</f>
        <v/>
      </c>
      <c r="L167" s="3" t="str">
        <f>IF(K167="","",IF(K167="DNS",0,IF(K167="DQ",0,IF(K167="DNF",1,IF(AND(ISNUMBER(K167),K167&gt;59),1,_xlfn.XLOOKUP(K167,tbl_points[Place],tbl_points[Points],""))))))</f>
        <v/>
      </c>
      <c r="N167" s="3" t="str">
        <f>IF(M167="","",IF(M167="DNS",0,IF(M167="DQ",0,IF(M167="DNF",1,IF(AND(ISNUMBER(M167),M167&gt;59),1,_xlfn.XLOOKUP(M167,tbl_points[Place],tbl_points[Points],""))))))</f>
        <v/>
      </c>
      <c r="P167" s="3" t="str">
        <f>IF(O167="","",IF(O167="DNS",0,IF(O167="DQ",0,IF(O167="DNF",1,IF(AND(ISNUMBER(O167),O167&gt;59),1,_xlfn.XLOOKUP(O167,tbl_points[Place],tbl_points[Points],""))))))</f>
        <v/>
      </c>
      <c r="Q1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7" s="3">
        <f>tbl_individual[[#This Row],[Total]]-tbl_individual[[#This Row],[Lowest Score]]</f>
        <v>0</v>
      </c>
    </row>
    <row r="168" spans="1:19" x14ac:dyDescent="0.4">
      <c r="A168" t="s">
        <v>224</v>
      </c>
      <c r="B168" t="s">
        <v>22</v>
      </c>
      <c r="C168" t="s">
        <v>3</v>
      </c>
      <c r="D168" s="3">
        <v>10174</v>
      </c>
      <c r="F168" s="3" t="str">
        <f>IF(E168="","",IF(E168="DNS",0,IF(E168="DQ",0,IF(E168="DNF",1,IF(AND(ISNUMBER(E168),E168&gt;59),1,_xlfn.XLOOKUP(E168,tbl_points[Place],tbl_points[Points],""))))))</f>
        <v/>
      </c>
      <c r="H168" s="3" t="str">
        <f>IF(G168="","",IF(G168="DNS",0,IF(G168="DQ",0,IF(G168="DNF",1,IF(AND(ISNUMBER(G168),G168&gt;59),1,_xlfn.XLOOKUP(G168,tbl_points[Place],tbl_points[Points],""))))))</f>
        <v/>
      </c>
      <c r="J168" s="3" t="str">
        <f>IF(I168="","",IF(I168="DNS",0,IF(I168="DQ",0,IF(I168="DNF",1,IF(AND(ISNUMBER(I168),I168&gt;59),1,_xlfn.XLOOKUP(I168,tbl_points[Place],tbl_points[Points],""))))))</f>
        <v/>
      </c>
      <c r="L168" s="3" t="str">
        <f>IF(K168="","",IF(K168="DNS",0,IF(K168="DQ",0,IF(K168="DNF",1,IF(AND(ISNUMBER(K168),K168&gt;59),1,_xlfn.XLOOKUP(K168,tbl_points[Place],tbl_points[Points],""))))))</f>
        <v/>
      </c>
      <c r="N168" s="3" t="str">
        <f>IF(M168="","",IF(M168="DNS",0,IF(M168="DQ",0,IF(M168="DNF",1,IF(AND(ISNUMBER(M168),M168&gt;59),1,_xlfn.XLOOKUP(M168,tbl_points[Place],tbl_points[Points],""))))))</f>
        <v/>
      </c>
      <c r="P168" s="3" t="str">
        <f>IF(O168="","",IF(O168="DNS",0,IF(O168="DQ",0,IF(O168="DNF",1,IF(AND(ISNUMBER(O168),O168&gt;59),1,_xlfn.XLOOKUP(O168,tbl_points[Place],tbl_points[Points],""))))))</f>
        <v/>
      </c>
      <c r="Q1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8" s="3">
        <f>tbl_individual[[#This Row],[Total]]-tbl_individual[[#This Row],[Lowest Score]]</f>
        <v>0</v>
      </c>
    </row>
    <row r="169" spans="1:19" x14ac:dyDescent="0.4">
      <c r="A169" t="s">
        <v>225</v>
      </c>
      <c r="B169" t="s">
        <v>22</v>
      </c>
      <c r="C169" t="s">
        <v>3</v>
      </c>
      <c r="D169" s="3">
        <v>10175</v>
      </c>
      <c r="F169" s="3" t="str">
        <f>IF(E169="","",IF(E169="DNS",0,IF(E169="DQ",0,IF(E169="DNF",1,IF(AND(ISNUMBER(E169),E169&gt;59),1,_xlfn.XLOOKUP(E169,tbl_points[Place],tbl_points[Points],""))))))</f>
        <v/>
      </c>
      <c r="H169" s="3" t="str">
        <f>IF(G169="","",IF(G169="DNS",0,IF(G169="DQ",0,IF(G169="DNF",1,IF(AND(ISNUMBER(G169),G169&gt;59),1,_xlfn.XLOOKUP(G169,tbl_points[Place],tbl_points[Points],""))))))</f>
        <v/>
      </c>
      <c r="J169" s="3" t="str">
        <f>IF(I169="","",IF(I169="DNS",0,IF(I169="DQ",0,IF(I169="DNF",1,IF(AND(ISNUMBER(I169),I169&gt;59),1,_xlfn.XLOOKUP(I169,tbl_points[Place],tbl_points[Points],""))))))</f>
        <v/>
      </c>
      <c r="L169" s="3" t="str">
        <f>IF(K169="","",IF(K169="DNS",0,IF(K169="DQ",0,IF(K169="DNF",1,IF(AND(ISNUMBER(K169),K169&gt;59),1,_xlfn.XLOOKUP(K169,tbl_points[Place],tbl_points[Points],""))))))</f>
        <v/>
      </c>
      <c r="N169" s="3" t="str">
        <f>IF(M169="","",IF(M169="DNS",0,IF(M169="DQ",0,IF(M169="DNF",1,IF(AND(ISNUMBER(M169),M169&gt;59),1,_xlfn.XLOOKUP(M169,tbl_points[Place],tbl_points[Points],""))))))</f>
        <v/>
      </c>
      <c r="P169" s="3" t="str">
        <f>IF(O169="","",IF(O169="DNS",0,IF(O169="DQ",0,IF(O169="DNF",1,IF(AND(ISNUMBER(O169),O169&gt;59),1,_xlfn.XLOOKUP(O169,tbl_points[Place],tbl_points[Points],""))))))</f>
        <v/>
      </c>
      <c r="Q1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9" s="3">
        <f>tbl_individual[[#This Row],[Total]]-tbl_individual[[#This Row],[Lowest Score]]</f>
        <v>0</v>
      </c>
    </row>
    <row r="170" spans="1:19" x14ac:dyDescent="0.4">
      <c r="A170" t="s">
        <v>222</v>
      </c>
      <c r="B170" t="s">
        <v>22</v>
      </c>
      <c r="C170" t="s">
        <v>3</v>
      </c>
      <c r="D170" s="3">
        <v>10172</v>
      </c>
      <c r="F170" s="3" t="str">
        <f>IF(E170="","",IF(E170="DNS",0,IF(E170="DQ",0,IF(E170="DNF",1,IF(AND(ISNUMBER(E170),E170&gt;59),1,_xlfn.XLOOKUP(E170,tbl_points[Place],tbl_points[Points],""))))))</f>
        <v/>
      </c>
      <c r="H170" s="3" t="str">
        <f>IF(G170="","",IF(G170="DNS",0,IF(G170="DQ",0,IF(G170="DNF",1,IF(AND(ISNUMBER(G170),G170&gt;59),1,_xlfn.XLOOKUP(G170,tbl_points[Place],tbl_points[Points],""))))))</f>
        <v/>
      </c>
      <c r="J170" s="3" t="str">
        <f>IF(I170="","",IF(I170="DNS",0,IF(I170="DQ",0,IF(I170="DNF",1,IF(AND(ISNUMBER(I170),I170&gt;59),1,_xlfn.XLOOKUP(I170,tbl_points[Place],tbl_points[Points],""))))))</f>
        <v/>
      </c>
      <c r="L170" s="3" t="str">
        <f>IF(K170="","",IF(K170="DNS",0,IF(K170="DQ",0,IF(K170="DNF",1,IF(AND(ISNUMBER(K170),K170&gt;59),1,_xlfn.XLOOKUP(K170,tbl_points[Place],tbl_points[Points],""))))))</f>
        <v/>
      </c>
      <c r="N170" s="3" t="str">
        <f>IF(M170="","",IF(M170="DNS",0,IF(M170="DQ",0,IF(M170="DNF",1,IF(AND(ISNUMBER(M170),M170&gt;59),1,_xlfn.XLOOKUP(M170,tbl_points[Place],tbl_points[Points],""))))))</f>
        <v/>
      </c>
      <c r="P170" s="3" t="str">
        <f>IF(O170="","",IF(O170="DNS",0,IF(O170="DQ",0,IF(O170="DNF",1,IF(AND(ISNUMBER(O170),O170&gt;59),1,_xlfn.XLOOKUP(O170,tbl_points[Place],tbl_points[Points],""))))))</f>
        <v/>
      </c>
      <c r="Q1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0" s="3">
        <f>tbl_individual[[#This Row],[Total]]-tbl_individual[[#This Row],[Lowest Score]]</f>
        <v>0</v>
      </c>
    </row>
    <row r="171" spans="1:19" x14ac:dyDescent="0.4">
      <c r="A171" t="s">
        <v>226</v>
      </c>
      <c r="B171" t="s">
        <v>22</v>
      </c>
      <c r="C171" t="s">
        <v>3</v>
      </c>
      <c r="D171" s="3">
        <v>10176</v>
      </c>
      <c r="F171" s="3" t="str">
        <f>IF(E171="","",IF(E171="DNS",0,IF(E171="DQ",0,IF(E171="DNF",1,IF(AND(ISNUMBER(E171),E171&gt;59),1,_xlfn.XLOOKUP(E171,tbl_points[Place],tbl_points[Points],""))))))</f>
        <v/>
      </c>
      <c r="H171" s="3" t="str">
        <f>IF(G171="","",IF(G171="DNS",0,IF(G171="DQ",0,IF(G171="DNF",1,IF(AND(ISNUMBER(G171),G171&gt;59),1,_xlfn.XLOOKUP(G171,tbl_points[Place],tbl_points[Points],""))))))</f>
        <v/>
      </c>
      <c r="J171" s="3" t="str">
        <f>IF(I171="","",IF(I171="DNS",0,IF(I171="DQ",0,IF(I171="DNF",1,IF(AND(ISNUMBER(I171),I171&gt;59),1,_xlfn.XLOOKUP(I171,tbl_points[Place],tbl_points[Points],""))))))</f>
        <v/>
      </c>
      <c r="L171" s="3" t="str">
        <f>IF(K171="","",IF(K171="DNS",0,IF(K171="DQ",0,IF(K171="DNF",1,IF(AND(ISNUMBER(K171),K171&gt;59),1,_xlfn.XLOOKUP(K171,tbl_points[Place],tbl_points[Points],""))))))</f>
        <v/>
      </c>
      <c r="N171" s="3" t="str">
        <f>IF(M171="","",IF(M171="DNS",0,IF(M171="DQ",0,IF(M171="DNF",1,IF(AND(ISNUMBER(M171),M171&gt;59),1,_xlfn.XLOOKUP(M171,tbl_points[Place],tbl_points[Points],""))))))</f>
        <v/>
      </c>
      <c r="P171" s="3" t="str">
        <f>IF(O171="","",IF(O171="DNS",0,IF(O171="DQ",0,IF(O171="DNF",1,IF(AND(ISNUMBER(O171),O171&gt;59),1,_xlfn.XLOOKUP(O171,tbl_points[Place],tbl_points[Points],""))))))</f>
        <v/>
      </c>
      <c r="Q1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1" s="3">
        <f>tbl_individual[[#This Row],[Total]]-tbl_individual[[#This Row],[Lowest Score]]</f>
        <v>0</v>
      </c>
    </row>
    <row r="172" spans="1:19" x14ac:dyDescent="0.4">
      <c r="A172" t="s">
        <v>223</v>
      </c>
      <c r="B172" t="s">
        <v>22</v>
      </c>
      <c r="C172" t="s">
        <v>3</v>
      </c>
      <c r="D172" s="3">
        <v>10173</v>
      </c>
      <c r="F172" s="3" t="str">
        <f>IF(E172="","",IF(E172="DNS",0,IF(E172="DQ",0,IF(E172="DNF",1,IF(AND(ISNUMBER(E172),E172&gt;59),1,_xlfn.XLOOKUP(E172,tbl_points[Place],tbl_points[Points],""))))))</f>
        <v/>
      </c>
      <c r="H172" s="3" t="str">
        <f>IF(G172="","",IF(G172="DNS",0,IF(G172="DQ",0,IF(G172="DNF",1,IF(AND(ISNUMBER(G172),G172&gt;59),1,_xlfn.XLOOKUP(G172,tbl_points[Place],tbl_points[Points],""))))))</f>
        <v/>
      </c>
      <c r="J172" s="3" t="str">
        <f>IF(I172="","",IF(I172="DNS",0,IF(I172="DQ",0,IF(I172="DNF",1,IF(AND(ISNUMBER(I172),I172&gt;59),1,_xlfn.XLOOKUP(I172,tbl_points[Place],tbl_points[Points],""))))))</f>
        <v/>
      </c>
      <c r="L172" s="3" t="str">
        <f>IF(K172="","",IF(K172="DNS",0,IF(K172="DQ",0,IF(K172="DNF",1,IF(AND(ISNUMBER(K172),K172&gt;59),1,_xlfn.XLOOKUP(K172,tbl_points[Place],tbl_points[Points],""))))))</f>
        <v/>
      </c>
      <c r="N172" s="3" t="str">
        <f>IF(M172="","",IF(M172="DNS",0,IF(M172="DQ",0,IF(M172="DNF",1,IF(AND(ISNUMBER(M172),M172&gt;59),1,_xlfn.XLOOKUP(M172,tbl_points[Place],tbl_points[Points],""))))))</f>
        <v/>
      </c>
      <c r="P172" s="3" t="str">
        <f>IF(O172="","",IF(O172="DNS",0,IF(O172="DQ",0,IF(O172="DNF",1,IF(AND(ISNUMBER(O172),O172&gt;59),1,_xlfn.XLOOKUP(O172,tbl_points[Place],tbl_points[Points],""))))))</f>
        <v/>
      </c>
      <c r="Q1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2" s="3">
        <f>tbl_individual[[#This Row],[Total]]-tbl_individual[[#This Row],[Lowest Score]]</f>
        <v>0</v>
      </c>
    </row>
    <row r="173" spans="1:19" x14ac:dyDescent="0.4">
      <c r="A173" t="s">
        <v>228</v>
      </c>
      <c r="B173" t="s">
        <v>22</v>
      </c>
      <c r="C173" t="s">
        <v>3</v>
      </c>
      <c r="D173" s="3">
        <v>10178</v>
      </c>
      <c r="F173" s="3" t="str">
        <f>IF(E173="","",IF(E173="DNS",0,IF(E173="DQ",0,IF(E173="DNF",1,IF(AND(ISNUMBER(E173),E173&gt;59),1,_xlfn.XLOOKUP(E173,tbl_points[Place],tbl_points[Points],""))))))</f>
        <v/>
      </c>
      <c r="H173" s="3" t="str">
        <f>IF(G173="","",IF(G173="DNS",0,IF(G173="DQ",0,IF(G173="DNF",1,IF(AND(ISNUMBER(G173),G173&gt;59),1,_xlfn.XLOOKUP(G173,tbl_points[Place],tbl_points[Points],""))))))</f>
        <v/>
      </c>
      <c r="J173" s="3" t="str">
        <f>IF(I173="","",IF(I173="DNS",0,IF(I173="DQ",0,IF(I173="DNF",1,IF(AND(ISNUMBER(I173),I173&gt;59),1,_xlfn.XLOOKUP(I173,tbl_points[Place],tbl_points[Points],""))))))</f>
        <v/>
      </c>
      <c r="L173" s="3" t="str">
        <f>IF(K173="","",IF(K173="DNS",0,IF(K173="DQ",0,IF(K173="DNF",1,IF(AND(ISNUMBER(K173),K173&gt;59),1,_xlfn.XLOOKUP(K173,tbl_points[Place],tbl_points[Points],""))))))</f>
        <v/>
      </c>
      <c r="N173" s="3" t="str">
        <f>IF(M173="","",IF(M173="DNS",0,IF(M173="DQ",0,IF(M173="DNF",1,IF(AND(ISNUMBER(M173),M173&gt;59),1,_xlfn.XLOOKUP(M173,tbl_points[Place],tbl_points[Points],""))))))</f>
        <v/>
      </c>
      <c r="P173" s="3" t="str">
        <f>IF(O173="","",IF(O173="DNS",0,IF(O173="DQ",0,IF(O173="DNF",1,IF(AND(ISNUMBER(O173),O173&gt;59),1,_xlfn.XLOOKUP(O173,tbl_points[Place],tbl_points[Points],""))))))</f>
        <v/>
      </c>
      <c r="Q1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3" s="3">
        <f>tbl_individual[[#This Row],[Total]]-tbl_individual[[#This Row],[Lowest Score]]</f>
        <v>0</v>
      </c>
    </row>
    <row r="174" spans="1:19" x14ac:dyDescent="0.4">
      <c r="A174" t="s">
        <v>220</v>
      </c>
      <c r="B174" t="s">
        <v>22</v>
      </c>
      <c r="C174" t="s">
        <v>4</v>
      </c>
      <c r="D174" s="3">
        <v>1034</v>
      </c>
      <c r="F174" s="3" t="str">
        <f>IF(E174="","",IF(E174="DNS",0,IF(E174="DQ",0,IF(E174="DNF",1,IF(AND(ISNUMBER(E174),E174&gt;59),1,_xlfn.XLOOKUP(E174,tbl_points[Place],tbl_points[Points],""))))))</f>
        <v/>
      </c>
      <c r="H174" s="3" t="str">
        <f>IF(G174="","",IF(G174="DNS",0,IF(G174="DQ",0,IF(G174="DNF",1,IF(AND(ISNUMBER(G174),G174&gt;59),1,_xlfn.XLOOKUP(G174,tbl_points[Place],tbl_points[Points],""))))))</f>
        <v/>
      </c>
      <c r="J174" s="3" t="str">
        <f>IF(I174="","",IF(I174="DNS",0,IF(I174="DQ",0,IF(I174="DNF",1,IF(AND(ISNUMBER(I174),I174&gt;59),1,_xlfn.XLOOKUP(I174,tbl_points[Place],tbl_points[Points],""))))))</f>
        <v/>
      </c>
      <c r="L174" s="3" t="str">
        <f>IF(K174="","",IF(K174="DNS",0,IF(K174="DQ",0,IF(K174="DNF",1,IF(AND(ISNUMBER(K174),K174&gt;59),1,_xlfn.XLOOKUP(K174,tbl_points[Place],tbl_points[Points],""))))))</f>
        <v/>
      </c>
      <c r="N174" s="3" t="str">
        <f>IF(M174="","",IF(M174="DNS",0,IF(M174="DQ",0,IF(M174="DNF",1,IF(AND(ISNUMBER(M174),M174&gt;59),1,_xlfn.XLOOKUP(M174,tbl_points[Place],tbl_points[Points],""))))))</f>
        <v/>
      </c>
      <c r="P174" s="3" t="str">
        <f>IF(O174="","",IF(O174="DNS",0,IF(O174="DQ",0,IF(O174="DNF",1,IF(AND(ISNUMBER(O174),O174&gt;59),1,_xlfn.XLOOKUP(O174,tbl_points[Place],tbl_points[Points],""))))))</f>
        <v/>
      </c>
      <c r="Q1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4" s="3">
        <f>tbl_individual[[#This Row],[Total]]-tbl_individual[[#This Row],[Lowest Score]]</f>
        <v>0</v>
      </c>
    </row>
    <row r="175" spans="1:19" x14ac:dyDescent="0.4">
      <c r="A175" t="s">
        <v>219</v>
      </c>
      <c r="B175" t="s">
        <v>22</v>
      </c>
      <c r="C175" t="s">
        <v>4</v>
      </c>
      <c r="D175" s="3">
        <v>1033</v>
      </c>
      <c r="F175" s="3" t="str">
        <f>IF(E175="","",IF(E175="DNS",0,IF(E175="DQ",0,IF(E175="DNF",1,IF(AND(ISNUMBER(E175),E175&gt;59),1,_xlfn.XLOOKUP(E175,tbl_points[Place],tbl_points[Points],""))))))</f>
        <v/>
      </c>
      <c r="H175" s="3" t="str">
        <f>IF(G175="","",IF(G175="DNS",0,IF(G175="DQ",0,IF(G175="DNF",1,IF(AND(ISNUMBER(G175),G175&gt;59),1,_xlfn.XLOOKUP(G175,tbl_points[Place],tbl_points[Points],""))))))</f>
        <v/>
      </c>
      <c r="J175" s="3" t="str">
        <f>IF(I175="","",IF(I175="DNS",0,IF(I175="DQ",0,IF(I175="DNF",1,IF(AND(ISNUMBER(I175),I175&gt;59),1,_xlfn.XLOOKUP(I175,tbl_points[Place],tbl_points[Points],""))))))</f>
        <v/>
      </c>
      <c r="L175" s="3" t="str">
        <f>IF(K175="","",IF(K175="DNS",0,IF(K175="DQ",0,IF(K175="DNF",1,IF(AND(ISNUMBER(K175),K175&gt;59),1,_xlfn.XLOOKUP(K175,tbl_points[Place],tbl_points[Points],""))))))</f>
        <v/>
      </c>
      <c r="N175" s="3" t="str">
        <f>IF(M175="","",IF(M175="DNS",0,IF(M175="DQ",0,IF(M175="DNF",1,IF(AND(ISNUMBER(M175),M175&gt;59),1,_xlfn.XLOOKUP(M175,tbl_points[Place],tbl_points[Points],""))))))</f>
        <v/>
      </c>
      <c r="P175" s="3" t="str">
        <f>IF(O175="","",IF(O175="DNS",0,IF(O175="DQ",0,IF(O175="DNF",1,IF(AND(ISNUMBER(O175),O175&gt;59),1,_xlfn.XLOOKUP(O175,tbl_points[Place],tbl_points[Points],""))))))</f>
        <v/>
      </c>
      <c r="Q1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5" s="3">
        <f>tbl_individual[[#This Row],[Total]]-tbl_individual[[#This Row],[Lowest Score]]</f>
        <v>0</v>
      </c>
    </row>
    <row r="176" spans="1:19" x14ac:dyDescent="0.4">
      <c r="A176" t="s">
        <v>221</v>
      </c>
      <c r="B176" t="s">
        <v>22</v>
      </c>
      <c r="C176" t="s">
        <v>4</v>
      </c>
      <c r="D176" s="3">
        <v>1035</v>
      </c>
      <c r="F176" s="3" t="str">
        <f>IF(E176="","",IF(E176="DNS",0,IF(E176="DQ",0,IF(E176="DNF",1,IF(AND(ISNUMBER(E176),E176&gt;59),1,_xlfn.XLOOKUP(E176,tbl_points[Place],tbl_points[Points],""))))))</f>
        <v/>
      </c>
      <c r="H176" s="3" t="str">
        <f>IF(G176="","",IF(G176="DNS",0,IF(G176="DQ",0,IF(G176="DNF",1,IF(AND(ISNUMBER(G176),G176&gt;59),1,_xlfn.XLOOKUP(G176,tbl_points[Place],tbl_points[Points],""))))))</f>
        <v/>
      </c>
      <c r="J176" s="3" t="str">
        <f>IF(I176="","",IF(I176="DNS",0,IF(I176="DQ",0,IF(I176="DNF",1,IF(AND(ISNUMBER(I176),I176&gt;59),1,_xlfn.XLOOKUP(I176,tbl_points[Place],tbl_points[Points],""))))))</f>
        <v/>
      </c>
      <c r="L176" s="3" t="str">
        <f>IF(K176="","",IF(K176="DNS",0,IF(K176="DQ",0,IF(K176="DNF",1,IF(AND(ISNUMBER(K176),K176&gt;59),1,_xlfn.XLOOKUP(K176,tbl_points[Place],tbl_points[Points],""))))))</f>
        <v/>
      </c>
      <c r="N176" s="3" t="str">
        <f>IF(M176="","",IF(M176="DNS",0,IF(M176="DQ",0,IF(M176="DNF",1,IF(AND(ISNUMBER(M176),M176&gt;59),1,_xlfn.XLOOKUP(M176,tbl_points[Place],tbl_points[Points],""))))))</f>
        <v/>
      </c>
      <c r="P176" s="3" t="str">
        <f>IF(O176="","",IF(O176="DNS",0,IF(O176="DQ",0,IF(O176="DNF",1,IF(AND(ISNUMBER(O176),O176&gt;59),1,_xlfn.XLOOKUP(O176,tbl_points[Place],tbl_points[Points],""))))))</f>
        <v/>
      </c>
      <c r="Q1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6" s="3">
        <f>tbl_individual[[#This Row],[Total]]-tbl_individual[[#This Row],[Lowest Score]]</f>
        <v>0</v>
      </c>
    </row>
    <row r="177" spans="1:19" x14ac:dyDescent="0.4">
      <c r="A177" t="s">
        <v>240</v>
      </c>
      <c r="B177" t="s">
        <v>22</v>
      </c>
      <c r="C177" t="s">
        <v>1</v>
      </c>
      <c r="D177" s="3">
        <v>12058</v>
      </c>
      <c r="F177" s="3" t="str">
        <f>IF(E177="","",IF(E177="DNS",0,IF(E177="DQ",0,IF(E177="DNF",1,IF(AND(ISNUMBER(E177),E177&gt;59),1,_xlfn.XLOOKUP(E177,tbl_points[Place],tbl_points[Points],""))))))</f>
        <v/>
      </c>
      <c r="H177" s="3" t="str">
        <f>IF(G177="","",IF(G177="DNS",0,IF(G177="DQ",0,IF(G177="DNF",1,IF(AND(ISNUMBER(G177),G177&gt;59),1,_xlfn.XLOOKUP(G177,tbl_points[Place],tbl_points[Points],""))))))</f>
        <v/>
      </c>
      <c r="J177" s="3" t="str">
        <f>IF(I177="","",IF(I177="DNS",0,IF(I177="DQ",0,IF(I177="DNF",1,IF(AND(ISNUMBER(I177),I177&gt;59),1,_xlfn.XLOOKUP(I177,tbl_points[Place],tbl_points[Points],""))))))</f>
        <v/>
      </c>
      <c r="L177" s="3" t="str">
        <f>IF(K177="","",IF(K177="DNS",0,IF(K177="DQ",0,IF(K177="DNF",1,IF(AND(ISNUMBER(K177),K177&gt;59),1,_xlfn.XLOOKUP(K177,tbl_points[Place],tbl_points[Points],""))))))</f>
        <v/>
      </c>
      <c r="N177" s="3" t="str">
        <f>IF(M177="","",IF(M177="DNS",0,IF(M177="DQ",0,IF(M177="DNF",1,IF(AND(ISNUMBER(M177),M177&gt;59),1,_xlfn.XLOOKUP(M177,tbl_points[Place],tbl_points[Points],""))))))</f>
        <v/>
      </c>
      <c r="P177" s="3" t="str">
        <f>IF(O177="","",IF(O177="DNS",0,IF(O177="DQ",0,IF(O177="DNF",1,IF(AND(ISNUMBER(O177),O177&gt;59),1,_xlfn.XLOOKUP(O177,tbl_points[Place],tbl_points[Points],""))))))</f>
        <v/>
      </c>
      <c r="Q1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7" s="3">
        <f>tbl_individual[[#This Row],[Total]]-tbl_individual[[#This Row],[Lowest Score]]</f>
        <v>0</v>
      </c>
    </row>
    <row r="178" spans="1:19" x14ac:dyDescent="0.4">
      <c r="A178" t="s">
        <v>239</v>
      </c>
      <c r="B178" t="s">
        <v>22</v>
      </c>
      <c r="C178" t="s">
        <v>1</v>
      </c>
      <c r="D178" s="3">
        <v>12057</v>
      </c>
      <c r="F178" s="3" t="str">
        <f>IF(E178="","",IF(E178="DNS",0,IF(E178="DQ",0,IF(E178="DNF",1,IF(AND(ISNUMBER(E178),E178&gt;59),1,_xlfn.XLOOKUP(E178,tbl_points[Place],tbl_points[Points],""))))))</f>
        <v/>
      </c>
      <c r="H178" s="3" t="str">
        <f>IF(G178="","",IF(G178="DNS",0,IF(G178="DQ",0,IF(G178="DNF",1,IF(AND(ISNUMBER(G178),G178&gt;59),1,_xlfn.XLOOKUP(G178,tbl_points[Place],tbl_points[Points],""))))))</f>
        <v/>
      </c>
      <c r="J178" s="3" t="str">
        <f>IF(I178="","",IF(I178="DNS",0,IF(I178="DQ",0,IF(I178="DNF",1,IF(AND(ISNUMBER(I178),I178&gt;59),1,_xlfn.XLOOKUP(I178,tbl_points[Place],tbl_points[Points],""))))))</f>
        <v/>
      </c>
      <c r="L178" s="3" t="str">
        <f>IF(K178="","",IF(K178="DNS",0,IF(K178="DQ",0,IF(K178="DNF",1,IF(AND(ISNUMBER(K178),K178&gt;59),1,_xlfn.XLOOKUP(K178,tbl_points[Place],tbl_points[Points],""))))))</f>
        <v/>
      </c>
      <c r="N178" s="3" t="str">
        <f>IF(M178="","",IF(M178="DNS",0,IF(M178="DQ",0,IF(M178="DNF",1,IF(AND(ISNUMBER(M178),M178&gt;59),1,_xlfn.XLOOKUP(M178,tbl_points[Place],tbl_points[Points],""))))))</f>
        <v/>
      </c>
      <c r="P178" s="3" t="str">
        <f>IF(O178="","",IF(O178="DNS",0,IF(O178="DQ",0,IF(O178="DNF",1,IF(AND(ISNUMBER(O178),O178&gt;59),1,_xlfn.XLOOKUP(O178,tbl_points[Place],tbl_points[Points],""))))))</f>
        <v/>
      </c>
      <c r="Q1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8" s="3">
        <f>tbl_individual[[#This Row],[Total]]-tbl_individual[[#This Row],[Lowest Score]]</f>
        <v>0</v>
      </c>
    </row>
    <row r="179" spans="1:19" x14ac:dyDescent="0.4">
      <c r="A179" t="s">
        <v>241</v>
      </c>
      <c r="B179" t="s">
        <v>22</v>
      </c>
      <c r="C179" t="s">
        <v>1</v>
      </c>
      <c r="D179" s="3">
        <v>12059</v>
      </c>
      <c r="F179" s="3" t="str">
        <f>IF(E179="","",IF(E179="DNS",0,IF(E179="DQ",0,IF(E179="DNF",1,IF(AND(ISNUMBER(E179),E179&gt;59),1,_xlfn.XLOOKUP(E179,tbl_points[Place],tbl_points[Points],""))))))</f>
        <v/>
      </c>
      <c r="H179" s="3" t="str">
        <f>IF(G179="","",IF(G179="DNS",0,IF(G179="DQ",0,IF(G179="DNF",1,IF(AND(ISNUMBER(G179),G179&gt;59),1,_xlfn.XLOOKUP(G179,tbl_points[Place],tbl_points[Points],""))))))</f>
        <v/>
      </c>
      <c r="J179" s="3" t="str">
        <f>IF(I179="","",IF(I179="DNS",0,IF(I179="DQ",0,IF(I179="DNF",1,IF(AND(ISNUMBER(I179),I179&gt;59),1,_xlfn.XLOOKUP(I179,tbl_points[Place],tbl_points[Points],""))))))</f>
        <v/>
      </c>
      <c r="L179" s="3" t="str">
        <f>IF(K179="","",IF(K179="DNS",0,IF(K179="DQ",0,IF(K179="DNF",1,IF(AND(ISNUMBER(K179),K179&gt;59),1,_xlfn.XLOOKUP(K179,tbl_points[Place],tbl_points[Points],""))))))</f>
        <v/>
      </c>
      <c r="N179" s="3" t="str">
        <f>IF(M179="","",IF(M179="DNS",0,IF(M179="DQ",0,IF(M179="DNF",1,IF(AND(ISNUMBER(M179),M179&gt;59),1,_xlfn.XLOOKUP(M179,tbl_points[Place],tbl_points[Points],""))))))</f>
        <v/>
      </c>
      <c r="P179" s="3" t="str">
        <f>IF(O179="","",IF(O179="DNS",0,IF(O179="DQ",0,IF(O179="DNF",1,IF(AND(ISNUMBER(O179),O179&gt;59),1,_xlfn.XLOOKUP(O179,tbl_points[Place],tbl_points[Points],""))))))</f>
        <v/>
      </c>
      <c r="Q1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9" s="3">
        <f>tbl_individual[[#This Row],[Total]]-tbl_individual[[#This Row],[Lowest Score]]</f>
        <v>0</v>
      </c>
    </row>
    <row r="180" spans="1:19" x14ac:dyDescent="0.4">
      <c r="A180" t="s">
        <v>236</v>
      </c>
      <c r="B180" t="s">
        <v>22</v>
      </c>
      <c r="C180" t="s">
        <v>1</v>
      </c>
      <c r="D180" s="3">
        <v>12054</v>
      </c>
      <c r="F180" s="3" t="str">
        <f>IF(E180="","",IF(E180="DNS",0,IF(E180="DQ",0,IF(E180="DNF",1,IF(AND(ISNUMBER(E180),E180&gt;59),1,_xlfn.XLOOKUP(E180,tbl_points[Place],tbl_points[Points],""))))))</f>
        <v/>
      </c>
      <c r="H180" s="3" t="str">
        <f>IF(G180="","",IF(G180="DNS",0,IF(G180="DQ",0,IF(G180="DNF",1,IF(AND(ISNUMBER(G180),G180&gt;59),1,_xlfn.XLOOKUP(G180,tbl_points[Place],tbl_points[Points],""))))))</f>
        <v/>
      </c>
      <c r="J180" s="3" t="str">
        <f>IF(I180="","",IF(I180="DNS",0,IF(I180="DQ",0,IF(I180="DNF",1,IF(AND(ISNUMBER(I180),I180&gt;59),1,_xlfn.XLOOKUP(I180,tbl_points[Place],tbl_points[Points],""))))))</f>
        <v/>
      </c>
      <c r="L180" s="3" t="str">
        <f>IF(K180="","",IF(K180="DNS",0,IF(K180="DQ",0,IF(K180="DNF",1,IF(AND(ISNUMBER(K180),K180&gt;59),1,_xlfn.XLOOKUP(K180,tbl_points[Place],tbl_points[Points],""))))))</f>
        <v/>
      </c>
      <c r="N180" s="3" t="str">
        <f>IF(M180="","",IF(M180="DNS",0,IF(M180="DQ",0,IF(M180="DNF",1,IF(AND(ISNUMBER(M180),M180&gt;59),1,_xlfn.XLOOKUP(M180,tbl_points[Place],tbl_points[Points],""))))))</f>
        <v/>
      </c>
      <c r="P180" s="3" t="str">
        <f>IF(O180="","",IF(O180="DNS",0,IF(O180="DQ",0,IF(O180="DNF",1,IF(AND(ISNUMBER(O180),O180&gt;59),1,_xlfn.XLOOKUP(O180,tbl_points[Place],tbl_points[Points],""))))))</f>
        <v/>
      </c>
      <c r="Q1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0" s="3">
        <f>tbl_individual[[#This Row],[Total]]-tbl_individual[[#This Row],[Lowest Score]]</f>
        <v>0</v>
      </c>
    </row>
    <row r="181" spans="1:19" x14ac:dyDescent="0.4">
      <c r="A181" t="s">
        <v>242</v>
      </c>
      <c r="B181" t="s">
        <v>22</v>
      </c>
      <c r="C181" t="s">
        <v>1</v>
      </c>
      <c r="D181" s="3">
        <v>12060</v>
      </c>
      <c r="F181" s="3" t="str">
        <f>IF(E181="","",IF(E181="DNS",0,IF(E181="DQ",0,IF(E181="DNF",1,IF(AND(ISNUMBER(E181),E181&gt;59),1,_xlfn.XLOOKUP(E181,tbl_points[Place],tbl_points[Points],""))))))</f>
        <v/>
      </c>
      <c r="H181" s="3" t="str">
        <f>IF(G181="","",IF(G181="DNS",0,IF(G181="DQ",0,IF(G181="DNF",1,IF(AND(ISNUMBER(G181),G181&gt;59),1,_xlfn.XLOOKUP(G181,tbl_points[Place],tbl_points[Points],""))))))</f>
        <v/>
      </c>
      <c r="J181" s="3" t="str">
        <f>IF(I181="","",IF(I181="DNS",0,IF(I181="DQ",0,IF(I181="DNF",1,IF(AND(ISNUMBER(I181),I181&gt;59),1,_xlfn.XLOOKUP(I181,tbl_points[Place],tbl_points[Points],""))))))</f>
        <v/>
      </c>
      <c r="L181" s="3" t="str">
        <f>IF(K181="","",IF(K181="DNS",0,IF(K181="DQ",0,IF(K181="DNF",1,IF(AND(ISNUMBER(K181),K181&gt;59),1,_xlfn.XLOOKUP(K181,tbl_points[Place],tbl_points[Points],""))))))</f>
        <v/>
      </c>
      <c r="N181" s="3" t="str">
        <f>IF(M181="","",IF(M181="DNS",0,IF(M181="DQ",0,IF(M181="DNF",1,IF(AND(ISNUMBER(M181),M181&gt;59),1,_xlfn.XLOOKUP(M181,tbl_points[Place],tbl_points[Points],""))))))</f>
        <v/>
      </c>
      <c r="P181" s="3" t="str">
        <f>IF(O181="","",IF(O181="DNS",0,IF(O181="DQ",0,IF(O181="DNF",1,IF(AND(ISNUMBER(O181),O181&gt;59),1,_xlfn.XLOOKUP(O181,tbl_points[Place],tbl_points[Points],""))))))</f>
        <v/>
      </c>
      <c r="Q1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1" s="3">
        <f>tbl_individual[[#This Row],[Total]]-tbl_individual[[#This Row],[Lowest Score]]</f>
        <v>0</v>
      </c>
    </row>
    <row r="182" spans="1:19" x14ac:dyDescent="0.4">
      <c r="A182" t="s">
        <v>231</v>
      </c>
      <c r="B182" t="s">
        <v>22</v>
      </c>
      <c r="C182" t="s">
        <v>1</v>
      </c>
      <c r="D182" s="3">
        <v>12049</v>
      </c>
      <c r="F182" s="3" t="str">
        <f>IF(E182="","",IF(E182="DNS",0,IF(E182="DQ",0,IF(E182="DNF",1,IF(AND(ISNUMBER(E182),E182&gt;59),1,_xlfn.XLOOKUP(E182,tbl_points[Place],tbl_points[Points],""))))))</f>
        <v/>
      </c>
      <c r="H182" s="3" t="str">
        <f>IF(G182="","",IF(G182="DNS",0,IF(G182="DQ",0,IF(G182="DNF",1,IF(AND(ISNUMBER(G182),G182&gt;59),1,_xlfn.XLOOKUP(G182,tbl_points[Place],tbl_points[Points],""))))))</f>
        <v/>
      </c>
      <c r="J182" s="3" t="str">
        <f>IF(I182="","",IF(I182="DNS",0,IF(I182="DQ",0,IF(I182="DNF",1,IF(AND(ISNUMBER(I182),I182&gt;59),1,_xlfn.XLOOKUP(I182,tbl_points[Place],tbl_points[Points],""))))))</f>
        <v/>
      </c>
      <c r="L182" s="3" t="str">
        <f>IF(K182="","",IF(K182="DNS",0,IF(K182="DQ",0,IF(K182="DNF",1,IF(AND(ISNUMBER(K182),K182&gt;59),1,_xlfn.XLOOKUP(K182,tbl_points[Place],tbl_points[Points],""))))))</f>
        <v/>
      </c>
      <c r="N182" s="3" t="str">
        <f>IF(M182="","",IF(M182="DNS",0,IF(M182="DQ",0,IF(M182="DNF",1,IF(AND(ISNUMBER(M182),M182&gt;59),1,_xlfn.XLOOKUP(M182,tbl_points[Place],tbl_points[Points],""))))))</f>
        <v/>
      </c>
      <c r="P182" s="3" t="str">
        <f>IF(O182="","",IF(O182="DNS",0,IF(O182="DQ",0,IF(O182="DNF",1,IF(AND(ISNUMBER(O182),O182&gt;59),1,_xlfn.XLOOKUP(O182,tbl_points[Place],tbl_points[Points],""))))))</f>
        <v/>
      </c>
      <c r="Q1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2" s="3">
        <f>tbl_individual[[#This Row],[Total]]-tbl_individual[[#This Row],[Lowest Score]]</f>
        <v>0</v>
      </c>
    </row>
    <row r="183" spans="1:19" x14ac:dyDescent="0.4">
      <c r="A183" t="s">
        <v>237</v>
      </c>
      <c r="B183" t="s">
        <v>22</v>
      </c>
      <c r="C183" t="s">
        <v>1</v>
      </c>
      <c r="D183" s="3">
        <v>12055</v>
      </c>
      <c r="F183" s="3" t="str">
        <f>IF(E183="","",IF(E183="DNS",0,IF(E183="DQ",0,IF(E183="DNF",1,IF(AND(ISNUMBER(E183),E183&gt;59),1,_xlfn.XLOOKUP(E183,tbl_points[Place],tbl_points[Points],""))))))</f>
        <v/>
      </c>
      <c r="H183" s="3" t="str">
        <f>IF(G183="","",IF(G183="DNS",0,IF(G183="DQ",0,IF(G183="DNF",1,IF(AND(ISNUMBER(G183),G183&gt;59),1,_xlfn.XLOOKUP(G183,tbl_points[Place],tbl_points[Points],""))))))</f>
        <v/>
      </c>
      <c r="J183" s="3" t="str">
        <f>IF(I183="","",IF(I183="DNS",0,IF(I183="DQ",0,IF(I183="DNF",1,IF(AND(ISNUMBER(I183),I183&gt;59),1,_xlfn.XLOOKUP(I183,tbl_points[Place],tbl_points[Points],""))))))</f>
        <v/>
      </c>
      <c r="L183" s="3" t="str">
        <f>IF(K183="","",IF(K183="DNS",0,IF(K183="DQ",0,IF(K183="DNF",1,IF(AND(ISNUMBER(K183),K183&gt;59),1,_xlfn.XLOOKUP(K183,tbl_points[Place],tbl_points[Points],""))))))</f>
        <v/>
      </c>
      <c r="N183" s="3" t="str">
        <f>IF(M183="","",IF(M183="DNS",0,IF(M183="DQ",0,IF(M183="DNF",1,IF(AND(ISNUMBER(M183),M183&gt;59),1,_xlfn.XLOOKUP(M183,tbl_points[Place],tbl_points[Points],""))))))</f>
        <v/>
      </c>
      <c r="P183" s="3" t="str">
        <f>IF(O183="","",IF(O183="DNS",0,IF(O183="DQ",0,IF(O183="DNF",1,IF(AND(ISNUMBER(O183),O183&gt;59),1,_xlfn.XLOOKUP(O183,tbl_points[Place],tbl_points[Points],""))))))</f>
        <v/>
      </c>
      <c r="Q1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3" s="3">
        <f>tbl_individual[[#This Row],[Total]]-tbl_individual[[#This Row],[Lowest Score]]</f>
        <v>0</v>
      </c>
    </row>
    <row r="184" spans="1:19" x14ac:dyDescent="0.4">
      <c r="A184" t="s">
        <v>232</v>
      </c>
      <c r="B184" t="s">
        <v>22</v>
      </c>
      <c r="C184" t="s">
        <v>1</v>
      </c>
      <c r="D184" s="3">
        <v>12050</v>
      </c>
      <c r="F184" s="3" t="str">
        <f>IF(E184="","",IF(E184="DNS",0,IF(E184="DQ",0,IF(E184="DNF",1,IF(AND(ISNUMBER(E184),E184&gt;59),1,_xlfn.XLOOKUP(E184,tbl_points[Place],tbl_points[Points],""))))))</f>
        <v/>
      </c>
      <c r="H184" s="3" t="str">
        <f>IF(G184="","",IF(G184="DNS",0,IF(G184="DQ",0,IF(G184="DNF",1,IF(AND(ISNUMBER(G184),G184&gt;59),1,_xlfn.XLOOKUP(G184,tbl_points[Place],tbl_points[Points],""))))))</f>
        <v/>
      </c>
      <c r="J184" s="3" t="str">
        <f>IF(I184="","",IF(I184="DNS",0,IF(I184="DQ",0,IF(I184="DNF",1,IF(AND(ISNUMBER(I184),I184&gt;59),1,_xlfn.XLOOKUP(I184,tbl_points[Place],tbl_points[Points],""))))))</f>
        <v/>
      </c>
      <c r="L184" s="3" t="str">
        <f>IF(K184="","",IF(K184="DNS",0,IF(K184="DQ",0,IF(K184="DNF",1,IF(AND(ISNUMBER(K184),K184&gt;59),1,_xlfn.XLOOKUP(K184,tbl_points[Place],tbl_points[Points],""))))))</f>
        <v/>
      </c>
      <c r="N184" s="3" t="str">
        <f>IF(M184="","",IF(M184="DNS",0,IF(M184="DQ",0,IF(M184="DNF",1,IF(AND(ISNUMBER(M184),M184&gt;59),1,_xlfn.XLOOKUP(M184,tbl_points[Place],tbl_points[Points],""))))))</f>
        <v/>
      </c>
      <c r="P184" s="3" t="str">
        <f>IF(O184="","",IF(O184="DNS",0,IF(O184="DQ",0,IF(O184="DNF",1,IF(AND(ISNUMBER(O184),O184&gt;59),1,_xlfn.XLOOKUP(O184,tbl_points[Place],tbl_points[Points],""))))))</f>
        <v/>
      </c>
      <c r="Q1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4" s="3">
        <f>tbl_individual[[#This Row],[Total]]-tbl_individual[[#This Row],[Lowest Score]]</f>
        <v>0</v>
      </c>
    </row>
    <row r="185" spans="1:19" x14ac:dyDescent="0.4">
      <c r="A185" t="s">
        <v>234</v>
      </c>
      <c r="B185" t="s">
        <v>22</v>
      </c>
      <c r="C185" t="s">
        <v>1</v>
      </c>
      <c r="D185" s="3">
        <v>12052</v>
      </c>
      <c r="F185" s="3" t="str">
        <f>IF(E185="","",IF(E185="DNS",0,IF(E185="DQ",0,IF(E185="DNF",1,IF(AND(ISNUMBER(E185),E185&gt;59),1,_xlfn.XLOOKUP(E185,tbl_points[Place],tbl_points[Points],""))))))</f>
        <v/>
      </c>
      <c r="H185" s="3" t="str">
        <f>IF(G185="","",IF(G185="DNS",0,IF(G185="DQ",0,IF(G185="DNF",1,IF(AND(ISNUMBER(G185),G185&gt;59),1,_xlfn.XLOOKUP(G185,tbl_points[Place],tbl_points[Points],""))))))</f>
        <v/>
      </c>
      <c r="J185" s="3" t="str">
        <f>IF(I185="","",IF(I185="DNS",0,IF(I185="DQ",0,IF(I185="DNF",1,IF(AND(ISNUMBER(I185),I185&gt;59),1,_xlfn.XLOOKUP(I185,tbl_points[Place],tbl_points[Points],""))))))</f>
        <v/>
      </c>
      <c r="L185" s="3" t="str">
        <f>IF(K185="","",IF(K185="DNS",0,IF(K185="DQ",0,IF(K185="DNF",1,IF(AND(ISNUMBER(K185),K185&gt;59),1,_xlfn.XLOOKUP(K185,tbl_points[Place],tbl_points[Points],""))))))</f>
        <v/>
      </c>
      <c r="N185" s="3" t="str">
        <f>IF(M185="","",IF(M185="DNS",0,IF(M185="DQ",0,IF(M185="DNF",1,IF(AND(ISNUMBER(M185),M185&gt;59),1,_xlfn.XLOOKUP(M185,tbl_points[Place],tbl_points[Points],""))))))</f>
        <v/>
      </c>
      <c r="P185" s="3" t="str">
        <f>IF(O185="","",IF(O185="DNS",0,IF(O185="DQ",0,IF(O185="DNF",1,IF(AND(ISNUMBER(O185),O185&gt;59),1,_xlfn.XLOOKUP(O185,tbl_points[Place],tbl_points[Points],""))))))</f>
        <v/>
      </c>
      <c r="Q1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5" s="3">
        <f>tbl_individual[[#This Row],[Total]]-tbl_individual[[#This Row],[Lowest Score]]</f>
        <v>0</v>
      </c>
    </row>
    <row r="186" spans="1:19" x14ac:dyDescent="0.4">
      <c r="A186" t="s">
        <v>235</v>
      </c>
      <c r="B186" t="s">
        <v>22</v>
      </c>
      <c r="C186" t="s">
        <v>1</v>
      </c>
      <c r="D186" s="3">
        <v>12053</v>
      </c>
      <c r="F186" s="3" t="str">
        <f>IF(E186="","",IF(E186="DNS",0,IF(E186="DQ",0,IF(E186="DNF",1,IF(AND(ISNUMBER(E186),E186&gt;59),1,_xlfn.XLOOKUP(E186,tbl_points[Place],tbl_points[Points],""))))))</f>
        <v/>
      </c>
      <c r="H186" s="3" t="str">
        <f>IF(G186="","",IF(G186="DNS",0,IF(G186="DQ",0,IF(G186="DNF",1,IF(AND(ISNUMBER(G186),G186&gt;59),1,_xlfn.XLOOKUP(G186,tbl_points[Place],tbl_points[Points],""))))))</f>
        <v/>
      </c>
      <c r="J186" s="3" t="str">
        <f>IF(I186="","",IF(I186="DNS",0,IF(I186="DQ",0,IF(I186="DNF",1,IF(AND(ISNUMBER(I186),I186&gt;59),1,_xlfn.XLOOKUP(I186,tbl_points[Place],tbl_points[Points],""))))))</f>
        <v/>
      </c>
      <c r="L186" s="3" t="str">
        <f>IF(K186="","",IF(K186="DNS",0,IF(K186="DQ",0,IF(K186="DNF",1,IF(AND(ISNUMBER(K186),K186&gt;59),1,_xlfn.XLOOKUP(K186,tbl_points[Place],tbl_points[Points],""))))))</f>
        <v/>
      </c>
      <c r="N186" s="3" t="str">
        <f>IF(M186="","",IF(M186="DNS",0,IF(M186="DQ",0,IF(M186="DNF",1,IF(AND(ISNUMBER(M186),M186&gt;59),1,_xlfn.XLOOKUP(M186,tbl_points[Place],tbl_points[Points],""))))))</f>
        <v/>
      </c>
      <c r="P186" s="3" t="str">
        <f>IF(O186="","",IF(O186="DNS",0,IF(O186="DQ",0,IF(O186="DNF",1,IF(AND(ISNUMBER(O186),O186&gt;59),1,_xlfn.XLOOKUP(O186,tbl_points[Place],tbl_points[Points],""))))))</f>
        <v/>
      </c>
      <c r="Q1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6" s="3">
        <f>tbl_individual[[#This Row],[Total]]-tbl_individual[[#This Row],[Lowest Score]]</f>
        <v>0</v>
      </c>
    </row>
    <row r="187" spans="1:19" x14ac:dyDescent="0.4">
      <c r="A187" t="s">
        <v>233</v>
      </c>
      <c r="B187" t="s">
        <v>22</v>
      </c>
      <c r="C187" t="s">
        <v>1</v>
      </c>
      <c r="D187" s="3">
        <v>12051</v>
      </c>
      <c r="F187" s="3" t="str">
        <f>IF(E187="","",IF(E187="DNS",0,IF(E187="DQ",0,IF(E187="DNF",1,IF(AND(ISNUMBER(E187),E187&gt;59),1,_xlfn.XLOOKUP(E187,tbl_points[Place],tbl_points[Points],""))))))</f>
        <v/>
      </c>
      <c r="H187" s="3" t="str">
        <f>IF(G187="","",IF(G187="DNS",0,IF(G187="DQ",0,IF(G187="DNF",1,IF(AND(ISNUMBER(G187),G187&gt;59),1,_xlfn.XLOOKUP(G187,tbl_points[Place],tbl_points[Points],""))))))</f>
        <v/>
      </c>
      <c r="J187" s="3" t="str">
        <f>IF(I187="","",IF(I187="DNS",0,IF(I187="DQ",0,IF(I187="DNF",1,IF(AND(ISNUMBER(I187),I187&gt;59),1,_xlfn.XLOOKUP(I187,tbl_points[Place],tbl_points[Points],""))))))</f>
        <v/>
      </c>
      <c r="L187" s="3" t="str">
        <f>IF(K187="","",IF(K187="DNS",0,IF(K187="DQ",0,IF(K187="DNF",1,IF(AND(ISNUMBER(K187),K187&gt;59),1,_xlfn.XLOOKUP(K187,tbl_points[Place],tbl_points[Points],""))))))</f>
        <v/>
      </c>
      <c r="N187" s="3" t="str">
        <f>IF(M187="","",IF(M187="DNS",0,IF(M187="DQ",0,IF(M187="DNF",1,IF(AND(ISNUMBER(M187),M187&gt;59),1,_xlfn.XLOOKUP(M187,tbl_points[Place],tbl_points[Points],""))))))</f>
        <v/>
      </c>
      <c r="P187" s="3" t="str">
        <f>IF(O187="","",IF(O187="DNS",0,IF(O187="DQ",0,IF(O187="DNF",1,IF(AND(ISNUMBER(O187),O187&gt;59),1,_xlfn.XLOOKUP(O187,tbl_points[Place],tbl_points[Points],""))))))</f>
        <v/>
      </c>
      <c r="Q1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7" s="3">
        <f>tbl_individual[[#This Row],[Total]]-tbl_individual[[#This Row],[Lowest Score]]</f>
        <v>0</v>
      </c>
    </row>
    <row r="188" spans="1:19" x14ac:dyDescent="0.4">
      <c r="A188" t="s">
        <v>238</v>
      </c>
      <c r="B188" t="s">
        <v>22</v>
      </c>
      <c r="C188" t="s">
        <v>1</v>
      </c>
      <c r="D188" s="3">
        <v>12056</v>
      </c>
      <c r="F188" s="3" t="str">
        <f>IF(E188="","",IF(E188="DNS",0,IF(E188="DQ",0,IF(E188="DNF",1,IF(AND(ISNUMBER(E188),E188&gt;59),1,_xlfn.XLOOKUP(E188,tbl_points[Place],tbl_points[Points],""))))))</f>
        <v/>
      </c>
      <c r="H188" s="3" t="str">
        <f>IF(G188="","",IF(G188="DNS",0,IF(G188="DQ",0,IF(G188="DNF",1,IF(AND(ISNUMBER(G188),G188&gt;59),1,_xlfn.XLOOKUP(G188,tbl_points[Place],tbl_points[Points],""))))))</f>
        <v/>
      </c>
      <c r="J188" s="3" t="str">
        <f>IF(I188="","",IF(I188="DNS",0,IF(I188="DQ",0,IF(I188="DNF",1,IF(AND(ISNUMBER(I188),I188&gt;59),1,_xlfn.XLOOKUP(I188,tbl_points[Place],tbl_points[Points],""))))))</f>
        <v/>
      </c>
      <c r="L188" s="3" t="str">
        <f>IF(K188="","",IF(K188="DNS",0,IF(K188="DQ",0,IF(K188="DNF",1,IF(AND(ISNUMBER(K188),K188&gt;59),1,_xlfn.XLOOKUP(K188,tbl_points[Place],tbl_points[Points],""))))))</f>
        <v/>
      </c>
      <c r="N188" s="3" t="str">
        <f>IF(M188="","",IF(M188="DNS",0,IF(M188="DQ",0,IF(M188="DNF",1,IF(AND(ISNUMBER(M188),M188&gt;59),1,_xlfn.XLOOKUP(M188,tbl_points[Place],tbl_points[Points],""))))))</f>
        <v/>
      </c>
      <c r="P188" s="3" t="str">
        <f>IF(O188="","",IF(O188="DNS",0,IF(O188="DQ",0,IF(O188="DNF",1,IF(AND(ISNUMBER(O188),O188&gt;59),1,_xlfn.XLOOKUP(O188,tbl_points[Place],tbl_points[Points],""))))))</f>
        <v/>
      </c>
      <c r="Q1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8" s="3">
        <f>tbl_individual[[#This Row],[Total]]-tbl_individual[[#This Row],[Lowest Score]]</f>
        <v>0</v>
      </c>
    </row>
    <row r="189" spans="1:19" x14ac:dyDescent="0.4">
      <c r="A189" t="s">
        <v>230</v>
      </c>
      <c r="B189" t="s">
        <v>22</v>
      </c>
      <c r="C189" t="s">
        <v>2</v>
      </c>
      <c r="D189" s="3">
        <v>1238</v>
      </c>
      <c r="F189" s="3" t="str">
        <f>IF(E189="","",IF(E189="DNS",0,IF(E189="DQ",0,IF(E189="DNF",1,IF(AND(ISNUMBER(E189),E189&gt;59),1,_xlfn.XLOOKUP(E189,tbl_points[Place],tbl_points[Points],""))))))</f>
        <v/>
      </c>
      <c r="H189" s="3" t="str">
        <f>IF(G189="","",IF(G189="DNS",0,IF(G189="DQ",0,IF(G189="DNF",1,IF(AND(ISNUMBER(G189),G189&gt;59),1,_xlfn.XLOOKUP(G189,tbl_points[Place],tbl_points[Points],""))))))</f>
        <v/>
      </c>
      <c r="J189" s="3" t="str">
        <f>IF(I189="","",IF(I189="DNS",0,IF(I189="DQ",0,IF(I189="DNF",1,IF(AND(ISNUMBER(I189),I189&gt;59),1,_xlfn.XLOOKUP(I189,tbl_points[Place],tbl_points[Points],""))))))</f>
        <v/>
      </c>
      <c r="L189" s="3" t="str">
        <f>IF(K189="","",IF(K189="DNS",0,IF(K189="DQ",0,IF(K189="DNF",1,IF(AND(ISNUMBER(K189),K189&gt;59),1,_xlfn.XLOOKUP(K189,tbl_points[Place],tbl_points[Points],""))))))</f>
        <v/>
      </c>
      <c r="N189" s="3" t="str">
        <f>IF(M189="","",IF(M189="DNS",0,IF(M189="DQ",0,IF(M189="DNF",1,IF(AND(ISNUMBER(M189),M189&gt;59),1,_xlfn.XLOOKUP(M189,tbl_points[Place],tbl_points[Points],""))))))</f>
        <v/>
      </c>
      <c r="P189" s="3" t="str">
        <f>IF(O189="","",IF(O189="DNS",0,IF(O189="DQ",0,IF(O189="DNF",1,IF(AND(ISNUMBER(O189),O189&gt;59),1,_xlfn.XLOOKUP(O189,tbl_points[Place],tbl_points[Points],""))))))</f>
        <v/>
      </c>
      <c r="Q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9" s="3">
        <f>tbl_individual[[#This Row],[Total]]-tbl_individual[[#This Row],[Lowest Score]]</f>
        <v>0</v>
      </c>
    </row>
    <row r="190" spans="1:19" x14ac:dyDescent="0.4">
      <c r="A190" t="s">
        <v>229</v>
      </c>
      <c r="B190" t="s">
        <v>22</v>
      </c>
      <c r="C190" t="s">
        <v>2</v>
      </c>
      <c r="D190" s="3">
        <v>1237</v>
      </c>
      <c r="F190" s="3" t="str">
        <f>IF(E190="","",IF(E190="DNS",0,IF(E190="DQ",0,IF(E190="DNF",1,IF(AND(ISNUMBER(E190),E190&gt;59),1,_xlfn.XLOOKUP(E190,tbl_points[Place],tbl_points[Points],""))))))</f>
        <v/>
      </c>
      <c r="H190" s="3" t="str">
        <f>IF(G190="","",IF(G190="DNS",0,IF(G190="DQ",0,IF(G190="DNF",1,IF(AND(ISNUMBER(G190),G190&gt;59),1,_xlfn.XLOOKUP(G190,tbl_points[Place],tbl_points[Points],""))))))</f>
        <v/>
      </c>
      <c r="J190" s="3" t="str">
        <f>IF(I190="","",IF(I190="DNS",0,IF(I190="DQ",0,IF(I190="DNF",1,IF(AND(ISNUMBER(I190),I190&gt;59),1,_xlfn.XLOOKUP(I190,tbl_points[Place],tbl_points[Points],""))))))</f>
        <v/>
      </c>
      <c r="L190" s="3" t="str">
        <f>IF(K190="","",IF(K190="DNS",0,IF(K190="DQ",0,IF(K190="DNF",1,IF(AND(ISNUMBER(K190),K190&gt;59),1,_xlfn.XLOOKUP(K190,tbl_points[Place],tbl_points[Points],""))))))</f>
        <v/>
      </c>
      <c r="N190" s="3" t="str">
        <f>IF(M190="","",IF(M190="DNS",0,IF(M190="DQ",0,IF(M190="DNF",1,IF(AND(ISNUMBER(M190),M190&gt;59),1,_xlfn.XLOOKUP(M190,tbl_points[Place],tbl_points[Points],""))))))</f>
        <v/>
      </c>
      <c r="P190" s="3" t="str">
        <f>IF(O190="","",IF(O190="DNS",0,IF(O190="DQ",0,IF(O190="DNF",1,IF(AND(ISNUMBER(O190),O190&gt;59),1,_xlfn.XLOOKUP(O190,tbl_points[Place],tbl_points[Points],""))))))</f>
        <v/>
      </c>
      <c r="Q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0" s="3">
        <f>tbl_individual[[#This Row],[Total]]-tbl_individual[[#This Row],[Lowest Score]]</f>
        <v>0</v>
      </c>
    </row>
    <row r="191" spans="1:19" x14ac:dyDescent="0.4">
      <c r="A191" t="s">
        <v>243</v>
      </c>
      <c r="B191" t="s">
        <v>23</v>
      </c>
      <c r="C191" t="s">
        <v>7</v>
      </c>
      <c r="D191" s="3">
        <v>813</v>
      </c>
      <c r="F191" s="3" t="str">
        <f>IF(E191="","",IF(E191="DNS",0,IF(E191="DQ",0,IF(E191="DNF",1,IF(AND(ISNUMBER(E191),E191&gt;59),1,_xlfn.XLOOKUP(E191,tbl_points[Place],tbl_points[Points],""))))))</f>
        <v/>
      </c>
      <c r="H191" s="3" t="str">
        <f>IF(G191="","",IF(G191="DNS",0,IF(G191="DQ",0,IF(G191="DNF",1,IF(AND(ISNUMBER(G191),G191&gt;59),1,_xlfn.XLOOKUP(G191,tbl_points[Place],tbl_points[Points],""))))))</f>
        <v/>
      </c>
      <c r="J191" s="3" t="str">
        <f>IF(I191="","",IF(I191="DNS",0,IF(I191="DQ",0,IF(I191="DNF",1,IF(AND(ISNUMBER(I191),I191&gt;59),1,_xlfn.XLOOKUP(I191,tbl_points[Place],tbl_points[Points],""))))))</f>
        <v/>
      </c>
      <c r="L191" s="3" t="str">
        <f>IF(K191="","",IF(K191="DNS",0,IF(K191="DQ",0,IF(K191="DNF",1,IF(AND(ISNUMBER(K191),K191&gt;59),1,_xlfn.XLOOKUP(K191,tbl_points[Place],tbl_points[Points],""))))))</f>
        <v/>
      </c>
      <c r="N191" s="3" t="str">
        <f>IF(M191="","",IF(M191="DNS",0,IF(M191="DQ",0,IF(M191="DNF",1,IF(AND(ISNUMBER(M191),M191&gt;59),1,_xlfn.XLOOKUP(M191,tbl_points[Place],tbl_points[Points],""))))))</f>
        <v/>
      </c>
      <c r="P191" s="3" t="str">
        <f>IF(O191="","",IF(O191="DNS",0,IF(O191="DQ",0,IF(O191="DNF",1,IF(AND(ISNUMBER(O191),O191&gt;59),1,_xlfn.XLOOKUP(O191,tbl_points[Place],tbl_points[Points],""))))))</f>
        <v/>
      </c>
      <c r="Q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1" s="3">
        <f>tbl_individual[[#This Row],[Total]]-tbl_individual[[#This Row],[Lowest Score]]</f>
        <v>0</v>
      </c>
    </row>
    <row r="192" spans="1:19" x14ac:dyDescent="0.4">
      <c r="A192" t="s">
        <v>244</v>
      </c>
      <c r="B192" t="s">
        <v>23</v>
      </c>
      <c r="C192" t="s">
        <v>7</v>
      </c>
      <c r="D192" s="3">
        <v>814</v>
      </c>
      <c r="F192" s="3" t="str">
        <f>IF(E192="","",IF(E192="DNS",0,IF(E192="DQ",0,IF(E192="DNF",1,IF(AND(ISNUMBER(E192),E192&gt;59),1,_xlfn.XLOOKUP(E192,tbl_points[Place],tbl_points[Points],""))))))</f>
        <v/>
      </c>
      <c r="H192" s="3" t="str">
        <f>IF(G192="","",IF(G192="DNS",0,IF(G192="DQ",0,IF(G192="DNF",1,IF(AND(ISNUMBER(G192),G192&gt;59),1,_xlfn.XLOOKUP(G192,tbl_points[Place],tbl_points[Points],""))))))</f>
        <v/>
      </c>
      <c r="J192" s="3" t="str">
        <f>IF(I192="","",IF(I192="DNS",0,IF(I192="DQ",0,IF(I192="DNF",1,IF(AND(ISNUMBER(I192),I192&gt;59),1,_xlfn.XLOOKUP(I192,tbl_points[Place],tbl_points[Points],""))))))</f>
        <v/>
      </c>
      <c r="L192" s="3" t="str">
        <f>IF(K192="","",IF(K192="DNS",0,IF(K192="DQ",0,IF(K192="DNF",1,IF(AND(ISNUMBER(K192),K192&gt;59),1,_xlfn.XLOOKUP(K192,tbl_points[Place],tbl_points[Points],""))))))</f>
        <v/>
      </c>
      <c r="N192" s="3" t="str">
        <f>IF(M192="","",IF(M192="DNS",0,IF(M192="DQ",0,IF(M192="DNF",1,IF(AND(ISNUMBER(M192),M192&gt;59),1,_xlfn.XLOOKUP(M192,tbl_points[Place],tbl_points[Points],""))))))</f>
        <v/>
      </c>
      <c r="P192" s="3" t="str">
        <f>IF(O192="","",IF(O192="DNS",0,IF(O192="DQ",0,IF(O192="DNF",1,IF(AND(ISNUMBER(O192),O192&gt;59),1,_xlfn.XLOOKUP(O192,tbl_points[Place],tbl_points[Points],""))))))</f>
        <v/>
      </c>
      <c r="Q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2" s="3">
        <f>tbl_individual[[#This Row],[Total]]-tbl_individual[[#This Row],[Lowest Score]]</f>
        <v>0</v>
      </c>
    </row>
    <row r="193" spans="1:19" x14ac:dyDescent="0.4">
      <c r="A193" t="s">
        <v>247</v>
      </c>
      <c r="B193" t="s">
        <v>23</v>
      </c>
      <c r="C193" t="s">
        <v>3</v>
      </c>
      <c r="D193" s="3">
        <v>10180</v>
      </c>
      <c r="F193" s="3" t="str">
        <f>IF(E193="","",IF(E193="DNS",0,IF(E193="DQ",0,IF(E193="DNF",1,IF(AND(ISNUMBER(E193),E193&gt;59),1,_xlfn.XLOOKUP(E193,tbl_points[Place],tbl_points[Points],""))))))</f>
        <v/>
      </c>
      <c r="H193" s="3" t="str">
        <f>IF(G193="","",IF(G193="DNS",0,IF(G193="DQ",0,IF(G193="DNF",1,IF(AND(ISNUMBER(G193),G193&gt;59),1,_xlfn.XLOOKUP(G193,tbl_points[Place],tbl_points[Points],""))))))</f>
        <v/>
      </c>
      <c r="J193" s="3" t="str">
        <f>IF(I193="","",IF(I193="DNS",0,IF(I193="DQ",0,IF(I193="DNF",1,IF(AND(ISNUMBER(I193),I193&gt;59),1,_xlfn.XLOOKUP(I193,tbl_points[Place],tbl_points[Points],""))))))</f>
        <v/>
      </c>
      <c r="L193" s="3" t="str">
        <f>IF(K193="","",IF(K193="DNS",0,IF(K193="DQ",0,IF(K193="DNF",1,IF(AND(ISNUMBER(K193),K193&gt;59),1,_xlfn.XLOOKUP(K193,tbl_points[Place],tbl_points[Points],""))))))</f>
        <v/>
      </c>
      <c r="N193" s="3" t="str">
        <f>IF(M193="","",IF(M193="DNS",0,IF(M193="DQ",0,IF(M193="DNF",1,IF(AND(ISNUMBER(M193),M193&gt;59),1,_xlfn.XLOOKUP(M193,tbl_points[Place],tbl_points[Points],""))))))</f>
        <v/>
      </c>
      <c r="P193" s="3" t="str">
        <f>IF(O193="","",IF(O193="DNS",0,IF(O193="DQ",0,IF(O193="DNF",1,IF(AND(ISNUMBER(O193),O193&gt;59),1,_xlfn.XLOOKUP(O193,tbl_points[Place],tbl_points[Points],""))))))</f>
        <v/>
      </c>
      <c r="Q1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3" s="3">
        <f>tbl_individual[[#This Row],[Total]]-tbl_individual[[#This Row],[Lowest Score]]</f>
        <v>0</v>
      </c>
    </row>
    <row r="194" spans="1:19" x14ac:dyDescent="0.4">
      <c r="A194" t="s">
        <v>246</v>
      </c>
      <c r="B194" t="s">
        <v>23</v>
      </c>
      <c r="C194" t="s">
        <v>3</v>
      </c>
      <c r="D194" s="3">
        <v>10179</v>
      </c>
      <c r="F194" s="3" t="str">
        <f>IF(E194="","",IF(E194="DNS",0,IF(E194="DQ",0,IF(E194="DNF",1,IF(AND(ISNUMBER(E194),E194&gt;59),1,_xlfn.XLOOKUP(E194,tbl_points[Place],tbl_points[Points],""))))))</f>
        <v/>
      </c>
      <c r="H194" s="3" t="str">
        <f>IF(G194="","",IF(G194="DNS",0,IF(G194="DQ",0,IF(G194="DNF",1,IF(AND(ISNUMBER(G194),G194&gt;59),1,_xlfn.XLOOKUP(G194,tbl_points[Place],tbl_points[Points],""))))))</f>
        <v/>
      </c>
      <c r="J194" s="3" t="str">
        <f>IF(I194="","",IF(I194="DNS",0,IF(I194="DQ",0,IF(I194="DNF",1,IF(AND(ISNUMBER(I194),I194&gt;59),1,_xlfn.XLOOKUP(I194,tbl_points[Place],tbl_points[Points],""))))))</f>
        <v/>
      </c>
      <c r="L194" s="3" t="str">
        <f>IF(K194="","",IF(K194="DNS",0,IF(K194="DQ",0,IF(K194="DNF",1,IF(AND(ISNUMBER(K194),K194&gt;59),1,_xlfn.XLOOKUP(K194,tbl_points[Place],tbl_points[Points],""))))))</f>
        <v/>
      </c>
      <c r="N194" s="3" t="str">
        <f>IF(M194="","",IF(M194="DNS",0,IF(M194="DQ",0,IF(M194="DNF",1,IF(AND(ISNUMBER(M194),M194&gt;59),1,_xlfn.XLOOKUP(M194,tbl_points[Place],tbl_points[Points],""))))))</f>
        <v/>
      </c>
      <c r="P194" s="3" t="str">
        <f>IF(O194="","",IF(O194="DNS",0,IF(O194="DQ",0,IF(O194="DNF",1,IF(AND(ISNUMBER(O194),O194&gt;59),1,_xlfn.XLOOKUP(O194,tbl_points[Place],tbl_points[Points],""))))))</f>
        <v/>
      </c>
      <c r="Q1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4" s="3">
        <f>tbl_individual[[#This Row],[Total]]-tbl_individual[[#This Row],[Lowest Score]]</f>
        <v>0</v>
      </c>
    </row>
    <row r="195" spans="1:19" x14ac:dyDescent="0.4">
      <c r="A195" t="s">
        <v>245</v>
      </c>
      <c r="B195" t="s">
        <v>23</v>
      </c>
      <c r="C195" t="s">
        <v>5</v>
      </c>
      <c r="D195" s="3">
        <v>923</v>
      </c>
      <c r="F195" s="3" t="str">
        <f>IF(E195="","",IF(E195="DNS",0,IF(E195="DQ",0,IF(E195="DNF",1,IF(AND(ISNUMBER(E195),E195&gt;59),1,_xlfn.XLOOKUP(E195,tbl_points[Place],tbl_points[Points],""))))))</f>
        <v/>
      </c>
      <c r="H195" s="3" t="str">
        <f>IF(G195="","",IF(G195="DNS",0,IF(G195="DQ",0,IF(G195="DNF",1,IF(AND(ISNUMBER(G195),G195&gt;59),1,_xlfn.XLOOKUP(G195,tbl_points[Place],tbl_points[Points],""))))))</f>
        <v/>
      </c>
      <c r="J195" s="3" t="str">
        <f>IF(I195="","",IF(I195="DNS",0,IF(I195="DQ",0,IF(I195="DNF",1,IF(AND(ISNUMBER(I195),I195&gt;59),1,_xlfn.XLOOKUP(I195,tbl_points[Place],tbl_points[Points],""))))))</f>
        <v/>
      </c>
      <c r="L195" s="3" t="str">
        <f>IF(K195="","",IF(K195="DNS",0,IF(K195="DQ",0,IF(K195="DNF",1,IF(AND(ISNUMBER(K195),K195&gt;59),1,_xlfn.XLOOKUP(K195,tbl_points[Place],tbl_points[Points],""))))))</f>
        <v/>
      </c>
      <c r="N195" s="3" t="str">
        <f>IF(M195="","",IF(M195="DNS",0,IF(M195="DQ",0,IF(M195="DNF",1,IF(AND(ISNUMBER(M195),M195&gt;59),1,_xlfn.XLOOKUP(M195,tbl_points[Place],tbl_points[Points],""))))))</f>
        <v/>
      </c>
      <c r="P195" s="3" t="str">
        <f>IF(O195="","",IF(O195="DNS",0,IF(O195="DQ",0,IF(O195="DNF",1,IF(AND(ISNUMBER(O195),O195&gt;59),1,_xlfn.XLOOKUP(O195,tbl_points[Place],tbl_points[Points],""))))))</f>
        <v/>
      </c>
      <c r="Q1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5" s="3">
        <f>tbl_individual[[#This Row],[Total]]-tbl_individual[[#This Row],[Lowest Score]]</f>
        <v>0</v>
      </c>
    </row>
    <row r="196" spans="1:19" x14ac:dyDescent="0.4">
      <c r="A196" t="s">
        <v>252</v>
      </c>
      <c r="B196" t="s">
        <v>24</v>
      </c>
      <c r="C196" t="s">
        <v>7</v>
      </c>
      <c r="D196" s="3">
        <v>816</v>
      </c>
      <c r="F196" s="3" t="str">
        <f>IF(E196="","",IF(E196="DNS",0,IF(E196="DQ",0,IF(E196="DNF",1,IF(AND(ISNUMBER(E196),E196&gt;59),1,_xlfn.XLOOKUP(E196,tbl_points[Place],tbl_points[Points],""))))))</f>
        <v/>
      </c>
      <c r="H196" s="3" t="str">
        <f>IF(G196="","",IF(G196="DNS",0,IF(G196="DQ",0,IF(G196="DNF",1,IF(AND(ISNUMBER(G196),G196&gt;59),1,_xlfn.XLOOKUP(G196,tbl_points[Place],tbl_points[Points],""))))))</f>
        <v/>
      </c>
      <c r="J196" s="3" t="str">
        <f>IF(I196="","",IF(I196="DNS",0,IF(I196="DQ",0,IF(I196="DNF",1,IF(AND(ISNUMBER(I196),I196&gt;59),1,_xlfn.XLOOKUP(I196,tbl_points[Place],tbl_points[Points],""))))))</f>
        <v/>
      </c>
      <c r="L196" s="3" t="str">
        <f>IF(K196="","",IF(K196="DNS",0,IF(K196="DQ",0,IF(K196="DNF",1,IF(AND(ISNUMBER(K196),K196&gt;59),1,_xlfn.XLOOKUP(K196,tbl_points[Place],tbl_points[Points],""))))))</f>
        <v/>
      </c>
      <c r="N196" s="3" t="str">
        <f>IF(M196="","",IF(M196="DNS",0,IF(M196="DQ",0,IF(M196="DNF",1,IF(AND(ISNUMBER(M196),M196&gt;59),1,_xlfn.XLOOKUP(M196,tbl_points[Place],tbl_points[Points],""))))))</f>
        <v/>
      </c>
      <c r="P196" s="3" t="str">
        <f>IF(O196="","",IF(O196="DNS",0,IF(O196="DQ",0,IF(O196="DNF",1,IF(AND(ISNUMBER(O196),O196&gt;59),1,_xlfn.XLOOKUP(O196,tbl_points[Place],tbl_points[Points],""))))))</f>
        <v/>
      </c>
      <c r="Q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6" s="3">
        <f>tbl_individual[[#This Row],[Total]]-tbl_individual[[#This Row],[Lowest Score]]</f>
        <v>0</v>
      </c>
    </row>
    <row r="197" spans="1:19" x14ac:dyDescent="0.4">
      <c r="A197" t="s">
        <v>251</v>
      </c>
      <c r="B197" t="s">
        <v>24</v>
      </c>
      <c r="C197" t="s">
        <v>7</v>
      </c>
      <c r="D197" s="3">
        <v>815</v>
      </c>
      <c r="F197" s="3" t="str">
        <f>IF(E197="","",IF(E197="DNS",0,IF(E197="DQ",0,IF(E197="DNF",1,IF(AND(ISNUMBER(E197),E197&gt;59),1,_xlfn.XLOOKUP(E197,tbl_points[Place],tbl_points[Points],""))))))</f>
        <v/>
      </c>
      <c r="H197" s="3" t="str">
        <f>IF(G197="","",IF(G197="DNS",0,IF(G197="DQ",0,IF(G197="DNF",1,IF(AND(ISNUMBER(G197),G197&gt;59),1,_xlfn.XLOOKUP(G197,tbl_points[Place],tbl_points[Points],""))))))</f>
        <v/>
      </c>
      <c r="J197" s="3" t="str">
        <f>IF(I197="","",IF(I197="DNS",0,IF(I197="DQ",0,IF(I197="DNF",1,IF(AND(ISNUMBER(I197),I197&gt;59),1,_xlfn.XLOOKUP(I197,tbl_points[Place],tbl_points[Points],""))))))</f>
        <v/>
      </c>
      <c r="L197" s="3" t="str">
        <f>IF(K197="","",IF(K197="DNS",0,IF(K197="DQ",0,IF(K197="DNF",1,IF(AND(ISNUMBER(K197),K197&gt;59),1,_xlfn.XLOOKUP(K197,tbl_points[Place],tbl_points[Points],""))))))</f>
        <v/>
      </c>
      <c r="N197" s="3" t="str">
        <f>IF(M197="","",IF(M197="DNS",0,IF(M197="DQ",0,IF(M197="DNF",1,IF(AND(ISNUMBER(M197),M197&gt;59),1,_xlfn.XLOOKUP(M197,tbl_points[Place],tbl_points[Points],""))))))</f>
        <v/>
      </c>
      <c r="P197" s="3" t="str">
        <f>IF(O197="","",IF(O197="DNS",0,IF(O197="DQ",0,IF(O197="DNF",1,IF(AND(ISNUMBER(O197),O197&gt;59),1,_xlfn.XLOOKUP(O197,tbl_points[Place],tbl_points[Points],""))))))</f>
        <v/>
      </c>
      <c r="Q1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7" s="3">
        <f>tbl_individual[[#This Row],[Total]]-tbl_individual[[#This Row],[Lowest Score]]</f>
        <v>0</v>
      </c>
    </row>
    <row r="198" spans="1:19" x14ac:dyDescent="0.4">
      <c r="A198" t="s">
        <v>253</v>
      </c>
      <c r="B198" t="s">
        <v>24</v>
      </c>
      <c r="C198" t="s">
        <v>7</v>
      </c>
      <c r="D198" s="3">
        <v>817</v>
      </c>
      <c r="F198" s="3" t="str">
        <f>IF(E198="","",IF(E198="DNS",0,IF(E198="DQ",0,IF(E198="DNF",1,IF(AND(ISNUMBER(E198),E198&gt;59),1,_xlfn.XLOOKUP(E198,tbl_points[Place],tbl_points[Points],""))))))</f>
        <v/>
      </c>
      <c r="H198" s="3" t="str">
        <f>IF(G198="","",IF(G198="DNS",0,IF(G198="DQ",0,IF(G198="DNF",1,IF(AND(ISNUMBER(G198),G198&gt;59),1,_xlfn.XLOOKUP(G198,tbl_points[Place],tbl_points[Points],""))))))</f>
        <v/>
      </c>
      <c r="J198" s="3" t="str">
        <f>IF(I198="","",IF(I198="DNS",0,IF(I198="DQ",0,IF(I198="DNF",1,IF(AND(ISNUMBER(I198),I198&gt;59),1,_xlfn.XLOOKUP(I198,tbl_points[Place],tbl_points[Points],""))))))</f>
        <v/>
      </c>
      <c r="L198" s="3" t="str">
        <f>IF(K198="","",IF(K198="DNS",0,IF(K198="DQ",0,IF(K198="DNF",1,IF(AND(ISNUMBER(K198),K198&gt;59),1,_xlfn.XLOOKUP(K198,tbl_points[Place],tbl_points[Points],""))))))</f>
        <v/>
      </c>
      <c r="N198" s="3" t="str">
        <f>IF(M198="","",IF(M198="DNS",0,IF(M198="DQ",0,IF(M198="DNF",1,IF(AND(ISNUMBER(M198),M198&gt;59),1,_xlfn.XLOOKUP(M198,tbl_points[Place],tbl_points[Points],""))))))</f>
        <v/>
      </c>
      <c r="P198" s="3" t="str">
        <f>IF(O198="","",IF(O198="DNS",0,IF(O198="DQ",0,IF(O198="DNF",1,IF(AND(ISNUMBER(O198),O198&gt;59),1,_xlfn.XLOOKUP(O198,tbl_points[Place],tbl_points[Points],""))))))</f>
        <v/>
      </c>
      <c r="Q1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8" s="3">
        <f>tbl_individual[[#This Row],[Total]]-tbl_individual[[#This Row],[Lowest Score]]</f>
        <v>0</v>
      </c>
    </row>
    <row r="199" spans="1:19" x14ac:dyDescent="0.4">
      <c r="A199" t="s">
        <v>250</v>
      </c>
      <c r="B199" t="s">
        <v>24</v>
      </c>
      <c r="C199" t="s">
        <v>8</v>
      </c>
      <c r="D199" s="3">
        <v>864</v>
      </c>
      <c r="F199" s="3" t="str">
        <f>IF(E199="","",IF(E199="DNS",0,IF(E199="DQ",0,IF(E199="DNF",1,IF(AND(ISNUMBER(E199),E199&gt;59),1,_xlfn.XLOOKUP(E199,tbl_points[Place],tbl_points[Points],""))))))</f>
        <v/>
      </c>
      <c r="H199" s="3" t="str">
        <f>IF(G199="","",IF(G199="DNS",0,IF(G199="DQ",0,IF(G199="DNF",1,IF(AND(ISNUMBER(G199),G199&gt;59),1,_xlfn.XLOOKUP(G199,tbl_points[Place],tbl_points[Points],""))))))</f>
        <v/>
      </c>
      <c r="J199" s="3" t="str">
        <f>IF(I199="","",IF(I199="DNS",0,IF(I199="DQ",0,IF(I199="DNF",1,IF(AND(ISNUMBER(I199),I199&gt;59),1,_xlfn.XLOOKUP(I199,tbl_points[Place],tbl_points[Points],""))))))</f>
        <v/>
      </c>
      <c r="L199" s="3" t="str">
        <f>IF(K199="","",IF(K199="DNS",0,IF(K199="DQ",0,IF(K199="DNF",1,IF(AND(ISNUMBER(K199),K199&gt;59),1,_xlfn.XLOOKUP(K199,tbl_points[Place],tbl_points[Points],""))))))</f>
        <v/>
      </c>
      <c r="N199" s="3" t="str">
        <f>IF(M199="","",IF(M199="DNS",0,IF(M199="DQ",0,IF(M199="DNF",1,IF(AND(ISNUMBER(M199),M199&gt;59),1,_xlfn.XLOOKUP(M199,tbl_points[Place],tbl_points[Points],""))))))</f>
        <v/>
      </c>
      <c r="P199" s="3" t="str">
        <f>IF(O199="","",IF(O199="DNS",0,IF(O199="DQ",0,IF(O199="DNF",1,IF(AND(ISNUMBER(O199),O199&gt;59),1,_xlfn.XLOOKUP(O199,tbl_points[Place],tbl_points[Points],""))))))</f>
        <v/>
      </c>
      <c r="Q1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9" s="3">
        <f>tbl_individual[[#This Row],[Total]]-tbl_individual[[#This Row],[Lowest Score]]</f>
        <v>0</v>
      </c>
    </row>
    <row r="200" spans="1:19" x14ac:dyDescent="0.4">
      <c r="A200" t="s">
        <v>248</v>
      </c>
      <c r="B200" t="s">
        <v>24</v>
      </c>
      <c r="C200" t="s">
        <v>8</v>
      </c>
      <c r="D200" s="3">
        <v>862</v>
      </c>
      <c r="F200" s="3" t="str">
        <f>IF(E200="","",IF(E200="DNS",0,IF(E200="DQ",0,IF(E200="DNF",1,IF(AND(ISNUMBER(E200),E200&gt;59),1,_xlfn.XLOOKUP(E200,tbl_points[Place],tbl_points[Points],""))))))</f>
        <v/>
      </c>
      <c r="H200" s="3" t="str">
        <f>IF(G200="","",IF(G200="DNS",0,IF(G200="DQ",0,IF(G200="DNF",1,IF(AND(ISNUMBER(G200),G200&gt;59),1,_xlfn.XLOOKUP(G200,tbl_points[Place],tbl_points[Points],""))))))</f>
        <v/>
      </c>
      <c r="J200" s="3" t="str">
        <f>IF(I200="","",IF(I200="DNS",0,IF(I200="DQ",0,IF(I200="DNF",1,IF(AND(ISNUMBER(I200),I200&gt;59),1,_xlfn.XLOOKUP(I200,tbl_points[Place],tbl_points[Points],""))))))</f>
        <v/>
      </c>
      <c r="L200" s="3" t="str">
        <f>IF(K200="","",IF(K200="DNS",0,IF(K200="DQ",0,IF(K200="DNF",1,IF(AND(ISNUMBER(K200),K200&gt;59),1,_xlfn.XLOOKUP(K200,tbl_points[Place],tbl_points[Points],""))))))</f>
        <v/>
      </c>
      <c r="N200" s="3" t="str">
        <f>IF(M200="","",IF(M200="DNS",0,IF(M200="DQ",0,IF(M200="DNF",1,IF(AND(ISNUMBER(M200),M200&gt;59),1,_xlfn.XLOOKUP(M200,tbl_points[Place],tbl_points[Points],""))))))</f>
        <v/>
      </c>
      <c r="P200" s="3" t="str">
        <f>IF(O200="","",IF(O200="DNS",0,IF(O200="DQ",0,IF(O200="DNF",1,IF(AND(ISNUMBER(O200),O200&gt;59),1,_xlfn.XLOOKUP(O200,tbl_points[Place],tbl_points[Points],""))))))</f>
        <v/>
      </c>
      <c r="Q2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0" s="3">
        <f>tbl_individual[[#This Row],[Total]]-tbl_individual[[#This Row],[Lowest Score]]</f>
        <v>0</v>
      </c>
    </row>
    <row r="201" spans="1:19" x14ac:dyDescent="0.4">
      <c r="A201" t="s">
        <v>249</v>
      </c>
      <c r="B201" t="s">
        <v>24</v>
      </c>
      <c r="C201" t="s">
        <v>8</v>
      </c>
      <c r="D201" s="3">
        <v>863</v>
      </c>
      <c r="F201" s="3" t="str">
        <f>IF(E201="","",IF(E201="DNS",0,IF(E201="DQ",0,IF(E201="DNF",1,IF(AND(ISNUMBER(E201),E201&gt;59),1,_xlfn.XLOOKUP(E201,tbl_points[Place],tbl_points[Points],""))))))</f>
        <v/>
      </c>
      <c r="H201" s="3" t="str">
        <f>IF(G201="","",IF(G201="DNS",0,IF(G201="DQ",0,IF(G201="DNF",1,IF(AND(ISNUMBER(G201),G201&gt;59),1,_xlfn.XLOOKUP(G201,tbl_points[Place],tbl_points[Points],""))))))</f>
        <v/>
      </c>
      <c r="J201" s="3" t="str">
        <f>IF(I201="","",IF(I201="DNS",0,IF(I201="DQ",0,IF(I201="DNF",1,IF(AND(ISNUMBER(I201),I201&gt;59),1,_xlfn.XLOOKUP(I201,tbl_points[Place],tbl_points[Points],""))))))</f>
        <v/>
      </c>
      <c r="L201" s="3" t="str">
        <f>IF(K201="","",IF(K201="DNS",0,IF(K201="DQ",0,IF(K201="DNF",1,IF(AND(ISNUMBER(K201),K201&gt;59),1,_xlfn.XLOOKUP(K201,tbl_points[Place],tbl_points[Points],""))))))</f>
        <v/>
      </c>
      <c r="N201" s="3" t="str">
        <f>IF(M201="","",IF(M201="DNS",0,IF(M201="DQ",0,IF(M201="DNF",1,IF(AND(ISNUMBER(M201),M201&gt;59),1,_xlfn.XLOOKUP(M201,tbl_points[Place],tbl_points[Points],""))))))</f>
        <v/>
      </c>
      <c r="P201" s="3" t="str">
        <f>IF(O201="","",IF(O201="DNS",0,IF(O201="DQ",0,IF(O201="DNF",1,IF(AND(ISNUMBER(O201),O201&gt;59),1,_xlfn.XLOOKUP(O201,tbl_points[Place],tbl_points[Points],""))))))</f>
        <v/>
      </c>
      <c r="Q2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1" s="3">
        <f>tbl_individual[[#This Row],[Total]]-tbl_individual[[#This Row],[Lowest Score]]</f>
        <v>0</v>
      </c>
    </row>
    <row r="202" spans="1:19" x14ac:dyDescent="0.4">
      <c r="A202" t="s">
        <v>268</v>
      </c>
      <c r="B202" t="s">
        <v>24</v>
      </c>
      <c r="C202" t="s">
        <v>3</v>
      </c>
      <c r="D202" s="3">
        <v>10183</v>
      </c>
      <c r="F202" s="3" t="str">
        <f>IF(E202="","",IF(E202="DNS",0,IF(E202="DQ",0,IF(E202="DNF",1,IF(AND(ISNUMBER(E202),E202&gt;59),1,_xlfn.XLOOKUP(E202,tbl_points[Place],tbl_points[Points],""))))))</f>
        <v/>
      </c>
      <c r="H202" s="3" t="str">
        <f>IF(G202="","",IF(G202="DNS",0,IF(G202="DQ",0,IF(G202="DNF",1,IF(AND(ISNUMBER(G202),G202&gt;59),1,_xlfn.XLOOKUP(G202,tbl_points[Place],tbl_points[Points],""))))))</f>
        <v/>
      </c>
      <c r="J202" s="3" t="str">
        <f>IF(I202="","",IF(I202="DNS",0,IF(I202="DQ",0,IF(I202="DNF",1,IF(AND(ISNUMBER(I202),I202&gt;59),1,_xlfn.XLOOKUP(I202,tbl_points[Place],tbl_points[Points],""))))))</f>
        <v/>
      </c>
      <c r="L202" s="3" t="str">
        <f>IF(K202="","",IF(K202="DNS",0,IF(K202="DQ",0,IF(K202="DNF",1,IF(AND(ISNUMBER(K202),K202&gt;59),1,_xlfn.XLOOKUP(K202,tbl_points[Place],tbl_points[Points],""))))))</f>
        <v/>
      </c>
      <c r="N202" s="3" t="str">
        <f>IF(M202="","",IF(M202="DNS",0,IF(M202="DQ",0,IF(M202="DNF",1,IF(AND(ISNUMBER(M202),M202&gt;59),1,_xlfn.XLOOKUP(M202,tbl_points[Place],tbl_points[Points],""))))))</f>
        <v/>
      </c>
      <c r="P202" s="3" t="str">
        <f>IF(O202="","",IF(O202="DNS",0,IF(O202="DQ",0,IF(O202="DNF",1,IF(AND(ISNUMBER(O202),O202&gt;59),1,_xlfn.XLOOKUP(O202,tbl_points[Place],tbl_points[Points],""))))))</f>
        <v/>
      </c>
      <c r="Q2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2" s="3">
        <f>tbl_individual[[#This Row],[Total]]-tbl_individual[[#This Row],[Lowest Score]]</f>
        <v>0</v>
      </c>
    </row>
    <row r="203" spans="1:19" x14ac:dyDescent="0.4">
      <c r="A203" t="s">
        <v>269</v>
      </c>
      <c r="B203" t="s">
        <v>24</v>
      </c>
      <c r="C203" t="s">
        <v>3</v>
      </c>
      <c r="D203" s="3">
        <v>10184</v>
      </c>
      <c r="F203" s="3" t="str">
        <f>IF(E203="","",IF(E203="DNS",0,IF(E203="DQ",0,IF(E203="DNF",1,IF(AND(ISNUMBER(E203),E203&gt;59),1,_xlfn.XLOOKUP(E203,tbl_points[Place],tbl_points[Points],""))))))</f>
        <v/>
      </c>
      <c r="H203" s="3" t="str">
        <f>IF(G203="","",IF(G203="DNS",0,IF(G203="DQ",0,IF(G203="DNF",1,IF(AND(ISNUMBER(G203),G203&gt;59),1,_xlfn.XLOOKUP(G203,tbl_points[Place],tbl_points[Points],""))))))</f>
        <v/>
      </c>
      <c r="J203" s="3" t="str">
        <f>IF(I203="","",IF(I203="DNS",0,IF(I203="DQ",0,IF(I203="DNF",1,IF(AND(ISNUMBER(I203),I203&gt;59),1,_xlfn.XLOOKUP(I203,tbl_points[Place],tbl_points[Points],""))))))</f>
        <v/>
      </c>
      <c r="L203" s="3" t="str">
        <f>IF(K203="","",IF(K203="DNS",0,IF(K203="DQ",0,IF(K203="DNF",1,IF(AND(ISNUMBER(K203),K203&gt;59),1,_xlfn.XLOOKUP(K203,tbl_points[Place],tbl_points[Points],""))))))</f>
        <v/>
      </c>
      <c r="N203" s="3" t="str">
        <f>IF(M203="","",IF(M203="DNS",0,IF(M203="DQ",0,IF(M203="DNF",1,IF(AND(ISNUMBER(M203),M203&gt;59),1,_xlfn.XLOOKUP(M203,tbl_points[Place],tbl_points[Points],""))))))</f>
        <v/>
      </c>
      <c r="P203" s="3" t="str">
        <f>IF(O203="","",IF(O203="DNS",0,IF(O203="DQ",0,IF(O203="DNF",1,IF(AND(ISNUMBER(O203),O203&gt;59),1,_xlfn.XLOOKUP(O203,tbl_points[Place],tbl_points[Points],""))))))</f>
        <v/>
      </c>
      <c r="Q2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3" s="3">
        <f>tbl_individual[[#This Row],[Total]]-tbl_individual[[#This Row],[Lowest Score]]</f>
        <v>0</v>
      </c>
    </row>
    <row r="204" spans="1:19" x14ac:dyDescent="0.4">
      <c r="A204" t="s">
        <v>267</v>
      </c>
      <c r="B204" t="s">
        <v>24</v>
      </c>
      <c r="C204" t="s">
        <v>3</v>
      </c>
      <c r="D204" s="3">
        <v>10182</v>
      </c>
      <c r="F204" s="3" t="str">
        <f>IF(E204="","",IF(E204="DNS",0,IF(E204="DQ",0,IF(E204="DNF",1,IF(AND(ISNUMBER(E204),E204&gt;59),1,_xlfn.XLOOKUP(E204,tbl_points[Place],tbl_points[Points],""))))))</f>
        <v/>
      </c>
      <c r="H204" s="3" t="str">
        <f>IF(G204="","",IF(G204="DNS",0,IF(G204="DQ",0,IF(G204="DNF",1,IF(AND(ISNUMBER(G204),G204&gt;59),1,_xlfn.XLOOKUP(G204,tbl_points[Place],tbl_points[Points],""))))))</f>
        <v/>
      </c>
      <c r="J204" s="3" t="str">
        <f>IF(I204="","",IF(I204="DNS",0,IF(I204="DQ",0,IF(I204="DNF",1,IF(AND(ISNUMBER(I204),I204&gt;59),1,_xlfn.XLOOKUP(I204,tbl_points[Place],tbl_points[Points],""))))))</f>
        <v/>
      </c>
      <c r="L204" s="3" t="str">
        <f>IF(K204="","",IF(K204="DNS",0,IF(K204="DQ",0,IF(K204="DNF",1,IF(AND(ISNUMBER(K204),K204&gt;59),1,_xlfn.XLOOKUP(K204,tbl_points[Place],tbl_points[Points],""))))))</f>
        <v/>
      </c>
      <c r="N204" s="3" t="str">
        <f>IF(M204="","",IF(M204="DNS",0,IF(M204="DQ",0,IF(M204="DNF",1,IF(AND(ISNUMBER(M204),M204&gt;59),1,_xlfn.XLOOKUP(M204,tbl_points[Place],tbl_points[Points],""))))))</f>
        <v/>
      </c>
      <c r="P204" s="3" t="str">
        <f>IF(O204="","",IF(O204="DNS",0,IF(O204="DQ",0,IF(O204="DNF",1,IF(AND(ISNUMBER(O204),O204&gt;59),1,_xlfn.XLOOKUP(O204,tbl_points[Place],tbl_points[Points],""))))))</f>
        <v/>
      </c>
      <c r="Q2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4" s="3">
        <f>tbl_individual[[#This Row],[Total]]-tbl_individual[[#This Row],[Lowest Score]]</f>
        <v>0</v>
      </c>
    </row>
    <row r="205" spans="1:19" x14ac:dyDescent="0.4">
      <c r="A205" t="s">
        <v>266</v>
      </c>
      <c r="B205" t="s">
        <v>24</v>
      </c>
      <c r="C205" t="s">
        <v>3</v>
      </c>
      <c r="D205" s="3">
        <v>10181</v>
      </c>
      <c r="F205" s="3" t="str">
        <f>IF(E205="","",IF(E205="DNS",0,IF(E205="DQ",0,IF(E205="DNF",1,IF(AND(ISNUMBER(E205),E205&gt;59),1,_xlfn.XLOOKUP(E205,tbl_points[Place],tbl_points[Points],""))))))</f>
        <v/>
      </c>
      <c r="H205" s="3" t="str">
        <f>IF(G205="","",IF(G205="DNS",0,IF(G205="DQ",0,IF(G205="DNF",1,IF(AND(ISNUMBER(G205),G205&gt;59),1,_xlfn.XLOOKUP(G205,tbl_points[Place],tbl_points[Points],""))))))</f>
        <v/>
      </c>
      <c r="J205" s="3" t="str">
        <f>IF(I205="","",IF(I205="DNS",0,IF(I205="DQ",0,IF(I205="DNF",1,IF(AND(ISNUMBER(I205),I205&gt;59),1,_xlfn.XLOOKUP(I205,tbl_points[Place],tbl_points[Points],""))))))</f>
        <v/>
      </c>
      <c r="L205" s="3" t="str">
        <f>IF(K205="","",IF(K205="DNS",0,IF(K205="DQ",0,IF(K205="DNF",1,IF(AND(ISNUMBER(K205),K205&gt;59),1,_xlfn.XLOOKUP(K205,tbl_points[Place],tbl_points[Points],""))))))</f>
        <v/>
      </c>
      <c r="N205" s="3" t="str">
        <f>IF(M205="","",IF(M205="DNS",0,IF(M205="DQ",0,IF(M205="DNF",1,IF(AND(ISNUMBER(M205),M205&gt;59),1,_xlfn.XLOOKUP(M205,tbl_points[Place],tbl_points[Points],""))))))</f>
        <v/>
      </c>
      <c r="P205" s="3" t="str">
        <f>IF(O205="","",IF(O205="DNS",0,IF(O205="DQ",0,IF(O205="DNF",1,IF(AND(ISNUMBER(O205),O205&gt;59),1,_xlfn.XLOOKUP(O205,tbl_points[Place],tbl_points[Points],""))))))</f>
        <v/>
      </c>
      <c r="Q2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5" s="3">
        <f>tbl_individual[[#This Row],[Total]]-tbl_individual[[#This Row],[Lowest Score]]</f>
        <v>0</v>
      </c>
    </row>
    <row r="206" spans="1:19" x14ac:dyDescent="0.4">
      <c r="A206" t="s">
        <v>271</v>
      </c>
      <c r="B206" t="s">
        <v>24</v>
      </c>
      <c r="C206" t="s">
        <v>3</v>
      </c>
      <c r="D206" s="3">
        <v>10186</v>
      </c>
      <c r="F206" s="3" t="str">
        <f>IF(E206="","",IF(E206="DNS",0,IF(E206="DQ",0,IF(E206="DNF",1,IF(AND(ISNUMBER(E206),E206&gt;59),1,_xlfn.XLOOKUP(E206,tbl_points[Place],tbl_points[Points],""))))))</f>
        <v/>
      </c>
      <c r="H206" s="3" t="str">
        <f>IF(G206="","",IF(G206="DNS",0,IF(G206="DQ",0,IF(G206="DNF",1,IF(AND(ISNUMBER(G206),G206&gt;59),1,_xlfn.XLOOKUP(G206,tbl_points[Place],tbl_points[Points],""))))))</f>
        <v/>
      </c>
      <c r="J206" s="3" t="str">
        <f>IF(I206="","",IF(I206="DNS",0,IF(I206="DQ",0,IF(I206="DNF",1,IF(AND(ISNUMBER(I206),I206&gt;59),1,_xlfn.XLOOKUP(I206,tbl_points[Place],tbl_points[Points],""))))))</f>
        <v/>
      </c>
      <c r="L206" s="3" t="str">
        <f>IF(K206="","",IF(K206="DNS",0,IF(K206="DQ",0,IF(K206="DNF",1,IF(AND(ISNUMBER(K206),K206&gt;59),1,_xlfn.XLOOKUP(K206,tbl_points[Place],tbl_points[Points],""))))))</f>
        <v/>
      </c>
      <c r="N206" s="3" t="str">
        <f>IF(M206="","",IF(M206="DNS",0,IF(M206="DQ",0,IF(M206="DNF",1,IF(AND(ISNUMBER(M206),M206&gt;59),1,_xlfn.XLOOKUP(M206,tbl_points[Place],tbl_points[Points],""))))))</f>
        <v/>
      </c>
      <c r="P206" s="3" t="str">
        <f>IF(O206="","",IF(O206="DNS",0,IF(O206="DQ",0,IF(O206="DNF",1,IF(AND(ISNUMBER(O206),O206&gt;59),1,_xlfn.XLOOKUP(O206,tbl_points[Place],tbl_points[Points],""))))))</f>
        <v/>
      </c>
      <c r="Q2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6" s="3">
        <f>tbl_individual[[#This Row],[Total]]-tbl_individual[[#This Row],[Lowest Score]]</f>
        <v>0</v>
      </c>
    </row>
    <row r="207" spans="1:19" x14ac:dyDescent="0.4">
      <c r="A207" t="s">
        <v>270</v>
      </c>
      <c r="B207" t="s">
        <v>24</v>
      </c>
      <c r="C207" t="s">
        <v>3</v>
      </c>
      <c r="D207" s="3">
        <v>10185</v>
      </c>
      <c r="F207" s="3" t="str">
        <f>IF(E207="","",IF(E207="DNS",0,IF(E207="DQ",0,IF(E207="DNF",1,IF(AND(ISNUMBER(E207),E207&gt;59),1,_xlfn.XLOOKUP(E207,tbl_points[Place],tbl_points[Points],""))))))</f>
        <v/>
      </c>
      <c r="H207" s="3" t="str">
        <f>IF(G207="","",IF(G207="DNS",0,IF(G207="DQ",0,IF(G207="DNF",1,IF(AND(ISNUMBER(G207),G207&gt;59),1,_xlfn.XLOOKUP(G207,tbl_points[Place],tbl_points[Points],""))))))</f>
        <v/>
      </c>
      <c r="J207" s="3" t="str">
        <f>IF(I207="","",IF(I207="DNS",0,IF(I207="DQ",0,IF(I207="DNF",1,IF(AND(ISNUMBER(I207),I207&gt;59),1,_xlfn.XLOOKUP(I207,tbl_points[Place],tbl_points[Points],""))))))</f>
        <v/>
      </c>
      <c r="L207" s="3" t="str">
        <f>IF(K207="","",IF(K207="DNS",0,IF(K207="DQ",0,IF(K207="DNF",1,IF(AND(ISNUMBER(K207),K207&gt;59),1,_xlfn.XLOOKUP(K207,tbl_points[Place],tbl_points[Points],""))))))</f>
        <v/>
      </c>
      <c r="N207" s="3" t="str">
        <f>IF(M207="","",IF(M207="DNS",0,IF(M207="DQ",0,IF(M207="DNF",1,IF(AND(ISNUMBER(M207),M207&gt;59),1,_xlfn.XLOOKUP(M207,tbl_points[Place],tbl_points[Points],""))))))</f>
        <v/>
      </c>
      <c r="P207" s="3" t="str">
        <f>IF(O207="","",IF(O207="DNS",0,IF(O207="DQ",0,IF(O207="DNF",1,IF(AND(ISNUMBER(O207),O207&gt;59),1,_xlfn.XLOOKUP(O207,tbl_points[Place],tbl_points[Points],""))))))</f>
        <v/>
      </c>
      <c r="Q2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7" s="3">
        <f>tbl_individual[[#This Row],[Total]]-tbl_individual[[#This Row],[Lowest Score]]</f>
        <v>0</v>
      </c>
    </row>
    <row r="208" spans="1:19" x14ac:dyDescent="0.4">
      <c r="A208" t="s">
        <v>264</v>
      </c>
      <c r="B208" t="s">
        <v>24</v>
      </c>
      <c r="C208" t="s">
        <v>4</v>
      </c>
      <c r="D208" s="3">
        <v>1038</v>
      </c>
      <c r="F208" s="3" t="str">
        <f>IF(E208="","",IF(E208="DNS",0,IF(E208="DQ",0,IF(E208="DNF",1,IF(AND(ISNUMBER(E208),E208&gt;59),1,_xlfn.XLOOKUP(E208,tbl_points[Place],tbl_points[Points],""))))))</f>
        <v/>
      </c>
      <c r="H208" s="3" t="str">
        <f>IF(G208="","",IF(G208="DNS",0,IF(G208="DQ",0,IF(G208="DNF",1,IF(AND(ISNUMBER(G208),G208&gt;59),1,_xlfn.XLOOKUP(G208,tbl_points[Place],tbl_points[Points],""))))))</f>
        <v/>
      </c>
      <c r="J208" s="3" t="str">
        <f>IF(I208="","",IF(I208="DNS",0,IF(I208="DQ",0,IF(I208="DNF",1,IF(AND(ISNUMBER(I208),I208&gt;59),1,_xlfn.XLOOKUP(I208,tbl_points[Place],tbl_points[Points],""))))))</f>
        <v/>
      </c>
      <c r="L208" s="3" t="str">
        <f>IF(K208="","",IF(K208="DNS",0,IF(K208="DQ",0,IF(K208="DNF",1,IF(AND(ISNUMBER(K208),K208&gt;59),1,_xlfn.XLOOKUP(K208,tbl_points[Place],tbl_points[Points],""))))))</f>
        <v/>
      </c>
      <c r="N208" s="3" t="str">
        <f>IF(M208="","",IF(M208="DNS",0,IF(M208="DQ",0,IF(M208="DNF",1,IF(AND(ISNUMBER(M208),M208&gt;59),1,_xlfn.XLOOKUP(M208,tbl_points[Place],tbl_points[Points],""))))))</f>
        <v/>
      </c>
      <c r="P208" s="3" t="str">
        <f>IF(O208="","",IF(O208="DNS",0,IF(O208="DQ",0,IF(O208="DNF",1,IF(AND(ISNUMBER(O208),O208&gt;59),1,_xlfn.XLOOKUP(O208,tbl_points[Place],tbl_points[Points],""))))))</f>
        <v/>
      </c>
      <c r="Q2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8" s="3">
        <f>tbl_individual[[#This Row],[Total]]-tbl_individual[[#This Row],[Lowest Score]]</f>
        <v>0</v>
      </c>
    </row>
    <row r="209" spans="1:19" x14ac:dyDescent="0.4">
      <c r="A209" t="s">
        <v>265</v>
      </c>
      <c r="B209" t="s">
        <v>24</v>
      </c>
      <c r="C209" t="s">
        <v>4</v>
      </c>
      <c r="D209" s="3">
        <v>1039</v>
      </c>
      <c r="F209" s="3" t="str">
        <f>IF(E209="","",IF(E209="DNS",0,IF(E209="DQ",0,IF(E209="DNF",1,IF(AND(ISNUMBER(E209),E209&gt;59),1,_xlfn.XLOOKUP(E209,tbl_points[Place],tbl_points[Points],""))))))</f>
        <v/>
      </c>
      <c r="H209" s="3" t="str">
        <f>IF(G209="","",IF(G209="DNS",0,IF(G209="DQ",0,IF(G209="DNF",1,IF(AND(ISNUMBER(G209),G209&gt;59),1,_xlfn.XLOOKUP(G209,tbl_points[Place],tbl_points[Points],""))))))</f>
        <v/>
      </c>
      <c r="J209" s="3" t="str">
        <f>IF(I209="","",IF(I209="DNS",0,IF(I209="DQ",0,IF(I209="DNF",1,IF(AND(ISNUMBER(I209),I209&gt;59),1,_xlfn.XLOOKUP(I209,tbl_points[Place],tbl_points[Points],""))))))</f>
        <v/>
      </c>
      <c r="L209" s="3" t="str">
        <f>IF(K209="","",IF(K209="DNS",0,IF(K209="DQ",0,IF(K209="DNF",1,IF(AND(ISNUMBER(K209),K209&gt;59),1,_xlfn.XLOOKUP(K209,tbl_points[Place],tbl_points[Points],""))))))</f>
        <v/>
      </c>
      <c r="N209" s="3" t="str">
        <f>IF(M209="","",IF(M209="DNS",0,IF(M209="DQ",0,IF(M209="DNF",1,IF(AND(ISNUMBER(M209),M209&gt;59),1,_xlfn.XLOOKUP(M209,tbl_points[Place],tbl_points[Points],""))))))</f>
        <v/>
      </c>
      <c r="P209" s="3" t="str">
        <f>IF(O209="","",IF(O209="DNS",0,IF(O209="DQ",0,IF(O209="DNF",1,IF(AND(ISNUMBER(O209),O209&gt;59),1,_xlfn.XLOOKUP(O209,tbl_points[Place],tbl_points[Points],""))))))</f>
        <v/>
      </c>
      <c r="Q2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9" s="3">
        <f>tbl_individual[[#This Row],[Total]]-tbl_individual[[#This Row],[Lowest Score]]</f>
        <v>0</v>
      </c>
    </row>
    <row r="210" spans="1:19" x14ac:dyDescent="0.4">
      <c r="A210" t="s">
        <v>263</v>
      </c>
      <c r="B210" t="s">
        <v>24</v>
      </c>
      <c r="C210" t="s">
        <v>4</v>
      </c>
      <c r="D210" s="3">
        <v>1037</v>
      </c>
      <c r="F210" s="3" t="str">
        <f>IF(E210="","",IF(E210="DNS",0,IF(E210="DQ",0,IF(E210="DNF",1,IF(AND(ISNUMBER(E210),E210&gt;59),1,_xlfn.XLOOKUP(E210,tbl_points[Place],tbl_points[Points],""))))))</f>
        <v/>
      </c>
      <c r="H210" s="3" t="str">
        <f>IF(G210="","",IF(G210="DNS",0,IF(G210="DQ",0,IF(G210="DNF",1,IF(AND(ISNUMBER(G210),G210&gt;59),1,_xlfn.XLOOKUP(G210,tbl_points[Place],tbl_points[Points],""))))))</f>
        <v/>
      </c>
      <c r="J210" s="3" t="str">
        <f>IF(I210="","",IF(I210="DNS",0,IF(I210="DQ",0,IF(I210="DNF",1,IF(AND(ISNUMBER(I210),I210&gt;59),1,_xlfn.XLOOKUP(I210,tbl_points[Place],tbl_points[Points],""))))))</f>
        <v/>
      </c>
      <c r="L210" s="3" t="str">
        <f>IF(K210="","",IF(K210="DNS",0,IF(K210="DQ",0,IF(K210="DNF",1,IF(AND(ISNUMBER(K210),K210&gt;59),1,_xlfn.XLOOKUP(K210,tbl_points[Place],tbl_points[Points],""))))))</f>
        <v/>
      </c>
      <c r="N210" s="3" t="str">
        <f>IF(M210="","",IF(M210="DNS",0,IF(M210="DQ",0,IF(M210="DNF",1,IF(AND(ISNUMBER(M210),M210&gt;59),1,_xlfn.XLOOKUP(M210,tbl_points[Place],tbl_points[Points],""))))))</f>
        <v/>
      </c>
      <c r="P210" s="3" t="str">
        <f>IF(O210="","",IF(O210="DNS",0,IF(O210="DQ",0,IF(O210="DNF",1,IF(AND(ISNUMBER(O210),O210&gt;59),1,_xlfn.XLOOKUP(O210,tbl_points[Place],tbl_points[Points],""))))))</f>
        <v/>
      </c>
      <c r="Q2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0" s="3">
        <f>tbl_individual[[#This Row],[Total]]-tbl_individual[[#This Row],[Lowest Score]]</f>
        <v>0</v>
      </c>
    </row>
    <row r="211" spans="1:19" x14ac:dyDescent="0.4">
      <c r="A211" t="s">
        <v>262</v>
      </c>
      <c r="B211" t="s">
        <v>24</v>
      </c>
      <c r="C211" t="s">
        <v>4</v>
      </c>
      <c r="D211" s="3">
        <v>1036</v>
      </c>
      <c r="F211" s="3" t="str">
        <f>IF(E211="","",IF(E211="DNS",0,IF(E211="DQ",0,IF(E211="DNF",1,IF(AND(ISNUMBER(E211),E211&gt;59),1,_xlfn.XLOOKUP(E211,tbl_points[Place],tbl_points[Points],""))))))</f>
        <v/>
      </c>
      <c r="H211" s="3" t="str">
        <f>IF(G211="","",IF(G211="DNS",0,IF(G211="DQ",0,IF(G211="DNF",1,IF(AND(ISNUMBER(G211),G211&gt;59),1,_xlfn.XLOOKUP(G211,tbl_points[Place],tbl_points[Points],""))))))</f>
        <v/>
      </c>
      <c r="J211" s="3" t="str">
        <f>IF(I211="","",IF(I211="DNS",0,IF(I211="DQ",0,IF(I211="DNF",1,IF(AND(ISNUMBER(I211),I211&gt;59),1,_xlfn.XLOOKUP(I211,tbl_points[Place],tbl_points[Points],""))))))</f>
        <v/>
      </c>
      <c r="L211" s="3" t="str">
        <f>IF(K211="","",IF(K211="DNS",0,IF(K211="DQ",0,IF(K211="DNF",1,IF(AND(ISNUMBER(K211),K211&gt;59),1,_xlfn.XLOOKUP(K211,tbl_points[Place],tbl_points[Points],""))))))</f>
        <v/>
      </c>
      <c r="N211" s="3" t="str">
        <f>IF(M211="","",IF(M211="DNS",0,IF(M211="DQ",0,IF(M211="DNF",1,IF(AND(ISNUMBER(M211),M211&gt;59),1,_xlfn.XLOOKUP(M211,tbl_points[Place],tbl_points[Points],""))))))</f>
        <v/>
      </c>
      <c r="P211" s="3" t="str">
        <f>IF(O211="","",IF(O211="DNS",0,IF(O211="DQ",0,IF(O211="DNF",1,IF(AND(ISNUMBER(O211),O211&gt;59),1,_xlfn.XLOOKUP(O211,tbl_points[Place],tbl_points[Points],""))))))</f>
        <v/>
      </c>
      <c r="Q2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1" s="3">
        <f>tbl_individual[[#This Row],[Total]]-tbl_individual[[#This Row],[Lowest Score]]</f>
        <v>0</v>
      </c>
    </row>
    <row r="212" spans="1:19" x14ac:dyDescent="0.4">
      <c r="A212" t="s">
        <v>257</v>
      </c>
      <c r="B212" t="s">
        <v>24</v>
      </c>
      <c r="C212" t="s">
        <v>5</v>
      </c>
      <c r="D212" s="3">
        <v>924</v>
      </c>
      <c r="F212" s="3" t="str">
        <f>IF(E212="","",IF(E212="DNS",0,IF(E212="DQ",0,IF(E212="DNF",1,IF(AND(ISNUMBER(E212),E212&gt;59),1,_xlfn.XLOOKUP(E212,tbl_points[Place],tbl_points[Points],""))))))</f>
        <v/>
      </c>
      <c r="H212" s="3" t="str">
        <f>IF(G212="","",IF(G212="DNS",0,IF(G212="DQ",0,IF(G212="DNF",1,IF(AND(ISNUMBER(G212),G212&gt;59),1,_xlfn.XLOOKUP(G212,tbl_points[Place],tbl_points[Points],""))))))</f>
        <v/>
      </c>
      <c r="J212" s="3" t="str">
        <f>IF(I212="","",IF(I212="DNS",0,IF(I212="DQ",0,IF(I212="DNF",1,IF(AND(ISNUMBER(I212),I212&gt;59),1,_xlfn.XLOOKUP(I212,tbl_points[Place],tbl_points[Points],""))))))</f>
        <v/>
      </c>
      <c r="L212" s="3" t="str">
        <f>IF(K212="","",IF(K212="DNS",0,IF(K212="DQ",0,IF(K212="DNF",1,IF(AND(ISNUMBER(K212),K212&gt;59),1,_xlfn.XLOOKUP(K212,tbl_points[Place],tbl_points[Points],""))))))</f>
        <v/>
      </c>
      <c r="N212" s="3" t="str">
        <f>IF(M212="","",IF(M212="DNS",0,IF(M212="DQ",0,IF(M212="DNF",1,IF(AND(ISNUMBER(M212),M212&gt;59),1,_xlfn.XLOOKUP(M212,tbl_points[Place],tbl_points[Points],""))))))</f>
        <v/>
      </c>
      <c r="P212" s="3" t="str">
        <f>IF(O212="","",IF(O212="DNS",0,IF(O212="DQ",0,IF(O212="DNF",1,IF(AND(ISNUMBER(O212),O212&gt;59),1,_xlfn.XLOOKUP(O212,tbl_points[Place],tbl_points[Points],""))))))</f>
        <v/>
      </c>
      <c r="Q2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2" s="3">
        <f>tbl_individual[[#This Row],[Total]]-tbl_individual[[#This Row],[Lowest Score]]</f>
        <v>0</v>
      </c>
    </row>
    <row r="213" spans="1:19" x14ac:dyDescent="0.4">
      <c r="A213" t="s">
        <v>258</v>
      </c>
      <c r="B213" t="s">
        <v>24</v>
      </c>
      <c r="C213" t="s">
        <v>5</v>
      </c>
      <c r="D213" s="3">
        <v>925</v>
      </c>
      <c r="F213" s="3" t="str">
        <f>IF(E213="","",IF(E213="DNS",0,IF(E213="DQ",0,IF(E213="DNF",1,IF(AND(ISNUMBER(E213),E213&gt;59),1,_xlfn.XLOOKUP(E213,tbl_points[Place],tbl_points[Points],""))))))</f>
        <v/>
      </c>
      <c r="H213" s="3" t="str">
        <f>IF(G213="","",IF(G213="DNS",0,IF(G213="DQ",0,IF(G213="DNF",1,IF(AND(ISNUMBER(G213),G213&gt;59),1,_xlfn.XLOOKUP(G213,tbl_points[Place],tbl_points[Points],""))))))</f>
        <v/>
      </c>
      <c r="J213" s="3" t="str">
        <f>IF(I213="","",IF(I213="DNS",0,IF(I213="DQ",0,IF(I213="DNF",1,IF(AND(ISNUMBER(I213),I213&gt;59),1,_xlfn.XLOOKUP(I213,tbl_points[Place],tbl_points[Points],""))))))</f>
        <v/>
      </c>
      <c r="L213" s="3" t="str">
        <f>IF(K213="","",IF(K213="DNS",0,IF(K213="DQ",0,IF(K213="DNF",1,IF(AND(ISNUMBER(K213),K213&gt;59),1,_xlfn.XLOOKUP(K213,tbl_points[Place],tbl_points[Points],""))))))</f>
        <v/>
      </c>
      <c r="N213" s="3" t="str">
        <f>IF(M213="","",IF(M213="DNS",0,IF(M213="DQ",0,IF(M213="DNF",1,IF(AND(ISNUMBER(M213),M213&gt;59),1,_xlfn.XLOOKUP(M213,tbl_points[Place],tbl_points[Points],""))))))</f>
        <v/>
      </c>
      <c r="P213" s="3" t="str">
        <f>IF(O213="","",IF(O213="DNS",0,IF(O213="DQ",0,IF(O213="DNF",1,IF(AND(ISNUMBER(O213),O213&gt;59),1,_xlfn.XLOOKUP(O213,tbl_points[Place],tbl_points[Points],""))))))</f>
        <v/>
      </c>
      <c r="Q2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3" s="3">
        <f>tbl_individual[[#This Row],[Total]]-tbl_individual[[#This Row],[Lowest Score]]</f>
        <v>0</v>
      </c>
    </row>
    <row r="214" spans="1:19" x14ac:dyDescent="0.4">
      <c r="A214" t="s">
        <v>259</v>
      </c>
      <c r="B214" t="s">
        <v>24</v>
      </c>
      <c r="C214" t="s">
        <v>5</v>
      </c>
      <c r="D214" s="3">
        <v>926</v>
      </c>
      <c r="F214" s="3" t="str">
        <f>IF(E214="","",IF(E214="DNS",0,IF(E214="DQ",0,IF(E214="DNF",1,IF(AND(ISNUMBER(E214),E214&gt;59),1,_xlfn.XLOOKUP(E214,tbl_points[Place],tbl_points[Points],""))))))</f>
        <v/>
      </c>
      <c r="H214" s="3" t="str">
        <f>IF(G214="","",IF(G214="DNS",0,IF(G214="DQ",0,IF(G214="DNF",1,IF(AND(ISNUMBER(G214),G214&gt;59),1,_xlfn.XLOOKUP(G214,tbl_points[Place],tbl_points[Points],""))))))</f>
        <v/>
      </c>
      <c r="J214" s="3" t="str">
        <f>IF(I214="","",IF(I214="DNS",0,IF(I214="DQ",0,IF(I214="DNF",1,IF(AND(ISNUMBER(I214),I214&gt;59),1,_xlfn.XLOOKUP(I214,tbl_points[Place],tbl_points[Points],""))))))</f>
        <v/>
      </c>
      <c r="L214" s="3" t="str">
        <f>IF(K214="","",IF(K214="DNS",0,IF(K214="DQ",0,IF(K214="DNF",1,IF(AND(ISNUMBER(K214),K214&gt;59),1,_xlfn.XLOOKUP(K214,tbl_points[Place],tbl_points[Points],""))))))</f>
        <v/>
      </c>
      <c r="N214" s="3" t="str">
        <f>IF(M214="","",IF(M214="DNS",0,IF(M214="DQ",0,IF(M214="DNF",1,IF(AND(ISNUMBER(M214),M214&gt;59),1,_xlfn.XLOOKUP(M214,tbl_points[Place],tbl_points[Points],""))))))</f>
        <v/>
      </c>
      <c r="P214" s="3" t="str">
        <f>IF(O214="","",IF(O214="DNS",0,IF(O214="DQ",0,IF(O214="DNF",1,IF(AND(ISNUMBER(O214),O214&gt;59),1,_xlfn.XLOOKUP(O214,tbl_points[Place],tbl_points[Points],""))))))</f>
        <v/>
      </c>
      <c r="Q2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4" s="3">
        <f>tbl_individual[[#This Row],[Total]]-tbl_individual[[#This Row],[Lowest Score]]</f>
        <v>0</v>
      </c>
    </row>
    <row r="215" spans="1:19" x14ac:dyDescent="0.4">
      <c r="A215" t="s">
        <v>260</v>
      </c>
      <c r="B215" t="s">
        <v>24</v>
      </c>
      <c r="C215" t="s">
        <v>5</v>
      </c>
      <c r="D215" s="3">
        <v>927</v>
      </c>
      <c r="F215" s="3" t="str">
        <f>IF(E215="","",IF(E215="DNS",0,IF(E215="DQ",0,IF(E215="DNF",1,IF(AND(ISNUMBER(E215),E215&gt;59),1,_xlfn.XLOOKUP(E215,tbl_points[Place],tbl_points[Points],""))))))</f>
        <v/>
      </c>
      <c r="H215" s="3" t="str">
        <f>IF(G215="","",IF(G215="DNS",0,IF(G215="DQ",0,IF(G215="DNF",1,IF(AND(ISNUMBER(G215),G215&gt;59),1,_xlfn.XLOOKUP(G215,tbl_points[Place],tbl_points[Points],""))))))</f>
        <v/>
      </c>
      <c r="J215" s="3" t="str">
        <f>IF(I215="","",IF(I215="DNS",0,IF(I215="DQ",0,IF(I215="DNF",1,IF(AND(ISNUMBER(I215),I215&gt;59),1,_xlfn.XLOOKUP(I215,tbl_points[Place],tbl_points[Points],""))))))</f>
        <v/>
      </c>
      <c r="L215" s="3" t="str">
        <f>IF(K215="","",IF(K215="DNS",0,IF(K215="DQ",0,IF(K215="DNF",1,IF(AND(ISNUMBER(K215),K215&gt;59),1,_xlfn.XLOOKUP(K215,tbl_points[Place],tbl_points[Points],""))))))</f>
        <v/>
      </c>
      <c r="N215" s="3" t="str">
        <f>IF(M215="","",IF(M215="DNS",0,IF(M215="DQ",0,IF(M215="DNF",1,IF(AND(ISNUMBER(M215),M215&gt;59),1,_xlfn.XLOOKUP(M215,tbl_points[Place],tbl_points[Points],""))))))</f>
        <v/>
      </c>
      <c r="P215" s="3" t="str">
        <f>IF(O215="","",IF(O215="DNS",0,IF(O215="DQ",0,IF(O215="DNF",1,IF(AND(ISNUMBER(O215),O215&gt;59),1,_xlfn.XLOOKUP(O215,tbl_points[Place],tbl_points[Points],""))))))</f>
        <v/>
      </c>
      <c r="Q2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5" s="3">
        <f>tbl_individual[[#This Row],[Total]]-tbl_individual[[#This Row],[Lowest Score]]</f>
        <v>0</v>
      </c>
    </row>
    <row r="216" spans="1:19" x14ac:dyDescent="0.4">
      <c r="A216" t="s">
        <v>261</v>
      </c>
      <c r="B216" t="s">
        <v>24</v>
      </c>
      <c r="C216" t="s">
        <v>5</v>
      </c>
      <c r="D216" s="3">
        <v>928</v>
      </c>
      <c r="F216" s="3" t="str">
        <f>IF(E216="","",IF(E216="DNS",0,IF(E216="DQ",0,IF(E216="DNF",1,IF(AND(ISNUMBER(E216),E216&gt;59),1,_xlfn.XLOOKUP(E216,tbl_points[Place],tbl_points[Points],""))))))</f>
        <v/>
      </c>
      <c r="H216" s="3" t="str">
        <f>IF(G216="","",IF(G216="DNS",0,IF(G216="DQ",0,IF(G216="DNF",1,IF(AND(ISNUMBER(G216),G216&gt;59),1,_xlfn.XLOOKUP(G216,tbl_points[Place],tbl_points[Points],""))))))</f>
        <v/>
      </c>
      <c r="J216" s="3" t="str">
        <f>IF(I216="","",IF(I216="DNS",0,IF(I216="DQ",0,IF(I216="DNF",1,IF(AND(ISNUMBER(I216),I216&gt;59),1,_xlfn.XLOOKUP(I216,tbl_points[Place],tbl_points[Points],""))))))</f>
        <v/>
      </c>
      <c r="L216" s="3" t="str">
        <f>IF(K216="","",IF(K216="DNS",0,IF(K216="DQ",0,IF(K216="DNF",1,IF(AND(ISNUMBER(K216),K216&gt;59),1,_xlfn.XLOOKUP(K216,tbl_points[Place],tbl_points[Points],""))))))</f>
        <v/>
      </c>
      <c r="N216" s="3" t="str">
        <f>IF(M216="","",IF(M216="DNS",0,IF(M216="DQ",0,IF(M216="DNF",1,IF(AND(ISNUMBER(M216),M216&gt;59),1,_xlfn.XLOOKUP(M216,tbl_points[Place],tbl_points[Points],""))))))</f>
        <v/>
      </c>
      <c r="P216" s="3" t="str">
        <f>IF(O216="","",IF(O216="DNS",0,IF(O216="DQ",0,IF(O216="DNF",1,IF(AND(ISNUMBER(O216),O216&gt;59),1,_xlfn.XLOOKUP(O216,tbl_points[Place],tbl_points[Points],""))))))</f>
        <v/>
      </c>
      <c r="Q2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6" s="3">
        <f>tbl_individual[[#This Row],[Total]]-tbl_individual[[#This Row],[Lowest Score]]</f>
        <v>0</v>
      </c>
    </row>
    <row r="217" spans="1:19" x14ac:dyDescent="0.4">
      <c r="A217" t="s">
        <v>255</v>
      </c>
      <c r="B217" t="s">
        <v>24</v>
      </c>
      <c r="C217" t="s">
        <v>6</v>
      </c>
      <c r="D217" s="3">
        <v>927</v>
      </c>
      <c r="F217" s="3" t="str">
        <f>IF(E217="","",IF(E217="DNS",0,IF(E217="DQ",0,IF(E217="DNF",1,IF(AND(ISNUMBER(E217),E217&gt;59),1,_xlfn.XLOOKUP(E217,tbl_points[Place],tbl_points[Points],""))))))</f>
        <v/>
      </c>
      <c r="H217" s="3" t="str">
        <f>IF(G217="","",IF(G217="DNS",0,IF(G217="DQ",0,IF(G217="DNF",1,IF(AND(ISNUMBER(G217),G217&gt;59),1,_xlfn.XLOOKUP(G217,tbl_points[Place],tbl_points[Points],""))))))</f>
        <v/>
      </c>
      <c r="J217" s="3" t="str">
        <f>IF(I217="","",IF(I217="DNS",0,IF(I217="DQ",0,IF(I217="DNF",1,IF(AND(ISNUMBER(I217),I217&gt;59),1,_xlfn.XLOOKUP(I217,tbl_points[Place],tbl_points[Points],""))))))</f>
        <v/>
      </c>
      <c r="L217" s="3" t="str">
        <f>IF(K217="","",IF(K217="DNS",0,IF(K217="DQ",0,IF(K217="DNF",1,IF(AND(ISNUMBER(K217),K217&gt;59),1,_xlfn.XLOOKUP(K217,tbl_points[Place],tbl_points[Points],""))))))</f>
        <v/>
      </c>
      <c r="N217" s="3" t="str">
        <f>IF(M217="","",IF(M217="DNS",0,IF(M217="DQ",0,IF(M217="DNF",1,IF(AND(ISNUMBER(M217),M217&gt;59),1,_xlfn.XLOOKUP(M217,tbl_points[Place],tbl_points[Points],""))))))</f>
        <v/>
      </c>
      <c r="P217" s="3" t="str">
        <f>IF(O217="","",IF(O217="DNS",0,IF(O217="DQ",0,IF(O217="DNF",1,IF(AND(ISNUMBER(O217),O217&gt;59),1,_xlfn.XLOOKUP(O217,tbl_points[Place],tbl_points[Points],""))))))</f>
        <v/>
      </c>
      <c r="Q2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7" s="3">
        <f>tbl_individual[[#This Row],[Total]]-tbl_individual[[#This Row],[Lowest Score]]</f>
        <v>0</v>
      </c>
    </row>
    <row r="218" spans="1:19" x14ac:dyDescent="0.4">
      <c r="A218" t="s">
        <v>254</v>
      </c>
      <c r="B218" t="s">
        <v>24</v>
      </c>
      <c r="C218" t="s">
        <v>6</v>
      </c>
      <c r="D218" s="3">
        <v>926</v>
      </c>
      <c r="F218" s="3" t="str">
        <f>IF(E218="","",IF(E218="DNS",0,IF(E218="DQ",0,IF(E218="DNF",1,IF(AND(ISNUMBER(E218),E218&gt;59),1,_xlfn.XLOOKUP(E218,tbl_points[Place],tbl_points[Points],""))))))</f>
        <v/>
      </c>
      <c r="H218" s="3" t="str">
        <f>IF(G218="","",IF(G218="DNS",0,IF(G218="DQ",0,IF(G218="DNF",1,IF(AND(ISNUMBER(G218),G218&gt;59),1,_xlfn.XLOOKUP(G218,tbl_points[Place],tbl_points[Points],""))))))</f>
        <v/>
      </c>
      <c r="J218" s="3" t="str">
        <f>IF(I218="","",IF(I218="DNS",0,IF(I218="DQ",0,IF(I218="DNF",1,IF(AND(ISNUMBER(I218),I218&gt;59),1,_xlfn.XLOOKUP(I218,tbl_points[Place],tbl_points[Points],""))))))</f>
        <v/>
      </c>
      <c r="L218" s="3" t="str">
        <f>IF(K218="","",IF(K218="DNS",0,IF(K218="DQ",0,IF(K218="DNF",1,IF(AND(ISNUMBER(K218),K218&gt;59),1,_xlfn.XLOOKUP(K218,tbl_points[Place],tbl_points[Points],""))))))</f>
        <v/>
      </c>
      <c r="N218" s="3" t="str">
        <f>IF(M218="","",IF(M218="DNS",0,IF(M218="DQ",0,IF(M218="DNF",1,IF(AND(ISNUMBER(M218),M218&gt;59),1,_xlfn.XLOOKUP(M218,tbl_points[Place],tbl_points[Points],""))))))</f>
        <v/>
      </c>
      <c r="P218" s="3" t="str">
        <f>IF(O218="","",IF(O218="DNS",0,IF(O218="DQ",0,IF(O218="DNF",1,IF(AND(ISNUMBER(O218),O218&gt;59),1,_xlfn.XLOOKUP(O218,tbl_points[Place],tbl_points[Points],""))))))</f>
        <v/>
      </c>
      <c r="Q2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8" s="3">
        <f>tbl_individual[[#This Row],[Total]]-tbl_individual[[#This Row],[Lowest Score]]</f>
        <v>0</v>
      </c>
    </row>
    <row r="219" spans="1:19" x14ac:dyDescent="0.4">
      <c r="A219" t="s">
        <v>256</v>
      </c>
      <c r="B219" t="s">
        <v>24</v>
      </c>
      <c r="C219" t="s">
        <v>6</v>
      </c>
      <c r="D219" s="3">
        <v>928</v>
      </c>
      <c r="F219" s="3" t="str">
        <f>IF(E219="","",IF(E219="DNS",0,IF(E219="DQ",0,IF(E219="DNF",1,IF(AND(ISNUMBER(E219),E219&gt;59),1,_xlfn.XLOOKUP(E219,tbl_points[Place],tbl_points[Points],""))))))</f>
        <v/>
      </c>
      <c r="H219" s="3" t="str">
        <f>IF(G219="","",IF(G219="DNS",0,IF(G219="DQ",0,IF(G219="DNF",1,IF(AND(ISNUMBER(G219),G219&gt;59),1,_xlfn.XLOOKUP(G219,tbl_points[Place],tbl_points[Points],""))))))</f>
        <v/>
      </c>
      <c r="J219" s="3" t="str">
        <f>IF(I219="","",IF(I219="DNS",0,IF(I219="DQ",0,IF(I219="DNF",1,IF(AND(ISNUMBER(I219),I219&gt;59),1,_xlfn.XLOOKUP(I219,tbl_points[Place],tbl_points[Points],""))))))</f>
        <v/>
      </c>
      <c r="L219" s="3" t="str">
        <f>IF(K219="","",IF(K219="DNS",0,IF(K219="DQ",0,IF(K219="DNF",1,IF(AND(ISNUMBER(K219),K219&gt;59),1,_xlfn.XLOOKUP(K219,tbl_points[Place],tbl_points[Points],""))))))</f>
        <v/>
      </c>
      <c r="N219" s="3" t="str">
        <f>IF(M219="","",IF(M219="DNS",0,IF(M219="DQ",0,IF(M219="DNF",1,IF(AND(ISNUMBER(M219),M219&gt;59),1,_xlfn.XLOOKUP(M219,tbl_points[Place],tbl_points[Points],""))))))</f>
        <v/>
      </c>
      <c r="P219" s="3" t="str">
        <f>IF(O219="","",IF(O219="DNS",0,IF(O219="DQ",0,IF(O219="DNF",1,IF(AND(ISNUMBER(O219),O219&gt;59),1,_xlfn.XLOOKUP(O219,tbl_points[Place],tbl_points[Points],""))))))</f>
        <v/>
      </c>
      <c r="Q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9" s="3">
        <f>tbl_individual[[#This Row],[Total]]-tbl_individual[[#This Row],[Lowest Score]]</f>
        <v>0</v>
      </c>
    </row>
    <row r="220" spans="1:19" x14ac:dyDescent="0.4">
      <c r="A220" t="s">
        <v>284</v>
      </c>
      <c r="B220" t="s">
        <v>24</v>
      </c>
      <c r="C220" t="s">
        <v>1</v>
      </c>
      <c r="D220" s="3">
        <v>12069</v>
      </c>
      <c r="F220" s="3" t="str">
        <f>IF(E220="","",IF(E220="DNS",0,IF(E220="DQ",0,IF(E220="DNF",1,IF(AND(ISNUMBER(E220),E220&gt;59),1,_xlfn.XLOOKUP(E220,tbl_points[Place],tbl_points[Points],""))))))</f>
        <v/>
      </c>
      <c r="H220" s="3" t="str">
        <f>IF(G220="","",IF(G220="DNS",0,IF(G220="DQ",0,IF(G220="DNF",1,IF(AND(ISNUMBER(G220),G220&gt;59),1,_xlfn.XLOOKUP(G220,tbl_points[Place],tbl_points[Points],""))))))</f>
        <v/>
      </c>
      <c r="J220" s="3" t="str">
        <f>IF(I220="","",IF(I220="DNS",0,IF(I220="DQ",0,IF(I220="DNF",1,IF(AND(ISNUMBER(I220),I220&gt;59),1,_xlfn.XLOOKUP(I220,tbl_points[Place],tbl_points[Points],""))))))</f>
        <v/>
      </c>
      <c r="L220" s="3" t="str">
        <f>IF(K220="","",IF(K220="DNS",0,IF(K220="DQ",0,IF(K220="DNF",1,IF(AND(ISNUMBER(K220),K220&gt;59),1,_xlfn.XLOOKUP(K220,tbl_points[Place],tbl_points[Points],""))))))</f>
        <v/>
      </c>
      <c r="N220" s="3" t="str">
        <f>IF(M220="","",IF(M220="DNS",0,IF(M220="DQ",0,IF(M220="DNF",1,IF(AND(ISNUMBER(M220),M220&gt;59),1,_xlfn.XLOOKUP(M220,tbl_points[Place],tbl_points[Points],""))))))</f>
        <v/>
      </c>
      <c r="P220" s="3" t="str">
        <f>IF(O220="","",IF(O220="DNS",0,IF(O220="DQ",0,IF(O220="DNF",1,IF(AND(ISNUMBER(O220),O220&gt;59),1,_xlfn.XLOOKUP(O220,tbl_points[Place],tbl_points[Points],""))))))</f>
        <v/>
      </c>
      <c r="Q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0" s="3">
        <f>tbl_individual[[#This Row],[Total]]-tbl_individual[[#This Row],[Lowest Score]]</f>
        <v>0</v>
      </c>
    </row>
    <row r="221" spans="1:19" x14ac:dyDescent="0.4">
      <c r="A221" t="s">
        <v>279</v>
      </c>
      <c r="B221" t="s">
        <v>24</v>
      </c>
      <c r="C221" t="s">
        <v>1</v>
      </c>
      <c r="D221" s="3">
        <v>12064</v>
      </c>
      <c r="F221" s="3" t="str">
        <f>IF(E221="","",IF(E221="DNS",0,IF(E221="DQ",0,IF(E221="DNF",1,IF(AND(ISNUMBER(E221),E221&gt;59),1,_xlfn.XLOOKUP(E221,tbl_points[Place],tbl_points[Points],""))))))</f>
        <v/>
      </c>
      <c r="H221" s="3" t="str">
        <f>IF(G221="","",IF(G221="DNS",0,IF(G221="DQ",0,IF(G221="DNF",1,IF(AND(ISNUMBER(G221),G221&gt;59),1,_xlfn.XLOOKUP(G221,tbl_points[Place],tbl_points[Points],""))))))</f>
        <v/>
      </c>
      <c r="J221" s="3" t="str">
        <f>IF(I221="","",IF(I221="DNS",0,IF(I221="DQ",0,IF(I221="DNF",1,IF(AND(ISNUMBER(I221),I221&gt;59),1,_xlfn.XLOOKUP(I221,tbl_points[Place],tbl_points[Points],""))))))</f>
        <v/>
      </c>
      <c r="L221" s="3" t="str">
        <f>IF(K221="","",IF(K221="DNS",0,IF(K221="DQ",0,IF(K221="DNF",1,IF(AND(ISNUMBER(K221),K221&gt;59),1,_xlfn.XLOOKUP(K221,tbl_points[Place],tbl_points[Points],""))))))</f>
        <v/>
      </c>
      <c r="N221" s="3" t="str">
        <f>IF(M221="","",IF(M221="DNS",0,IF(M221="DQ",0,IF(M221="DNF",1,IF(AND(ISNUMBER(M221),M221&gt;59),1,_xlfn.XLOOKUP(M221,tbl_points[Place],tbl_points[Points],""))))))</f>
        <v/>
      </c>
      <c r="P221" s="3" t="str">
        <f>IF(O221="","",IF(O221="DNS",0,IF(O221="DQ",0,IF(O221="DNF",1,IF(AND(ISNUMBER(O221),O221&gt;59),1,_xlfn.XLOOKUP(O221,tbl_points[Place],tbl_points[Points],""))))))</f>
        <v/>
      </c>
      <c r="Q2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1" s="3">
        <f>tbl_individual[[#This Row],[Total]]-tbl_individual[[#This Row],[Lowest Score]]</f>
        <v>0</v>
      </c>
    </row>
    <row r="222" spans="1:19" x14ac:dyDescent="0.4">
      <c r="A222" t="s">
        <v>281</v>
      </c>
      <c r="B222" t="s">
        <v>24</v>
      </c>
      <c r="C222" t="s">
        <v>1</v>
      </c>
      <c r="D222" s="3">
        <v>12066</v>
      </c>
      <c r="F222" s="3" t="str">
        <f>IF(E222="","",IF(E222="DNS",0,IF(E222="DQ",0,IF(E222="DNF",1,IF(AND(ISNUMBER(E222),E222&gt;59),1,_xlfn.XLOOKUP(E222,tbl_points[Place],tbl_points[Points],""))))))</f>
        <v/>
      </c>
      <c r="H222" s="3" t="str">
        <f>IF(G222="","",IF(G222="DNS",0,IF(G222="DQ",0,IF(G222="DNF",1,IF(AND(ISNUMBER(G222),G222&gt;59),1,_xlfn.XLOOKUP(G222,tbl_points[Place],tbl_points[Points],""))))))</f>
        <v/>
      </c>
      <c r="J222" s="3" t="str">
        <f>IF(I222="","",IF(I222="DNS",0,IF(I222="DQ",0,IF(I222="DNF",1,IF(AND(ISNUMBER(I222),I222&gt;59),1,_xlfn.XLOOKUP(I222,tbl_points[Place],tbl_points[Points],""))))))</f>
        <v/>
      </c>
      <c r="L222" s="3" t="str">
        <f>IF(K222="","",IF(K222="DNS",0,IF(K222="DQ",0,IF(K222="DNF",1,IF(AND(ISNUMBER(K222),K222&gt;59),1,_xlfn.XLOOKUP(K222,tbl_points[Place],tbl_points[Points],""))))))</f>
        <v/>
      </c>
      <c r="N222" s="3" t="str">
        <f>IF(M222="","",IF(M222="DNS",0,IF(M222="DQ",0,IF(M222="DNF",1,IF(AND(ISNUMBER(M222),M222&gt;59),1,_xlfn.XLOOKUP(M222,tbl_points[Place],tbl_points[Points],""))))))</f>
        <v/>
      </c>
      <c r="P222" s="3" t="str">
        <f>IF(O222="","",IF(O222="DNS",0,IF(O222="DQ",0,IF(O222="DNF",1,IF(AND(ISNUMBER(O222),O222&gt;59),1,_xlfn.XLOOKUP(O222,tbl_points[Place],tbl_points[Points],""))))))</f>
        <v/>
      </c>
      <c r="Q2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2" s="3">
        <f>tbl_individual[[#This Row],[Total]]-tbl_individual[[#This Row],[Lowest Score]]</f>
        <v>0</v>
      </c>
    </row>
    <row r="223" spans="1:19" x14ac:dyDescent="0.4">
      <c r="A223" t="s">
        <v>280</v>
      </c>
      <c r="B223" t="s">
        <v>24</v>
      </c>
      <c r="C223" t="s">
        <v>1</v>
      </c>
      <c r="D223" s="3">
        <v>12065</v>
      </c>
      <c r="F223" s="3" t="str">
        <f>IF(E223="","",IF(E223="DNS",0,IF(E223="DQ",0,IF(E223="DNF",1,IF(AND(ISNUMBER(E223),E223&gt;59),1,_xlfn.XLOOKUP(E223,tbl_points[Place],tbl_points[Points],""))))))</f>
        <v/>
      </c>
      <c r="H223" s="3" t="str">
        <f>IF(G223="","",IF(G223="DNS",0,IF(G223="DQ",0,IF(G223="DNF",1,IF(AND(ISNUMBER(G223),G223&gt;59),1,_xlfn.XLOOKUP(G223,tbl_points[Place],tbl_points[Points],""))))))</f>
        <v/>
      </c>
      <c r="J223" s="3" t="str">
        <f>IF(I223="","",IF(I223="DNS",0,IF(I223="DQ",0,IF(I223="DNF",1,IF(AND(ISNUMBER(I223),I223&gt;59),1,_xlfn.XLOOKUP(I223,tbl_points[Place],tbl_points[Points],""))))))</f>
        <v/>
      </c>
      <c r="L223" s="3" t="str">
        <f>IF(K223="","",IF(K223="DNS",0,IF(K223="DQ",0,IF(K223="DNF",1,IF(AND(ISNUMBER(K223),K223&gt;59),1,_xlfn.XLOOKUP(K223,tbl_points[Place],tbl_points[Points],""))))))</f>
        <v/>
      </c>
      <c r="N223" s="3" t="str">
        <f>IF(M223="","",IF(M223="DNS",0,IF(M223="DQ",0,IF(M223="DNF",1,IF(AND(ISNUMBER(M223),M223&gt;59),1,_xlfn.XLOOKUP(M223,tbl_points[Place],tbl_points[Points],""))))))</f>
        <v/>
      </c>
      <c r="P223" s="3" t="str">
        <f>IF(O223="","",IF(O223="DNS",0,IF(O223="DQ",0,IF(O223="DNF",1,IF(AND(ISNUMBER(O223),O223&gt;59),1,_xlfn.XLOOKUP(O223,tbl_points[Place],tbl_points[Points],""))))))</f>
        <v/>
      </c>
      <c r="Q2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3" s="3">
        <f>tbl_individual[[#This Row],[Total]]-tbl_individual[[#This Row],[Lowest Score]]</f>
        <v>0</v>
      </c>
    </row>
    <row r="224" spans="1:19" x14ac:dyDescent="0.4">
      <c r="A224" t="s">
        <v>282</v>
      </c>
      <c r="B224" t="s">
        <v>24</v>
      </c>
      <c r="C224" t="s">
        <v>1</v>
      </c>
      <c r="D224" s="3">
        <v>12067</v>
      </c>
      <c r="F224" s="3" t="str">
        <f>IF(E224="","",IF(E224="DNS",0,IF(E224="DQ",0,IF(E224="DNF",1,IF(AND(ISNUMBER(E224),E224&gt;59),1,_xlfn.XLOOKUP(E224,tbl_points[Place],tbl_points[Points],""))))))</f>
        <v/>
      </c>
      <c r="H224" s="3" t="str">
        <f>IF(G224="","",IF(G224="DNS",0,IF(G224="DQ",0,IF(G224="DNF",1,IF(AND(ISNUMBER(G224),G224&gt;59),1,_xlfn.XLOOKUP(G224,tbl_points[Place],tbl_points[Points],""))))))</f>
        <v/>
      </c>
      <c r="J224" s="3" t="str">
        <f>IF(I224="","",IF(I224="DNS",0,IF(I224="DQ",0,IF(I224="DNF",1,IF(AND(ISNUMBER(I224),I224&gt;59),1,_xlfn.XLOOKUP(I224,tbl_points[Place],tbl_points[Points],""))))))</f>
        <v/>
      </c>
      <c r="L224" s="3" t="str">
        <f>IF(K224="","",IF(K224="DNS",0,IF(K224="DQ",0,IF(K224="DNF",1,IF(AND(ISNUMBER(K224),K224&gt;59),1,_xlfn.XLOOKUP(K224,tbl_points[Place],tbl_points[Points],""))))))</f>
        <v/>
      </c>
      <c r="N224" s="3" t="str">
        <f>IF(M224="","",IF(M224="DNS",0,IF(M224="DQ",0,IF(M224="DNF",1,IF(AND(ISNUMBER(M224),M224&gt;59),1,_xlfn.XLOOKUP(M224,tbl_points[Place],tbl_points[Points],""))))))</f>
        <v/>
      </c>
      <c r="P224" s="3" t="str">
        <f>IF(O224="","",IF(O224="DNS",0,IF(O224="DQ",0,IF(O224="DNF",1,IF(AND(ISNUMBER(O224),O224&gt;59),1,_xlfn.XLOOKUP(O224,tbl_points[Place],tbl_points[Points],""))))))</f>
        <v/>
      </c>
      <c r="Q2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4" s="3">
        <f>tbl_individual[[#This Row],[Total]]-tbl_individual[[#This Row],[Lowest Score]]</f>
        <v>0</v>
      </c>
    </row>
    <row r="225" spans="1:19" x14ac:dyDescent="0.4">
      <c r="A225" t="s">
        <v>277</v>
      </c>
      <c r="B225" t="s">
        <v>24</v>
      </c>
      <c r="C225" t="s">
        <v>1</v>
      </c>
      <c r="D225" s="3">
        <v>12062</v>
      </c>
      <c r="F225" s="3" t="str">
        <f>IF(E225="","",IF(E225="DNS",0,IF(E225="DQ",0,IF(E225="DNF",1,IF(AND(ISNUMBER(E225),E225&gt;59),1,_xlfn.XLOOKUP(E225,tbl_points[Place],tbl_points[Points],""))))))</f>
        <v/>
      </c>
      <c r="H225" s="3" t="str">
        <f>IF(G225="","",IF(G225="DNS",0,IF(G225="DQ",0,IF(G225="DNF",1,IF(AND(ISNUMBER(G225),G225&gt;59),1,_xlfn.XLOOKUP(G225,tbl_points[Place],tbl_points[Points],""))))))</f>
        <v/>
      </c>
      <c r="J225" s="3" t="str">
        <f>IF(I225="","",IF(I225="DNS",0,IF(I225="DQ",0,IF(I225="DNF",1,IF(AND(ISNUMBER(I225),I225&gt;59),1,_xlfn.XLOOKUP(I225,tbl_points[Place],tbl_points[Points],""))))))</f>
        <v/>
      </c>
      <c r="L225" s="3" t="str">
        <f>IF(K225="","",IF(K225="DNS",0,IF(K225="DQ",0,IF(K225="DNF",1,IF(AND(ISNUMBER(K225),K225&gt;59),1,_xlfn.XLOOKUP(K225,tbl_points[Place],tbl_points[Points],""))))))</f>
        <v/>
      </c>
      <c r="N225" s="3" t="str">
        <f>IF(M225="","",IF(M225="DNS",0,IF(M225="DQ",0,IF(M225="DNF",1,IF(AND(ISNUMBER(M225),M225&gt;59),1,_xlfn.XLOOKUP(M225,tbl_points[Place],tbl_points[Points],""))))))</f>
        <v/>
      </c>
      <c r="P225" s="3" t="str">
        <f>IF(O225="","",IF(O225="DNS",0,IF(O225="DQ",0,IF(O225="DNF",1,IF(AND(ISNUMBER(O225),O225&gt;59),1,_xlfn.XLOOKUP(O225,tbl_points[Place],tbl_points[Points],""))))))</f>
        <v/>
      </c>
      <c r="Q2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5" s="3">
        <f>tbl_individual[[#This Row],[Total]]-tbl_individual[[#This Row],[Lowest Score]]</f>
        <v>0</v>
      </c>
    </row>
    <row r="226" spans="1:19" x14ac:dyDescent="0.4">
      <c r="A226" t="s">
        <v>286</v>
      </c>
      <c r="B226" t="s">
        <v>24</v>
      </c>
      <c r="C226" t="s">
        <v>1</v>
      </c>
      <c r="D226" s="3">
        <v>12071</v>
      </c>
      <c r="F226" s="3" t="str">
        <f>IF(E226="","",IF(E226="DNS",0,IF(E226="DQ",0,IF(E226="DNF",1,IF(AND(ISNUMBER(E226),E226&gt;59),1,_xlfn.XLOOKUP(E226,tbl_points[Place],tbl_points[Points],""))))))</f>
        <v/>
      </c>
      <c r="H226" s="3" t="str">
        <f>IF(G226="","",IF(G226="DNS",0,IF(G226="DQ",0,IF(G226="DNF",1,IF(AND(ISNUMBER(G226),G226&gt;59),1,_xlfn.XLOOKUP(G226,tbl_points[Place],tbl_points[Points],""))))))</f>
        <v/>
      </c>
      <c r="J226" s="3" t="str">
        <f>IF(I226="","",IF(I226="DNS",0,IF(I226="DQ",0,IF(I226="DNF",1,IF(AND(ISNUMBER(I226),I226&gt;59),1,_xlfn.XLOOKUP(I226,tbl_points[Place],tbl_points[Points],""))))))</f>
        <v/>
      </c>
      <c r="L226" s="3" t="str">
        <f>IF(K226="","",IF(K226="DNS",0,IF(K226="DQ",0,IF(K226="DNF",1,IF(AND(ISNUMBER(K226),K226&gt;59),1,_xlfn.XLOOKUP(K226,tbl_points[Place],tbl_points[Points],""))))))</f>
        <v/>
      </c>
      <c r="N226" s="3" t="str">
        <f>IF(M226="","",IF(M226="DNS",0,IF(M226="DQ",0,IF(M226="DNF",1,IF(AND(ISNUMBER(M226),M226&gt;59),1,_xlfn.XLOOKUP(M226,tbl_points[Place],tbl_points[Points],""))))))</f>
        <v/>
      </c>
      <c r="P226" s="3" t="str">
        <f>IF(O226="","",IF(O226="DNS",0,IF(O226="DQ",0,IF(O226="DNF",1,IF(AND(ISNUMBER(O226),O226&gt;59),1,_xlfn.XLOOKUP(O226,tbl_points[Place],tbl_points[Points],""))))))</f>
        <v/>
      </c>
      <c r="Q2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6" s="3">
        <f>tbl_individual[[#This Row],[Total]]-tbl_individual[[#This Row],[Lowest Score]]</f>
        <v>0</v>
      </c>
    </row>
    <row r="227" spans="1:19" x14ac:dyDescent="0.4">
      <c r="A227" t="s">
        <v>285</v>
      </c>
      <c r="B227" t="s">
        <v>24</v>
      </c>
      <c r="C227" t="s">
        <v>1</v>
      </c>
      <c r="D227" s="3">
        <v>12070</v>
      </c>
      <c r="F227" s="3" t="str">
        <f>IF(E227="","",IF(E227="DNS",0,IF(E227="DQ",0,IF(E227="DNF",1,IF(AND(ISNUMBER(E227),E227&gt;59),1,_xlfn.XLOOKUP(E227,tbl_points[Place],tbl_points[Points],""))))))</f>
        <v/>
      </c>
      <c r="H227" s="3" t="str">
        <f>IF(G227="","",IF(G227="DNS",0,IF(G227="DQ",0,IF(G227="DNF",1,IF(AND(ISNUMBER(G227),G227&gt;59),1,_xlfn.XLOOKUP(G227,tbl_points[Place],tbl_points[Points],""))))))</f>
        <v/>
      </c>
      <c r="J227" s="3" t="str">
        <f>IF(I227="","",IF(I227="DNS",0,IF(I227="DQ",0,IF(I227="DNF",1,IF(AND(ISNUMBER(I227),I227&gt;59),1,_xlfn.XLOOKUP(I227,tbl_points[Place],tbl_points[Points],""))))))</f>
        <v/>
      </c>
      <c r="L227" s="3" t="str">
        <f>IF(K227="","",IF(K227="DNS",0,IF(K227="DQ",0,IF(K227="DNF",1,IF(AND(ISNUMBER(K227),K227&gt;59),1,_xlfn.XLOOKUP(K227,tbl_points[Place],tbl_points[Points],""))))))</f>
        <v/>
      </c>
      <c r="N227" s="3" t="str">
        <f>IF(M227="","",IF(M227="DNS",0,IF(M227="DQ",0,IF(M227="DNF",1,IF(AND(ISNUMBER(M227),M227&gt;59),1,_xlfn.XLOOKUP(M227,tbl_points[Place],tbl_points[Points],""))))))</f>
        <v/>
      </c>
      <c r="P227" s="3" t="str">
        <f>IF(O227="","",IF(O227="DNS",0,IF(O227="DQ",0,IF(O227="DNF",1,IF(AND(ISNUMBER(O227),O227&gt;59),1,_xlfn.XLOOKUP(O227,tbl_points[Place],tbl_points[Points],""))))))</f>
        <v/>
      </c>
      <c r="Q2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7" s="3">
        <f>tbl_individual[[#This Row],[Total]]-tbl_individual[[#This Row],[Lowest Score]]</f>
        <v>0</v>
      </c>
    </row>
    <row r="228" spans="1:19" x14ac:dyDescent="0.4">
      <c r="A228" t="s">
        <v>283</v>
      </c>
      <c r="B228" t="s">
        <v>24</v>
      </c>
      <c r="C228" t="s">
        <v>1</v>
      </c>
      <c r="D228" s="3">
        <v>12068</v>
      </c>
      <c r="F228" s="3" t="str">
        <f>IF(E228="","",IF(E228="DNS",0,IF(E228="DQ",0,IF(E228="DNF",1,IF(AND(ISNUMBER(E228),E228&gt;59),1,_xlfn.XLOOKUP(E228,tbl_points[Place],tbl_points[Points],""))))))</f>
        <v/>
      </c>
      <c r="H228" s="3" t="str">
        <f>IF(G228="","",IF(G228="DNS",0,IF(G228="DQ",0,IF(G228="DNF",1,IF(AND(ISNUMBER(G228),G228&gt;59),1,_xlfn.XLOOKUP(G228,tbl_points[Place],tbl_points[Points],""))))))</f>
        <v/>
      </c>
      <c r="J228" s="3" t="str">
        <f>IF(I228="","",IF(I228="DNS",0,IF(I228="DQ",0,IF(I228="DNF",1,IF(AND(ISNUMBER(I228),I228&gt;59),1,_xlfn.XLOOKUP(I228,tbl_points[Place],tbl_points[Points],""))))))</f>
        <v/>
      </c>
      <c r="L228" s="3" t="str">
        <f>IF(K228="","",IF(K228="DNS",0,IF(K228="DQ",0,IF(K228="DNF",1,IF(AND(ISNUMBER(K228),K228&gt;59),1,_xlfn.XLOOKUP(K228,tbl_points[Place],tbl_points[Points],""))))))</f>
        <v/>
      </c>
      <c r="N228" s="3" t="str">
        <f>IF(M228="","",IF(M228="DNS",0,IF(M228="DQ",0,IF(M228="DNF",1,IF(AND(ISNUMBER(M228),M228&gt;59),1,_xlfn.XLOOKUP(M228,tbl_points[Place],tbl_points[Points],""))))))</f>
        <v/>
      </c>
      <c r="P228" s="3" t="str">
        <f>IF(O228="","",IF(O228="DNS",0,IF(O228="DQ",0,IF(O228="DNF",1,IF(AND(ISNUMBER(O228),O228&gt;59),1,_xlfn.XLOOKUP(O228,tbl_points[Place],tbl_points[Points],""))))))</f>
        <v/>
      </c>
      <c r="Q2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8" s="3">
        <f>tbl_individual[[#This Row],[Total]]-tbl_individual[[#This Row],[Lowest Score]]</f>
        <v>0</v>
      </c>
    </row>
    <row r="229" spans="1:19" x14ac:dyDescent="0.4">
      <c r="A229" t="s">
        <v>276</v>
      </c>
      <c r="B229" t="s">
        <v>24</v>
      </c>
      <c r="C229" t="s">
        <v>1</v>
      </c>
      <c r="D229" s="3">
        <v>12061</v>
      </c>
      <c r="F229" s="3" t="str">
        <f>IF(E229="","",IF(E229="DNS",0,IF(E229="DQ",0,IF(E229="DNF",1,IF(AND(ISNUMBER(E229),E229&gt;59),1,_xlfn.XLOOKUP(E229,tbl_points[Place],tbl_points[Points],""))))))</f>
        <v/>
      </c>
      <c r="H229" s="3" t="str">
        <f>IF(G229="","",IF(G229="DNS",0,IF(G229="DQ",0,IF(G229="DNF",1,IF(AND(ISNUMBER(G229),G229&gt;59),1,_xlfn.XLOOKUP(G229,tbl_points[Place],tbl_points[Points],""))))))</f>
        <v/>
      </c>
      <c r="J229" s="3" t="str">
        <f>IF(I229="","",IF(I229="DNS",0,IF(I229="DQ",0,IF(I229="DNF",1,IF(AND(ISNUMBER(I229),I229&gt;59),1,_xlfn.XLOOKUP(I229,tbl_points[Place],tbl_points[Points],""))))))</f>
        <v/>
      </c>
      <c r="L229" s="3" t="str">
        <f>IF(K229="","",IF(K229="DNS",0,IF(K229="DQ",0,IF(K229="DNF",1,IF(AND(ISNUMBER(K229),K229&gt;59),1,_xlfn.XLOOKUP(K229,tbl_points[Place],tbl_points[Points],""))))))</f>
        <v/>
      </c>
      <c r="N229" s="3" t="str">
        <f>IF(M229="","",IF(M229="DNS",0,IF(M229="DQ",0,IF(M229="DNF",1,IF(AND(ISNUMBER(M229),M229&gt;59),1,_xlfn.XLOOKUP(M229,tbl_points[Place],tbl_points[Points],""))))))</f>
        <v/>
      </c>
      <c r="P229" s="3" t="str">
        <f>IF(O229="","",IF(O229="DNS",0,IF(O229="DQ",0,IF(O229="DNF",1,IF(AND(ISNUMBER(O229),O229&gt;59),1,_xlfn.XLOOKUP(O229,tbl_points[Place],tbl_points[Points],""))))))</f>
        <v/>
      </c>
      <c r="Q2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9" s="3">
        <f>tbl_individual[[#This Row],[Total]]-tbl_individual[[#This Row],[Lowest Score]]</f>
        <v>0</v>
      </c>
    </row>
    <row r="230" spans="1:19" x14ac:dyDescent="0.4">
      <c r="A230" t="s">
        <v>278</v>
      </c>
      <c r="B230" t="s">
        <v>24</v>
      </c>
      <c r="C230" t="s">
        <v>1</v>
      </c>
      <c r="D230" s="3">
        <v>12063</v>
      </c>
      <c r="F230" s="3" t="str">
        <f>IF(E230="","",IF(E230="DNS",0,IF(E230="DQ",0,IF(E230="DNF",1,IF(AND(ISNUMBER(E230),E230&gt;59),1,_xlfn.XLOOKUP(E230,tbl_points[Place],tbl_points[Points],""))))))</f>
        <v/>
      </c>
      <c r="H230" s="3" t="str">
        <f>IF(G230="","",IF(G230="DNS",0,IF(G230="DQ",0,IF(G230="DNF",1,IF(AND(ISNUMBER(G230),G230&gt;59),1,_xlfn.XLOOKUP(G230,tbl_points[Place],tbl_points[Points],""))))))</f>
        <v/>
      </c>
      <c r="J230" s="3" t="str">
        <f>IF(I230="","",IF(I230="DNS",0,IF(I230="DQ",0,IF(I230="DNF",1,IF(AND(ISNUMBER(I230),I230&gt;59),1,_xlfn.XLOOKUP(I230,tbl_points[Place],tbl_points[Points],""))))))</f>
        <v/>
      </c>
      <c r="L230" s="3" t="str">
        <f>IF(K230="","",IF(K230="DNS",0,IF(K230="DQ",0,IF(K230="DNF",1,IF(AND(ISNUMBER(K230),K230&gt;59),1,_xlfn.XLOOKUP(K230,tbl_points[Place],tbl_points[Points],""))))))</f>
        <v/>
      </c>
      <c r="N230" s="3" t="str">
        <f>IF(M230="","",IF(M230="DNS",0,IF(M230="DQ",0,IF(M230="DNF",1,IF(AND(ISNUMBER(M230),M230&gt;59),1,_xlfn.XLOOKUP(M230,tbl_points[Place],tbl_points[Points],""))))))</f>
        <v/>
      </c>
      <c r="P230" s="3" t="str">
        <f>IF(O230="","",IF(O230="DNS",0,IF(O230="DQ",0,IF(O230="DNF",1,IF(AND(ISNUMBER(O230),O230&gt;59),1,_xlfn.XLOOKUP(O230,tbl_points[Place],tbl_points[Points],""))))))</f>
        <v/>
      </c>
      <c r="Q2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0" s="3">
        <f>tbl_individual[[#This Row],[Total]]-tbl_individual[[#This Row],[Lowest Score]]</f>
        <v>0</v>
      </c>
    </row>
    <row r="231" spans="1:19" x14ac:dyDescent="0.4">
      <c r="A231" t="s">
        <v>272</v>
      </c>
      <c r="B231" t="s">
        <v>24</v>
      </c>
      <c r="C231" t="s">
        <v>2</v>
      </c>
      <c r="D231" s="3">
        <v>1239</v>
      </c>
      <c r="F231" s="3" t="str">
        <f>IF(E231="","",IF(E231="DNS",0,IF(E231="DQ",0,IF(E231="DNF",1,IF(AND(ISNUMBER(E231),E231&gt;59),1,_xlfn.XLOOKUP(E231,tbl_points[Place],tbl_points[Points],""))))))</f>
        <v/>
      </c>
      <c r="H231" s="3" t="str">
        <f>IF(G231="","",IF(G231="DNS",0,IF(G231="DQ",0,IF(G231="DNF",1,IF(AND(ISNUMBER(G231),G231&gt;59),1,_xlfn.XLOOKUP(G231,tbl_points[Place],tbl_points[Points],""))))))</f>
        <v/>
      </c>
      <c r="J231" s="3" t="str">
        <f>IF(I231="","",IF(I231="DNS",0,IF(I231="DQ",0,IF(I231="DNF",1,IF(AND(ISNUMBER(I231),I231&gt;59),1,_xlfn.XLOOKUP(I231,tbl_points[Place],tbl_points[Points],""))))))</f>
        <v/>
      </c>
      <c r="L231" s="3" t="str">
        <f>IF(K231="","",IF(K231="DNS",0,IF(K231="DQ",0,IF(K231="DNF",1,IF(AND(ISNUMBER(K231),K231&gt;59),1,_xlfn.XLOOKUP(K231,tbl_points[Place],tbl_points[Points],""))))))</f>
        <v/>
      </c>
      <c r="N231" s="3" t="str">
        <f>IF(M231="","",IF(M231="DNS",0,IF(M231="DQ",0,IF(M231="DNF",1,IF(AND(ISNUMBER(M231),M231&gt;59),1,_xlfn.XLOOKUP(M231,tbl_points[Place],tbl_points[Points],""))))))</f>
        <v/>
      </c>
      <c r="P231" s="3" t="str">
        <f>IF(O231="","",IF(O231="DNS",0,IF(O231="DQ",0,IF(O231="DNF",1,IF(AND(ISNUMBER(O231),O231&gt;59),1,_xlfn.XLOOKUP(O231,tbl_points[Place],tbl_points[Points],""))))))</f>
        <v/>
      </c>
      <c r="Q2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1" s="3">
        <f>tbl_individual[[#This Row],[Total]]-tbl_individual[[#This Row],[Lowest Score]]</f>
        <v>0</v>
      </c>
    </row>
    <row r="232" spans="1:19" x14ac:dyDescent="0.4">
      <c r="A232" t="s">
        <v>274</v>
      </c>
      <c r="B232" t="s">
        <v>24</v>
      </c>
      <c r="C232" t="s">
        <v>2</v>
      </c>
      <c r="D232" s="3">
        <v>1241</v>
      </c>
      <c r="F232" s="3" t="str">
        <f>IF(E232="","",IF(E232="DNS",0,IF(E232="DQ",0,IF(E232="DNF",1,IF(AND(ISNUMBER(E232),E232&gt;59),1,_xlfn.XLOOKUP(E232,tbl_points[Place],tbl_points[Points],""))))))</f>
        <v/>
      </c>
      <c r="H232" s="3" t="str">
        <f>IF(G232="","",IF(G232="DNS",0,IF(G232="DQ",0,IF(G232="DNF",1,IF(AND(ISNUMBER(G232),G232&gt;59),1,_xlfn.XLOOKUP(G232,tbl_points[Place],tbl_points[Points],""))))))</f>
        <v/>
      </c>
      <c r="J232" s="3" t="str">
        <f>IF(I232="","",IF(I232="DNS",0,IF(I232="DQ",0,IF(I232="DNF",1,IF(AND(ISNUMBER(I232),I232&gt;59),1,_xlfn.XLOOKUP(I232,tbl_points[Place],tbl_points[Points],""))))))</f>
        <v/>
      </c>
      <c r="L232" s="3" t="str">
        <f>IF(K232="","",IF(K232="DNS",0,IF(K232="DQ",0,IF(K232="DNF",1,IF(AND(ISNUMBER(K232),K232&gt;59),1,_xlfn.XLOOKUP(K232,tbl_points[Place],tbl_points[Points],""))))))</f>
        <v/>
      </c>
      <c r="N232" s="3" t="str">
        <f>IF(M232="","",IF(M232="DNS",0,IF(M232="DQ",0,IF(M232="DNF",1,IF(AND(ISNUMBER(M232),M232&gt;59),1,_xlfn.XLOOKUP(M232,tbl_points[Place],tbl_points[Points],""))))))</f>
        <v/>
      </c>
      <c r="P232" s="3" t="str">
        <f>IF(O232="","",IF(O232="DNS",0,IF(O232="DQ",0,IF(O232="DNF",1,IF(AND(ISNUMBER(O232),O232&gt;59),1,_xlfn.XLOOKUP(O232,tbl_points[Place],tbl_points[Points],""))))))</f>
        <v/>
      </c>
      <c r="Q2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2" s="3">
        <f>tbl_individual[[#This Row],[Total]]-tbl_individual[[#This Row],[Lowest Score]]</f>
        <v>0</v>
      </c>
    </row>
    <row r="233" spans="1:19" x14ac:dyDescent="0.4">
      <c r="A233" t="s">
        <v>275</v>
      </c>
      <c r="B233" t="s">
        <v>24</v>
      </c>
      <c r="C233" t="s">
        <v>2</v>
      </c>
      <c r="D233" s="3">
        <v>1242</v>
      </c>
      <c r="F233" s="3" t="str">
        <f>IF(E233="","",IF(E233="DNS",0,IF(E233="DQ",0,IF(E233="DNF",1,IF(AND(ISNUMBER(E233),E233&gt;59),1,_xlfn.XLOOKUP(E233,tbl_points[Place],tbl_points[Points],""))))))</f>
        <v/>
      </c>
      <c r="H233" s="3" t="str">
        <f>IF(G233="","",IF(G233="DNS",0,IF(G233="DQ",0,IF(G233="DNF",1,IF(AND(ISNUMBER(G233),G233&gt;59),1,_xlfn.XLOOKUP(G233,tbl_points[Place],tbl_points[Points],""))))))</f>
        <v/>
      </c>
      <c r="J233" s="3" t="str">
        <f>IF(I233="","",IF(I233="DNS",0,IF(I233="DQ",0,IF(I233="DNF",1,IF(AND(ISNUMBER(I233),I233&gt;59),1,_xlfn.XLOOKUP(I233,tbl_points[Place],tbl_points[Points],""))))))</f>
        <v/>
      </c>
      <c r="L233" s="3" t="str">
        <f>IF(K233="","",IF(K233="DNS",0,IF(K233="DQ",0,IF(K233="DNF",1,IF(AND(ISNUMBER(K233),K233&gt;59),1,_xlfn.XLOOKUP(K233,tbl_points[Place],tbl_points[Points],""))))))</f>
        <v/>
      </c>
      <c r="N233" s="3" t="str">
        <f>IF(M233="","",IF(M233="DNS",0,IF(M233="DQ",0,IF(M233="DNF",1,IF(AND(ISNUMBER(M233),M233&gt;59),1,_xlfn.XLOOKUP(M233,tbl_points[Place],tbl_points[Points],""))))))</f>
        <v/>
      </c>
      <c r="P233" s="3" t="str">
        <f>IF(O233="","",IF(O233="DNS",0,IF(O233="DQ",0,IF(O233="DNF",1,IF(AND(ISNUMBER(O233),O233&gt;59),1,_xlfn.XLOOKUP(O233,tbl_points[Place],tbl_points[Points],""))))))</f>
        <v/>
      </c>
      <c r="Q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3" s="3">
        <f>tbl_individual[[#This Row],[Total]]-tbl_individual[[#This Row],[Lowest Score]]</f>
        <v>0</v>
      </c>
    </row>
    <row r="234" spans="1:19" x14ac:dyDescent="0.4">
      <c r="A234" t="s">
        <v>273</v>
      </c>
      <c r="B234" t="s">
        <v>24</v>
      </c>
      <c r="C234" t="s">
        <v>2</v>
      </c>
      <c r="D234" s="3">
        <v>1240</v>
      </c>
      <c r="F234" s="3" t="str">
        <f>IF(E234="","",IF(E234="DNS",0,IF(E234="DQ",0,IF(E234="DNF",1,IF(AND(ISNUMBER(E234),E234&gt;59),1,_xlfn.XLOOKUP(E234,tbl_points[Place],tbl_points[Points],""))))))</f>
        <v/>
      </c>
      <c r="H234" s="3" t="str">
        <f>IF(G234="","",IF(G234="DNS",0,IF(G234="DQ",0,IF(G234="DNF",1,IF(AND(ISNUMBER(G234),G234&gt;59),1,_xlfn.XLOOKUP(G234,tbl_points[Place],tbl_points[Points],""))))))</f>
        <v/>
      </c>
      <c r="J234" s="3" t="str">
        <f>IF(I234="","",IF(I234="DNS",0,IF(I234="DQ",0,IF(I234="DNF",1,IF(AND(ISNUMBER(I234),I234&gt;59),1,_xlfn.XLOOKUP(I234,tbl_points[Place],tbl_points[Points],""))))))</f>
        <v/>
      </c>
      <c r="L234" s="3" t="str">
        <f>IF(K234="","",IF(K234="DNS",0,IF(K234="DQ",0,IF(K234="DNF",1,IF(AND(ISNUMBER(K234),K234&gt;59),1,_xlfn.XLOOKUP(K234,tbl_points[Place],tbl_points[Points],""))))))</f>
        <v/>
      </c>
      <c r="N234" s="3" t="str">
        <f>IF(M234="","",IF(M234="DNS",0,IF(M234="DQ",0,IF(M234="DNF",1,IF(AND(ISNUMBER(M234),M234&gt;59),1,_xlfn.XLOOKUP(M234,tbl_points[Place],tbl_points[Points],""))))))</f>
        <v/>
      </c>
      <c r="P234" s="3" t="str">
        <f>IF(O234="","",IF(O234="DNS",0,IF(O234="DQ",0,IF(O234="DNF",1,IF(AND(ISNUMBER(O234),O234&gt;59),1,_xlfn.XLOOKUP(O234,tbl_points[Place],tbl_points[Points],""))))))</f>
        <v/>
      </c>
      <c r="Q2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4" s="3">
        <f>tbl_individual[[#This Row],[Total]]-tbl_individual[[#This Row],[Lowest Score]]</f>
        <v>0</v>
      </c>
    </row>
    <row r="235" spans="1:19" x14ac:dyDescent="0.4">
      <c r="A235" t="s">
        <v>288</v>
      </c>
      <c r="B235" t="s">
        <v>25</v>
      </c>
      <c r="C235" t="s">
        <v>7</v>
      </c>
      <c r="D235" s="3">
        <v>819</v>
      </c>
      <c r="F235" s="3" t="str">
        <f>IF(E235="","",IF(E235="DNS",0,IF(E235="DQ",0,IF(E235="DNF",1,IF(AND(ISNUMBER(E235),E235&gt;59),1,_xlfn.XLOOKUP(E235,tbl_points[Place],tbl_points[Points],""))))))</f>
        <v/>
      </c>
      <c r="H235" s="3" t="str">
        <f>IF(G235="","",IF(G235="DNS",0,IF(G235="DQ",0,IF(G235="DNF",1,IF(AND(ISNUMBER(G235),G235&gt;59),1,_xlfn.XLOOKUP(G235,tbl_points[Place],tbl_points[Points],""))))))</f>
        <v/>
      </c>
      <c r="J235" s="3" t="str">
        <f>IF(I235="","",IF(I235="DNS",0,IF(I235="DQ",0,IF(I235="DNF",1,IF(AND(ISNUMBER(I235),I235&gt;59),1,_xlfn.XLOOKUP(I235,tbl_points[Place],tbl_points[Points],""))))))</f>
        <v/>
      </c>
      <c r="L235" s="3" t="str">
        <f>IF(K235="","",IF(K235="DNS",0,IF(K235="DQ",0,IF(K235="DNF",1,IF(AND(ISNUMBER(K235),K235&gt;59),1,_xlfn.XLOOKUP(K235,tbl_points[Place],tbl_points[Points],""))))))</f>
        <v/>
      </c>
      <c r="N235" s="3" t="str">
        <f>IF(M235="","",IF(M235="DNS",0,IF(M235="DQ",0,IF(M235="DNF",1,IF(AND(ISNUMBER(M235),M235&gt;59),1,_xlfn.XLOOKUP(M235,tbl_points[Place],tbl_points[Points],""))))))</f>
        <v/>
      </c>
      <c r="P235" s="3" t="str">
        <f>IF(O235="","",IF(O235="DNS",0,IF(O235="DQ",0,IF(O235="DNF",1,IF(AND(ISNUMBER(O235),O235&gt;59),1,_xlfn.XLOOKUP(O235,tbl_points[Place],tbl_points[Points],""))))))</f>
        <v/>
      </c>
      <c r="Q2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5" s="3">
        <f>tbl_individual[[#This Row],[Total]]-tbl_individual[[#This Row],[Lowest Score]]</f>
        <v>0</v>
      </c>
    </row>
    <row r="236" spans="1:19" x14ac:dyDescent="0.4">
      <c r="A236" t="s">
        <v>287</v>
      </c>
      <c r="B236" t="s">
        <v>25</v>
      </c>
      <c r="C236" t="s">
        <v>7</v>
      </c>
      <c r="D236" s="3">
        <v>818</v>
      </c>
      <c r="F236" s="3" t="str">
        <f>IF(E236="","",IF(E236="DNS",0,IF(E236="DQ",0,IF(E236="DNF",1,IF(AND(ISNUMBER(E236),E236&gt;59),1,_xlfn.XLOOKUP(E236,tbl_points[Place],tbl_points[Points],""))))))</f>
        <v/>
      </c>
      <c r="H236" s="3" t="str">
        <f>IF(G236="","",IF(G236="DNS",0,IF(G236="DQ",0,IF(G236="DNF",1,IF(AND(ISNUMBER(G236),G236&gt;59),1,_xlfn.XLOOKUP(G236,tbl_points[Place],tbl_points[Points],""))))))</f>
        <v/>
      </c>
      <c r="J236" s="3" t="str">
        <f>IF(I236="","",IF(I236="DNS",0,IF(I236="DQ",0,IF(I236="DNF",1,IF(AND(ISNUMBER(I236),I236&gt;59),1,_xlfn.XLOOKUP(I236,tbl_points[Place],tbl_points[Points],""))))))</f>
        <v/>
      </c>
      <c r="L236" s="3" t="str">
        <f>IF(K236="","",IF(K236="DNS",0,IF(K236="DQ",0,IF(K236="DNF",1,IF(AND(ISNUMBER(K236),K236&gt;59),1,_xlfn.XLOOKUP(K236,tbl_points[Place],tbl_points[Points],""))))))</f>
        <v/>
      </c>
      <c r="N236" s="3" t="str">
        <f>IF(M236="","",IF(M236="DNS",0,IF(M236="DQ",0,IF(M236="DNF",1,IF(AND(ISNUMBER(M236),M236&gt;59),1,_xlfn.XLOOKUP(M236,tbl_points[Place],tbl_points[Points],""))))))</f>
        <v/>
      </c>
      <c r="P236" s="3" t="str">
        <f>IF(O236="","",IF(O236="DNS",0,IF(O236="DQ",0,IF(O236="DNF",1,IF(AND(ISNUMBER(O236),O236&gt;59),1,_xlfn.XLOOKUP(O236,tbl_points[Place],tbl_points[Points],""))))))</f>
        <v/>
      </c>
      <c r="Q2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6" s="3">
        <f>tbl_individual[[#This Row],[Total]]-tbl_individual[[#This Row],[Lowest Score]]</f>
        <v>0</v>
      </c>
    </row>
    <row r="237" spans="1:19" x14ac:dyDescent="0.4">
      <c r="A237" t="s">
        <v>289</v>
      </c>
      <c r="B237" t="s">
        <v>25</v>
      </c>
      <c r="C237" t="s">
        <v>3</v>
      </c>
      <c r="D237" s="3">
        <v>10187</v>
      </c>
      <c r="F237" s="3" t="str">
        <f>IF(E237="","",IF(E237="DNS",0,IF(E237="DQ",0,IF(E237="DNF",1,IF(AND(ISNUMBER(E237),E237&gt;59),1,_xlfn.XLOOKUP(E237,tbl_points[Place],tbl_points[Points],""))))))</f>
        <v/>
      </c>
      <c r="H237" s="3" t="str">
        <f>IF(G237="","",IF(G237="DNS",0,IF(G237="DQ",0,IF(G237="DNF",1,IF(AND(ISNUMBER(G237),G237&gt;59),1,_xlfn.XLOOKUP(G237,tbl_points[Place],tbl_points[Points],""))))))</f>
        <v/>
      </c>
      <c r="J237" s="3" t="str">
        <f>IF(I237="","",IF(I237="DNS",0,IF(I237="DQ",0,IF(I237="DNF",1,IF(AND(ISNUMBER(I237),I237&gt;59),1,_xlfn.XLOOKUP(I237,tbl_points[Place],tbl_points[Points],""))))))</f>
        <v/>
      </c>
      <c r="L237" s="3" t="str">
        <f>IF(K237="","",IF(K237="DNS",0,IF(K237="DQ",0,IF(K237="DNF",1,IF(AND(ISNUMBER(K237),K237&gt;59),1,_xlfn.XLOOKUP(K237,tbl_points[Place],tbl_points[Points],""))))))</f>
        <v/>
      </c>
      <c r="N237" s="3" t="str">
        <f>IF(M237="","",IF(M237="DNS",0,IF(M237="DQ",0,IF(M237="DNF",1,IF(AND(ISNUMBER(M237),M237&gt;59),1,_xlfn.XLOOKUP(M237,tbl_points[Place],tbl_points[Points],""))))))</f>
        <v/>
      </c>
      <c r="P237" s="3" t="str">
        <f>IF(O237="","",IF(O237="DNS",0,IF(O237="DQ",0,IF(O237="DNF",1,IF(AND(ISNUMBER(O237),O237&gt;59),1,_xlfn.XLOOKUP(O237,tbl_points[Place],tbl_points[Points],""))))))</f>
        <v/>
      </c>
      <c r="Q2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7" s="3">
        <f>tbl_individual[[#This Row],[Total]]-tbl_individual[[#This Row],[Lowest Score]]</f>
        <v>0</v>
      </c>
    </row>
    <row r="238" spans="1:19" x14ac:dyDescent="0.4">
      <c r="A238" t="s">
        <v>290</v>
      </c>
      <c r="B238" t="s">
        <v>25</v>
      </c>
      <c r="C238" t="s">
        <v>1</v>
      </c>
      <c r="D238" s="3">
        <v>12072</v>
      </c>
      <c r="F238" s="3" t="str">
        <f>IF(E238="","",IF(E238="DNS",0,IF(E238="DQ",0,IF(E238="DNF",1,IF(AND(ISNUMBER(E238),E238&gt;59),1,_xlfn.XLOOKUP(E238,tbl_points[Place],tbl_points[Points],""))))))</f>
        <v/>
      </c>
      <c r="H238" s="3" t="str">
        <f>IF(G238="","",IF(G238="DNS",0,IF(G238="DQ",0,IF(G238="DNF",1,IF(AND(ISNUMBER(G238),G238&gt;59),1,_xlfn.XLOOKUP(G238,tbl_points[Place],tbl_points[Points],""))))))</f>
        <v/>
      </c>
      <c r="J238" s="3" t="str">
        <f>IF(I238="","",IF(I238="DNS",0,IF(I238="DQ",0,IF(I238="DNF",1,IF(AND(ISNUMBER(I238),I238&gt;59),1,_xlfn.XLOOKUP(I238,tbl_points[Place],tbl_points[Points],""))))))</f>
        <v/>
      </c>
      <c r="L238" s="3" t="str">
        <f>IF(K238="","",IF(K238="DNS",0,IF(K238="DQ",0,IF(K238="DNF",1,IF(AND(ISNUMBER(K238),K238&gt;59),1,_xlfn.XLOOKUP(K238,tbl_points[Place],tbl_points[Points],""))))))</f>
        <v/>
      </c>
      <c r="N238" s="3" t="str">
        <f>IF(M238="","",IF(M238="DNS",0,IF(M238="DQ",0,IF(M238="DNF",1,IF(AND(ISNUMBER(M238),M238&gt;59),1,_xlfn.XLOOKUP(M238,tbl_points[Place],tbl_points[Points],""))))))</f>
        <v/>
      </c>
      <c r="P238" s="3" t="str">
        <f>IF(O238="","",IF(O238="DNS",0,IF(O238="DQ",0,IF(O238="DNF",1,IF(AND(ISNUMBER(O238),O238&gt;59),1,_xlfn.XLOOKUP(O238,tbl_points[Place],tbl_points[Points],""))))))</f>
        <v/>
      </c>
      <c r="Q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8" s="3">
        <f>tbl_individual[[#This Row],[Total]]-tbl_individual[[#This Row],[Lowest Score]]</f>
        <v>0</v>
      </c>
    </row>
    <row r="239" spans="1:19" x14ac:dyDescent="0.4">
      <c r="A239" t="s">
        <v>292</v>
      </c>
      <c r="B239" t="s">
        <v>25</v>
      </c>
      <c r="C239" t="s">
        <v>1</v>
      </c>
      <c r="D239" s="3">
        <v>12074</v>
      </c>
      <c r="F239" s="3" t="str">
        <f>IF(E239="","",IF(E239="DNS",0,IF(E239="DQ",0,IF(E239="DNF",1,IF(AND(ISNUMBER(E239),E239&gt;59),1,_xlfn.XLOOKUP(E239,tbl_points[Place],tbl_points[Points],""))))))</f>
        <v/>
      </c>
      <c r="H239" s="3" t="str">
        <f>IF(G239="","",IF(G239="DNS",0,IF(G239="DQ",0,IF(G239="DNF",1,IF(AND(ISNUMBER(G239),G239&gt;59),1,_xlfn.XLOOKUP(G239,tbl_points[Place],tbl_points[Points],""))))))</f>
        <v/>
      </c>
      <c r="J239" s="3" t="str">
        <f>IF(I239="","",IF(I239="DNS",0,IF(I239="DQ",0,IF(I239="DNF",1,IF(AND(ISNUMBER(I239),I239&gt;59),1,_xlfn.XLOOKUP(I239,tbl_points[Place],tbl_points[Points],""))))))</f>
        <v/>
      </c>
      <c r="L239" s="3" t="str">
        <f>IF(K239="","",IF(K239="DNS",0,IF(K239="DQ",0,IF(K239="DNF",1,IF(AND(ISNUMBER(K239),K239&gt;59),1,_xlfn.XLOOKUP(K239,tbl_points[Place],tbl_points[Points],""))))))</f>
        <v/>
      </c>
      <c r="N239" s="3" t="str">
        <f>IF(M239="","",IF(M239="DNS",0,IF(M239="DQ",0,IF(M239="DNF",1,IF(AND(ISNUMBER(M239),M239&gt;59),1,_xlfn.XLOOKUP(M239,tbl_points[Place],tbl_points[Points],""))))))</f>
        <v/>
      </c>
      <c r="P239" s="3" t="str">
        <f>IF(O239="","",IF(O239="DNS",0,IF(O239="DQ",0,IF(O239="DNF",1,IF(AND(ISNUMBER(O239),O239&gt;59),1,_xlfn.XLOOKUP(O239,tbl_points[Place],tbl_points[Points],""))))))</f>
        <v/>
      </c>
      <c r="Q2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9" s="3">
        <f>tbl_individual[[#This Row],[Total]]-tbl_individual[[#This Row],[Lowest Score]]</f>
        <v>0</v>
      </c>
    </row>
    <row r="240" spans="1:19" x14ac:dyDescent="0.4">
      <c r="A240" t="s">
        <v>291</v>
      </c>
      <c r="B240" t="s">
        <v>25</v>
      </c>
      <c r="C240" t="s">
        <v>1</v>
      </c>
      <c r="D240" s="3">
        <v>12073</v>
      </c>
      <c r="F240" s="3" t="str">
        <f>IF(E240="","",IF(E240="DNS",0,IF(E240="DQ",0,IF(E240="DNF",1,IF(AND(ISNUMBER(E240),E240&gt;59),1,_xlfn.XLOOKUP(E240,tbl_points[Place],tbl_points[Points],""))))))</f>
        <v/>
      </c>
      <c r="H240" s="3" t="str">
        <f>IF(G240="","",IF(G240="DNS",0,IF(G240="DQ",0,IF(G240="DNF",1,IF(AND(ISNUMBER(G240),G240&gt;59),1,_xlfn.XLOOKUP(G240,tbl_points[Place],tbl_points[Points],""))))))</f>
        <v/>
      </c>
      <c r="J240" s="3" t="str">
        <f>IF(I240="","",IF(I240="DNS",0,IF(I240="DQ",0,IF(I240="DNF",1,IF(AND(ISNUMBER(I240),I240&gt;59),1,_xlfn.XLOOKUP(I240,tbl_points[Place],tbl_points[Points],""))))))</f>
        <v/>
      </c>
      <c r="L240" s="3" t="str">
        <f>IF(K240="","",IF(K240="DNS",0,IF(K240="DQ",0,IF(K240="DNF",1,IF(AND(ISNUMBER(K240),K240&gt;59),1,_xlfn.XLOOKUP(K240,tbl_points[Place],tbl_points[Points],""))))))</f>
        <v/>
      </c>
      <c r="N240" s="3" t="str">
        <f>IF(M240="","",IF(M240="DNS",0,IF(M240="DQ",0,IF(M240="DNF",1,IF(AND(ISNUMBER(M240),M240&gt;59),1,_xlfn.XLOOKUP(M240,tbl_points[Place],tbl_points[Points],""))))))</f>
        <v/>
      </c>
      <c r="P240" s="3" t="str">
        <f>IF(O240="","",IF(O240="DNS",0,IF(O240="DQ",0,IF(O240="DNF",1,IF(AND(ISNUMBER(O240),O240&gt;59),1,_xlfn.XLOOKUP(O240,tbl_points[Place],tbl_points[Points],""))))))</f>
        <v/>
      </c>
      <c r="Q2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0" s="3">
        <f>tbl_individual[[#This Row],[Total]]-tbl_individual[[#This Row],[Lowest Score]]</f>
        <v>0</v>
      </c>
    </row>
    <row r="241" spans="1:19" x14ac:dyDescent="0.4">
      <c r="A241" t="s">
        <v>293</v>
      </c>
      <c r="B241" t="s">
        <v>26</v>
      </c>
      <c r="C241" t="s">
        <v>8</v>
      </c>
      <c r="D241" s="3">
        <v>865</v>
      </c>
      <c r="F241" s="3" t="str">
        <f>IF(E241="","",IF(E241="DNS",0,IF(E241="DQ",0,IF(E241="DNF",1,IF(AND(ISNUMBER(E241),E241&gt;59),1,_xlfn.XLOOKUP(E241,tbl_points[Place],tbl_points[Points],""))))))</f>
        <v/>
      </c>
      <c r="H241" s="3" t="str">
        <f>IF(G241="","",IF(G241="DNS",0,IF(G241="DQ",0,IF(G241="DNF",1,IF(AND(ISNUMBER(G241),G241&gt;59),1,_xlfn.XLOOKUP(G241,tbl_points[Place],tbl_points[Points],""))))))</f>
        <v/>
      </c>
      <c r="J241" s="3" t="str">
        <f>IF(I241="","",IF(I241="DNS",0,IF(I241="DQ",0,IF(I241="DNF",1,IF(AND(ISNUMBER(I241),I241&gt;59),1,_xlfn.XLOOKUP(I241,tbl_points[Place],tbl_points[Points],""))))))</f>
        <v/>
      </c>
      <c r="L241" s="3" t="str">
        <f>IF(K241="","",IF(K241="DNS",0,IF(K241="DQ",0,IF(K241="DNF",1,IF(AND(ISNUMBER(K241),K241&gt;59),1,_xlfn.XLOOKUP(K241,tbl_points[Place],tbl_points[Points],""))))))</f>
        <v/>
      </c>
      <c r="N241" s="3" t="str">
        <f>IF(M241="","",IF(M241="DNS",0,IF(M241="DQ",0,IF(M241="DNF",1,IF(AND(ISNUMBER(M241),M241&gt;59),1,_xlfn.XLOOKUP(M241,tbl_points[Place],tbl_points[Points],""))))))</f>
        <v/>
      </c>
      <c r="P241" s="3" t="str">
        <f>IF(O241="","",IF(O241="DNS",0,IF(O241="DQ",0,IF(O241="DNF",1,IF(AND(ISNUMBER(O241),O241&gt;59),1,_xlfn.XLOOKUP(O241,tbl_points[Place],tbl_points[Points],""))))))</f>
        <v/>
      </c>
      <c r="Q2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1" s="3">
        <f>tbl_individual[[#This Row],[Total]]-tbl_individual[[#This Row],[Lowest Score]]</f>
        <v>0</v>
      </c>
    </row>
    <row r="242" spans="1:19" x14ac:dyDescent="0.4">
      <c r="A242" t="s">
        <v>307</v>
      </c>
      <c r="B242" t="s">
        <v>26</v>
      </c>
      <c r="C242" t="s">
        <v>3</v>
      </c>
      <c r="D242" s="3">
        <v>10189</v>
      </c>
      <c r="F242" s="3" t="str">
        <f>IF(E242="","",IF(E242="DNS",0,IF(E242="DQ",0,IF(E242="DNF",1,IF(AND(ISNUMBER(E242),E242&gt;59),1,_xlfn.XLOOKUP(E242,tbl_points[Place],tbl_points[Points],""))))))</f>
        <v/>
      </c>
      <c r="H242" s="3" t="str">
        <f>IF(G242="","",IF(G242="DNS",0,IF(G242="DQ",0,IF(G242="DNF",1,IF(AND(ISNUMBER(G242),G242&gt;59),1,_xlfn.XLOOKUP(G242,tbl_points[Place],tbl_points[Points],""))))))</f>
        <v/>
      </c>
      <c r="J242" s="3" t="str">
        <f>IF(I242="","",IF(I242="DNS",0,IF(I242="DQ",0,IF(I242="DNF",1,IF(AND(ISNUMBER(I242),I242&gt;59),1,_xlfn.XLOOKUP(I242,tbl_points[Place],tbl_points[Points],""))))))</f>
        <v/>
      </c>
      <c r="L242" s="3" t="str">
        <f>IF(K242="","",IF(K242="DNS",0,IF(K242="DQ",0,IF(K242="DNF",1,IF(AND(ISNUMBER(K242),K242&gt;59),1,_xlfn.XLOOKUP(K242,tbl_points[Place],tbl_points[Points],""))))))</f>
        <v/>
      </c>
      <c r="N242" s="3" t="str">
        <f>IF(M242="","",IF(M242="DNS",0,IF(M242="DQ",0,IF(M242="DNF",1,IF(AND(ISNUMBER(M242),M242&gt;59),1,_xlfn.XLOOKUP(M242,tbl_points[Place],tbl_points[Points],""))))))</f>
        <v/>
      </c>
      <c r="P242" s="3" t="str">
        <f>IF(O242="","",IF(O242="DNS",0,IF(O242="DQ",0,IF(O242="DNF",1,IF(AND(ISNUMBER(O242),O242&gt;59),1,_xlfn.XLOOKUP(O242,tbl_points[Place],tbl_points[Points],""))))))</f>
        <v/>
      </c>
      <c r="Q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2" s="3">
        <f>tbl_individual[[#This Row],[Total]]-tbl_individual[[#This Row],[Lowest Score]]</f>
        <v>0</v>
      </c>
    </row>
    <row r="243" spans="1:19" x14ac:dyDescent="0.4">
      <c r="A243" t="s">
        <v>306</v>
      </c>
      <c r="B243" t="s">
        <v>26</v>
      </c>
      <c r="C243" t="s">
        <v>3</v>
      </c>
      <c r="D243" s="3">
        <v>10188</v>
      </c>
      <c r="F243" s="3" t="str">
        <f>IF(E243="","",IF(E243="DNS",0,IF(E243="DQ",0,IF(E243="DNF",1,IF(AND(ISNUMBER(E243),E243&gt;59),1,_xlfn.XLOOKUP(E243,tbl_points[Place],tbl_points[Points],""))))))</f>
        <v/>
      </c>
      <c r="H243" s="3" t="str">
        <f>IF(G243="","",IF(G243="DNS",0,IF(G243="DQ",0,IF(G243="DNF",1,IF(AND(ISNUMBER(G243),G243&gt;59),1,_xlfn.XLOOKUP(G243,tbl_points[Place],tbl_points[Points],""))))))</f>
        <v/>
      </c>
      <c r="J243" s="3" t="str">
        <f>IF(I243="","",IF(I243="DNS",0,IF(I243="DQ",0,IF(I243="DNF",1,IF(AND(ISNUMBER(I243),I243&gt;59),1,_xlfn.XLOOKUP(I243,tbl_points[Place],tbl_points[Points],""))))))</f>
        <v/>
      </c>
      <c r="L243" s="3" t="str">
        <f>IF(K243="","",IF(K243="DNS",0,IF(K243="DQ",0,IF(K243="DNF",1,IF(AND(ISNUMBER(K243),K243&gt;59),1,_xlfn.XLOOKUP(K243,tbl_points[Place],tbl_points[Points],""))))))</f>
        <v/>
      </c>
      <c r="N243" s="3" t="str">
        <f>IF(M243="","",IF(M243="DNS",0,IF(M243="DQ",0,IF(M243="DNF",1,IF(AND(ISNUMBER(M243),M243&gt;59),1,_xlfn.XLOOKUP(M243,tbl_points[Place],tbl_points[Points],""))))))</f>
        <v/>
      </c>
      <c r="P243" s="3" t="str">
        <f>IF(O243="","",IF(O243="DNS",0,IF(O243="DQ",0,IF(O243="DNF",1,IF(AND(ISNUMBER(O243),O243&gt;59),1,_xlfn.XLOOKUP(O243,tbl_points[Place],tbl_points[Points],""))))))</f>
        <v/>
      </c>
      <c r="Q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3" s="3">
        <f>tbl_individual[[#This Row],[Total]]-tbl_individual[[#This Row],[Lowest Score]]</f>
        <v>0</v>
      </c>
    </row>
    <row r="244" spans="1:19" x14ac:dyDescent="0.4">
      <c r="A244" t="s">
        <v>305</v>
      </c>
      <c r="B244" t="s">
        <v>26</v>
      </c>
      <c r="C244" t="s">
        <v>4</v>
      </c>
      <c r="D244" s="3">
        <v>1031</v>
      </c>
      <c r="F244" s="3" t="str">
        <f>IF(E244="","",IF(E244="DNS",0,IF(E244="DQ",0,IF(E244="DNF",1,IF(AND(ISNUMBER(E244),E244&gt;59),1,_xlfn.XLOOKUP(E244,tbl_points[Place],tbl_points[Points],""))))))</f>
        <v/>
      </c>
      <c r="H244" s="3" t="str">
        <f>IF(G244="","",IF(G244="DNS",0,IF(G244="DQ",0,IF(G244="DNF",1,IF(AND(ISNUMBER(G244),G244&gt;59),1,_xlfn.XLOOKUP(G244,tbl_points[Place],tbl_points[Points],""))))))</f>
        <v/>
      </c>
      <c r="J244" s="3" t="str">
        <f>IF(I244="","",IF(I244="DNS",0,IF(I244="DQ",0,IF(I244="DNF",1,IF(AND(ISNUMBER(I244),I244&gt;59),1,_xlfn.XLOOKUP(I244,tbl_points[Place],tbl_points[Points],""))))))</f>
        <v/>
      </c>
      <c r="L244" s="3" t="str">
        <f>IF(K244="","",IF(K244="DNS",0,IF(K244="DQ",0,IF(K244="DNF",1,IF(AND(ISNUMBER(K244),K244&gt;59),1,_xlfn.XLOOKUP(K244,tbl_points[Place],tbl_points[Points],""))))))</f>
        <v/>
      </c>
      <c r="N244" s="3" t="str">
        <f>IF(M244="","",IF(M244="DNS",0,IF(M244="DQ",0,IF(M244="DNF",1,IF(AND(ISNUMBER(M244),M244&gt;59),1,_xlfn.XLOOKUP(M244,tbl_points[Place],tbl_points[Points],""))))))</f>
        <v/>
      </c>
      <c r="P244" s="3" t="str">
        <f>IF(O244="","",IF(O244="DNS",0,IF(O244="DQ",0,IF(O244="DNF",1,IF(AND(ISNUMBER(O244),O244&gt;59),1,_xlfn.XLOOKUP(O244,tbl_points[Place],tbl_points[Points],""))))))</f>
        <v/>
      </c>
      <c r="Q2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4" s="3">
        <f>tbl_individual[[#This Row],[Total]]-tbl_individual[[#This Row],[Lowest Score]]</f>
        <v>0</v>
      </c>
    </row>
    <row r="245" spans="1:19" x14ac:dyDescent="0.4">
      <c r="A245" t="s">
        <v>299</v>
      </c>
      <c r="B245" t="s">
        <v>26</v>
      </c>
      <c r="C245" t="s">
        <v>5</v>
      </c>
      <c r="D245" s="3">
        <v>934</v>
      </c>
      <c r="F245" s="3" t="str">
        <f>IF(E245="","",IF(E245="DNS",0,IF(E245="DQ",0,IF(E245="DNF",1,IF(AND(ISNUMBER(E245),E245&gt;59),1,_xlfn.XLOOKUP(E245,tbl_points[Place],tbl_points[Points],""))))))</f>
        <v/>
      </c>
      <c r="H245" s="3" t="str">
        <f>IF(G245="","",IF(G245="DNS",0,IF(G245="DQ",0,IF(G245="DNF",1,IF(AND(ISNUMBER(G245),G245&gt;59),1,_xlfn.XLOOKUP(G245,tbl_points[Place],tbl_points[Points],""))))))</f>
        <v/>
      </c>
      <c r="J245" s="3" t="str">
        <f>IF(I245="","",IF(I245="DNS",0,IF(I245="DQ",0,IF(I245="DNF",1,IF(AND(ISNUMBER(I245),I245&gt;59),1,_xlfn.XLOOKUP(I245,tbl_points[Place],tbl_points[Points],""))))))</f>
        <v/>
      </c>
      <c r="L245" s="3" t="str">
        <f>IF(K245="","",IF(K245="DNS",0,IF(K245="DQ",0,IF(K245="DNF",1,IF(AND(ISNUMBER(K245),K245&gt;59),1,_xlfn.XLOOKUP(K245,tbl_points[Place],tbl_points[Points],""))))))</f>
        <v/>
      </c>
      <c r="N245" s="3" t="str">
        <f>IF(M245="","",IF(M245="DNS",0,IF(M245="DQ",0,IF(M245="DNF",1,IF(AND(ISNUMBER(M245),M245&gt;59),1,_xlfn.XLOOKUP(M245,tbl_points[Place],tbl_points[Points],""))))))</f>
        <v/>
      </c>
      <c r="P245" s="3" t="str">
        <f>IF(O245="","",IF(O245="DNS",0,IF(O245="DQ",0,IF(O245="DNF",1,IF(AND(ISNUMBER(O245),O245&gt;59),1,_xlfn.XLOOKUP(O245,tbl_points[Place],tbl_points[Points],""))))))</f>
        <v/>
      </c>
      <c r="Q2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5" s="3">
        <f>tbl_individual[[#This Row],[Total]]-tbl_individual[[#This Row],[Lowest Score]]</f>
        <v>0</v>
      </c>
    </row>
    <row r="246" spans="1:19" x14ac:dyDescent="0.4">
      <c r="A246" t="s">
        <v>300</v>
      </c>
      <c r="B246" t="s">
        <v>26</v>
      </c>
      <c r="C246" t="s">
        <v>5</v>
      </c>
      <c r="D246" s="3">
        <v>935</v>
      </c>
      <c r="F246" s="3" t="str">
        <f>IF(E246="","",IF(E246="DNS",0,IF(E246="DQ",0,IF(E246="DNF",1,IF(AND(ISNUMBER(E246),E246&gt;59),1,_xlfn.XLOOKUP(E246,tbl_points[Place],tbl_points[Points],""))))))</f>
        <v/>
      </c>
      <c r="H246" s="3" t="str">
        <f>IF(G246="","",IF(G246="DNS",0,IF(G246="DQ",0,IF(G246="DNF",1,IF(AND(ISNUMBER(G246),G246&gt;59),1,_xlfn.XLOOKUP(G246,tbl_points[Place],tbl_points[Points],""))))))</f>
        <v/>
      </c>
      <c r="J246" s="3" t="str">
        <f>IF(I246="","",IF(I246="DNS",0,IF(I246="DQ",0,IF(I246="DNF",1,IF(AND(ISNUMBER(I246),I246&gt;59),1,_xlfn.XLOOKUP(I246,tbl_points[Place],tbl_points[Points],""))))))</f>
        <v/>
      </c>
      <c r="L246" s="3" t="str">
        <f>IF(K246="","",IF(K246="DNS",0,IF(K246="DQ",0,IF(K246="DNF",1,IF(AND(ISNUMBER(K246),K246&gt;59),1,_xlfn.XLOOKUP(K246,tbl_points[Place],tbl_points[Points],""))))))</f>
        <v/>
      </c>
      <c r="N246" s="3" t="str">
        <f>IF(M246="","",IF(M246="DNS",0,IF(M246="DQ",0,IF(M246="DNF",1,IF(AND(ISNUMBER(M246),M246&gt;59),1,_xlfn.XLOOKUP(M246,tbl_points[Place],tbl_points[Points],""))))))</f>
        <v/>
      </c>
      <c r="P246" s="3" t="str">
        <f>IF(O246="","",IF(O246="DNS",0,IF(O246="DQ",0,IF(O246="DNF",1,IF(AND(ISNUMBER(O246),O246&gt;59),1,_xlfn.XLOOKUP(O246,tbl_points[Place],tbl_points[Points],""))))))</f>
        <v/>
      </c>
      <c r="Q2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6" s="3">
        <f>tbl_individual[[#This Row],[Total]]-tbl_individual[[#This Row],[Lowest Score]]</f>
        <v>0</v>
      </c>
    </row>
    <row r="247" spans="1:19" x14ac:dyDescent="0.4">
      <c r="A247" t="s">
        <v>296</v>
      </c>
      <c r="B247" t="s">
        <v>26</v>
      </c>
      <c r="C247" t="s">
        <v>5</v>
      </c>
      <c r="D247" s="3">
        <v>931</v>
      </c>
      <c r="F247" s="3" t="str">
        <f>IF(E247="","",IF(E247="DNS",0,IF(E247="DQ",0,IF(E247="DNF",1,IF(AND(ISNUMBER(E247),E247&gt;59),1,_xlfn.XLOOKUP(E247,tbl_points[Place],tbl_points[Points],""))))))</f>
        <v/>
      </c>
      <c r="H247" s="3" t="str">
        <f>IF(G247="","",IF(G247="DNS",0,IF(G247="DQ",0,IF(G247="DNF",1,IF(AND(ISNUMBER(G247),G247&gt;59),1,_xlfn.XLOOKUP(G247,tbl_points[Place],tbl_points[Points],""))))))</f>
        <v/>
      </c>
      <c r="J247" s="3" t="str">
        <f>IF(I247="","",IF(I247="DNS",0,IF(I247="DQ",0,IF(I247="DNF",1,IF(AND(ISNUMBER(I247),I247&gt;59),1,_xlfn.XLOOKUP(I247,tbl_points[Place],tbl_points[Points],""))))))</f>
        <v/>
      </c>
      <c r="L247" s="3" t="str">
        <f>IF(K247="","",IF(K247="DNS",0,IF(K247="DQ",0,IF(K247="DNF",1,IF(AND(ISNUMBER(K247),K247&gt;59),1,_xlfn.XLOOKUP(K247,tbl_points[Place],tbl_points[Points],""))))))</f>
        <v/>
      </c>
      <c r="N247" s="3" t="str">
        <f>IF(M247="","",IF(M247="DNS",0,IF(M247="DQ",0,IF(M247="DNF",1,IF(AND(ISNUMBER(M247),M247&gt;59),1,_xlfn.XLOOKUP(M247,tbl_points[Place],tbl_points[Points],""))))))</f>
        <v/>
      </c>
      <c r="P247" s="3" t="str">
        <f>IF(O247="","",IF(O247="DNS",0,IF(O247="DQ",0,IF(O247="DNF",1,IF(AND(ISNUMBER(O247),O247&gt;59),1,_xlfn.XLOOKUP(O247,tbl_points[Place],tbl_points[Points],""))))))</f>
        <v/>
      </c>
      <c r="Q2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7" s="3">
        <f>tbl_individual[[#This Row],[Total]]-tbl_individual[[#This Row],[Lowest Score]]</f>
        <v>0</v>
      </c>
    </row>
    <row r="248" spans="1:19" x14ac:dyDescent="0.4">
      <c r="A248" t="s">
        <v>301</v>
      </c>
      <c r="B248" t="s">
        <v>26</v>
      </c>
      <c r="C248" t="s">
        <v>5</v>
      </c>
      <c r="D248" s="3">
        <v>936</v>
      </c>
      <c r="F248" s="3" t="str">
        <f>IF(E248="","",IF(E248="DNS",0,IF(E248="DQ",0,IF(E248="DNF",1,IF(AND(ISNUMBER(E248),E248&gt;59),1,_xlfn.XLOOKUP(E248,tbl_points[Place],tbl_points[Points],""))))))</f>
        <v/>
      </c>
      <c r="H248" s="3" t="str">
        <f>IF(G248="","",IF(G248="DNS",0,IF(G248="DQ",0,IF(G248="DNF",1,IF(AND(ISNUMBER(G248),G248&gt;59),1,_xlfn.XLOOKUP(G248,tbl_points[Place],tbl_points[Points],""))))))</f>
        <v/>
      </c>
      <c r="J248" s="3" t="str">
        <f>IF(I248="","",IF(I248="DNS",0,IF(I248="DQ",0,IF(I248="DNF",1,IF(AND(ISNUMBER(I248),I248&gt;59),1,_xlfn.XLOOKUP(I248,tbl_points[Place],tbl_points[Points],""))))))</f>
        <v/>
      </c>
      <c r="L248" s="3" t="str">
        <f>IF(K248="","",IF(K248="DNS",0,IF(K248="DQ",0,IF(K248="DNF",1,IF(AND(ISNUMBER(K248),K248&gt;59),1,_xlfn.XLOOKUP(K248,tbl_points[Place],tbl_points[Points],""))))))</f>
        <v/>
      </c>
      <c r="N248" s="3" t="str">
        <f>IF(M248="","",IF(M248="DNS",0,IF(M248="DQ",0,IF(M248="DNF",1,IF(AND(ISNUMBER(M248),M248&gt;59),1,_xlfn.XLOOKUP(M248,tbl_points[Place],tbl_points[Points],""))))))</f>
        <v/>
      </c>
      <c r="P248" s="3" t="str">
        <f>IF(O248="","",IF(O248="DNS",0,IF(O248="DQ",0,IF(O248="DNF",1,IF(AND(ISNUMBER(O248),O248&gt;59),1,_xlfn.XLOOKUP(O248,tbl_points[Place],tbl_points[Points],""))))))</f>
        <v/>
      </c>
      <c r="Q2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8" s="3">
        <f>tbl_individual[[#This Row],[Total]]-tbl_individual[[#This Row],[Lowest Score]]</f>
        <v>0</v>
      </c>
    </row>
    <row r="249" spans="1:19" x14ac:dyDescent="0.4">
      <c r="A249" t="s">
        <v>297</v>
      </c>
      <c r="B249" t="s">
        <v>26</v>
      </c>
      <c r="C249" t="s">
        <v>5</v>
      </c>
      <c r="D249" s="3">
        <v>932</v>
      </c>
      <c r="F249" s="3" t="str">
        <f>IF(E249="","",IF(E249="DNS",0,IF(E249="DQ",0,IF(E249="DNF",1,IF(AND(ISNUMBER(E249),E249&gt;59),1,_xlfn.XLOOKUP(E249,tbl_points[Place],tbl_points[Points],""))))))</f>
        <v/>
      </c>
      <c r="H249" s="3" t="str">
        <f>IF(G249="","",IF(G249="DNS",0,IF(G249="DQ",0,IF(G249="DNF",1,IF(AND(ISNUMBER(G249),G249&gt;59),1,_xlfn.XLOOKUP(G249,tbl_points[Place],tbl_points[Points],""))))))</f>
        <v/>
      </c>
      <c r="J249" s="3" t="str">
        <f>IF(I249="","",IF(I249="DNS",0,IF(I249="DQ",0,IF(I249="DNF",1,IF(AND(ISNUMBER(I249),I249&gt;59),1,_xlfn.XLOOKUP(I249,tbl_points[Place],tbl_points[Points],""))))))</f>
        <v/>
      </c>
      <c r="L249" s="3" t="str">
        <f>IF(K249="","",IF(K249="DNS",0,IF(K249="DQ",0,IF(K249="DNF",1,IF(AND(ISNUMBER(K249),K249&gt;59),1,_xlfn.XLOOKUP(K249,tbl_points[Place],tbl_points[Points],""))))))</f>
        <v/>
      </c>
      <c r="N249" s="3" t="str">
        <f>IF(M249="","",IF(M249="DNS",0,IF(M249="DQ",0,IF(M249="DNF",1,IF(AND(ISNUMBER(M249),M249&gt;59),1,_xlfn.XLOOKUP(M249,tbl_points[Place],tbl_points[Points],""))))))</f>
        <v/>
      </c>
      <c r="P249" s="3" t="str">
        <f>IF(O249="","",IF(O249="DNS",0,IF(O249="DQ",0,IF(O249="DNF",1,IF(AND(ISNUMBER(O249),O249&gt;59),1,_xlfn.XLOOKUP(O249,tbl_points[Place],tbl_points[Points],""))))))</f>
        <v/>
      </c>
      <c r="Q2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9" s="3">
        <f>tbl_individual[[#This Row],[Total]]-tbl_individual[[#This Row],[Lowest Score]]</f>
        <v>0</v>
      </c>
    </row>
    <row r="250" spans="1:19" x14ac:dyDescent="0.4">
      <c r="A250" t="s">
        <v>294</v>
      </c>
      <c r="B250" t="s">
        <v>26</v>
      </c>
      <c r="C250" t="s">
        <v>5</v>
      </c>
      <c r="D250" s="3">
        <v>929</v>
      </c>
      <c r="F250" s="3" t="str">
        <f>IF(E250="","",IF(E250="DNS",0,IF(E250="DQ",0,IF(E250="DNF",1,IF(AND(ISNUMBER(E250),E250&gt;59),1,_xlfn.XLOOKUP(E250,tbl_points[Place],tbl_points[Points],""))))))</f>
        <v/>
      </c>
      <c r="H250" s="3" t="str">
        <f>IF(G250="","",IF(G250="DNS",0,IF(G250="DQ",0,IF(G250="DNF",1,IF(AND(ISNUMBER(G250),G250&gt;59),1,_xlfn.XLOOKUP(G250,tbl_points[Place],tbl_points[Points],""))))))</f>
        <v/>
      </c>
      <c r="J250" s="3" t="str">
        <f>IF(I250="","",IF(I250="DNS",0,IF(I250="DQ",0,IF(I250="DNF",1,IF(AND(ISNUMBER(I250),I250&gt;59),1,_xlfn.XLOOKUP(I250,tbl_points[Place],tbl_points[Points],""))))))</f>
        <v/>
      </c>
      <c r="L250" s="3" t="str">
        <f>IF(K250="","",IF(K250="DNS",0,IF(K250="DQ",0,IF(K250="DNF",1,IF(AND(ISNUMBER(K250),K250&gt;59),1,_xlfn.XLOOKUP(K250,tbl_points[Place],tbl_points[Points],""))))))</f>
        <v/>
      </c>
      <c r="N250" s="3" t="str">
        <f>IF(M250="","",IF(M250="DNS",0,IF(M250="DQ",0,IF(M250="DNF",1,IF(AND(ISNUMBER(M250),M250&gt;59),1,_xlfn.XLOOKUP(M250,tbl_points[Place],tbl_points[Points],""))))))</f>
        <v/>
      </c>
      <c r="P250" s="3" t="str">
        <f>IF(O250="","",IF(O250="DNS",0,IF(O250="DQ",0,IF(O250="DNF",1,IF(AND(ISNUMBER(O250),O250&gt;59),1,_xlfn.XLOOKUP(O250,tbl_points[Place],tbl_points[Points],""))))))</f>
        <v/>
      </c>
      <c r="Q2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0" s="3">
        <f>tbl_individual[[#This Row],[Total]]-tbl_individual[[#This Row],[Lowest Score]]</f>
        <v>0</v>
      </c>
    </row>
    <row r="251" spans="1:19" x14ac:dyDescent="0.4">
      <c r="A251" t="s">
        <v>302</v>
      </c>
      <c r="B251" t="s">
        <v>26</v>
      </c>
      <c r="C251" t="s">
        <v>5</v>
      </c>
      <c r="D251" s="3">
        <v>937</v>
      </c>
      <c r="F251" s="3" t="str">
        <f>IF(E251="","",IF(E251="DNS",0,IF(E251="DQ",0,IF(E251="DNF",1,IF(AND(ISNUMBER(E251),E251&gt;59),1,_xlfn.XLOOKUP(E251,tbl_points[Place],tbl_points[Points],""))))))</f>
        <v/>
      </c>
      <c r="H251" s="3" t="str">
        <f>IF(G251="","",IF(G251="DNS",0,IF(G251="DQ",0,IF(G251="DNF",1,IF(AND(ISNUMBER(G251),G251&gt;59),1,_xlfn.XLOOKUP(G251,tbl_points[Place],tbl_points[Points],""))))))</f>
        <v/>
      </c>
      <c r="J251" s="3" t="str">
        <f>IF(I251="","",IF(I251="DNS",0,IF(I251="DQ",0,IF(I251="DNF",1,IF(AND(ISNUMBER(I251),I251&gt;59),1,_xlfn.XLOOKUP(I251,tbl_points[Place],tbl_points[Points],""))))))</f>
        <v/>
      </c>
      <c r="L251" s="3" t="str">
        <f>IF(K251="","",IF(K251="DNS",0,IF(K251="DQ",0,IF(K251="DNF",1,IF(AND(ISNUMBER(K251),K251&gt;59),1,_xlfn.XLOOKUP(K251,tbl_points[Place],tbl_points[Points],""))))))</f>
        <v/>
      </c>
      <c r="N251" s="3" t="str">
        <f>IF(M251="","",IF(M251="DNS",0,IF(M251="DQ",0,IF(M251="DNF",1,IF(AND(ISNUMBER(M251),M251&gt;59),1,_xlfn.XLOOKUP(M251,tbl_points[Place],tbl_points[Points],""))))))</f>
        <v/>
      </c>
      <c r="P251" s="3" t="str">
        <f>IF(O251="","",IF(O251="DNS",0,IF(O251="DQ",0,IF(O251="DNF",1,IF(AND(ISNUMBER(O251),O251&gt;59),1,_xlfn.XLOOKUP(O251,tbl_points[Place],tbl_points[Points],""))))))</f>
        <v/>
      </c>
      <c r="Q2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1" s="3">
        <f>tbl_individual[[#This Row],[Total]]-tbl_individual[[#This Row],[Lowest Score]]</f>
        <v>0</v>
      </c>
    </row>
    <row r="252" spans="1:19" x14ac:dyDescent="0.4">
      <c r="A252" t="s">
        <v>295</v>
      </c>
      <c r="B252" t="s">
        <v>26</v>
      </c>
      <c r="C252" t="s">
        <v>5</v>
      </c>
      <c r="D252" s="3">
        <v>930</v>
      </c>
      <c r="F252" s="3" t="str">
        <f>IF(E252="","",IF(E252="DNS",0,IF(E252="DQ",0,IF(E252="DNF",1,IF(AND(ISNUMBER(E252),E252&gt;59),1,_xlfn.XLOOKUP(E252,tbl_points[Place],tbl_points[Points],""))))))</f>
        <v/>
      </c>
      <c r="H252" s="3" t="str">
        <f>IF(G252="","",IF(G252="DNS",0,IF(G252="DQ",0,IF(G252="DNF",1,IF(AND(ISNUMBER(G252),G252&gt;59),1,_xlfn.XLOOKUP(G252,tbl_points[Place],tbl_points[Points],""))))))</f>
        <v/>
      </c>
      <c r="J252" s="3" t="str">
        <f>IF(I252="","",IF(I252="DNS",0,IF(I252="DQ",0,IF(I252="DNF",1,IF(AND(ISNUMBER(I252),I252&gt;59),1,_xlfn.XLOOKUP(I252,tbl_points[Place],tbl_points[Points],""))))))</f>
        <v/>
      </c>
      <c r="L252" s="3" t="str">
        <f>IF(K252="","",IF(K252="DNS",0,IF(K252="DQ",0,IF(K252="DNF",1,IF(AND(ISNUMBER(K252),K252&gt;59),1,_xlfn.XLOOKUP(K252,tbl_points[Place],tbl_points[Points],""))))))</f>
        <v/>
      </c>
      <c r="N252" s="3" t="str">
        <f>IF(M252="","",IF(M252="DNS",0,IF(M252="DQ",0,IF(M252="DNF",1,IF(AND(ISNUMBER(M252),M252&gt;59),1,_xlfn.XLOOKUP(M252,tbl_points[Place],tbl_points[Points],""))))))</f>
        <v/>
      </c>
      <c r="P252" s="3" t="str">
        <f>IF(O252="","",IF(O252="DNS",0,IF(O252="DQ",0,IF(O252="DNF",1,IF(AND(ISNUMBER(O252),O252&gt;59),1,_xlfn.XLOOKUP(O252,tbl_points[Place],tbl_points[Points],""))))))</f>
        <v/>
      </c>
      <c r="Q2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2" s="3">
        <f>tbl_individual[[#This Row],[Total]]-tbl_individual[[#This Row],[Lowest Score]]</f>
        <v>0</v>
      </c>
    </row>
    <row r="253" spans="1:19" x14ac:dyDescent="0.4">
      <c r="A253" t="s">
        <v>303</v>
      </c>
      <c r="B253" t="s">
        <v>26</v>
      </c>
      <c r="C253" t="s">
        <v>5</v>
      </c>
      <c r="D253" s="3">
        <v>938</v>
      </c>
      <c r="F253" s="3" t="str">
        <f>IF(E253="","",IF(E253="DNS",0,IF(E253="DQ",0,IF(E253="DNF",1,IF(AND(ISNUMBER(E253),E253&gt;59),1,_xlfn.XLOOKUP(E253,tbl_points[Place],tbl_points[Points],""))))))</f>
        <v/>
      </c>
      <c r="H253" s="3" t="str">
        <f>IF(G253="","",IF(G253="DNS",0,IF(G253="DQ",0,IF(G253="DNF",1,IF(AND(ISNUMBER(G253),G253&gt;59),1,_xlfn.XLOOKUP(G253,tbl_points[Place],tbl_points[Points],""))))))</f>
        <v/>
      </c>
      <c r="J253" s="3" t="str">
        <f>IF(I253="","",IF(I253="DNS",0,IF(I253="DQ",0,IF(I253="DNF",1,IF(AND(ISNUMBER(I253),I253&gt;59),1,_xlfn.XLOOKUP(I253,tbl_points[Place],tbl_points[Points],""))))))</f>
        <v/>
      </c>
      <c r="L253" s="3" t="str">
        <f>IF(K253="","",IF(K253="DNS",0,IF(K253="DQ",0,IF(K253="DNF",1,IF(AND(ISNUMBER(K253),K253&gt;59),1,_xlfn.XLOOKUP(K253,tbl_points[Place],tbl_points[Points],""))))))</f>
        <v/>
      </c>
      <c r="N253" s="3" t="str">
        <f>IF(M253="","",IF(M253="DNS",0,IF(M253="DQ",0,IF(M253="DNF",1,IF(AND(ISNUMBER(M253),M253&gt;59),1,_xlfn.XLOOKUP(M253,tbl_points[Place],tbl_points[Points],""))))))</f>
        <v/>
      </c>
      <c r="P253" s="3" t="str">
        <f>IF(O253="","",IF(O253="DNS",0,IF(O253="DQ",0,IF(O253="DNF",1,IF(AND(ISNUMBER(O253),O253&gt;59),1,_xlfn.XLOOKUP(O253,tbl_points[Place],tbl_points[Points],""))))))</f>
        <v/>
      </c>
      <c r="Q2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3" s="3">
        <f>tbl_individual[[#This Row],[Total]]-tbl_individual[[#This Row],[Lowest Score]]</f>
        <v>0</v>
      </c>
    </row>
    <row r="254" spans="1:19" x14ac:dyDescent="0.4">
      <c r="A254" t="s">
        <v>298</v>
      </c>
      <c r="B254" t="s">
        <v>26</v>
      </c>
      <c r="C254" t="s">
        <v>5</v>
      </c>
      <c r="D254" s="3">
        <v>933</v>
      </c>
      <c r="F254" s="3" t="str">
        <f>IF(E254="","",IF(E254="DNS",0,IF(E254="DQ",0,IF(E254="DNF",1,IF(AND(ISNUMBER(E254),E254&gt;59),1,_xlfn.XLOOKUP(E254,tbl_points[Place],tbl_points[Points],""))))))</f>
        <v/>
      </c>
      <c r="H254" s="3" t="str">
        <f>IF(G254="","",IF(G254="DNS",0,IF(G254="DQ",0,IF(G254="DNF",1,IF(AND(ISNUMBER(G254),G254&gt;59),1,_xlfn.XLOOKUP(G254,tbl_points[Place],tbl_points[Points],""))))))</f>
        <v/>
      </c>
      <c r="J254" s="3" t="str">
        <f>IF(I254="","",IF(I254="DNS",0,IF(I254="DQ",0,IF(I254="DNF",1,IF(AND(ISNUMBER(I254),I254&gt;59),1,_xlfn.XLOOKUP(I254,tbl_points[Place],tbl_points[Points],""))))))</f>
        <v/>
      </c>
      <c r="L254" s="3" t="str">
        <f>IF(K254="","",IF(K254="DNS",0,IF(K254="DQ",0,IF(K254="DNF",1,IF(AND(ISNUMBER(K254),K254&gt;59),1,_xlfn.XLOOKUP(K254,tbl_points[Place],tbl_points[Points],""))))))</f>
        <v/>
      </c>
      <c r="N254" s="3" t="str">
        <f>IF(M254="","",IF(M254="DNS",0,IF(M254="DQ",0,IF(M254="DNF",1,IF(AND(ISNUMBER(M254),M254&gt;59),1,_xlfn.XLOOKUP(M254,tbl_points[Place],tbl_points[Points],""))))))</f>
        <v/>
      </c>
      <c r="P254" s="3" t="str">
        <f>IF(O254="","",IF(O254="DNS",0,IF(O254="DQ",0,IF(O254="DNF",1,IF(AND(ISNUMBER(O254),O254&gt;59),1,_xlfn.XLOOKUP(O254,tbl_points[Place],tbl_points[Points],""))))))</f>
        <v/>
      </c>
      <c r="Q2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4" s="3">
        <f>tbl_individual[[#This Row],[Total]]-tbl_individual[[#This Row],[Lowest Score]]</f>
        <v>0</v>
      </c>
    </row>
    <row r="255" spans="1:19" x14ac:dyDescent="0.4">
      <c r="A255" t="s">
        <v>304</v>
      </c>
      <c r="B255" t="s">
        <v>26</v>
      </c>
      <c r="C255" t="s">
        <v>6</v>
      </c>
      <c r="D255" s="3">
        <v>920</v>
      </c>
      <c r="F255" s="3" t="str">
        <f>IF(E255="","",IF(E255="DNS",0,IF(E255="DQ",0,IF(E255="DNF",1,IF(AND(ISNUMBER(E255),E255&gt;59),1,_xlfn.XLOOKUP(E255,tbl_points[Place],tbl_points[Points],""))))))</f>
        <v/>
      </c>
      <c r="H255" s="3" t="str">
        <f>IF(G255="","",IF(G255="DNS",0,IF(G255="DQ",0,IF(G255="DNF",1,IF(AND(ISNUMBER(G255),G255&gt;59),1,_xlfn.XLOOKUP(G255,tbl_points[Place],tbl_points[Points],""))))))</f>
        <v/>
      </c>
      <c r="J255" s="3" t="str">
        <f>IF(I255="","",IF(I255="DNS",0,IF(I255="DQ",0,IF(I255="DNF",1,IF(AND(ISNUMBER(I255),I255&gt;59),1,_xlfn.XLOOKUP(I255,tbl_points[Place],tbl_points[Points],""))))))</f>
        <v/>
      </c>
      <c r="L255" s="3" t="str">
        <f>IF(K255="","",IF(K255="DNS",0,IF(K255="DQ",0,IF(K255="DNF",1,IF(AND(ISNUMBER(K255),K255&gt;59),1,_xlfn.XLOOKUP(K255,tbl_points[Place],tbl_points[Points],""))))))</f>
        <v/>
      </c>
      <c r="N255" s="3" t="str">
        <f>IF(M255="","",IF(M255="DNS",0,IF(M255="DQ",0,IF(M255="DNF",1,IF(AND(ISNUMBER(M255),M255&gt;59),1,_xlfn.XLOOKUP(M255,tbl_points[Place],tbl_points[Points],""))))))</f>
        <v/>
      </c>
      <c r="P255" s="3" t="str">
        <f>IF(O255="","",IF(O255="DNS",0,IF(O255="DQ",0,IF(O255="DNF",1,IF(AND(ISNUMBER(O255),O255&gt;59),1,_xlfn.XLOOKUP(O255,tbl_points[Place],tbl_points[Points],""))))))</f>
        <v/>
      </c>
      <c r="Q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5" s="3">
        <f>tbl_individual[[#This Row],[Total]]-tbl_individual[[#This Row],[Lowest Score]]</f>
        <v>0</v>
      </c>
    </row>
    <row r="256" spans="1:19" x14ac:dyDescent="0.4">
      <c r="A256" t="s">
        <v>308</v>
      </c>
      <c r="B256" t="s">
        <v>26</v>
      </c>
      <c r="C256" t="s">
        <v>1</v>
      </c>
      <c r="D256" s="3">
        <v>12075</v>
      </c>
      <c r="F256" s="3" t="str">
        <f>IF(E256="","",IF(E256="DNS",0,IF(E256="DQ",0,IF(E256="DNF",1,IF(AND(ISNUMBER(E256),E256&gt;59),1,_xlfn.XLOOKUP(E256,tbl_points[Place],tbl_points[Points],""))))))</f>
        <v/>
      </c>
      <c r="H256" s="3" t="str">
        <f>IF(G256="","",IF(G256="DNS",0,IF(G256="DQ",0,IF(G256="DNF",1,IF(AND(ISNUMBER(G256),G256&gt;59),1,_xlfn.XLOOKUP(G256,tbl_points[Place],tbl_points[Points],""))))))</f>
        <v/>
      </c>
      <c r="J256" s="3" t="str">
        <f>IF(I256="","",IF(I256="DNS",0,IF(I256="DQ",0,IF(I256="DNF",1,IF(AND(ISNUMBER(I256),I256&gt;59),1,_xlfn.XLOOKUP(I256,tbl_points[Place],tbl_points[Points],""))))))</f>
        <v/>
      </c>
      <c r="L256" s="3" t="str">
        <f>IF(K256="","",IF(K256="DNS",0,IF(K256="DQ",0,IF(K256="DNF",1,IF(AND(ISNUMBER(K256),K256&gt;59),1,_xlfn.XLOOKUP(K256,tbl_points[Place],tbl_points[Points],""))))))</f>
        <v/>
      </c>
      <c r="N256" s="3" t="str">
        <f>IF(M256="","",IF(M256="DNS",0,IF(M256="DQ",0,IF(M256="DNF",1,IF(AND(ISNUMBER(M256),M256&gt;59),1,_xlfn.XLOOKUP(M256,tbl_points[Place],tbl_points[Points],""))))))</f>
        <v/>
      </c>
      <c r="P256" s="3" t="str">
        <f>IF(O256="","",IF(O256="DNS",0,IF(O256="DQ",0,IF(O256="DNF",1,IF(AND(ISNUMBER(O256),O256&gt;59),1,_xlfn.XLOOKUP(O256,tbl_points[Place],tbl_points[Points],""))))))</f>
        <v/>
      </c>
      <c r="Q2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6" s="3">
        <f>tbl_individual[[#This Row],[Total]]-tbl_individual[[#This Row],[Lowest Score]]</f>
        <v>0</v>
      </c>
    </row>
    <row r="257" spans="1:19" x14ac:dyDescent="0.4">
      <c r="A257" t="s">
        <v>311</v>
      </c>
      <c r="B257" t="s">
        <v>27</v>
      </c>
      <c r="C257" t="s">
        <v>7</v>
      </c>
      <c r="D257" s="3">
        <v>822</v>
      </c>
      <c r="F257" s="3" t="str">
        <f>IF(E257="","",IF(E257="DNS",0,IF(E257="DQ",0,IF(E257="DNF",1,IF(AND(ISNUMBER(E257),E257&gt;59),1,_xlfn.XLOOKUP(E257,tbl_points[Place],tbl_points[Points],""))))))</f>
        <v/>
      </c>
      <c r="H257" s="3" t="str">
        <f>IF(G257="","",IF(G257="DNS",0,IF(G257="DQ",0,IF(G257="DNF",1,IF(AND(ISNUMBER(G257),G257&gt;59),1,_xlfn.XLOOKUP(G257,tbl_points[Place],tbl_points[Points],""))))))</f>
        <v/>
      </c>
      <c r="J257" s="3" t="str">
        <f>IF(I257="","",IF(I257="DNS",0,IF(I257="DQ",0,IF(I257="DNF",1,IF(AND(ISNUMBER(I257),I257&gt;59),1,_xlfn.XLOOKUP(I257,tbl_points[Place],tbl_points[Points],""))))))</f>
        <v/>
      </c>
      <c r="L257" s="3" t="str">
        <f>IF(K257="","",IF(K257="DNS",0,IF(K257="DQ",0,IF(K257="DNF",1,IF(AND(ISNUMBER(K257),K257&gt;59),1,_xlfn.XLOOKUP(K257,tbl_points[Place],tbl_points[Points],""))))))</f>
        <v/>
      </c>
      <c r="N257" s="3" t="str">
        <f>IF(M257="","",IF(M257="DNS",0,IF(M257="DQ",0,IF(M257="DNF",1,IF(AND(ISNUMBER(M257),M257&gt;59),1,_xlfn.XLOOKUP(M257,tbl_points[Place],tbl_points[Points],""))))))</f>
        <v/>
      </c>
      <c r="P257" s="3" t="str">
        <f>IF(O257="","",IF(O257="DNS",0,IF(O257="DQ",0,IF(O257="DNF",1,IF(AND(ISNUMBER(O257),O257&gt;59),1,_xlfn.XLOOKUP(O257,tbl_points[Place],tbl_points[Points],""))))))</f>
        <v/>
      </c>
      <c r="Q2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7" s="3">
        <f>tbl_individual[[#This Row],[Total]]-tbl_individual[[#This Row],[Lowest Score]]</f>
        <v>0</v>
      </c>
    </row>
    <row r="258" spans="1:19" x14ac:dyDescent="0.4">
      <c r="A258" t="s">
        <v>310</v>
      </c>
      <c r="B258" t="s">
        <v>27</v>
      </c>
      <c r="C258" t="s">
        <v>7</v>
      </c>
      <c r="D258" s="3">
        <v>821</v>
      </c>
      <c r="F258" s="3" t="str">
        <f>IF(E258="","",IF(E258="DNS",0,IF(E258="DQ",0,IF(E258="DNF",1,IF(AND(ISNUMBER(E258),E258&gt;59),1,_xlfn.XLOOKUP(E258,tbl_points[Place],tbl_points[Points],""))))))</f>
        <v/>
      </c>
      <c r="H258" s="3" t="str">
        <f>IF(G258="","",IF(G258="DNS",0,IF(G258="DQ",0,IF(G258="DNF",1,IF(AND(ISNUMBER(G258),G258&gt;59),1,_xlfn.XLOOKUP(G258,tbl_points[Place],tbl_points[Points],""))))))</f>
        <v/>
      </c>
      <c r="J258" s="3" t="str">
        <f>IF(I258="","",IF(I258="DNS",0,IF(I258="DQ",0,IF(I258="DNF",1,IF(AND(ISNUMBER(I258),I258&gt;59),1,_xlfn.XLOOKUP(I258,tbl_points[Place],tbl_points[Points],""))))))</f>
        <v/>
      </c>
      <c r="L258" s="3" t="str">
        <f>IF(K258="","",IF(K258="DNS",0,IF(K258="DQ",0,IF(K258="DNF",1,IF(AND(ISNUMBER(K258),K258&gt;59),1,_xlfn.XLOOKUP(K258,tbl_points[Place],tbl_points[Points],""))))))</f>
        <v/>
      </c>
      <c r="N258" s="3" t="str">
        <f>IF(M258="","",IF(M258="DNS",0,IF(M258="DQ",0,IF(M258="DNF",1,IF(AND(ISNUMBER(M258),M258&gt;59),1,_xlfn.XLOOKUP(M258,tbl_points[Place],tbl_points[Points],""))))))</f>
        <v/>
      </c>
      <c r="P258" s="3" t="str">
        <f>IF(O258="","",IF(O258="DNS",0,IF(O258="DQ",0,IF(O258="DNF",1,IF(AND(ISNUMBER(O258),O258&gt;59),1,_xlfn.XLOOKUP(O258,tbl_points[Place],tbl_points[Points],""))))))</f>
        <v/>
      </c>
      <c r="Q2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8" s="3">
        <f>tbl_individual[[#This Row],[Total]]-tbl_individual[[#This Row],[Lowest Score]]</f>
        <v>0</v>
      </c>
    </row>
    <row r="259" spans="1:19" x14ac:dyDescent="0.4">
      <c r="A259" t="s">
        <v>312</v>
      </c>
      <c r="B259" t="s">
        <v>27</v>
      </c>
      <c r="C259" t="s">
        <v>7</v>
      </c>
      <c r="D259" s="3">
        <v>823</v>
      </c>
      <c r="F259" s="3" t="str">
        <f>IF(E259="","",IF(E259="DNS",0,IF(E259="DQ",0,IF(E259="DNF",1,IF(AND(ISNUMBER(E259),E259&gt;59),1,_xlfn.XLOOKUP(E259,tbl_points[Place],tbl_points[Points],""))))))</f>
        <v/>
      </c>
      <c r="H259" s="3" t="str">
        <f>IF(G259="","",IF(G259="DNS",0,IF(G259="DQ",0,IF(G259="DNF",1,IF(AND(ISNUMBER(G259),G259&gt;59),1,_xlfn.XLOOKUP(G259,tbl_points[Place],tbl_points[Points],""))))))</f>
        <v/>
      </c>
      <c r="J259" s="3" t="str">
        <f>IF(I259="","",IF(I259="DNS",0,IF(I259="DQ",0,IF(I259="DNF",1,IF(AND(ISNUMBER(I259),I259&gt;59),1,_xlfn.XLOOKUP(I259,tbl_points[Place],tbl_points[Points],""))))))</f>
        <v/>
      </c>
      <c r="L259" s="3" t="str">
        <f>IF(K259="","",IF(K259="DNS",0,IF(K259="DQ",0,IF(K259="DNF",1,IF(AND(ISNUMBER(K259),K259&gt;59),1,_xlfn.XLOOKUP(K259,tbl_points[Place],tbl_points[Points],""))))))</f>
        <v/>
      </c>
      <c r="N259" s="3" t="str">
        <f>IF(M259="","",IF(M259="DNS",0,IF(M259="DQ",0,IF(M259="DNF",1,IF(AND(ISNUMBER(M259),M259&gt;59),1,_xlfn.XLOOKUP(M259,tbl_points[Place],tbl_points[Points],""))))))</f>
        <v/>
      </c>
      <c r="P259" s="3" t="str">
        <f>IF(O259="","",IF(O259="DNS",0,IF(O259="DQ",0,IF(O259="DNF",1,IF(AND(ISNUMBER(O259),O259&gt;59),1,_xlfn.XLOOKUP(O259,tbl_points[Place],tbl_points[Points],""))))))</f>
        <v/>
      </c>
      <c r="Q2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9" s="3">
        <f>tbl_individual[[#This Row],[Total]]-tbl_individual[[#This Row],[Lowest Score]]</f>
        <v>0</v>
      </c>
    </row>
    <row r="260" spans="1:19" x14ac:dyDescent="0.4">
      <c r="A260" t="s">
        <v>309</v>
      </c>
      <c r="B260" t="s">
        <v>27</v>
      </c>
      <c r="C260" t="s">
        <v>7</v>
      </c>
      <c r="D260" s="3">
        <v>820</v>
      </c>
      <c r="F260" s="3" t="str">
        <f>IF(E260="","",IF(E260="DNS",0,IF(E260="DQ",0,IF(E260="DNF",1,IF(AND(ISNUMBER(E260),E260&gt;59),1,_xlfn.XLOOKUP(E260,tbl_points[Place],tbl_points[Points],""))))))</f>
        <v/>
      </c>
      <c r="H260" s="3" t="str">
        <f>IF(G260="","",IF(G260="DNS",0,IF(G260="DQ",0,IF(G260="DNF",1,IF(AND(ISNUMBER(G260),G260&gt;59),1,_xlfn.XLOOKUP(G260,tbl_points[Place],tbl_points[Points],""))))))</f>
        <v/>
      </c>
      <c r="J260" s="3" t="str">
        <f>IF(I260="","",IF(I260="DNS",0,IF(I260="DQ",0,IF(I260="DNF",1,IF(AND(ISNUMBER(I260),I260&gt;59),1,_xlfn.XLOOKUP(I260,tbl_points[Place],tbl_points[Points],""))))))</f>
        <v/>
      </c>
      <c r="L260" s="3" t="str">
        <f>IF(K260="","",IF(K260="DNS",0,IF(K260="DQ",0,IF(K260="DNF",1,IF(AND(ISNUMBER(K260),K260&gt;59),1,_xlfn.XLOOKUP(K260,tbl_points[Place],tbl_points[Points],""))))))</f>
        <v/>
      </c>
      <c r="N260" s="3" t="str">
        <f>IF(M260="","",IF(M260="DNS",0,IF(M260="DQ",0,IF(M260="DNF",1,IF(AND(ISNUMBER(M260),M260&gt;59),1,_xlfn.XLOOKUP(M260,tbl_points[Place],tbl_points[Points],""))))))</f>
        <v/>
      </c>
      <c r="P260" s="3" t="str">
        <f>IF(O260="","",IF(O260="DNS",0,IF(O260="DQ",0,IF(O260="DNF",1,IF(AND(ISNUMBER(O260),O260&gt;59),1,_xlfn.XLOOKUP(O260,tbl_points[Place],tbl_points[Points],""))))))</f>
        <v/>
      </c>
      <c r="Q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0" s="3">
        <f>tbl_individual[[#This Row],[Total]]-tbl_individual[[#This Row],[Lowest Score]]</f>
        <v>0</v>
      </c>
    </row>
    <row r="261" spans="1:19" x14ac:dyDescent="0.4">
      <c r="A261" t="s">
        <v>315</v>
      </c>
      <c r="B261" t="s">
        <v>27</v>
      </c>
      <c r="C261" t="s">
        <v>3</v>
      </c>
      <c r="D261" s="3">
        <v>10190</v>
      </c>
      <c r="F261" s="3" t="str">
        <f>IF(E261="","",IF(E261="DNS",0,IF(E261="DQ",0,IF(E261="DNF",1,IF(AND(ISNUMBER(E261),E261&gt;59),1,_xlfn.XLOOKUP(E261,tbl_points[Place],tbl_points[Points],""))))))</f>
        <v/>
      </c>
      <c r="H261" s="3" t="str">
        <f>IF(G261="","",IF(G261="DNS",0,IF(G261="DQ",0,IF(G261="DNF",1,IF(AND(ISNUMBER(G261),G261&gt;59),1,_xlfn.XLOOKUP(G261,tbl_points[Place],tbl_points[Points],""))))))</f>
        <v/>
      </c>
      <c r="J261" s="3" t="str">
        <f>IF(I261="","",IF(I261="DNS",0,IF(I261="DQ",0,IF(I261="DNF",1,IF(AND(ISNUMBER(I261),I261&gt;59),1,_xlfn.XLOOKUP(I261,tbl_points[Place],tbl_points[Points],""))))))</f>
        <v/>
      </c>
      <c r="L261" s="3" t="str">
        <f>IF(K261="","",IF(K261="DNS",0,IF(K261="DQ",0,IF(K261="DNF",1,IF(AND(ISNUMBER(K261),K261&gt;59),1,_xlfn.XLOOKUP(K261,tbl_points[Place],tbl_points[Points],""))))))</f>
        <v/>
      </c>
      <c r="N261" s="3" t="str">
        <f>IF(M261="","",IF(M261="DNS",0,IF(M261="DQ",0,IF(M261="DNF",1,IF(AND(ISNUMBER(M261),M261&gt;59),1,_xlfn.XLOOKUP(M261,tbl_points[Place],tbl_points[Points],""))))))</f>
        <v/>
      </c>
      <c r="P261" s="3" t="str">
        <f>IF(O261="","",IF(O261="DNS",0,IF(O261="DQ",0,IF(O261="DNF",1,IF(AND(ISNUMBER(O261),O261&gt;59),1,_xlfn.XLOOKUP(O261,tbl_points[Place],tbl_points[Points],""))))))</f>
        <v/>
      </c>
      <c r="Q2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1" s="3">
        <f>tbl_individual[[#This Row],[Total]]-tbl_individual[[#This Row],[Lowest Score]]</f>
        <v>0</v>
      </c>
    </row>
    <row r="262" spans="1:19" x14ac:dyDescent="0.4">
      <c r="A262" t="s">
        <v>314</v>
      </c>
      <c r="B262" t="s">
        <v>27</v>
      </c>
      <c r="C262" t="s">
        <v>5</v>
      </c>
      <c r="D262" s="3">
        <v>940</v>
      </c>
      <c r="F262" s="3" t="str">
        <f>IF(E262="","",IF(E262="DNS",0,IF(E262="DQ",0,IF(E262="DNF",1,IF(AND(ISNUMBER(E262),E262&gt;59),1,_xlfn.XLOOKUP(E262,tbl_points[Place],tbl_points[Points],""))))))</f>
        <v/>
      </c>
      <c r="H262" s="3" t="str">
        <f>IF(G262="","",IF(G262="DNS",0,IF(G262="DQ",0,IF(G262="DNF",1,IF(AND(ISNUMBER(G262),G262&gt;59),1,_xlfn.XLOOKUP(G262,tbl_points[Place],tbl_points[Points],""))))))</f>
        <v/>
      </c>
      <c r="J262" s="3" t="str">
        <f>IF(I262="","",IF(I262="DNS",0,IF(I262="DQ",0,IF(I262="DNF",1,IF(AND(ISNUMBER(I262),I262&gt;59),1,_xlfn.XLOOKUP(I262,tbl_points[Place],tbl_points[Points],""))))))</f>
        <v/>
      </c>
      <c r="L262" s="3" t="str">
        <f>IF(K262="","",IF(K262="DNS",0,IF(K262="DQ",0,IF(K262="DNF",1,IF(AND(ISNUMBER(K262),K262&gt;59),1,_xlfn.XLOOKUP(K262,tbl_points[Place],tbl_points[Points],""))))))</f>
        <v/>
      </c>
      <c r="N262" s="3" t="str">
        <f>IF(M262="","",IF(M262="DNS",0,IF(M262="DQ",0,IF(M262="DNF",1,IF(AND(ISNUMBER(M262),M262&gt;59),1,_xlfn.XLOOKUP(M262,tbl_points[Place],tbl_points[Points],""))))))</f>
        <v/>
      </c>
      <c r="P262" s="3" t="str">
        <f>IF(O262="","",IF(O262="DNS",0,IF(O262="DQ",0,IF(O262="DNF",1,IF(AND(ISNUMBER(O262),O262&gt;59),1,_xlfn.XLOOKUP(O262,tbl_points[Place],tbl_points[Points],""))))))</f>
        <v/>
      </c>
      <c r="Q2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2" s="3">
        <f>tbl_individual[[#This Row],[Total]]-tbl_individual[[#This Row],[Lowest Score]]</f>
        <v>0</v>
      </c>
    </row>
    <row r="263" spans="1:19" x14ac:dyDescent="0.4">
      <c r="A263" t="s">
        <v>313</v>
      </c>
      <c r="B263" t="s">
        <v>27</v>
      </c>
      <c r="C263" t="s">
        <v>5</v>
      </c>
      <c r="D263" s="3">
        <v>939</v>
      </c>
      <c r="F263" s="3" t="str">
        <f>IF(E263="","",IF(E263="DNS",0,IF(E263="DQ",0,IF(E263="DNF",1,IF(AND(ISNUMBER(E263),E263&gt;59),1,_xlfn.XLOOKUP(E263,tbl_points[Place],tbl_points[Points],""))))))</f>
        <v/>
      </c>
      <c r="H263" s="3" t="str">
        <f>IF(G263="","",IF(G263="DNS",0,IF(G263="DQ",0,IF(G263="DNF",1,IF(AND(ISNUMBER(G263),G263&gt;59),1,_xlfn.XLOOKUP(G263,tbl_points[Place],tbl_points[Points],""))))))</f>
        <v/>
      </c>
      <c r="J263" s="3" t="str">
        <f>IF(I263="","",IF(I263="DNS",0,IF(I263="DQ",0,IF(I263="DNF",1,IF(AND(ISNUMBER(I263),I263&gt;59),1,_xlfn.XLOOKUP(I263,tbl_points[Place],tbl_points[Points],""))))))</f>
        <v/>
      </c>
      <c r="L263" s="3" t="str">
        <f>IF(K263="","",IF(K263="DNS",0,IF(K263="DQ",0,IF(K263="DNF",1,IF(AND(ISNUMBER(K263),K263&gt;59),1,_xlfn.XLOOKUP(K263,tbl_points[Place],tbl_points[Points],""))))))</f>
        <v/>
      </c>
      <c r="N263" s="3" t="str">
        <f>IF(M263="","",IF(M263="DNS",0,IF(M263="DQ",0,IF(M263="DNF",1,IF(AND(ISNUMBER(M263),M263&gt;59),1,_xlfn.XLOOKUP(M263,tbl_points[Place],tbl_points[Points],""))))))</f>
        <v/>
      </c>
      <c r="P263" s="3" t="str">
        <f>IF(O263="","",IF(O263="DNS",0,IF(O263="DQ",0,IF(O263="DNF",1,IF(AND(ISNUMBER(O263),O263&gt;59),1,_xlfn.XLOOKUP(O263,tbl_points[Place],tbl_points[Points],""))))))</f>
        <v/>
      </c>
      <c r="Q2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3" s="3">
        <f>tbl_individual[[#This Row],[Total]]-tbl_individual[[#This Row],[Lowest Score]]</f>
        <v>0</v>
      </c>
    </row>
    <row r="264" spans="1:19" x14ac:dyDescent="0.4">
      <c r="A264" t="s">
        <v>319</v>
      </c>
      <c r="B264" t="s">
        <v>27</v>
      </c>
      <c r="C264" t="s">
        <v>1</v>
      </c>
      <c r="D264" s="3">
        <v>12079</v>
      </c>
      <c r="F264" s="3" t="str">
        <f>IF(E264="","",IF(E264="DNS",0,IF(E264="DQ",0,IF(E264="DNF",1,IF(AND(ISNUMBER(E264),E264&gt;59),1,_xlfn.XLOOKUP(E264,tbl_points[Place],tbl_points[Points],""))))))</f>
        <v/>
      </c>
      <c r="H264" s="3" t="str">
        <f>IF(G264="","",IF(G264="DNS",0,IF(G264="DQ",0,IF(G264="DNF",1,IF(AND(ISNUMBER(G264),G264&gt;59),1,_xlfn.XLOOKUP(G264,tbl_points[Place],tbl_points[Points],""))))))</f>
        <v/>
      </c>
      <c r="J264" s="3" t="str">
        <f>IF(I264="","",IF(I264="DNS",0,IF(I264="DQ",0,IF(I264="DNF",1,IF(AND(ISNUMBER(I264),I264&gt;59),1,_xlfn.XLOOKUP(I264,tbl_points[Place],tbl_points[Points],""))))))</f>
        <v/>
      </c>
      <c r="L264" s="3" t="str">
        <f>IF(K264="","",IF(K264="DNS",0,IF(K264="DQ",0,IF(K264="DNF",1,IF(AND(ISNUMBER(K264),K264&gt;59),1,_xlfn.XLOOKUP(K264,tbl_points[Place],tbl_points[Points],""))))))</f>
        <v/>
      </c>
      <c r="N264" s="3" t="str">
        <f>IF(M264="","",IF(M264="DNS",0,IF(M264="DQ",0,IF(M264="DNF",1,IF(AND(ISNUMBER(M264),M264&gt;59),1,_xlfn.XLOOKUP(M264,tbl_points[Place],tbl_points[Points],""))))))</f>
        <v/>
      </c>
      <c r="P264" s="3" t="str">
        <f>IF(O264="","",IF(O264="DNS",0,IF(O264="DQ",0,IF(O264="DNF",1,IF(AND(ISNUMBER(O264),O264&gt;59),1,_xlfn.XLOOKUP(O264,tbl_points[Place],tbl_points[Points],""))))))</f>
        <v/>
      </c>
      <c r="Q2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4" s="3">
        <f>tbl_individual[[#This Row],[Total]]-tbl_individual[[#This Row],[Lowest Score]]</f>
        <v>0</v>
      </c>
    </row>
    <row r="265" spans="1:19" x14ac:dyDescent="0.4">
      <c r="A265" t="s">
        <v>317</v>
      </c>
      <c r="B265" t="s">
        <v>27</v>
      </c>
      <c r="C265" t="s">
        <v>1</v>
      </c>
      <c r="D265" s="3">
        <v>12077</v>
      </c>
      <c r="F265" s="3" t="str">
        <f>IF(E265="","",IF(E265="DNS",0,IF(E265="DQ",0,IF(E265="DNF",1,IF(AND(ISNUMBER(E265),E265&gt;59),1,_xlfn.XLOOKUP(E265,tbl_points[Place],tbl_points[Points],""))))))</f>
        <v/>
      </c>
      <c r="H265" s="3" t="str">
        <f>IF(G265="","",IF(G265="DNS",0,IF(G265="DQ",0,IF(G265="DNF",1,IF(AND(ISNUMBER(G265),G265&gt;59),1,_xlfn.XLOOKUP(G265,tbl_points[Place],tbl_points[Points],""))))))</f>
        <v/>
      </c>
      <c r="J265" s="3" t="str">
        <f>IF(I265="","",IF(I265="DNS",0,IF(I265="DQ",0,IF(I265="DNF",1,IF(AND(ISNUMBER(I265),I265&gt;59),1,_xlfn.XLOOKUP(I265,tbl_points[Place],tbl_points[Points],""))))))</f>
        <v/>
      </c>
      <c r="L265" s="3" t="str">
        <f>IF(K265="","",IF(K265="DNS",0,IF(K265="DQ",0,IF(K265="DNF",1,IF(AND(ISNUMBER(K265),K265&gt;59),1,_xlfn.XLOOKUP(K265,tbl_points[Place],tbl_points[Points],""))))))</f>
        <v/>
      </c>
      <c r="N265" s="3" t="str">
        <f>IF(M265="","",IF(M265="DNS",0,IF(M265="DQ",0,IF(M265="DNF",1,IF(AND(ISNUMBER(M265),M265&gt;59),1,_xlfn.XLOOKUP(M265,tbl_points[Place],tbl_points[Points],""))))))</f>
        <v/>
      </c>
      <c r="P265" s="3" t="str">
        <f>IF(O265="","",IF(O265="DNS",0,IF(O265="DQ",0,IF(O265="DNF",1,IF(AND(ISNUMBER(O265),O265&gt;59),1,_xlfn.XLOOKUP(O265,tbl_points[Place],tbl_points[Points],""))))))</f>
        <v/>
      </c>
      <c r="Q2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5" s="3">
        <f>tbl_individual[[#This Row],[Total]]-tbl_individual[[#This Row],[Lowest Score]]</f>
        <v>0</v>
      </c>
    </row>
    <row r="266" spans="1:19" x14ac:dyDescent="0.4">
      <c r="A266" t="s">
        <v>316</v>
      </c>
      <c r="B266" t="s">
        <v>27</v>
      </c>
      <c r="C266" t="s">
        <v>1</v>
      </c>
      <c r="D266" s="3">
        <v>12076</v>
      </c>
      <c r="F266" s="3" t="str">
        <f>IF(E266="","",IF(E266="DNS",0,IF(E266="DQ",0,IF(E266="DNF",1,IF(AND(ISNUMBER(E266),E266&gt;59),1,_xlfn.XLOOKUP(E266,tbl_points[Place],tbl_points[Points],""))))))</f>
        <v/>
      </c>
      <c r="H266" s="3" t="str">
        <f>IF(G266="","",IF(G266="DNS",0,IF(G266="DQ",0,IF(G266="DNF",1,IF(AND(ISNUMBER(G266),G266&gt;59),1,_xlfn.XLOOKUP(G266,tbl_points[Place],tbl_points[Points],""))))))</f>
        <v/>
      </c>
      <c r="J266" s="3" t="str">
        <f>IF(I266="","",IF(I266="DNS",0,IF(I266="DQ",0,IF(I266="DNF",1,IF(AND(ISNUMBER(I266),I266&gt;59),1,_xlfn.XLOOKUP(I266,tbl_points[Place],tbl_points[Points],""))))))</f>
        <v/>
      </c>
      <c r="L266" s="3" t="str">
        <f>IF(K266="","",IF(K266="DNS",0,IF(K266="DQ",0,IF(K266="DNF",1,IF(AND(ISNUMBER(K266),K266&gt;59),1,_xlfn.XLOOKUP(K266,tbl_points[Place],tbl_points[Points],""))))))</f>
        <v/>
      </c>
      <c r="N266" s="3" t="str">
        <f>IF(M266="","",IF(M266="DNS",0,IF(M266="DQ",0,IF(M266="DNF",1,IF(AND(ISNUMBER(M266),M266&gt;59),1,_xlfn.XLOOKUP(M266,tbl_points[Place],tbl_points[Points],""))))))</f>
        <v/>
      </c>
      <c r="P266" s="3" t="str">
        <f>IF(O266="","",IF(O266="DNS",0,IF(O266="DQ",0,IF(O266="DNF",1,IF(AND(ISNUMBER(O266),O266&gt;59),1,_xlfn.XLOOKUP(O266,tbl_points[Place],tbl_points[Points],""))))))</f>
        <v/>
      </c>
      <c r="Q2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6" s="3">
        <f>tbl_individual[[#This Row],[Total]]-tbl_individual[[#This Row],[Lowest Score]]</f>
        <v>0</v>
      </c>
    </row>
    <row r="267" spans="1:19" x14ac:dyDescent="0.4">
      <c r="A267" t="s">
        <v>318</v>
      </c>
      <c r="B267" t="s">
        <v>27</v>
      </c>
      <c r="C267" t="s">
        <v>1</v>
      </c>
      <c r="D267" s="3">
        <v>12078</v>
      </c>
      <c r="F267" s="3" t="str">
        <f>IF(E267="","",IF(E267="DNS",0,IF(E267="DQ",0,IF(E267="DNF",1,IF(AND(ISNUMBER(E267),E267&gt;59),1,_xlfn.XLOOKUP(E267,tbl_points[Place],tbl_points[Points],""))))))</f>
        <v/>
      </c>
      <c r="H267" s="3" t="str">
        <f>IF(G267="","",IF(G267="DNS",0,IF(G267="DQ",0,IF(G267="DNF",1,IF(AND(ISNUMBER(G267),G267&gt;59),1,_xlfn.XLOOKUP(G267,tbl_points[Place],tbl_points[Points],""))))))</f>
        <v/>
      </c>
      <c r="J267" s="3" t="str">
        <f>IF(I267="","",IF(I267="DNS",0,IF(I267="DQ",0,IF(I267="DNF",1,IF(AND(ISNUMBER(I267),I267&gt;59),1,_xlfn.XLOOKUP(I267,tbl_points[Place],tbl_points[Points],""))))))</f>
        <v/>
      </c>
      <c r="L267" s="3" t="str">
        <f>IF(K267="","",IF(K267="DNS",0,IF(K267="DQ",0,IF(K267="DNF",1,IF(AND(ISNUMBER(K267),K267&gt;59),1,_xlfn.XLOOKUP(K267,tbl_points[Place],tbl_points[Points],""))))))</f>
        <v/>
      </c>
      <c r="N267" s="3" t="str">
        <f>IF(M267="","",IF(M267="DNS",0,IF(M267="DQ",0,IF(M267="DNF",1,IF(AND(ISNUMBER(M267),M267&gt;59),1,_xlfn.XLOOKUP(M267,tbl_points[Place],tbl_points[Points],""))))))</f>
        <v/>
      </c>
      <c r="P267" s="3" t="str">
        <f>IF(O267="","",IF(O267="DNS",0,IF(O267="DQ",0,IF(O267="DNF",1,IF(AND(ISNUMBER(O267),O267&gt;59),1,_xlfn.XLOOKUP(O267,tbl_points[Place],tbl_points[Points],""))))))</f>
        <v/>
      </c>
      <c r="Q2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7" s="3">
        <f>tbl_individual[[#This Row],[Total]]-tbl_individual[[#This Row],[Lowest Score]]</f>
        <v>0</v>
      </c>
    </row>
    <row r="268" spans="1:19" x14ac:dyDescent="0.4">
      <c r="A268" t="s">
        <v>320</v>
      </c>
      <c r="B268" t="s">
        <v>28</v>
      </c>
      <c r="C268" t="s">
        <v>7</v>
      </c>
      <c r="D268" s="3">
        <v>824</v>
      </c>
      <c r="F268" s="3" t="str">
        <f>IF(E268="","",IF(E268="DNS",0,IF(E268="DQ",0,IF(E268="DNF",1,IF(AND(ISNUMBER(E268),E268&gt;59),1,_xlfn.XLOOKUP(E268,tbl_points[Place],tbl_points[Points],""))))))</f>
        <v/>
      </c>
      <c r="H268" s="3" t="str">
        <f>IF(G268="","",IF(G268="DNS",0,IF(G268="DQ",0,IF(G268="DNF",1,IF(AND(ISNUMBER(G268),G268&gt;59),1,_xlfn.XLOOKUP(G268,tbl_points[Place],tbl_points[Points],""))))))</f>
        <v/>
      </c>
      <c r="J268" s="3" t="str">
        <f>IF(I268="","",IF(I268="DNS",0,IF(I268="DQ",0,IF(I268="DNF",1,IF(AND(ISNUMBER(I268),I268&gt;59),1,_xlfn.XLOOKUP(I268,tbl_points[Place],tbl_points[Points],""))))))</f>
        <v/>
      </c>
      <c r="L268" s="3" t="str">
        <f>IF(K268="","",IF(K268="DNS",0,IF(K268="DQ",0,IF(K268="DNF",1,IF(AND(ISNUMBER(K268),K268&gt;59),1,_xlfn.XLOOKUP(K268,tbl_points[Place],tbl_points[Points],""))))))</f>
        <v/>
      </c>
      <c r="N268" s="3" t="str">
        <f>IF(M268="","",IF(M268="DNS",0,IF(M268="DQ",0,IF(M268="DNF",1,IF(AND(ISNUMBER(M268),M268&gt;59),1,_xlfn.XLOOKUP(M268,tbl_points[Place],tbl_points[Points],""))))))</f>
        <v/>
      </c>
      <c r="P268" s="3" t="str">
        <f>IF(O268="","",IF(O268="DNS",0,IF(O268="DQ",0,IF(O268="DNF",1,IF(AND(ISNUMBER(O268),O268&gt;59),1,_xlfn.XLOOKUP(O268,tbl_points[Place],tbl_points[Points],""))))))</f>
        <v/>
      </c>
      <c r="Q2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8" s="3">
        <f>tbl_individual[[#This Row],[Total]]-tbl_individual[[#This Row],[Lowest Score]]</f>
        <v>0</v>
      </c>
    </row>
    <row r="269" spans="1:19" x14ac:dyDescent="0.4">
      <c r="A269" t="s">
        <v>321</v>
      </c>
      <c r="B269" t="s">
        <v>28</v>
      </c>
      <c r="C269" t="s">
        <v>7</v>
      </c>
      <c r="D269" s="3">
        <v>825</v>
      </c>
      <c r="F269" s="3" t="str">
        <f>IF(E269="","",IF(E269="DNS",0,IF(E269="DQ",0,IF(E269="DNF",1,IF(AND(ISNUMBER(E269),E269&gt;59),1,_xlfn.XLOOKUP(E269,tbl_points[Place],tbl_points[Points],""))))))</f>
        <v/>
      </c>
      <c r="H269" s="3" t="str">
        <f>IF(G269="","",IF(G269="DNS",0,IF(G269="DQ",0,IF(G269="DNF",1,IF(AND(ISNUMBER(G269),G269&gt;59),1,_xlfn.XLOOKUP(G269,tbl_points[Place],tbl_points[Points],""))))))</f>
        <v/>
      </c>
      <c r="J269" s="3" t="str">
        <f>IF(I269="","",IF(I269="DNS",0,IF(I269="DQ",0,IF(I269="DNF",1,IF(AND(ISNUMBER(I269),I269&gt;59),1,_xlfn.XLOOKUP(I269,tbl_points[Place],tbl_points[Points],""))))))</f>
        <v/>
      </c>
      <c r="L269" s="3" t="str">
        <f>IF(K269="","",IF(K269="DNS",0,IF(K269="DQ",0,IF(K269="DNF",1,IF(AND(ISNUMBER(K269),K269&gt;59),1,_xlfn.XLOOKUP(K269,tbl_points[Place],tbl_points[Points],""))))))</f>
        <v/>
      </c>
      <c r="N269" s="3" t="str">
        <f>IF(M269="","",IF(M269="DNS",0,IF(M269="DQ",0,IF(M269="DNF",1,IF(AND(ISNUMBER(M269),M269&gt;59),1,_xlfn.XLOOKUP(M269,tbl_points[Place],tbl_points[Points],""))))))</f>
        <v/>
      </c>
      <c r="P269" s="3" t="str">
        <f>IF(O269="","",IF(O269="DNS",0,IF(O269="DQ",0,IF(O269="DNF",1,IF(AND(ISNUMBER(O269),O269&gt;59),1,_xlfn.XLOOKUP(O269,tbl_points[Place],tbl_points[Points],""))))))</f>
        <v/>
      </c>
      <c r="Q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9" s="3">
        <f>tbl_individual[[#This Row],[Total]]-tbl_individual[[#This Row],[Lowest Score]]</f>
        <v>0</v>
      </c>
    </row>
    <row r="270" spans="1:19" x14ac:dyDescent="0.4">
      <c r="A270" t="s">
        <v>323</v>
      </c>
      <c r="B270" t="s">
        <v>28</v>
      </c>
      <c r="C270" t="s">
        <v>8</v>
      </c>
      <c r="D270" s="3">
        <v>867</v>
      </c>
      <c r="F270" s="3" t="str">
        <f>IF(E270="","",IF(E270="DNS",0,IF(E270="DQ",0,IF(E270="DNF",1,IF(AND(ISNUMBER(E270),E270&gt;59),1,_xlfn.XLOOKUP(E270,tbl_points[Place],tbl_points[Points],""))))))</f>
        <v/>
      </c>
      <c r="H270" s="3" t="str">
        <f>IF(G270="","",IF(G270="DNS",0,IF(G270="DQ",0,IF(G270="DNF",1,IF(AND(ISNUMBER(G270),G270&gt;59),1,_xlfn.XLOOKUP(G270,tbl_points[Place],tbl_points[Points],""))))))</f>
        <v/>
      </c>
      <c r="J270" s="3" t="str">
        <f>IF(I270="","",IF(I270="DNS",0,IF(I270="DQ",0,IF(I270="DNF",1,IF(AND(ISNUMBER(I270),I270&gt;59),1,_xlfn.XLOOKUP(I270,tbl_points[Place],tbl_points[Points],""))))))</f>
        <v/>
      </c>
      <c r="L270" s="3" t="str">
        <f>IF(K270="","",IF(K270="DNS",0,IF(K270="DQ",0,IF(K270="DNF",1,IF(AND(ISNUMBER(K270),K270&gt;59),1,_xlfn.XLOOKUP(K270,tbl_points[Place],tbl_points[Points],""))))))</f>
        <v/>
      </c>
      <c r="N270" s="3" t="str">
        <f>IF(M270="","",IF(M270="DNS",0,IF(M270="DQ",0,IF(M270="DNF",1,IF(AND(ISNUMBER(M270),M270&gt;59),1,_xlfn.XLOOKUP(M270,tbl_points[Place],tbl_points[Points],""))))))</f>
        <v/>
      </c>
      <c r="P270" s="3" t="str">
        <f>IF(O270="","",IF(O270="DNS",0,IF(O270="DQ",0,IF(O270="DNF",1,IF(AND(ISNUMBER(O270),O270&gt;59),1,_xlfn.XLOOKUP(O270,tbl_points[Place],tbl_points[Points],""))))))</f>
        <v/>
      </c>
      <c r="Q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0" s="3">
        <f>tbl_individual[[#This Row],[Total]]-tbl_individual[[#This Row],[Lowest Score]]</f>
        <v>0</v>
      </c>
    </row>
    <row r="271" spans="1:19" x14ac:dyDescent="0.4">
      <c r="A271" t="s">
        <v>322</v>
      </c>
      <c r="B271" t="s">
        <v>28</v>
      </c>
      <c r="C271" t="s">
        <v>8</v>
      </c>
      <c r="D271" s="3">
        <v>866</v>
      </c>
      <c r="F271" s="3" t="str">
        <f>IF(E271="","",IF(E271="DNS",0,IF(E271="DQ",0,IF(E271="DNF",1,IF(AND(ISNUMBER(E271),E271&gt;59),1,_xlfn.XLOOKUP(E271,tbl_points[Place],tbl_points[Points],""))))))</f>
        <v/>
      </c>
      <c r="H271" s="3" t="str">
        <f>IF(G271="","",IF(G271="DNS",0,IF(G271="DQ",0,IF(G271="DNF",1,IF(AND(ISNUMBER(G271),G271&gt;59),1,_xlfn.XLOOKUP(G271,tbl_points[Place],tbl_points[Points],""))))))</f>
        <v/>
      </c>
      <c r="J271" s="3" t="str">
        <f>IF(I271="","",IF(I271="DNS",0,IF(I271="DQ",0,IF(I271="DNF",1,IF(AND(ISNUMBER(I271),I271&gt;59),1,_xlfn.XLOOKUP(I271,tbl_points[Place],tbl_points[Points],""))))))</f>
        <v/>
      </c>
      <c r="L271" s="3" t="str">
        <f>IF(K271="","",IF(K271="DNS",0,IF(K271="DQ",0,IF(K271="DNF",1,IF(AND(ISNUMBER(K271),K271&gt;59),1,_xlfn.XLOOKUP(K271,tbl_points[Place],tbl_points[Points],""))))))</f>
        <v/>
      </c>
      <c r="N271" s="3" t="str">
        <f>IF(M271="","",IF(M271="DNS",0,IF(M271="DQ",0,IF(M271="DNF",1,IF(AND(ISNUMBER(M271),M271&gt;59),1,_xlfn.XLOOKUP(M271,tbl_points[Place],tbl_points[Points],""))))))</f>
        <v/>
      </c>
      <c r="P271" s="3" t="str">
        <f>IF(O271="","",IF(O271="DNS",0,IF(O271="DQ",0,IF(O271="DNF",1,IF(AND(ISNUMBER(O271),O271&gt;59),1,_xlfn.XLOOKUP(O271,tbl_points[Place],tbl_points[Points],""))))))</f>
        <v/>
      </c>
      <c r="Q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1" s="3">
        <f>tbl_individual[[#This Row],[Total]]-tbl_individual[[#This Row],[Lowest Score]]</f>
        <v>0</v>
      </c>
    </row>
    <row r="272" spans="1:19" x14ac:dyDescent="0.4">
      <c r="A272" t="s">
        <v>328</v>
      </c>
      <c r="B272" t="s">
        <v>28</v>
      </c>
      <c r="C272" t="s">
        <v>3</v>
      </c>
      <c r="D272" s="3">
        <v>10191</v>
      </c>
      <c r="F272" s="3" t="str">
        <f>IF(E272="","",IF(E272="DNS",0,IF(E272="DQ",0,IF(E272="DNF",1,IF(AND(ISNUMBER(E272),E272&gt;59),1,_xlfn.XLOOKUP(E272,tbl_points[Place],tbl_points[Points],""))))))</f>
        <v/>
      </c>
      <c r="H272" s="3" t="str">
        <f>IF(G272="","",IF(G272="DNS",0,IF(G272="DQ",0,IF(G272="DNF",1,IF(AND(ISNUMBER(G272),G272&gt;59),1,_xlfn.XLOOKUP(G272,tbl_points[Place],tbl_points[Points],""))))))</f>
        <v/>
      </c>
      <c r="J272" s="3" t="str">
        <f>IF(I272="","",IF(I272="DNS",0,IF(I272="DQ",0,IF(I272="DNF",1,IF(AND(ISNUMBER(I272),I272&gt;59),1,_xlfn.XLOOKUP(I272,tbl_points[Place],tbl_points[Points],""))))))</f>
        <v/>
      </c>
      <c r="L272" s="3" t="str">
        <f>IF(K272="","",IF(K272="DNS",0,IF(K272="DQ",0,IF(K272="DNF",1,IF(AND(ISNUMBER(K272),K272&gt;59),1,_xlfn.XLOOKUP(K272,tbl_points[Place],tbl_points[Points],""))))))</f>
        <v/>
      </c>
      <c r="N272" s="3" t="str">
        <f>IF(M272="","",IF(M272="DNS",0,IF(M272="DQ",0,IF(M272="DNF",1,IF(AND(ISNUMBER(M272),M272&gt;59),1,_xlfn.XLOOKUP(M272,tbl_points[Place],tbl_points[Points],""))))))</f>
        <v/>
      </c>
      <c r="P272" s="3" t="str">
        <f>IF(O272="","",IF(O272="DNS",0,IF(O272="DQ",0,IF(O272="DNF",1,IF(AND(ISNUMBER(O272),O272&gt;59),1,_xlfn.XLOOKUP(O272,tbl_points[Place],tbl_points[Points],""))))))</f>
        <v/>
      </c>
      <c r="Q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2" s="3">
        <f>tbl_individual[[#This Row],[Total]]-tbl_individual[[#This Row],[Lowest Score]]</f>
        <v>0</v>
      </c>
    </row>
    <row r="273" spans="1:19" x14ac:dyDescent="0.4">
      <c r="A273" t="s">
        <v>329</v>
      </c>
      <c r="B273" t="s">
        <v>28</v>
      </c>
      <c r="C273" t="s">
        <v>4</v>
      </c>
      <c r="D273" s="3">
        <v>1040</v>
      </c>
      <c r="F273" s="3" t="str">
        <f>IF(E273="","",IF(E273="DNS",0,IF(E273="DQ",0,IF(E273="DNF",1,IF(AND(ISNUMBER(E273),E273&gt;59),1,_xlfn.XLOOKUP(E273,tbl_points[Place],tbl_points[Points],""))))))</f>
        <v/>
      </c>
      <c r="H273" s="3" t="str">
        <f>IF(G273="","",IF(G273="DNS",0,IF(G273="DQ",0,IF(G273="DNF",1,IF(AND(ISNUMBER(G273),G273&gt;59),1,_xlfn.XLOOKUP(G273,tbl_points[Place],tbl_points[Points],""))))))</f>
        <v/>
      </c>
      <c r="J273" s="3" t="str">
        <f>IF(I273="","",IF(I273="DNS",0,IF(I273="DQ",0,IF(I273="DNF",1,IF(AND(ISNUMBER(I273),I273&gt;59),1,_xlfn.XLOOKUP(I273,tbl_points[Place],tbl_points[Points],""))))))</f>
        <v/>
      </c>
      <c r="L273" s="3" t="str">
        <f>IF(K273="","",IF(K273="DNS",0,IF(K273="DQ",0,IF(K273="DNF",1,IF(AND(ISNUMBER(K273),K273&gt;59),1,_xlfn.XLOOKUP(K273,tbl_points[Place],tbl_points[Points],""))))))</f>
        <v/>
      </c>
      <c r="N273" s="3" t="str">
        <f>IF(M273="","",IF(M273="DNS",0,IF(M273="DQ",0,IF(M273="DNF",1,IF(AND(ISNUMBER(M273),M273&gt;59),1,_xlfn.XLOOKUP(M273,tbl_points[Place],tbl_points[Points],""))))))</f>
        <v/>
      </c>
      <c r="P273" s="3" t="str">
        <f>IF(O273="","",IF(O273="DNS",0,IF(O273="DQ",0,IF(O273="DNF",1,IF(AND(ISNUMBER(O273),O273&gt;59),1,_xlfn.XLOOKUP(O273,tbl_points[Place],tbl_points[Points],""))))))</f>
        <v/>
      </c>
      <c r="Q2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3" s="3">
        <f>tbl_individual[[#This Row],[Total]]-tbl_individual[[#This Row],[Lowest Score]]</f>
        <v>0</v>
      </c>
    </row>
    <row r="274" spans="1:19" x14ac:dyDescent="0.4">
      <c r="A274" t="s">
        <v>326</v>
      </c>
      <c r="B274" t="s">
        <v>28</v>
      </c>
      <c r="C274" t="s">
        <v>5</v>
      </c>
      <c r="D274" s="3">
        <v>943</v>
      </c>
      <c r="F274" s="3" t="str">
        <f>IF(E274="","",IF(E274="DNS",0,IF(E274="DQ",0,IF(E274="DNF",1,IF(AND(ISNUMBER(E274),E274&gt;59),1,_xlfn.XLOOKUP(E274,tbl_points[Place],tbl_points[Points],""))))))</f>
        <v/>
      </c>
      <c r="H274" s="3" t="str">
        <f>IF(G274="","",IF(G274="DNS",0,IF(G274="DQ",0,IF(G274="DNF",1,IF(AND(ISNUMBER(G274),G274&gt;59),1,_xlfn.XLOOKUP(G274,tbl_points[Place],tbl_points[Points],""))))))</f>
        <v/>
      </c>
      <c r="J274" s="3" t="str">
        <f>IF(I274="","",IF(I274="DNS",0,IF(I274="DQ",0,IF(I274="DNF",1,IF(AND(ISNUMBER(I274),I274&gt;59),1,_xlfn.XLOOKUP(I274,tbl_points[Place],tbl_points[Points],""))))))</f>
        <v/>
      </c>
      <c r="L274" s="3" t="str">
        <f>IF(K274="","",IF(K274="DNS",0,IF(K274="DQ",0,IF(K274="DNF",1,IF(AND(ISNUMBER(K274),K274&gt;59),1,_xlfn.XLOOKUP(K274,tbl_points[Place],tbl_points[Points],""))))))</f>
        <v/>
      </c>
      <c r="N274" s="3" t="str">
        <f>IF(M274="","",IF(M274="DNS",0,IF(M274="DQ",0,IF(M274="DNF",1,IF(AND(ISNUMBER(M274),M274&gt;59),1,_xlfn.XLOOKUP(M274,tbl_points[Place],tbl_points[Points],""))))))</f>
        <v/>
      </c>
      <c r="P274" s="3" t="str">
        <f>IF(O274="","",IF(O274="DNS",0,IF(O274="DQ",0,IF(O274="DNF",1,IF(AND(ISNUMBER(O274),O274&gt;59),1,_xlfn.XLOOKUP(O274,tbl_points[Place],tbl_points[Points],""))))))</f>
        <v/>
      </c>
      <c r="Q2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4" s="3">
        <f>tbl_individual[[#This Row],[Total]]-tbl_individual[[#This Row],[Lowest Score]]</f>
        <v>0</v>
      </c>
    </row>
    <row r="275" spans="1:19" x14ac:dyDescent="0.4">
      <c r="A275" t="s">
        <v>327</v>
      </c>
      <c r="B275" t="s">
        <v>28</v>
      </c>
      <c r="C275" t="s">
        <v>5</v>
      </c>
      <c r="D275" s="3">
        <v>944</v>
      </c>
      <c r="F275" s="3" t="str">
        <f>IF(E275="","",IF(E275="DNS",0,IF(E275="DQ",0,IF(E275="DNF",1,IF(AND(ISNUMBER(E275),E275&gt;59),1,_xlfn.XLOOKUP(E275,tbl_points[Place],tbl_points[Points],""))))))</f>
        <v/>
      </c>
      <c r="H275" s="3" t="str">
        <f>IF(G275="","",IF(G275="DNS",0,IF(G275="DQ",0,IF(G275="DNF",1,IF(AND(ISNUMBER(G275),G275&gt;59),1,_xlfn.XLOOKUP(G275,tbl_points[Place],tbl_points[Points],""))))))</f>
        <v/>
      </c>
      <c r="J275" s="3" t="str">
        <f>IF(I275="","",IF(I275="DNS",0,IF(I275="DQ",0,IF(I275="DNF",1,IF(AND(ISNUMBER(I275),I275&gt;59),1,_xlfn.XLOOKUP(I275,tbl_points[Place],tbl_points[Points],""))))))</f>
        <v/>
      </c>
      <c r="L275" s="3" t="str">
        <f>IF(K275="","",IF(K275="DNS",0,IF(K275="DQ",0,IF(K275="DNF",1,IF(AND(ISNUMBER(K275),K275&gt;59),1,_xlfn.XLOOKUP(K275,tbl_points[Place],tbl_points[Points],""))))))</f>
        <v/>
      </c>
      <c r="N275" s="3" t="str">
        <f>IF(M275="","",IF(M275="DNS",0,IF(M275="DQ",0,IF(M275="DNF",1,IF(AND(ISNUMBER(M275),M275&gt;59),1,_xlfn.XLOOKUP(M275,tbl_points[Place],tbl_points[Points],""))))))</f>
        <v/>
      </c>
      <c r="P275" s="3" t="str">
        <f>IF(O275="","",IF(O275="DNS",0,IF(O275="DQ",0,IF(O275="DNF",1,IF(AND(ISNUMBER(O275),O275&gt;59),1,_xlfn.XLOOKUP(O275,tbl_points[Place],tbl_points[Points],""))))))</f>
        <v/>
      </c>
      <c r="Q2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5" s="3">
        <f>tbl_individual[[#This Row],[Total]]-tbl_individual[[#This Row],[Lowest Score]]</f>
        <v>0</v>
      </c>
    </row>
    <row r="276" spans="1:19" x14ac:dyDescent="0.4">
      <c r="A276" t="s">
        <v>324</v>
      </c>
      <c r="B276" t="s">
        <v>28</v>
      </c>
      <c r="C276" t="s">
        <v>5</v>
      </c>
      <c r="D276" s="3">
        <v>941</v>
      </c>
      <c r="F276" s="3" t="str">
        <f>IF(E276="","",IF(E276="DNS",0,IF(E276="DQ",0,IF(E276="DNF",1,IF(AND(ISNUMBER(E276),E276&gt;59),1,_xlfn.XLOOKUP(E276,tbl_points[Place],tbl_points[Points],""))))))</f>
        <v/>
      </c>
      <c r="H276" s="3" t="str">
        <f>IF(G276="","",IF(G276="DNS",0,IF(G276="DQ",0,IF(G276="DNF",1,IF(AND(ISNUMBER(G276),G276&gt;59),1,_xlfn.XLOOKUP(G276,tbl_points[Place],tbl_points[Points],""))))))</f>
        <v/>
      </c>
      <c r="J276" s="3" t="str">
        <f>IF(I276="","",IF(I276="DNS",0,IF(I276="DQ",0,IF(I276="DNF",1,IF(AND(ISNUMBER(I276),I276&gt;59),1,_xlfn.XLOOKUP(I276,tbl_points[Place],tbl_points[Points],""))))))</f>
        <v/>
      </c>
      <c r="L276" s="3" t="str">
        <f>IF(K276="","",IF(K276="DNS",0,IF(K276="DQ",0,IF(K276="DNF",1,IF(AND(ISNUMBER(K276),K276&gt;59),1,_xlfn.XLOOKUP(K276,tbl_points[Place],tbl_points[Points],""))))))</f>
        <v/>
      </c>
      <c r="N276" s="3" t="str">
        <f>IF(M276="","",IF(M276="DNS",0,IF(M276="DQ",0,IF(M276="DNF",1,IF(AND(ISNUMBER(M276),M276&gt;59),1,_xlfn.XLOOKUP(M276,tbl_points[Place],tbl_points[Points],""))))))</f>
        <v/>
      </c>
      <c r="P276" s="3" t="str">
        <f>IF(O276="","",IF(O276="DNS",0,IF(O276="DQ",0,IF(O276="DNF",1,IF(AND(ISNUMBER(O276),O276&gt;59),1,_xlfn.XLOOKUP(O276,tbl_points[Place],tbl_points[Points],""))))))</f>
        <v/>
      </c>
      <c r="Q2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6" s="3">
        <f>tbl_individual[[#This Row],[Total]]-tbl_individual[[#This Row],[Lowest Score]]</f>
        <v>0</v>
      </c>
    </row>
    <row r="277" spans="1:19" x14ac:dyDescent="0.4">
      <c r="A277" t="s">
        <v>325</v>
      </c>
      <c r="B277" t="s">
        <v>28</v>
      </c>
      <c r="C277" t="s">
        <v>5</v>
      </c>
      <c r="D277" s="3">
        <v>942</v>
      </c>
      <c r="F277" s="3" t="str">
        <f>IF(E277="","",IF(E277="DNS",0,IF(E277="DQ",0,IF(E277="DNF",1,IF(AND(ISNUMBER(E277),E277&gt;59),1,_xlfn.XLOOKUP(E277,tbl_points[Place],tbl_points[Points],""))))))</f>
        <v/>
      </c>
      <c r="H277" s="3" t="str">
        <f>IF(G277="","",IF(G277="DNS",0,IF(G277="DQ",0,IF(G277="DNF",1,IF(AND(ISNUMBER(G277),G277&gt;59),1,_xlfn.XLOOKUP(G277,tbl_points[Place],tbl_points[Points],""))))))</f>
        <v/>
      </c>
      <c r="J277" s="3" t="str">
        <f>IF(I277="","",IF(I277="DNS",0,IF(I277="DQ",0,IF(I277="DNF",1,IF(AND(ISNUMBER(I277),I277&gt;59),1,_xlfn.XLOOKUP(I277,tbl_points[Place],tbl_points[Points],""))))))</f>
        <v/>
      </c>
      <c r="L277" s="3" t="str">
        <f>IF(K277="","",IF(K277="DNS",0,IF(K277="DQ",0,IF(K277="DNF",1,IF(AND(ISNUMBER(K277),K277&gt;59),1,_xlfn.XLOOKUP(K277,tbl_points[Place],tbl_points[Points],""))))))</f>
        <v/>
      </c>
      <c r="N277" s="3" t="str">
        <f>IF(M277="","",IF(M277="DNS",0,IF(M277="DQ",0,IF(M277="DNF",1,IF(AND(ISNUMBER(M277),M277&gt;59),1,_xlfn.XLOOKUP(M277,tbl_points[Place],tbl_points[Points],""))))))</f>
        <v/>
      </c>
      <c r="P277" s="3" t="str">
        <f>IF(O277="","",IF(O277="DNS",0,IF(O277="DQ",0,IF(O277="DNF",1,IF(AND(ISNUMBER(O277),O277&gt;59),1,_xlfn.XLOOKUP(O277,tbl_points[Place],tbl_points[Points],""))))))</f>
        <v/>
      </c>
      <c r="Q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7" s="3">
        <f>tbl_individual[[#This Row],[Total]]-tbl_individual[[#This Row],[Lowest Score]]</f>
        <v>0</v>
      </c>
    </row>
    <row r="278" spans="1:19" x14ac:dyDescent="0.4">
      <c r="A278" t="s">
        <v>336</v>
      </c>
      <c r="B278" t="s">
        <v>28</v>
      </c>
      <c r="C278" t="s">
        <v>1</v>
      </c>
      <c r="D278" s="3">
        <v>12086</v>
      </c>
      <c r="F278" s="3" t="str">
        <f>IF(E278="","",IF(E278="DNS",0,IF(E278="DQ",0,IF(E278="DNF",1,IF(AND(ISNUMBER(E278),E278&gt;59),1,_xlfn.XLOOKUP(E278,tbl_points[Place],tbl_points[Points],""))))))</f>
        <v/>
      </c>
      <c r="H278" s="3" t="str">
        <f>IF(G278="","",IF(G278="DNS",0,IF(G278="DQ",0,IF(G278="DNF",1,IF(AND(ISNUMBER(G278),G278&gt;59),1,_xlfn.XLOOKUP(G278,tbl_points[Place],tbl_points[Points],""))))))</f>
        <v/>
      </c>
      <c r="J278" s="3" t="str">
        <f>IF(I278="","",IF(I278="DNS",0,IF(I278="DQ",0,IF(I278="DNF",1,IF(AND(ISNUMBER(I278),I278&gt;59),1,_xlfn.XLOOKUP(I278,tbl_points[Place],tbl_points[Points],""))))))</f>
        <v/>
      </c>
      <c r="L278" s="3" t="str">
        <f>IF(K278="","",IF(K278="DNS",0,IF(K278="DQ",0,IF(K278="DNF",1,IF(AND(ISNUMBER(K278),K278&gt;59),1,_xlfn.XLOOKUP(K278,tbl_points[Place],tbl_points[Points],""))))))</f>
        <v/>
      </c>
      <c r="N278" s="3" t="str">
        <f>IF(M278="","",IF(M278="DNS",0,IF(M278="DQ",0,IF(M278="DNF",1,IF(AND(ISNUMBER(M278),M278&gt;59),1,_xlfn.XLOOKUP(M278,tbl_points[Place],tbl_points[Points],""))))))</f>
        <v/>
      </c>
      <c r="P278" s="3" t="str">
        <f>IF(O278="","",IF(O278="DNS",0,IF(O278="DQ",0,IF(O278="DNF",1,IF(AND(ISNUMBER(O278),O278&gt;59),1,_xlfn.XLOOKUP(O278,tbl_points[Place],tbl_points[Points],""))))))</f>
        <v/>
      </c>
      <c r="Q2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8" s="3">
        <f>tbl_individual[[#This Row],[Total]]-tbl_individual[[#This Row],[Lowest Score]]</f>
        <v>0</v>
      </c>
    </row>
    <row r="279" spans="1:19" x14ac:dyDescent="0.4">
      <c r="A279" t="s">
        <v>332</v>
      </c>
      <c r="B279" t="s">
        <v>28</v>
      </c>
      <c r="C279" t="s">
        <v>1</v>
      </c>
      <c r="D279" s="3">
        <v>12082</v>
      </c>
      <c r="F279" s="3" t="str">
        <f>IF(E279="","",IF(E279="DNS",0,IF(E279="DQ",0,IF(E279="DNF",1,IF(AND(ISNUMBER(E279),E279&gt;59),1,_xlfn.XLOOKUP(E279,tbl_points[Place],tbl_points[Points],""))))))</f>
        <v/>
      </c>
      <c r="H279" s="3" t="str">
        <f>IF(G279="","",IF(G279="DNS",0,IF(G279="DQ",0,IF(G279="DNF",1,IF(AND(ISNUMBER(G279),G279&gt;59),1,_xlfn.XLOOKUP(G279,tbl_points[Place],tbl_points[Points],""))))))</f>
        <v/>
      </c>
      <c r="J279" s="3" t="str">
        <f>IF(I279="","",IF(I279="DNS",0,IF(I279="DQ",0,IF(I279="DNF",1,IF(AND(ISNUMBER(I279),I279&gt;59),1,_xlfn.XLOOKUP(I279,tbl_points[Place],tbl_points[Points],""))))))</f>
        <v/>
      </c>
      <c r="L279" s="3" t="str">
        <f>IF(K279="","",IF(K279="DNS",0,IF(K279="DQ",0,IF(K279="DNF",1,IF(AND(ISNUMBER(K279),K279&gt;59),1,_xlfn.XLOOKUP(K279,tbl_points[Place],tbl_points[Points],""))))))</f>
        <v/>
      </c>
      <c r="N279" s="3" t="str">
        <f>IF(M279="","",IF(M279="DNS",0,IF(M279="DQ",0,IF(M279="DNF",1,IF(AND(ISNUMBER(M279),M279&gt;59),1,_xlfn.XLOOKUP(M279,tbl_points[Place],tbl_points[Points],""))))))</f>
        <v/>
      </c>
      <c r="P279" s="3" t="str">
        <f>IF(O279="","",IF(O279="DNS",0,IF(O279="DQ",0,IF(O279="DNF",1,IF(AND(ISNUMBER(O279),O279&gt;59),1,_xlfn.XLOOKUP(O279,tbl_points[Place],tbl_points[Points],""))))))</f>
        <v/>
      </c>
      <c r="Q2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9" s="3">
        <f>tbl_individual[[#This Row],[Total]]-tbl_individual[[#This Row],[Lowest Score]]</f>
        <v>0</v>
      </c>
    </row>
    <row r="280" spans="1:19" x14ac:dyDescent="0.4">
      <c r="A280" t="s">
        <v>331</v>
      </c>
      <c r="B280" t="s">
        <v>28</v>
      </c>
      <c r="C280" t="s">
        <v>1</v>
      </c>
      <c r="D280" s="3">
        <v>12081</v>
      </c>
      <c r="F280" s="3" t="str">
        <f>IF(E280="","",IF(E280="DNS",0,IF(E280="DQ",0,IF(E280="DNF",1,IF(AND(ISNUMBER(E280),E280&gt;59),1,_xlfn.XLOOKUP(E280,tbl_points[Place],tbl_points[Points],""))))))</f>
        <v/>
      </c>
      <c r="H280" s="3" t="str">
        <f>IF(G280="","",IF(G280="DNS",0,IF(G280="DQ",0,IF(G280="DNF",1,IF(AND(ISNUMBER(G280),G280&gt;59),1,_xlfn.XLOOKUP(G280,tbl_points[Place],tbl_points[Points],""))))))</f>
        <v/>
      </c>
      <c r="J280" s="3" t="str">
        <f>IF(I280="","",IF(I280="DNS",0,IF(I280="DQ",0,IF(I280="DNF",1,IF(AND(ISNUMBER(I280),I280&gt;59),1,_xlfn.XLOOKUP(I280,tbl_points[Place],tbl_points[Points],""))))))</f>
        <v/>
      </c>
      <c r="L280" s="3" t="str">
        <f>IF(K280="","",IF(K280="DNS",0,IF(K280="DQ",0,IF(K280="DNF",1,IF(AND(ISNUMBER(K280),K280&gt;59),1,_xlfn.XLOOKUP(K280,tbl_points[Place],tbl_points[Points],""))))))</f>
        <v/>
      </c>
      <c r="N280" s="3" t="str">
        <f>IF(M280="","",IF(M280="DNS",0,IF(M280="DQ",0,IF(M280="DNF",1,IF(AND(ISNUMBER(M280),M280&gt;59),1,_xlfn.XLOOKUP(M280,tbl_points[Place],tbl_points[Points],""))))))</f>
        <v/>
      </c>
      <c r="P280" s="3" t="str">
        <f>IF(O280="","",IF(O280="DNS",0,IF(O280="DQ",0,IF(O280="DNF",1,IF(AND(ISNUMBER(O280),O280&gt;59),1,_xlfn.XLOOKUP(O280,tbl_points[Place],tbl_points[Points],""))))))</f>
        <v/>
      </c>
      <c r="Q2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0" s="3">
        <f>tbl_individual[[#This Row],[Total]]-tbl_individual[[#This Row],[Lowest Score]]</f>
        <v>0</v>
      </c>
    </row>
    <row r="281" spans="1:19" x14ac:dyDescent="0.4">
      <c r="A281" t="s">
        <v>330</v>
      </c>
      <c r="B281" t="s">
        <v>28</v>
      </c>
      <c r="C281" t="s">
        <v>1</v>
      </c>
      <c r="D281" s="3">
        <v>12080</v>
      </c>
      <c r="F281" s="3" t="str">
        <f>IF(E281="","",IF(E281="DNS",0,IF(E281="DQ",0,IF(E281="DNF",1,IF(AND(ISNUMBER(E281),E281&gt;59),1,_xlfn.XLOOKUP(E281,tbl_points[Place],tbl_points[Points],""))))))</f>
        <v/>
      </c>
      <c r="H281" s="3" t="str">
        <f>IF(G281="","",IF(G281="DNS",0,IF(G281="DQ",0,IF(G281="DNF",1,IF(AND(ISNUMBER(G281),G281&gt;59),1,_xlfn.XLOOKUP(G281,tbl_points[Place],tbl_points[Points],""))))))</f>
        <v/>
      </c>
      <c r="J281" s="3" t="str">
        <f>IF(I281="","",IF(I281="DNS",0,IF(I281="DQ",0,IF(I281="DNF",1,IF(AND(ISNUMBER(I281),I281&gt;59),1,_xlfn.XLOOKUP(I281,tbl_points[Place],tbl_points[Points],""))))))</f>
        <v/>
      </c>
      <c r="L281" s="3" t="str">
        <f>IF(K281="","",IF(K281="DNS",0,IF(K281="DQ",0,IF(K281="DNF",1,IF(AND(ISNUMBER(K281),K281&gt;59),1,_xlfn.XLOOKUP(K281,tbl_points[Place],tbl_points[Points],""))))))</f>
        <v/>
      </c>
      <c r="N281" s="3" t="str">
        <f>IF(M281="","",IF(M281="DNS",0,IF(M281="DQ",0,IF(M281="DNF",1,IF(AND(ISNUMBER(M281),M281&gt;59),1,_xlfn.XLOOKUP(M281,tbl_points[Place],tbl_points[Points],""))))))</f>
        <v/>
      </c>
      <c r="P281" s="3" t="str">
        <f>IF(O281="","",IF(O281="DNS",0,IF(O281="DQ",0,IF(O281="DNF",1,IF(AND(ISNUMBER(O281),O281&gt;59),1,_xlfn.XLOOKUP(O281,tbl_points[Place],tbl_points[Points],""))))))</f>
        <v/>
      </c>
      <c r="Q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1" s="3">
        <f>tbl_individual[[#This Row],[Total]]-tbl_individual[[#This Row],[Lowest Score]]</f>
        <v>0</v>
      </c>
    </row>
    <row r="282" spans="1:19" x14ac:dyDescent="0.4">
      <c r="A282" t="s">
        <v>333</v>
      </c>
      <c r="B282" t="s">
        <v>28</v>
      </c>
      <c r="C282" t="s">
        <v>1</v>
      </c>
      <c r="D282" s="3">
        <v>12083</v>
      </c>
      <c r="F282" s="3" t="str">
        <f>IF(E282="","",IF(E282="DNS",0,IF(E282="DQ",0,IF(E282="DNF",1,IF(AND(ISNUMBER(E282),E282&gt;59),1,_xlfn.XLOOKUP(E282,tbl_points[Place],tbl_points[Points],""))))))</f>
        <v/>
      </c>
      <c r="H282" s="3" t="str">
        <f>IF(G282="","",IF(G282="DNS",0,IF(G282="DQ",0,IF(G282="DNF",1,IF(AND(ISNUMBER(G282),G282&gt;59),1,_xlfn.XLOOKUP(G282,tbl_points[Place],tbl_points[Points],""))))))</f>
        <v/>
      </c>
      <c r="J282" s="3" t="str">
        <f>IF(I282="","",IF(I282="DNS",0,IF(I282="DQ",0,IF(I282="DNF",1,IF(AND(ISNUMBER(I282),I282&gt;59),1,_xlfn.XLOOKUP(I282,tbl_points[Place],tbl_points[Points],""))))))</f>
        <v/>
      </c>
      <c r="L282" s="3" t="str">
        <f>IF(K282="","",IF(K282="DNS",0,IF(K282="DQ",0,IF(K282="DNF",1,IF(AND(ISNUMBER(K282),K282&gt;59),1,_xlfn.XLOOKUP(K282,tbl_points[Place],tbl_points[Points],""))))))</f>
        <v/>
      </c>
      <c r="N282" s="3" t="str">
        <f>IF(M282="","",IF(M282="DNS",0,IF(M282="DQ",0,IF(M282="DNF",1,IF(AND(ISNUMBER(M282),M282&gt;59),1,_xlfn.XLOOKUP(M282,tbl_points[Place],tbl_points[Points],""))))))</f>
        <v/>
      </c>
      <c r="P282" s="3" t="str">
        <f>IF(O282="","",IF(O282="DNS",0,IF(O282="DQ",0,IF(O282="DNF",1,IF(AND(ISNUMBER(O282),O282&gt;59),1,_xlfn.XLOOKUP(O282,tbl_points[Place],tbl_points[Points],""))))))</f>
        <v/>
      </c>
      <c r="Q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2" s="3">
        <f>tbl_individual[[#This Row],[Total]]-tbl_individual[[#This Row],[Lowest Score]]</f>
        <v>0</v>
      </c>
    </row>
    <row r="283" spans="1:19" x14ac:dyDescent="0.4">
      <c r="A283" t="s">
        <v>335</v>
      </c>
      <c r="B283" t="s">
        <v>28</v>
      </c>
      <c r="C283" t="s">
        <v>1</v>
      </c>
      <c r="D283" s="3">
        <v>12085</v>
      </c>
      <c r="F283" s="3" t="str">
        <f>IF(E283="","",IF(E283="DNS",0,IF(E283="DQ",0,IF(E283="DNF",1,IF(AND(ISNUMBER(E283),E283&gt;59),1,_xlfn.XLOOKUP(E283,tbl_points[Place],tbl_points[Points],""))))))</f>
        <v/>
      </c>
      <c r="H283" s="3" t="str">
        <f>IF(G283="","",IF(G283="DNS",0,IF(G283="DQ",0,IF(G283="DNF",1,IF(AND(ISNUMBER(G283),G283&gt;59),1,_xlfn.XLOOKUP(G283,tbl_points[Place],tbl_points[Points],""))))))</f>
        <v/>
      </c>
      <c r="J283" s="3" t="str">
        <f>IF(I283="","",IF(I283="DNS",0,IF(I283="DQ",0,IF(I283="DNF",1,IF(AND(ISNUMBER(I283),I283&gt;59),1,_xlfn.XLOOKUP(I283,tbl_points[Place],tbl_points[Points],""))))))</f>
        <v/>
      </c>
      <c r="L283" s="3" t="str">
        <f>IF(K283="","",IF(K283="DNS",0,IF(K283="DQ",0,IF(K283="DNF",1,IF(AND(ISNUMBER(K283),K283&gt;59),1,_xlfn.XLOOKUP(K283,tbl_points[Place],tbl_points[Points],""))))))</f>
        <v/>
      </c>
      <c r="N283" s="3" t="str">
        <f>IF(M283="","",IF(M283="DNS",0,IF(M283="DQ",0,IF(M283="DNF",1,IF(AND(ISNUMBER(M283),M283&gt;59),1,_xlfn.XLOOKUP(M283,tbl_points[Place],tbl_points[Points],""))))))</f>
        <v/>
      </c>
      <c r="P283" s="3" t="str">
        <f>IF(O283="","",IF(O283="DNS",0,IF(O283="DQ",0,IF(O283="DNF",1,IF(AND(ISNUMBER(O283),O283&gt;59),1,_xlfn.XLOOKUP(O283,tbl_points[Place],tbl_points[Points],""))))))</f>
        <v/>
      </c>
      <c r="Q2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3" s="3">
        <f>tbl_individual[[#This Row],[Total]]-tbl_individual[[#This Row],[Lowest Score]]</f>
        <v>0</v>
      </c>
    </row>
    <row r="284" spans="1:19" x14ac:dyDescent="0.4">
      <c r="A284" t="s">
        <v>334</v>
      </c>
      <c r="B284" t="s">
        <v>28</v>
      </c>
      <c r="C284" t="s">
        <v>1</v>
      </c>
      <c r="D284" s="3">
        <v>12084</v>
      </c>
      <c r="F284" s="3" t="str">
        <f>IF(E284="","",IF(E284="DNS",0,IF(E284="DQ",0,IF(E284="DNF",1,IF(AND(ISNUMBER(E284),E284&gt;59),1,_xlfn.XLOOKUP(E284,tbl_points[Place],tbl_points[Points],""))))))</f>
        <v/>
      </c>
      <c r="H284" s="3" t="str">
        <f>IF(G284="","",IF(G284="DNS",0,IF(G284="DQ",0,IF(G284="DNF",1,IF(AND(ISNUMBER(G284),G284&gt;59),1,_xlfn.XLOOKUP(G284,tbl_points[Place],tbl_points[Points],""))))))</f>
        <v/>
      </c>
      <c r="J284" s="3" t="str">
        <f>IF(I284="","",IF(I284="DNS",0,IF(I284="DQ",0,IF(I284="DNF",1,IF(AND(ISNUMBER(I284),I284&gt;59),1,_xlfn.XLOOKUP(I284,tbl_points[Place],tbl_points[Points],""))))))</f>
        <v/>
      </c>
      <c r="L284" s="3" t="str">
        <f>IF(K284="","",IF(K284="DNS",0,IF(K284="DQ",0,IF(K284="DNF",1,IF(AND(ISNUMBER(K284),K284&gt;59),1,_xlfn.XLOOKUP(K284,tbl_points[Place],tbl_points[Points],""))))))</f>
        <v/>
      </c>
      <c r="N284" s="3" t="str">
        <f>IF(M284="","",IF(M284="DNS",0,IF(M284="DQ",0,IF(M284="DNF",1,IF(AND(ISNUMBER(M284),M284&gt;59),1,_xlfn.XLOOKUP(M284,tbl_points[Place],tbl_points[Points],""))))))</f>
        <v/>
      </c>
      <c r="P284" s="3" t="str">
        <f>IF(O284="","",IF(O284="DNS",0,IF(O284="DQ",0,IF(O284="DNF",1,IF(AND(ISNUMBER(O284),O284&gt;59),1,_xlfn.XLOOKUP(O284,tbl_points[Place],tbl_points[Points],""))))))</f>
        <v/>
      </c>
      <c r="Q2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4" s="3">
        <f>tbl_individual[[#This Row],[Total]]-tbl_individual[[#This Row],[Lowest Score]]</f>
        <v>0</v>
      </c>
    </row>
    <row r="285" spans="1:19" x14ac:dyDescent="0.4">
      <c r="A285" t="s">
        <v>337</v>
      </c>
      <c r="B285" t="s">
        <v>28</v>
      </c>
      <c r="C285" t="s">
        <v>2</v>
      </c>
      <c r="D285" s="3">
        <v>1243</v>
      </c>
      <c r="F285" s="3" t="str">
        <f>IF(E285="","",IF(E285="DNS",0,IF(E285="DQ",0,IF(E285="DNF",1,IF(AND(ISNUMBER(E285),E285&gt;59),1,_xlfn.XLOOKUP(E285,tbl_points[Place],tbl_points[Points],""))))))</f>
        <v/>
      </c>
      <c r="H285" s="3" t="str">
        <f>IF(G285="","",IF(G285="DNS",0,IF(G285="DQ",0,IF(G285="DNF",1,IF(AND(ISNUMBER(G285),G285&gt;59),1,_xlfn.XLOOKUP(G285,tbl_points[Place],tbl_points[Points],""))))))</f>
        <v/>
      </c>
      <c r="J285" s="3" t="str">
        <f>IF(I285="","",IF(I285="DNS",0,IF(I285="DQ",0,IF(I285="DNF",1,IF(AND(ISNUMBER(I285),I285&gt;59),1,_xlfn.XLOOKUP(I285,tbl_points[Place],tbl_points[Points],""))))))</f>
        <v/>
      </c>
      <c r="L285" s="3" t="str">
        <f>IF(K285="","",IF(K285="DNS",0,IF(K285="DQ",0,IF(K285="DNF",1,IF(AND(ISNUMBER(K285),K285&gt;59),1,_xlfn.XLOOKUP(K285,tbl_points[Place],tbl_points[Points],""))))))</f>
        <v/>
      </c>
      <c r="N285" s="3" t="str">
        <f>IF(M285="","",IF(M285="DNS",0,IF(M285="DQ",0,IF(M285="DNF",1,IF(AND(ISNUMBER(M285),M285&gt;59),1,_xlfn.XLOOKUP(M285,tbl_points[Place],tbl_points[Points],""))))))</f>
        <v/>
      </c>
      <c r="P285" s="3" t="str">
        <f>IF(O285="","",IF(O285="DNS",0,IF(O285="DQ",0,IF(O285="DNF",1,IF(AND(ISNUMBER(O285),O285&gt;59),1,_xlfn.XLOOKUP(O285,tbl_points[Place],tbl_points[Points],""))))))</f>
        <v/>
      </c>
      <c r="Q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5" s="3">
        <f>tbl_individual[[#This Row],[Total]]-tbl_individual[[#This Row],[Lowest Score]]</f>
        <v>0</v>
      </c>
    </row>
    <row r="286" spans="1:19" x14ac:dyDescent="0.4">
      <c r="A286" t="s">
        <v>338</v>
      </c>
      <c r="B286" t="s">
        <v>29</v>
      </c>
      <c r="C286" t="s">
        <v>7</v>
      </c>
      <c r="D286" s="3">
        <v>826</v>
      </c>
      <c r="F286" s="3" t="str">
        <f>IF(E286="","",IF(E286="DNS",0,IF(E286="DQ",0,IF(E286="DNF",1,IF(AND(ISNUMBER(E286),E286&gt;59),1,_xlfn.XLOOKUP(E286,tbl_points[Place],tbl_points[Points],""))))))</f>
        <v/>
      </c>
      <c r="H286" s="3" t="str">
        <f>IF(G286="","",IF(G286="DNS",0,IF(G286="DQ",0,IF(G286="DNF",1,IF(AND(ISNUMBER(G286),G286&gt;59),1,_xlfn.XLOOKUP(G286,tbl_points[Place],tbl_points[Points],""))))))</f>
        <v/>
      </c>
      <c r="J286" s="3" t="str">
        <f>IF(I286="","",IF(I286="DNS",0,IF(I286="DQ",0,IF(I286="DNF",1,IF(AND(ISNUMBER(I286),I286&gt;59),1,_xlfn.XLOOKUP(I286,tbl_points[Place],tbl_points[Points],""))))))</f>
        <v/>
      </c>
      <c r="L286" s="3" t="str">
        <f>IF(K286="","",IF(K286="DNS",0,IF(K286="DQ",0,IF(K286="DNF",1,IF(AND(ISNUMBER(K286),K286&gt;59),1,_xlfn.XLOOKUP(K286,tbl_points[Place],tbl_points[Points],""))))))</f>
        <v/>
      </c>
      <c r="N286" s="3" t="str">
        <f>IF(M286="","",IF(M286="DNS",0,IF(M286="DQ",0,IF(M286="DNF",1,IF(AND(ISNUMBER(M286),M286&gt;59),1,_xlfn.XLOOKUP(M286,tbl_points[Place],tbl_points[Points],""))))))</f>
        <v/>
      </c>
      <c r="P286" s="3" t="str">
        <f>IF(O286="","",IF(O286="DNS",0,IF(O286="DQ",0,IF(O286="DNF",1,IF(AND(ISNUMBER(O286),O286&gt;59),1,_xlfn.XLOOKUP(O286,tbl_points[Place],tbl_points[Points],""))))))</f>
        <v/>
      </c>
      <c r="Q2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6" s="3">
        <f>tbl_individual[[#This Row],[Total]]-tbl_individual[[#This Row],[Lowest Score]]</f>
        <v>0</v>
      </c>
    </row>
    <row r="287" spans="1:19" x14ac:dyDescent="0.4">
      <c r="A287" t="s">
        <v>342</v>
      </c>
      <c r="B287" t="s">
        <v>29</v>
      </c>
      <c r="C287" t="s">
        <v>7</v>
      </c>
      <c r="D287" s="3">
        <v>830</v>
      </c>
      <c r="F287" s="3" t="str">
        <f>IF(E287="","",IF(E287="DNS",0,IF(E287="DQ",0,IF(E287="DNF",1,IF(AND(ISNUMBER(E287),E287&gt;59),1,_xlfn.XLOOKUP(E287,tbl_points[Place],tbl_points[Points],""))))))</f>
        <v/>
      </c>
      <c r="H287" s="3" t="str">
        <f>IF(G287="","",IF(G287="DNS",0,IF(G287="DQ",0,IF(G287="DNF",1,IF(AND(ISNUMBER(G287),G287&gt;59),1,_xlfn.XLOOKUP(G287,tbl_points[Place],tbl_points[Points],""))))))</f>
        <v/>
      </c>
      <c r="J287" s="3" t="str">
        <f>IF(I287="","",IF(I287="DNS",0,IF(I287="DQ",0,IF(I287="DNF",1,IF(AND(ISNUMBER(I287),I287&gt;59),1,_xlfn.XLOOKUP(I287,tbl_points[Place],tbl_points[Points],""))))))</f>
        <v/>
      </c>
      <c r="L287" s="3" t="str">
        <f>IF(K287="","",IF(K287="DNS",0,IF(K287="DQ",0,IF(K287="DNF",1,IF(AND(ISNUMBER(K287),K287&gt;59),1,_xlfn.XLOOKUP(K287,tbl_points[Place],tbl_points[Points],""))))))</f>
        <v/>
      </c>
      <c r="N287" s="3" t="str">
        <f>IF(M287="","",IF(M287="DNS",0,IF(M287="DQ",0,IF(M287="DNF",1,IF(AND(ISNUMBER(M287),M287&gt;59),1,_xlfn.XLOOKUP(M287,tbl_points[Place],tbl_points[Points],""))))))</f>
        <v/>
      </c>
      <c r="P287" s="3" t="str">
        <f>IF(O287="","",IF(O287="DNS",0,IF(O287="DQ",0,IF(O287="DNF",1,IF(AND(ISNUMBER(O287),O287&gt;59),1,_xlfn.XLOOKUP(O287,tbl_points[Place],tbl_points[Points],""))))))</f>
        <v/>
      </c>
      <c r="Q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7" s="3">
        <f>tbl_individual[[#This Row],[Total]]-tbl_individual[[#This Row],[Lowest Score]]</f>
        <v>0</v>
      </c>
    </row>
    <row r="288" spans="1:19" x14ac:dyDescent="0.4">
      <c r="A288" t="s">
        <v>339</v>
      </c>
      <c r="B288" t="s">
        <v>29</v>
      </c>
      <c r="C288" t="s">
        <v>7</v>
      </c>
      <c r="D288" s="3">
        <v>827</v>
      </c>
      <c r="F288" s="3" t="str">
        <f>IF(E288="","",IF(E288="DNS",0,IF(E288="DQ",0,IF(E288="DNF",1,IF(AND(ISNUMBER(E288),E288&gt;59),1,_xlfn.XLOOKUP(E288,tbl_points[Place],tbl_points[Points],""))))))</f>
        <v/>
      </c>
      <c r="H288" s="3" t="str">
        <f>IF(G288="","",IF(G288="DNS",0,IF(G288="DQ",0,IF(G288="DNF",1,IF(AND(ISNUMBER(G288),G288&gt;59),1,_xlfn.XLOOKUP(G288,tbl_points[Place],tbl_points[Points],""))))))</f>
        <v/>
      </c>
      <c r="J288" s="3" t="str">
        <f>IF(I288="","",IF(I288="DNS",0,IF(I288="DQ",0,IF(I288="DNF",1,IF(AND(ISNUMBER(I288),I288&gt;59),1,_xlfn.XLOOKUP(I288,tbl_points[Place],tbl_points[Points],""))))))</f>
        <v/>
      </c>
      <c r="L288" s="3" t="str">
        <f>IF(K288="","",IF(K288="DNS",0,IF(K288="DQ",0,IF(K288="DNF",1,IF(AND(ISNUMBER(K288),K288&gt;59),1,_xlfn.XLOOKUP(K288,tbl_points[Place],tbl_points[Points],""))))))</f>
        <v/>
      </c>
      <c r="N288" s="3" t="str">
        <f>IF(M288="","",IF(M288="DNS",0,IF(M288="DQ",0,IF(M288="DNF",1,IF(AND(ISNUMBER(M288),M288&gt;59),1,_xlfn.XLOOKUP(M288,tbl_points[Place],tbl_points[Points],""))))))</f>
        <v/>
      </c>
      <c r="P288" s="3" t="str">
        <f>IF(O288="","",IF(O288="DNS",0,IF(O288="DQ",0,IF(O288="DNF",1,IF(AND(ISNUMBER(O288),O288&gt;59),1,_xlfn.XLOOKUP(O288,tbl_points[Place],tbl_points[Points],""))))))</f>
        <v/>
      </c>
      <c r="Q2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8" s="3">
        <f>tbl_individual[[#This Row],[Total]]-tbl_individual[[#This Row],[Lowest Score]]</f>
        <v>0</v>
      </c>
    </row>
    <row r="289" spans="1:19" x14ac:dyDescent="0.4">
      <c r="A289" t="s">
        <v>341</v>
      </c>
      <c r="B289" t="s">
        <v>29</v>
      </c>
      <c r="C289" t="s">
        <v>7</v>
      </c>
      <c r="D289" s="3">
        <v>829</v>
      </c>
      <c r="F289" s="3" t="str">
        <f>IF(E289="","",IF(E289="DNS",0,IF(E289="DQ",0,IF(E289="DNF",1,IF(AND(ISNUMBER(E289),E289&gt;59),1,_xlfn.XLOOKUP(E289,tbl_points[Place],tbl_points[Points],""))))))</f>
        <v/>
      </c>
      <c r="H289" s="3" t="str">
        <f>IF(G289="","",IF(G289="DNS",0,IF(G289="DQ",0,IF(G289="DNF",1,IF(AND(ISNUMBER(G289),G289&gt;59),1,_xlfn.XLOOKUP(G289,tbl_points[Place],tbl_points[Points],""))))))</f>
        <v/>
      </c>
      <c r="J289" s="3" t="str">
        <f>IF(I289="","",IF(I289="DNS",0,IF(I289="DQ",0,IF(I289="DNF",1,IF(AND(ISNUMBER(I289),I289&gt;59),1,_xlfn.XLOOKUP(I289,tbl_points[Place],tbl_points[Points],""))))))</f>
        <v/>
      </c>
      <c r="L289" s="3" t="str">
        <f>IF(K289="","",IF(K289="DNS",0,IF(K289="DQ",0,IF(K289="DNF",1,IF(AND(ISNUMBER(K289),K289&gt;59),1,_xlfn.XLOOKUP(K289,tbl_points[Place],tbl_points[Points],""))))))</f>
        <v/>
      </c>
      <c r="N289" s="3" t="str">
        <f>IF(M289="","",IF(M289="DNS",0,IF(M289="DQ",0,IF(M289="DNF",1,IF(AND(ISNUMBER(M289),M289&gt;59),1,_xlfn.XLOOKUP(M289,tbl_points[Place],tbl_points[Points],""))))))</f>
        <v/>
      </c>
      <c r="P289" s="3" t="str">
        <f>IF(O289="","",IF(O289="DNS",0,IF(O289="DQ",0,IF(O289="DNF",1,IF(AND(ISNUMBER(O289),O289&gt;59),1,_xlfn.XLOOKUP(O289,tbl_points[Place],tbl_points[Points],""))))))</f>
        <v/>
      </c>
      <c r="Q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9" s="3">
        <f>tbl_individual[[#This Row],[Total]]-tbl_individual[[#This Row],[Lowest Score]]</f>
        <v>0</v>
      </c>
    </row>
    <row r="290" spans="1:19" x14ac:dyDescent="0.4">
      <c r="A290" t="s">
        <v>340</v>
      </c>
      <c r="B290" t="s">
        <v>29</v>
      </c>
      <c r="C290" t="s">
        <v>7</v>
      </c>
      <c r="D290" s="3">
        <v>828</v>
      </c>
      <c r="F290" s="3" t="str">
        <f>IF(E290="","",IF(E290="DNS",0,IF(E290="DQ",0,IF(E290="DNF",1,IF(AND(ISNUMBER(E290),E290&gt;59),1,_xlfn.XLOOKUP(E290,tbl_points[Place],tbl_points[Points],""))))))</f>
        <v/>
      </c>
      <c r="H290" s="3" t="str">
        <f>IF(G290="","",IF(G290="DNS",0,IF(G290="DQ",0,IF(G290="DNF",1,IF(AND(ISNUMBER(G290),G290&gt;59),1,_xlfn.XLOOKUP(G290,tbl_points[Place],tbl_points[Points],""))))))</f>
        <v/>
      </c>
      <c r="J290" s="3" t="str">
        <f>IF(I290="","",IF(I290="DNS",0,IF(I290="DQ",0,IF(I290="DNF",1,IF(AND(ISNUMBER(I290),I290&gt;59),1,_xlfn.XLOOKUP(I290,tbl_points[Place],tbl_points[Points],""))))))</f>
        <v/>
      </c>
      <c r="L290" s="3" t="str">
        <f>IF(K290="","",IF(K290="DNS",0,IF(K290="DQ",0,IF(K290="DNF",1,IF(AND(ISNUMBER(K290),K290&gt;59),1,_xlfn.XLOOKUP(K290,tbl_points[Place],tbl_points[Points],""))))))</f>
        <v/>
      </c>
      <c r="N290" s="3" t="str">
        <f>IF(M290="","",IF(M290="DNS",0,IF(M290="DQ",0,IF(M290="DNF",1,IF(AND(ISNUMBER(M290),M290&gt;59),1,_xlfn.XLOOKUP(M290,tbl_points[Place],tbl_points[Points],""))))))</f>
        <v/>
      </c>
      <c r="P290" s="3" t="str">
        <f>IF(O290="","",IF(O290="DNS",0,IF(O290="DQ",0,IF(O290="DNF",1,IF(AND(ISNUMBER(O290),O290&gt;59),1,_xlfn.XLOOKUP(O290,tbl_points[Place],tbl_points[Points],""))))))</f>
        <v/>
      </c>
      <c r="Q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0" s="3">
        <f>tbl_individual[[#This Row],[Total]]-tbl_individual[[#This Row],[Lowest Score]]</f>
        <v>0</v>
      </c>
    </row>
    <row r="291" spans="1:19" x14ac:dyDescent="0.4">
      <c r="A291" t="s">
        <v>348</v>
      </c>
      <c r="B291" t="s">
        <v>29</v>
      </c>
      <c r="C291" t="s">
        <v>3</v>
      </c>
      <c r="D291" s="3">
        <v>10192</v>
      </c>
      <c r="F291" s="3" t="str">
        <f>IF(E291="","",IF(E291="DNS",0,IF(E291="DQ",0,IF(E291="DNF",1,IF(AND(ISNUMBER(E291),E291&gt;59),1,_xlfn.XLOOKUP(E291,tbl_points[Place],tbl_points[Points],""))))))</f>
        <v/>
      </c>
      <c r="H291" s="3" t="str">
        <f>IF(G291="","",IF(G291="DNS",0,IF(G291="DQ",0,IF(G291="DNF",1,IF(AND(ISNUMBER(G291),G291&gt;59),1,_xlfn.XLOOKUP(G291,tbl_points[Place],tbl_points[Points],""))))))</f>
        <v/>
      </c>
      <c r="J291" s="3" t="str">
        <f>IF(I291="","",IF(I291="DNS",0,IF(I291="DQ",0,IF(I291="DNF",1,IF(AND(ISNUMBER(I291),I291&gt;59),1,_xlfn.XLOOKUP(I291,tbl_points[Place],tbl_points[Points],""))))))</f>
        <v/>
      </c>
      <c r="L291" s="3" t="str">
        <f>IF(K291="","",IF(K291="DNS",0,IF(K291="DQ",0,IF(K291="DNF",1,IF(AND(ISNUMBER(K291),K291&gt;59),1,_xlfn.XLOOKUP(K291,tbl_points[Place],tbl_points[Points],""))))))</f>
        <v/>
      </c>
      <c r="N291" s="3" t="str">
        <f>IF(M291="","",IF(M291="DNS",0,IF(M291="DQ",0,IF(M291="DNF",1,IF(AND(ISNUMBER(M291),M291&gt;59),1,_xlfn.XLOOKUP(M291,tbl_points[Place],tbl_points[Points],""))))))</f>
        <v/>
      </c>
      <c r="P291" s="3" t="str">
        <f>IF(O291="","",IF(O291="DNS",0,IF(O291="DQ",0,IF(O291="DNF",1,IF(AND(ISNUMBER(O291),O291&gt;59),1,_xlfn.XLOOKUP(O291,tbl_points[Place],tbl_points[Points],""))))))</f>
        <v/>
      </c>
      <c r="Q2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1" s="3">
        <f>tbl_individual[[#This Row],[Total]]-tbl_individual[[#This Row],[Lowest Score]]</f>
        <v>0</v>
      </c>
    </row>
    <row r="292" spans="1:19" x14ac:dyDescent="0.4">
      <c r="A292" t="s">
        <v>344</v>
      </c>
      <c r="B292" t="s">
        <v>29</v>
      </c>
      <c r="C292" t="s">
        <v>5</v>
      </c>
      <c r="D292" s="3">
        <v>946</v>
      </c>
      <c r="F292" s="3" t="str">
        <f>IF(E292="","",IF(E292="DNS",0,IF(E292="DQ",0,IF(E292="DNF",1,IF(AND(ISNUMBER(E292),E292&gt;59),1,_xlfn.XLOOKUP(E292,tbl_points[Place],tbl_points[Points],""))))))</f>
        <v/>
      </c>
      <c r="H292" s="3" t="str">
        <f>IF(G292="","",IF(G292="DNS",0,IF(G292="DQ",0,IF(G292="DNF",1,IF(AND(ISNUMBER(G292),G292&gt;59),1,_xlfn.XLOOKUP(G292,tbl_points[Place],tbl_points[Points],""))))))</f>
        <v/>
      </c>
      <c r="J292" s="3" t="str">
        <f>IF(I292="","",IF(I292="DNS",0,IF(I292="DQ",0,IF(I292="DNF",1,IF(AND(ISNUMBER(I292),I292&gt;59),1,_xlfn.XLOOKUP(I292,tbl_points[Place],tbl_points[Points],""))))))</f>
        <v/>
      </c>
      <c r="L292" s="3" t="str">
        <f>IF(K292="","",IF(K292="DNS",0,IF(K292="DQ",0,IF(K292="DNF",1,IF(AND(ISNUMBER(K292),K292&gt;59),1,_xlfn.XLOOKUP(K292,tbl_points[Place],tbl_points[Points],""))))))</f>
        <v/>
      </c>
      <c r="N292" s="3" t="str">
        <f>IF(M292="","",IF(M292="DNS",0,IF(M292="DQ",0,IF(M292="DNF",1,IF(AND(ISNUMBER(M292),M292&gt;59),1,_xlfn.XLOOKUP(M292,tbl_points[Place],tbl_points[Points],""))))))</f>
        <v/>
      </c>
      <c r="P292" s="3" t="str">
        <f>IF(O292="","",IF(O292="DNS",0,IF(O292="DQ",0,IF(O292="DNF",1,IF(AND(ISNUMBER(O292),O292&gt;59),1,_xlfn.XLOOKUP(O292,tbl_points[Place],tbl_points[Points],""))))))</f>
        <v/>
      </c>
      <c r="Q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2" s="3">
        <f>tbl_individual[[#This Row],[Total]]-tbl_individual[[#This Row],[Lowest Score]]</f>
        <v>0</v>
      </c>
    </row>
    <row r="293" spans="1:19" x14ac:dyDescent="0.4">
      <c r="A293" t="s">
        <v>345</v>
      </c>
      <c r="B293" t="s">
        <v>29</v>
      </c>
      <c r="C293" t="s">
        <v>5</v>
      </c>
      <c r="D293" s="3">
        <v>947</v>
      </c>
      <c r="F293" s="3" t="str">
        <f>IF(E293="","",IF(E293="DNS",0,IF(E293="DQ",0,IF(E293="DNF",1,IF(AND(ISNUMBER(E293),E293&gt;59),1,_xlfn.XLOOKUP(E293,tbl_points[Place],tbl_points[Points],""))))))</f>
        <v/>
      </c>
      <c r="H293" s="3" t="str">
        <f>IF(G293="","",IF(G293="DNS",0,IF(G293="DQ",0,IF(G293="DNF",1,IF(AND(ISNUMBER(G293),G293&gt;59),1,_xlfn.XLOOKUP(G293,tbl_points[Place],tbl_points[Points],""))))))</f>
        <v/>
      </c>
      <c r="J293" s="3" t="str">
        <f>IF(I293="","",IF(I293="DNS",0,IF(I293="DQ",0,IF(I293="DNF",1,IF(AND(ISNUMBER(I293),I293&gt;59),1,_xlfn.XLOOKUP(I293,tbl_points[Place],tbl_points[Points],""))))))</f>
        <v/>
      </c>
      <c r="L293" s="3" t="str">
        <f>IF(K293="","",IF(K293="DNS",0,IF(K293="DQ",0,IF(K293="DNF",1,IF(AND(ISNUMBER(K293),K293&gt;59),1,_xlfn.XLOOKUP(K293,tbl_points[Place],tbl_points[Points],""))))))</f>
        <v/>
      </c>
      <c r="N293" s="3" t="str">
        <f>IF(M293="","",IF(M293="DNS",0,IF(M293="DQ",0,IF(M293="DNF",1,IF(AND(ISNUMBER(M293),M293&gt;59),1,_xlfn.XLOOKUP(M293,tbl_points[Place],tbl_points[Points],""))))))</f>
        <v/>
      </c>
      <c r="P293" s="3" t="str">
        <f>IF(O293="","",IF(O293="DNS",0,IF(O293="DQ",0,IF(O293="DNF",1,IF(AND(ISNUMBER(O293),O293&gt;59),1,_xlfn.XLOOKUP(O293,tbl_points[Place],tbl_points[Points],""))))))</f>
        <v/>
      </c>
      <c r="Q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3" s="3">
        <f>tbl_individual[[#This Row],[Total]]-tbl_individual[[#This Row],[Lowest Score]]</f>
        <v>0</v>
      </c>
    </row>
    <row r="294" spans="1:19" x14ac:dyDescent="0.4">
      <c r="A294" t="s">
        <v>346</v>
      </c>
      <c r="B294" t="s">
        <v>29</v>
      </c>
      <c r="C294" t="s">
        <v>5</v>
      </c>
      <c r="D294" s="3">
        <v>948</v>
      </c>
      <c r="F294" s="3" t="str">
        <f>IF(E294="","",IF(E294="DNS",0,IF(E294="DQ",0,IF(E294="DNF",1,IF(AND(ISNUMBER(E294),E294&gt;59),1,_xlfn.XLOOKUP(E294,tbl_points[Place],tbl_points[Points],""))))))</f>
        <v/>
      </c>
      <c r="H294" s="3" t="str">
        <f>IF(G294="","",IF(G294="DNS",0,IF(G294="DQ",0,IF(G294="DNF",1,IF(AND(ISNUMBER(G294),G294&gt;59),1,_xlfn.XLOOKUP(G294,tbl_points[Place],tbl_points[Points],""))))))</f>
        <v/>
      </c>
      <c r="J294" s="3" t="str">
        <f>IF(I294="","",IF(I294="DNS",0,IF(I294="DQ",0,IF(I294="DNF",1,IF(AND(ISNUMBER(I294),I294&gt;59),1,_xlfn.XLOOKUP(I294,tbl_points[Place],tbl_points[Points],""))))))</f>
        <v/>
      </c>
      <c r="L294" s="3" t="str">
        <f>IF(K294="","",IF(K294="DNS",0,IF(K294="DQ",0,IF(K294="DNF",1,IF(AND(ISNUMBER(K294),K294&gt;59),1,_xlfn.XLOOKUP(K294,tbl_points[Place],tbl_points[Points],""))))))</f>
        <v/>
      </c>
      <c r="N294" s="3" t="str">
        <f>IF(M294="","",IF(M294="DNS",0,IF(M294="DQ",0,IF(M294="DNF",1,IF(AND(ISNUMBER(M294),M294&gt;59),1,_xlfn.XLOOKUP(M294,tbl_points[Place],tbl_points[Points],""))))))</f>
        <v/>
      </c>
      <c r="P294" s="3" t="str">
        <f>IF(O294="","",IF(O294="DNS",0,IF(O294="DQ",0,IF(O294="DNF",1,IF(AND(ISNUMBER(O294),O294&gt;59),1,_xlfn.XLOOKUP(O294,tbl_points[Place],tbl_points[Points],""))))))</f>
        <v/>
      </c>
      <c r="Q2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4" s="3">
        <f>tbl_individual[[#This Row],[Total]]-tbl_individual[[#This Row],[Lowest Score]]</f>
        <v>0</v>
      </c>
    </row>
    <row r="295" spans="1:19" x14ac:dyDescent="0.4">
      <c r="A295" t="s">
        <v>343</v>
      </c>
      <c r="B295" t="s">
        <v>29</v>
      </c>
      <c r="C295" t="s">
        <v>5</v>
      </c>
      <c r="D295" s="3">
        <v>945</v>
      </c>
      <c r="F295" s="3" t="str">
        <f>IF(E295="","",IF(E295="DNS",0,IF(E295="DQ",0,IF(E295="DNF",1,IF(AND(ISNUMBER(E295),E295&gt;59),1,_xlfn.XLOOKUP(E295,tbl_points[Place],tbl_points[Points],""))))))</f>
        <v/>
      </c>
      <c r="H295" s="3" t="str">
        <f>IF(G295="","",IF(G295="DNS",0,IF(G295="DQ",0,IF(G295="DNF",1,IF(AND(ISNUMBER(G295),G295&gt;59),1,_xlfn.XLOOKUP(G295,tbl_points[Place],tbl_points[Points],""))))))</f>
        <v/>
      </c>
      <c r="J295" s="3" t="str">
        <f>IF(I295="","",IF(I295="DNS",0,IF(I295="DQ",0,IF(I295="DNF",1,IF(AND(ISNUMBER(I295),I295&gt;59),1,_xlfn.XLOOKUP(I295,tbl_points[Place],tbl_points[Points],""))))))</f>
        <v/>
      </c>
      <c r="L295" s="3" t="str">
        <f>IF(K295="","",IF(K295="DNS",0,IF(K295="DQ",0,IF(K295="DNF",1,IF(AND(ISNUMBER(K295),K295&gt;59),1,_xlfn.XLOOKUP(K295,tbl_points[Place],tbl_points[Points],""))))))</f>
        <v/>
      </c>
      <c r="N295" s="3" t="str">
        <f>IF(M295="","",IF(M295="DNS",0,IF(M295="DQ",0,IF(M295="DNF",1,IF(AND(ISNUMBER(M295),M295&gt;59),1,_xlfn.XLOOKUP(M295,tbl_points[Place],tbl_points[Points],""))))))</f>
        <v/>
      </c>
      <c r="P295" s="3" t="str">
        <f>IF(O295="","",IF(O295="DNS",0,IF(O295="DQ",0,IF(O295="DNF",1,IF(AND(ISNUMBER(O295),O295&gt;59),1,_xlfn.XLOOKUP(O295,tbl_points[Place],tbl_points[Points],""))))))</f>
        <v/>
      </c>
      <c r="Q2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5" s="3">
        <f>tbl_individual[[#This Row],[Total]]-tbl_individual[[#This Row],[Lowest Score]]</f>
        <v>0</v>
      </c>
    </row>
    <row r="296" spans="1:19" x14ac:dyDescent="0.4">
      <c r="A296" t="s">
        <v>347</v>
      </c>
      <c r="B296" t="s">
        <v>29</v>
      </c>
      <c r="C296" t="s">
        <v>5</v>
      </c>
      <c r="D296" s="3">
        <v>949</v>
      </c>
      <c r="F296" s="3" t="str">
        <f>IF(E296="","",IF(E296="DNS",0,IF(E296="DQ",0,IF(E296="DNF",1,IF(AND(ISNUMBER(E296),E296&gt;59),1,_xlfn.XLOOKUP(E296,tbl_points[Place],tbl_points[Points],""))))))</f>
        <v/>
      </c>
      <c r="H296" s="3" t="str">
        <f>IF(G296="","",IF(G296="DNS",0,IF(G296="DQ",0,IF(G296="DNF",1,IF(AND(ISNUMBER(G296),G296&gt;59),1,_xlfn.XLOOKUP(G296,tbl_points[Place],tbl_points[Points],""))))))</f>
        <v/>
      </c>
      <c r="J296" s="3" t="str">
        <f>IF(I296="","",IF(I296="DNS",0,IF(I296="DQ",0,IF(I296="DNF",1,IF(AND(ISNUMBER(I296),I296&gt;59),1,_xlfn.XLOOKUP(I296,tbl_points[Place],tbl_points[Points],""))))))</f>
        <v/>
      </c>
      <c r="L296" s="3" t="str">
        <f>IF(K296="","",IF(K296="DNS",0,IF(K296="DQ",0,IF(K296="DNF",1,IF(AND(ISNUMBER(K296),K296&gt;59),1,_xlfn.XLOOKUP(K296,tbl_points[Place],tbl_points[Points],""))))))</f>
        <v/>
      </c>
      <c r="N296" s="3" t="str">
        <f>IF(M296="","",IF(M296="DNS",0,IF(M296="DQ",0,IF(M296="DNF",1,IF(AND(ISNUMBER(M296),M296&gt;59),1,_xlfn.XLOOKUP(M296,tbl_points[Place],tbl_points[Points],""))))))</f>
        <v/>
      </c>
      <c r="P296" s="3" t="str">
        <f>IF(O296="","",IF(O296="DNS",0,IF(O296="DQ",0,IF(O296="DNF",1,IF(AND(ISNUMBER(O296),O296&gt;59),1,_xlfn.XLOOKUP(O296,tbl_points[Place],tbl_points[Points],""))))))</f>
        <v/>
      </c>
      <c r="Q2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6" s="3">
        <f>tbl_individual[[#This Row],[Total]]-tbl_individual[[#This Row],[Lowest Score]]</f>
        <v>0</v>
      </c>
    </row>
    <row r="297" spans="1:19" x14ac:dyDescent="0.4">
      <c r="A297" t="s">
        <v>350</v>
      </c>
      <c r="B297" t="s">
        <v>29</v>
      </c>
      <c r="C297" t="s">
        <v>1</v>
      </c>
      <c r="D297" s="3">
        <v>12087</v>
      </c>
      <c r="F297" s="3" t="str">
        <f>IF(E297="","",IF(E297="DNS",0,IF(E297="DQ",0,IF(E297="DNF",1,IF(AND(ISNUMBER(E297),E297&gt;59),1,_xlfn.XLOOKUP(E297,tbl_points[Place],tbl_points[Points],""))))))</f>
        <v/>
      </c>
      <c r="H297" s="3" t="str">
        <f>IF(G297="","",IF(G297="DNS",0,IF(G297="DQ",0,IF(G297="DNF",1,IF(AND(ISNUMBER(G297),G297&gt;59),1,_xlfn.XLOOKUP(G297,tbl_points[Place],tbl_points[Points],""))))))</f>
        <v/>
      </c>
      <c r="J297" s="3" t="str">
        <f>IF(I297="","",IF(I297="DNS",0,IF(I297="DQ",0,IF(I297="DNF",1,IF(AND(ISNUMBER(I297),I297&gt;59),1,_xlfn.XLOOKUP(I297,tbl_points[Place],tbl_points[Points],""))))))</f>
        <v/>
      </c>
      <c r="L297" s="3" t="str">
        <f>IF(K297="","",IF(K297="DNS",0,IF(K297="DQ",0,IF(K297="DNF",1,IF(AND(ISNUMBER(K297),K297&gt;59),1,_xlfn.XLOOKUP(K297,tbl_points[Place],tbl_points[Points],""))))))</f>
        <v/>
      </c>
      <c r="N297" s="3" t="str">
        <f>IF(M297="","",IF(M297="DNS",0,IF(M297="DQ",0,IF(M297="DNF",1,IF(AND(ISNUMBER(M297),M297&gt;59),1,_xlfn.XLOOKUP(M297,tbl_points[Place],tbl_points[Points],""))))))</f>
        <v/>
      </c>
      <c r="P297" s="3" t="str">
        <f>IF(O297="","",IF(O297="DNS",0,IF(O297="DQ",0,IF(O297="DNF",1,IF(AND(ISNUMBER(O297),O297&gt;59),1,_xlfn.XLOOKUP(O297,tbl_points[Place],tbl_points[Points],""))))))</f>
        <v/>
      </c>
      <c r="Q2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7" s="3">
        <f>tbl_individual[[#This Row],[Total]]-tbl_individual[[#This Row],[Lowest Score]]</f>
        <v>0</v>
      </c>
    </row>
    <row r="298" spans="1:19" x14ac:dyDescent="0.4">
      <c r="A298" t="s">
        <v>356</v>
      </c>
      <c r="B298" t="s">
        <v>29</v>
      </c>
      <c r="C298" t="s">
        <v>1</v>
      </c>
      <c r="D298" s="3">
        <v>12093</v>
      </c>
      <c r="F298" s="3" t="str">
        <f>IF(E298="","",IF(E298="DNS",0,IF(E298="DQ",0,IF(E298="DNF",1,IF(AND(ISNUMBER(E298),E298&gt;59),1,_xlfn.XLOOKUP(E298,tbl_points[Place],tbl_points[Points],""))))))</f>
        <v/>
      </c>
      <c r="H298" s="3" t="str">
        <f>IF(G298="","",IF(G298="DNS",0,IF(G298="DQ",0,IF(G298="DNF",1,IF(AND(ISNUMBER(G298),G298&gt;59),1,_xlfn.XLOOKUP(G298,tbl_points[Place],tbl_points[Points],""))))))</f>
        <v/>
      </c>
      <c r="J298" s="3" t="str">
        <f>IF(I298="","",IF(I298="DNS",0,IF(I298="DQ",0,IF(I298="DNF",1,IF(AND(ISNUMBER(I298),I298&gt;59),1,_xlfn.XLOOKUP(I298,tbl_points[Place],tbl_points[Points],""))))))</f>
        <v/>
      </c>
      <c r="L298" s="3" t="str">
        <f>IF(K298="","",IF(K298="DNS",0,IF(K298="DQ",0,IF(K298="DNF",1,IF(AND(ISNUMBER(K298),K298&gt;59),1,_xlfn.XLOOKUP(K298,tbl_points[Place],tbl_points[Points],""))))))</f>
        <v/>
      </c>
      <c r="N298" s="3" t="str">
        <f>IF(M298="","",IF(M298="DNS",0,IF(M298="DQ",0,IF(M298="DNF",1,IF(AND(ISNUMBER(M298),M298&gt;59),1,_xlfn.XLOOKUP(M298,tbl_points[Place],tbl_points[Points],""))))))</f>
        <v/>
      </c>
      <c r="P298" s="3" t="str">
        <f>IF(O298="","",IF(O298="DNS",0,IF(O298="DQ",0,IF(O298="DNF",1,IF(AND(ISNUMBER(O298),O298&gt;59),1,_xlfn.XLOOKUP(O298,tbl_points[Place],tbl_points[Points],""))))))</f>
        <v/>
      </c>
      <c r="Q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8" s="3">
        <f>tbl_individual[[#This Row],[Total]]-tbl_individual[[#This Row],[Lowest Score]]</f>
        <v>0</v>
      </c>
    </row>
    <row r="299" spans="1:19" x14ac:dyDescent="0.4">
      <c r="A299" t="s">
        <v>353</v>
      </c>
      <c r="B299" t="s">
        <v>29</v>
      </c>
      <c r="C299" t="s">
        <v>1</v>
      </c>
      <c r="D299" s="3">
        <v>12090</v>
      </c>
      <c r="F299" s="3" t="str">
        <f>IF(E299="","",IF(E299="DNS",0,IF(E299="DQ",0,IF(E299="DNF",1,IF(AND(ISNUMBER(E299),E299&gt;59),1,_xlfn.XLOOKUP(E299,tbl_points[Place],tbl_points[Points],""))))))</f>
        <v/>
      </c>
      <c r="H299" s="3" t="str">
        <f>IF(G299="","",IF(G299="DNS",0,IF(G299="DQ",0,IF(G299="DNF",1,IF(AND(ISNUMBER(G299),G299&gt;59),1,_xlfn.XLOOKUP(G299,tbl_points[Place],tbl_points[Points],""))))))</f>
        <v/>
      </c>
      <c r="J299" s="3" t="str">
        <f>IF(I299="","",IF(I299="DNS",0,IF(I299="DQ",0,IF(I299="DNF",1,IF(AND(ISNUMBER(I299),I299&gt;59),1,_xlfn.XLOOKUP(I299,tbl_points[Place],tbl_points[Points],""))))))</f>
        <v/>
      </c>
      <c r="L299" s="3" t="str">
        <f>IF(K299="","",IF(K299="DNS",0,IF(K299="DQ",0,IF(K299="DNF",1,IF(AND(ISNUMBER(K299),K299&gt;59),1,_xlfn.XLOOKUP(K299,tbl_points[Place],tbl_points[Points],""))))))</f>
        <v/>
      </c>
      <c r="N299" s="3" t="str">
        <f>IF(M299="","",IF(M299="DNS",0,IF(M299="DQ",0,IF(M299="DNF",1,IF(AND(ISNUMBER(M299),M299&gt;59),1,_xlfn.XLOOKUP(M299,tbl_points[Place],tbl_points[Points],""))))))</f>
        <v/>
      </c>
      <c r="P299" s="3" t="str">
        <f>IF(O299="","",IF(O299="DNS",0,IF(O299="DQ",0,IF(O299="DNF",1,IF(AND(ISNUMBER(O299),O299&gt;59),1,_xlfn.XLOOKUP(O299,tbl_points[Place],tbl_points[Points],""))))))</f>
        <v/>
      </c>
      <c r="Q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9" s="3">
        <f>tbl_individual[[#This Row],[Total]]-tbl_individual[[#This Row],[Lowest Score]]</f>
        <v>0</v>
      </c>
    </row>
    <row r="300" spans="1:19" x14ac:dyDescent="0.4">
      <c r="A300" t="s">
        <v>357</v>
      </c>
      <c r="B300" t="s">
        <v>29</v>
      </c>
      <c r="C300" t="s">
        <v>1</v>
      </c>
      <c r="D300" s="3">
        <v>12094</v>
      </c>
      <c r="F300" s="3" t="str">
        <f>IF(E300="","",IF(E300="DNS",0,IF(E300="DQ",0,IF(E300="DNF",1,IF(AND(ISNUMBER(E300),E300&gt;59),1,_xlfn.XLOOKUP(E300,tbl_points[Place],tbl_points[Points],""))))))</f>
        <v/>
      </c>
      <c r="H300" s="3" t="str">
        <f>IF(G300="","",IF(G300="DNS",0,IF(G300="DQ",0,IF(G300="DNF",1,IF(AND(ISNUMBER(G300),G300&gt;59),1,_xlfn.XLOOKUP(G300,tbl_points[Place],tbl_points[Points],""))))))</f>
        <v/>
      </c>
      <c r="J300" s="3" t="str">
        <f>IF(I300="","",IF(I300="DNS",0,IF(I300="DQ",0,IF(I300="DNF",1,IF(AND(ISNUMBER(I300),I300&gt;59),1,_xlfn.XLOOKUP(I300,tbl_points[Place],tbl_points[Points],""))))))</f>
        <v/>
      </c>
      <c r="L300" s="3" t="str">
        <f>IF(K300="","",IF(K300="DNS",0,IF(K300="DQ",0,IF(K300="DNF",1,IF(AND(ISNUMBER(K300),K300&gt;59),1,_xlfn.XLOOKUP(K300,tbl_points[Place],tbl_points[Points],""))))))</f>
        <v/>
      </c>
      <c r="N300" s="3" t="str">
        <f>IF(M300="","",IF(M300="DNS",0,IF(M300="DQ",0,IF(M300="DNF",1,IF(AND(ISNUMBER(M300),M300&gt;59),1,_xlfn.XLOOKUP(M300,tbl_points[Place],tbl_points[Points],""))))))</f>
        <v/>
      </c>
      <c r="P300" s="3" t="str">
        <f>IF(O300="","",IF(O300="DNS",0,IF(O300="DQ",0,IF(O300="DNF",1,IF(AND(ISNUMBER(O300),O300&gt;59),1,_xlfn.XLOOKUP(O300,tbl_points[Place],tbl_points[Points],""))))))</f>
        <v/>
      </c>
      <c r="Q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0" s="3">
        <f>tbl_individual[[#This Row],[Total]]-tbl_individual[[#This Row],[Lowest Score]]</f>
        <v>0</v>
      </c>
    </row>
    <row r="301" spans="1:19" x14ac:dyDescent="0.4">
      <c r="A301" t="s">
        <v>354</v>
      </c>
      <c r="B301" t="s">
        <v>29</v>
      </c>
      <c r="C301" t="s">
        <v>1</v>
      </c>
      <c r="D301" s="3">
        <v>12091</v>
      </c>
      <c r="F301" s="3" t="str">
        <f>IF(E301="","",IF(E301="DNS",0,IF(E301="DQ",0,IF(E301="DNF",1,IF(AND(ISNUMBER(E301),E301&gt;59),1,_xlfn.XLOOKUP(E301,tbl_points[Place],tbl_points[Points],""))))))</f>
        <v/>
      </c>
      <c r="H301" s="3" t="str">
        <f>IF(G301="","",IF(G301="DNS",0,IF(G301="DQ",0,IF(G301="DNF",1,IF(AND(ISNUMBER(G301),G301&gt;59),1,_xlfn.XLOOKUP(G301,tbl_points[Place],tbl_points[Points],""))))))</f>
        <v/>
      </c>
      <c r="J301" s="3" t="str">
        <f>IF(I301="","",IF(I301="DNS",0,IF(I301="DQ",0,IF(I301="DNF",1,IF(AND(ISNUMBER(I301),I301&gt;59),1,_xlfn.XLOOKUP(I301,tbl_points[Place],tbl_points[Points],""))))))</f>
        <v/>
      </c>
      <c r="L301" s="3" t="str">
        <f>IF(K301="","",IF(K301="DNS",0,IF(K301="DQ",0,IF(K301="DNF",1,IF(AND(ISNUMBER(K301),K301&gt;59),1,_xlfn.XLOOKUP(K301,tbl_points[Place],tbl_points[Points],""))))))</f>
        <v/>
      </c>
      <c r="N301" s="3" t="str">
        <f>IF(M301="","",IF(M301="DNS",0,IF(M301="DQ",0,IF(M301="DNF",1,IF(AND(ISNUMBER(M301),M301&gt;59),1,_xlfn.XLOOKUP(M301,tbl_points[Place],tbl_points[Points],""))))))</f>
        <v/>
      </c>
      <c r="P301" s="3" t="str">
        <f>IF(O301="","",IF(O301="DNS",0,IF(O301="DQ",0,IF(O301="DNF",1,IF(AND(ISNUMBER(O301),O301&gt;59),1,_xlfn.XLOOKUP(O301,tbl_points[Place],tbl_points[Points],""))))))</f>
        <v/>
      </c>
      <c r="Q3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1" s="3">
        <f>tbl_individual[[#This Row],[Total]]-tbl_individual[[#This Row],[Lowest Score]]</f>
        <v>0</v>
      </c>
    </row>
    <row r="302" spans="1:19" x14ac:dyDescent="0.4">
      <c r="A302" t="s">
        <v>355</v>
      </c>
      <c r="B302" t="s">
        <v>29</v>
      </c>
      <c r="C302" t="s">
        <v>1</v>
      </c>
      <c r="D302" s="3">
        <v>12092</v>
      </c>
      <c r="F302" s="3" t="str">
        <f>IF(E302="","",IF(E302="DNS",0,IF(E302="DQ",0,IF(E302="DNF",1,IF(AND(ISNUMBER(E302),E302&gt;59),1,_xlfn.XLOOKUP(E302,tbl_points[Place],tbl_points[Points],""))))))</f>
        <v/>
      </c>
      <c r="H302" s="3" t="str">
        <f>IF(G302="","",IF(G302="DNS",0,IF(G302="DQ",0,IF(G302="DNF",1,IF(AND(ISNUMBER(G302),G302&gt;59),1,_xlfn.XLOOKUP(G302,tbl_points[Place],tbl_points[Points],""))))))</f>
        <v/>
      </c>
      <c r="J302" s="3" t="str">
        <f>IF(I302="","",IF(I302="DNS",0,IF(I302="DQ",0,IF(I302="DNF",1,IF(AND(ISNUMBER(I302),I302&gt;59),1,_xlfn.XLOOKUP(I302,tbl_points[Place],tbl_points[Points],""))))))</f>
        <v/>
      </c>
      <c r="L302" s="3" t="str">
        <f>IF(K302="","",IF(K302="DNS",0,IF(K302="DQ",0,IF(K302="DNF",1,IF(AND(ISNUMBER(K302),K302&gt;59),1,_xlfn.XLOOKUP(K302,tbl_points[Place],tbl_points[Points],""))))))</f>
        <v/>
      </c>
      <c r="N302" s="3" t="str">
        <f>IF(M302="","",IF(M302="DNS",0,IF(M302="DQ",0,IF(M302="DNF",1,IF(AND(ISNUMBER(M302),M302&gt;59),1,_xlfn.XLOOKUP(M302,tbl_points[Place],tbl_points[Points],""))))))</f>
        <v/>
      </c>
      <c r="P302" s="3" t="str">
        <f>IF(O302="","",IF(O302="DNS",0,IF(O302="DQ",0,IF(O302="DNF",1,IF(AND(ISNUMBER(O302),O302&gt;59),1,_xlfn.XLOOKUP(O302,tbl_points[Place],tbl_points[Points],""))))))</f>
        <v/>
      </c>
      <c r="Q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2" s="3">
        <f>tbl_individual[[#This Row],[Total]]-tbl_individual[[#This Row],[Lowest Score]]</f>
        <v>0</v>
      </c>
    </row>
    <row r="303" spans="1:19" x14ac:dyDescent="0.4">
      <c r="A303" t="s">
        <v>351</v>
      </c>
      <c r="B303" t="s">
        <v>29</v>
      </c>
      <c r="C303" t="s">
        <v>1</v>
      </c>
      <c r="D303" s="3">
        <v>12088</v>
      </c>
      <c r="F303" s="3" t="str">
        <f>IF(E303="","",IF(E303="DNS",0,IF(E303="DQ",0,IF(E303="DNF",1,IF(AND(ISNUMBER(E303),E303&gt;59),1,_xlfn.XLOOKUP(E303,tbl_points[Place],tbl_points[Points],""))))))</f>
        <v/>
      </c>
      <c r="H303" s="3" t="str">
        <f>IF(G303="","",IF(G303="DNS",0,IF(G303="DQ",0,IF(G303="DNF",1,IF(AND(ISNUMBER(G303),G303&gt;59),1,_xlfn.XLOOKUP(G303,tbl_points[Place],tbl_points[Points],""))))))</f>
        <v/>
      </c>
      <c r="J303" s="3" t="str">
        <f>IF(I303="","",IF(I303="DNS",0,IF(I303="DQ",0,IF(I303="DNF",1,IF(AND(ISNUMBER(I303),I303&gt;59),1,_xlfn.XLOOKUP(I303,tbl_points[Place],tbl_points[Points],""))))))</f>
        <v/>
      </c>
      <c r="L303" s="3" t="str">
        <f>IF(K303="","",IF(K303="DNS",0,IF(K303="DQ",0,IF(K303="DNF",1,IF(AND(ISNUMBER(K303),K303&gt;59),1,_xlfn.XLOOKUP(K303,tbl_points[Place],tbl_points[Points],""))))))</f>
        <v/>
      </c>
      <c r="N303" s="3" t="str">
        <f>IF(M303="","",IF(M303="DNS",0,IF(M303="DQ",0,IF(M303="DNF",1,IF(AND(ISNUMBER(M303),M303&gt;59),1,_xlfn.XLOOKUP(M303,tbl_points[Place],tbl_points[Points],""))))))</f>
        <v/>
      </c>
      <c r="P303" s="3" t="str">
        <f>IF(O303="","",IF(O303="DNS",0,IF(O303="DQ",0,IF(O303="DNF",1,IF(AND(ISNUMBER(O303),O303&gt;59),1,_xlfn.XLOOKUP(O303,tbl_points[Place],tbl_points[Points],""))))))</f>
        <v/>
      </c>
      <c r="Q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3" s="3">
        <f>tbl_individual[[#This Row],[Total]]-tbl_individual[[#This Row],[Lowest Score]]</f>
        <v>0</v>
      </c>
    </row>
    <row r="304" spans="1:19" x14ac:dyDescent="0.4">
      <c r="A304" t="s">
        <v>352</v>
      </c>
      <c r="B304" t="s">
        <v>29</v>
      </c>
      <c r="C304" t="s">
        <v>1</v>
      </c>
      <c r="D304" s="3">
        <v>12089</v>
      </c>
      <c r="F304" s="3" t="str">
        <f>IF(E304="","",IF(E304="DNS",0,IF(E304="DQ",0,IF(E304="DNF",1,IF(AND(ISNUMBER(E304),E304&gt;59),1,_xlfn.XLOOKUP(E304,tbl_points[Place],tbl_points[Points],""))))))</f>
        <v/>
      </c>
      <c r="H304" s="3" t="str">
        <f>IF(G304="","",IF(G304="DNS",0,IF(G304="DQ",0,IF(G304="DNF",1,IF(AND(ISNUMBER(G304),G304&gt;59),1,_xlfn.XLOOKUP(G304,tbl_points[Place],tbl_points[Points],""))))))</f>
        <v/>
      </c>
      <c r="J304" s="3" t="str">
        <f>IF(I304="","",IF(I304="DNS",0,IF(I304="DQ",0,IF(I304="DNF",1,IF(AND(ISNUMBER(I304),I304&gt;59),1,_xlfn.XLOOKUP(I304,tbl_points[Place],tbl_points[Points],""))))))</f>
        <v/>
      </c>
      <c r="L304" s="3" t="str">
        <f>IF(K304="","",IF(K304="DNS",0,IF(K304="DQ",0,IF(K304="DNF",1,IF(AND(ISNUMBER(K304),K304&gt;59),1,_xlfn.XLOOKUP(K304,tbl_points[Place],tbl_points[Points],""))))))</f>
        <v/>
      </c>
      <c r="N304" s="3" t="str">
        <f>IF(M304="","",IF(M304="DNS",0,IF(M304="DQ",0,IF(M304="DNF",1,IF(AND(ISNUMBER(M304),M304&gt;59),1,_xlfn.XLOOKUP(M304,tbl_points[Place],tbl_points[Points],""))))))</f>
        <v/>
      </c>
      <c r="P304" s="3" t="str">
        <f>IF(O304="","",IF(O304="DNS",0,IF(O304="DQ",0,IF(O304="DNF",1,IF(AND(ISNUMBER(O304),O304&gt;59),1,_xlfn.XLOOKUP(O304,tbl_points[Place],tbl_points[Points],""))))))</f>
        <v/>
      </c>
      <c r="Q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4" s="3">
        <f>tbl_individual[[#This Row],[Total]]-tbl_individual[[#This Row],[Lowest Score]]</f>
        <v>0</v>
      </c>
    </row>
    <row r="305" spans="1:19" x14ac:dyDescent="0.4">
      <c r="A305" t="s">
        <v>349</v>
      </c>
      <c r="B305" t="s">
        <v>29</v>
      </c>
      <c r="C305" t="s">
        <v>2</v>
      </c>
      <c r="D305" s="3">
        <v>1244</v>
      </c>
      <c r="F305" s="3" t="str">
        <f>IF(E305="","",IF(E305="DNS",0,IF(E305="DQ",0,IF(E305="DNF",1,IF(AND(ISNUMBER(E305),E305&gt;59),1,_xlfn.XLOOKUP(E305,tbl_points[Place],tbl_points[Points],""))))))</f>
        <v/>
      </c>
      <c r="H305" s="3" t="str">
        <f>IF(G305="","",IF(G305="DNS",0,IF(G305="DQ",0,IF(G305="DNF",1,IF(AND(ISNUMBER(G305),G305&gt;59),1,_xlfn.XLOOKUP(G305,tbl_points[Place],tbl_points[Points],""))))))</f>
        <v/>
      </c>
      <c r="J305" s="3" t="str">
        <f>IF(I305="","",IF(I305="DNS",0,IF(I305="DQ",0,IF(I305="DNF",1,IF(AND(ISNUMBER(I305),I305&gt;59),1,_xlfn.XLOOKUP(I305,tbl_points[Place],tbl_points[Points],""))))))</f>
        <v/>
      </c>
      <c r="L305" s="3" t="str">
        <f>IF(K305="","",IF(K305="DNS",0,IF(K305="DQ",0,IF(K305="DNF",1,IF(AND(ISNUMBER(K305),K305&gt;59),1,_xlfn.XLOOKUP(K305,tbl_points[Place],tbl_points[Points],""))))))</f>
        <v/>
      </c>
      <c r="N305" s="3" t="str">
        <f>IF(M305="","",IF(M305="DNS",0,IF(M305="DQ",0,IF(M305="DNF",1,IF(AND(ISNUMBER(M305),M305&gt;59),1,_xlfn.XLOOKUP(M305,tbl_points[Place],tbl_points[Points],""))))))</f>
        <v/>
      </c>
      <c r="P305" s="3" t="str">
        <f>IF(O305="","",IF(O305="DNS",0,IF(O305="DQ",0,IF(O305="DNF",1,IF(AND(ISNUMBER(O305),O305&gt;59),1,_xlfn.XLOOKUP(O305,tbl_points[Place],tbl_points[Points],""))))))</f>
        <v/>
      </c>
      <c r="Q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5" s="3">
        <f>tbl_individual[[#This Row],[Total]]-tbl_individual[[#This Row],[Lowest Score]]</f>
        <v>0</v>
      </c>
    </row>
    <row r="306" spans="1:19" x14ac:dyDescent="0.4">
      <c r="A306" t="s">
        <v>359</v>
      </c>
      <c r="B306" t="s">
        <v>30</v>
      </c>
      <c r="C306" t="s">
        <v>7</v>
      </c>
      <c r="D306" s="3">
        <v>832</v>
      </c>
      <c r="F306" s="3" t="str">
        <f>IF(E306="","",IF(E306="DNS",0,IF(E306="DQ",0,IF(E306="DNF",1,IF(AND(ISNUMBER(E306),E306&gt;59),1,_xlfn.XLOOKUP(E306,tbl_points[Place],tbl_points[Points],""))))))</f>
        <v/>
      </c>
      <c r="H306" s="3" t="str">
        <f>IF(G306="","",IF(G306="DNS",0,IF(G306="DQ",0,IF(G306="DNF",1,IF(AND(ISNUMBER(G306),G306&gt;59),1,_xlfn.XLOOKUP(G306,tbl_points[Place],tbl_points[Points],""))))))</f>
        <v/>
      </c>
      <c r="J306" s="3" t="str">
        <f>IF(I306="","",IF(I306="DNS",0,IF(I306="DQ",0,IF(I306="DNF",1,IF(AND(ISNUMBER(I306),I306&gt;59),1,_xlfn.XLOOKUP(I306,tbl_points[Place],tbl_points[Points],""))))))</f>
        <v/>
      </c>
      <c r="L306" s="3" t="str">
        <f>IF(K306="","",IF(K306="DNS",0,IF(K306="DQ",0,IF(K306="DNF",1,IF(AND(ISNUMBER(K306),K306&gt;59),1,_xlfn.XLOOKUP(K306,tbl_points[Place],tbl_points[Points],""))))))</f>
        <v/>
      </c>
      <c r="N306" s="3" t="str">
        <f>IF(M306="","",IF(M306="DNS",0,IF(M306="DQ",0,IF(M306="DNF",1,IF(AND(ISNUMBER(M306),M306&gt;59),1,_xlfn.XLOOKUP(M306,tbl_points[Place],tbl_points[Points],""))))))</f>
        <v/>
      </c>
      <c r="P306" s="3" t="str">
        <f>IF(O306="","",IF(O306="DNS",0,IF(O306="DQ",0,IF(O306="DNF",1,IF(AND(ISNUMBER(O306),O306&gt;59),1,_xlfn.XLOOKUP(O306,tbl_points[Place],tbl_points[Points],""))))))</f>
        <v/>
      </c>
      <c r="Q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6" s="3">
        <f>tbl_individual[[#This Row],[Total]]-tbl_individual[[#This Row],[Lowest Score]]</f>
        <v>0</v>
      </c>
    </row>
    <row r="307" spans="1:19" x14ac:dyDescent="0.4">
      <c r="A307" t="s">
        <v>358</v>
      </c>
      <c r="B307" t="s">
        <v>30</v>
      </c>
      <c r="C307" t="s">
        <v>7</v>
      </c>
      <c r="D307" s="3">
        <v>831</v>
      </c>
      <c r="F307" s="3" t="str">
        <f>IF(E307="","",IF(E307="DNS",0,IF(E307="DQ",0,IF(E307="DNF",1,IF(AND(ISNUMBER(E307),E307&gt;59),1,_xlfn.XLOOKUP(E307,tbl_points[Place],tbl_points[Points],""))))))</f>
        <v/>
      </c>
      <c r="H307" s="3" t="str">
        <f>IF(G307="","",IF(G307="DNS",0,IF(G307="DQ",0,IF(G307="DNF",1,IF(AND(ISNUMBER(G307),G307&gt;59),1,_xlfn.XLOOKUP(G307,tbl_points[Place],tbl_points[Points],""))))))</f>
        <v/>
      </c>
      <c r="J307" s="3" t="str">
        <f>IF(I307="","",IF(I307="DNS",0,IF(I307="DQ",0,IF(I307="DNF",1,IF(AND(ISNUMBER(I307),I307&gt;59),1,_xlfn.XLOOKUP(I307,tbl_points[Place],tbl_points[Points],""))))))</f>
        <v/>
      </c>
      <c r="L307" s="3" t="str">
        <f>IF(K307="","",IF(K307="DNS",0,IF(K307="DQ",0,IF(K307="DNF",1,IF(AND(ISNUMBER(K307),K307&gt;59),1,_xlfn.XLOOKUP(K307,tbl_points[Place],tbl_points[Points],""))))))</f>
        <v/>
      </c>
      <c r="N307" s="3" t="str">
        <f>IF(M307="","",IF(M307="DNS",0,IF(M307="DQ",0,IF(M307="DNF",1,IF(AND(ISNUMBER(M307),M307&gt;59),1,_xlfn.XLOOKUP(M307,tbl_points[Place],tbl_points[Points],""))))))</f>
        <v/>
      </c>
      <c r="P307" s="3" t="str">
        <f>IF(O307="","",IF(O307="DNS",0,IF(O307="DQ",0,IF(O307="DNF",1,IF(AND(ISNUMBER(O307),O307&gt;59),1,_xlfn.XLOOKUP(O307,tbl_points[Place],tbl_points[Points],""))))))</f>
        <v/>
      </c>
      <c r="Q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7" s="3">
        <f>tbl_individual[[#This Row],[Total]]-tbl_individual[[#This Row],[Lowest Score]]</f>
        <v>0</v>
      </c>
    </row>
    <row r="308" spans="1:19" x14ac:dyDescent="0.4">
      <c r="A308" t="s">
        <v>361</v>
      </c>
      <c r="B308" t="s">
        <v>30</v>
      </c>
      <c r="C308" t="s">
        <v>5</v>
      </c>
      <c r="D308" s="3">
        <v>951</v>
      </c>
      <c r="F308" s="3" t="str">
        <f>IF(E308="","",IF(E308="DNS",0,IF(E308="DQ",0,IF(E308="DNF",1,IF(AND(ISNUMBER(E308),E308&gt;59),1,_xlfn.XLOOKUP(E308,tbl_points[Place],tbl_points[Points],""))))))</f>
        <v/>
      </c>
      <c r="H308" s="3" t="str">
        <f>IF(G308="","",IF(G308="DNS",0,IF(G308="DQ",0,IF(G308="DNF",1,IF(AND(ISNUMBER(G308),G308&gt;59),1,_xlfn.XLOOKUP(G308,tbl_points[Place],tbl_points[Points],""))))))</f>
        <v/>
      </c>
      <c r="J308" s="3" t="str">
        <f>IF(I308="","",IF(I308="DNS",0,IF(I308="DQ",0,IF(I308="DNF",1,IF(AND(ISNUMBER(I308),I308&gt;59),1,_xlfn.XLOOKUP(I308,tbl_points[Place],tbl_points[Points],""))))))</f>
        <v/>
      </c>
      <c r="L308" s="3" t="str">
        <f>IF(K308="","",IF(K308="DNS",0,IF(K308="DQ",0,IF(K308="DNF",1,IF(AND(ISNUMBER(K308),K308&gt;59),1,_xlfn.XLOOKUP(K308,tbl_points[Place],tbl_points[Points],""))))))</f>
        <v/>
      </c>
      <c r="N308" s="3" t="str">
        <f>IF(M308="","",IF(M308="DNS",0,IF(M308="DQ",0,IF(M308="DNF",1,IF(AND(ISNUMBER(M308),M308&gt;59),1,_xlfn.XLOOKUP(M308,tbl_points[Place],tbl_points[Points],""))))))</f>
        <v/>
      </c>
      <c r="P308" s="3" t="str">
        <f>IF(O308="","",IF(O308="DNS",0,IF(O308="DQ",0,IF(O308="DNF",1,IF(AND(ISNUMBER(O308),O308&gt;59),1,_xlfn.XLOOKUP(O308,tbl_points[Place],tbl_points[Points],""))))))</f>
        <v/>
      </c>
      <c r="Q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8" s="3">
        <f>tbl_individual[[#This Row],[Total]]-tbl_individual[[#This Row],[Lowest Score]]</f>
        <v>0</v>
      </c>
    </row>
    <row r="309" spans="1:19" x14ac:dyDescent="0.4">
      <c r="A309" t="s">
        <v>360</v>
      </c>
      <c r="B309" t="s">
        <v>30</v>
      </c>
      <c r="C309" t="s">
        <v>5</v>
      </c>
      <c r="D309" s="3">
        <v>950</v>
      </c>
      <c r="F309" s="3" t="str">
        <f>IF(E309="","",IF(E309="DNS",0,IF(E309="DQ",0,IF(E309="DNF",1,IF(AND(ISNUMBER(E309),E309&gt;59),1,_xlfn.XLOOKUP(E309,tbl_points[Place],tbl_points[Points],""))))))</f>
        <v/>
      </c>
      <c r="H309" s="3" t="str">
        <f>IF(G309="","",IF(G309="DNS",0,IF(G309="DQ",0,IF(G309="DNF",1,IF(AND(ISNUMBER(G309),G309&gt;59),1,_xlfn.XLOOKUP(G309,tbl_points[Place],tbl_points[Points],""))))))</f>
        <v/>
      </c>
      <c r="J309" s="3" t="str">
        <f>IF(I309="","",IF(I309="DNS",0,IF(I309="DQ",0,IF(I309="DNF",1,IF(AND(ISNUMBER(I309),I309&gt;59),1,_xlfn.XLOOKUP(I309,tbl_points[Place],tbl_points[Points],""))))))</f>
        <v/>
      </c>
      <c r="L309" s="3" t="str">
        <f>IF(K309="","",IF(K309="DNS",0,IF(K309="DQ",0,IF(K309="DNF",1,IF(AND(ISNUMBER(K309),K309&gt;59),1,_xlfn.XLOOKUP(K309,tbl_points[Place],tbl_points[Points],""))))))</f>
        <v/>
      </c>
      <c r="N309" s="3" t="str">
        <f>IF(M309="","",IF(M309="DNS",0,IF(M309="DQ",0,IF(M309="DNF",1,IF(AND(ISNUMBER(M309),M309&gt;59),1,_xlfn.XLOOKUP(M309,tbl_points[Place],tbl_points[Points],""))))))</f>
        <v/>
      </c>
      <c r="P309" s="3" t="str">
        <f>IF(O309="","",IF(O309="DNS",0,IF(O309="DQ",0,IF(O309="DNF",1,IF(AND(ISNUMBER(O309),O309&gt;59),1,_xlfn.XLOOKUP(O309,tbl_points[Place],tbl_points[Points],""))))))</f>
        <v/>
      </c>
      <c r="Q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9" s="3">
        <f>tbl_individual[[#This Row],[Total]]-tbl_individual[[#This Row],[Lowest Score]]</f>
        <v>0</v>
      </c>
    </row>
    <row r="310" spans="1:19" x14ac:dyDescent="0.4">
      <c r="A310" t="s">
        <v>362</v>
      </c>
      <c r="B310" t="s">
        <v>30</v>
      </c>
      <c r="C310" t="s">
        <v>1</v>
      </c>
      <c r="D310" s="3">
        <v>12095</v>
      </c>
      <c r="F310" s="3" t="str">
        <f>IF(E310="","",IF(E310="DNS",0,IF(E310="DQ",0,IF(E310="DNF",1,IF(AND(ISNUMBER(E310),E310&gt;59),1,_xlfn.XLOOKUP(E310,tbl_points[Place],tbl_points[Points],""))))))</f>
        <v/>
      </c>
      <c r="H310" s="3" t="str">
        <f>IF(G310="","",IF(G310="DNS",0,IF(G310="DQ",0,IF(G310="DNF",1,IF(AND(ISNUMBER(G310),G310&gt;59),1,_xlfn.XLOOKUP(G310,tbl_points[Place],tbl_points[Points],""))))))</f>
        <v/>
      </c>
      <c r="J310" s="3" t="str">
        <f>IF(I310="","",IF(I310="DNS",0,IF(I310="DQ",0,IF(I310="DNF",1,IF(AND(ISNUMBER(I310),I310&gt;59),1,_xlfn.XLOOKUP(I310,tbl_points[Place],tbl_points[Points],""))))))</f>
        <v/>
      </c>
      <c r="L310" s="3" t="str">
        <f>IF(K310="","",IF(K310="DNS",0,IF(K310="DQ",0,IF(K310="DNF",1,IF(AND(ISNUMBER(K310),K310&gt;59),1,_xlfn.XLOOKUP(K310,tbl_points[Place],tbl_points[Points],""))))))</f>
        <v/>
      </c>
      <c r="N310" s="3" t="str">
        <f>IF(M310="","",IF(M310="DNS",0,IF(M310="DQ",0,IF(M310="DNF",1,IF(AND(ISNUMBER(M310),M310&gt;59),1,_xlfn.XLOOKUP(M310,tbl_points[Place],tbl_points[Points],""))))))</f>
        <v/>
      </c>
      <c r="P310" s="3" t="str">
        <f>IF(O310="","",IF(O310="DNS",0,IF(O310="DQ",0,IF(O310="DNF",1,IF(AND(ISNUMBER(O310),O310&gt;59),1,_xlfn.XLOOKUP(O310,tbl_points[Place],tbl_points[Points],""))))))</f>
        <v/>
      </c>
      <c r="Q3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0" s="3">
        <f>tbl_individual[[#This Row],[Total]]-tbl_individual[[#This Row],[Lowest Score]]</f>
        <v>0</v>
      </c>
    </row>
    <row r="311" spans="1:19" x14ac:dyDescent="0.4">
      <c r="A311" t="s">
        <v>363</v>
      </c>
      <c r="B311" t="s">
        <v>30</v>
      </c>
      <c r="C311" t="s">
        <v>1</v>
      </c>
      <c r="D311" s="3">
        <v>12096</v>
      </c>
      <c r="F311" s="3" t="str">
        <f>IF(E311="","",IF(E311="DNS",0,IF(E311="DQ",0,IF(E311="DNF",1,IF(AND(ISNUMBER(E311),E311&gt;59),1,_xlfn.XLOOKUP(E311,tbl_points[Place],tbl_points[Points],""))))))</f>
        <v/>
      </c>
      <c r="H311" s="3" t="str">
        <f>IF(G311="","",IF(G311="DNS",0,IF(G311="DQ",0,IF(G311="DNF",1,IF(AND(ISNUMBER(G311),G311&gt;59),1,_xlfn.XLOOKUP(G311,tbl_points[Place],tbl_points[Points],""))))))</f>
        <v/>
      </c>
      <c r="J311" s="3" t="str">
        <f>IF(I311="","",IF(I311="DNS",0,IF(I311="DQ",0,IF(I311="DNF",1,IF(AND(ISNUMBER(I311),I311&gt;59),1,_xlfn.XLOOKUP(I311,tbl_points[Place],tbl_points[Points],""))))))</f>
        <v/>
      </c>
      <c r="L311" s="3" t="str">
        <f>IF(K311="","",IF(K311="DNS",0,IF(K311="DQ",0,IF(K311="DNF",1,IF(AND(ISNUMBER(K311),K311&gt;59),1,_xlfn.XLOOKUP(K311,tbl_points[Place],tbl_points[Points],""))))))</f>
        <v/>
      </c>
      <c r="N311" s="3" t="str">
        <f>IF(M311="","",IF(M311="DNS",0,IF(M311="DQ",0,IF(M311="DNF",1,IF(AND(ISNUMBER(M311),M311&gt;59),1,_xlfn.XLOOKUP(M311,tbl_points[Place],tbl_points[Points],""))))))</f>
        <v/>
      </c>
      <c r="P311" s="3" t="str">
        <f>IF(O311="","",IF(O311="DNS",0,IF(O311="DQ",0,IF(O311="DNF",1,IF(AND(ISNUMBER(O311),O311&gt;59),1,_xlfn.XLOOKUP(O311,tbl_points[Place],tbl_points[Points],""))))))</f>
        <v/>
      </c>
      <c r="Q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1" s="3">
        <f>tbl_individual[[#This Row],[Total]]-tbl_individual[[#This Row],[Lowest Score]]</f>
        <v>0</v>
      </c>
    </row>
    <row r="312" spans="1:19" x14ac:dyDescent="0.4">
      <c r="A312" t="s">
        <v>365</v>
      </c>
      <c r="B312" t="s">
        <v>31</v>
      </c>
      <c r="C312" t="s">
        <v>7</v>
      </c>
      <c r="D312" s="3">
        <v>834</v>
      </c>
      <c r="F312" s="3" t="str">
        <f>IF(E312="","",IF(E312="DNS",0,IF(E312="DQ",0,IF(E312="DNF",1,IF(AND(ISNUMBER(E312),E312&gt;59),1,_xlfn.XLOOKUP(E312,tbl_points[Place],tbl_points[Points],""))))))</f>
        <v/>
      </c>
      <c r="H312" s="3" t="str">
        <f>IF(G312="","",IF(G312="DNS",0,IF(G312="DQ",0,IF(G312="DNF",1,IF(AND(ISNUMBER(G312),G312&gt;59),1,_xlfn.XLOOKUP(G312,tbl_points[Place],tbl_points[Points],""))))))</f>
        <v/>
      </c>
      <c r="J312" s="3" t="str">
        <f>IF(I312="","",IF(I312="DNS",0,IF(I312="DQ",0,IF(I312="DNF",1,IF(AND(ISNUMBER(I312),I312&gt;59),1,_xlfn.XLOOKUP(I312,tbl_points[Place],tbl_points[Points],""))))))</f>
        <v/>
      </c>
      <c r="L312" s="3" t="str">
        <f>IF(K312="","",IF(K312="DNS",0,IF(K312="DQ",0,IF(K312="DNF",1,IF(AND(ISNUMBER(K312),K312&gt;59),1,_xlfn.XLOOKUP(K312,tbl_points[Place],tbl_points[Points],""))))))</f>
        <v/>
      </c>
      <c r="N312" s="3" t="str">
        <f>IF(M312="","",IF(M312="DNS",0,IF(M312="DQ",0,IF(M312="DNF",1,IF(AND(ISNUMBER(M312),M312&gt;59),1,_xlfn.XLOOKUP(M312,tbl_points[Place],tbl_points[Points],""))))))</f>
        <v/>
      </c>
      <c r="P312" s="3" t="str">
        <f>IF(O312="","",IF(O312="DNS",0,IF(O312="DQ",0,IF(O312="DNF",1,IF(AND(ISNUMBER(O312),O312&gt;59),1,_xlfn.XLOOKUP(O312,tbl_points[Place],tbl_points[Points],""))))))</f>
        <v/>
      </c>
      <c r="Q3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2" s="3">
        <f>tbl_individual[[#This Row],[Total]]-tbl_individual[[#This Row],[Lowest Score]]</f>
        <v>0</v>
      </c>
    </row>
    <row r="313" spans="1:19" x14ac:dyDescent="0.4">
      <c r="A313" t="s">
        <v>367</v>
      </c>
      <c r="B313" t="s">
        <v>31</v>
      </c>
      <c r="C313" t="s">
        <v>7</v>
      </c>
      <c r="D313" s="3">
        <v>836</v>
      </c>
      <c r="F313" s="3" t="str">
        <f>IF(E313="","",IF(E313="DNS",0,IF(E313="DQ",0,IF(E313="DNF",1,IF(AND(ISNUMBER(E313),E313&gt;59),1,_xlfn.XLOOKUP(E313,tbl_points[Place],tbl_points[Points],""))))))</f>
        <v/>
      </c>
      <c r="H313" s="3" t="str">
        <f>IF(G313="","",IF(G313="DNS",0,IF(G313="DQ",0,IF(G313="DNF",1,IF(AND(ISNUMBER(G313),G313&gt;59),1,_xlfn.XLOOKUP(G313,tbl_points[Place],tbl_points[Points],""))))))</f>
        <v/>
      </c>
      <c r="J313" s="3" t="str">
        <f>IF(I313="","",IF(I313="DNS",0,IF(I313="DQ",0,IF(I313="DNF",1,IF(AND(ISNUMBER(I313),I313&gt;59),1,_xlfn.XLOOKUP(I313,tbl_points[Place],tbl_points[Points],""))))))</f>
        <v/>
      </c>
      <c r="L313" s="3" t="str">
        <f>IF(K313="","",IF(K313="DNS",0,IF(K313="DQ",0,IF(K313="DNF",1,IF(AND(ISNUMBER(K313),K313&gt;59),1,_xlfn.XLOOKUP(K313,tbl_points[Place],tbl_points[Points],""))))))</f>
        <v/>
      </c>
      <c r="N313" s="3" t="str">
        <f>IF(M313="","",IF(M313="DNS",0,IF(M313="DQ",0,IF(M313="DNF",1,IF(AND(ISNUMBER(M313),M313&gt;59),1,_xlfn.XLOOKUP(M313,tbl_points[Place],tbl_points[Points],""))))))</f>
        <v/>
      </c>
      <c r="P313" s="3" t="str">
        <f>IF(O313="","",IF(O313="DNS",0,IF(O313="DQ",0,IF(O313="DNF",1,IF(AND(ISNUMBER(O313),O313&gt;59),1,_xlfn.XLOOKUP(O313,tbl_points[Place],tbl_points[Points],""))))))</f>
        <v/>
      </c>
      <c r="Q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3" s="3">
        <f>tbl_individual[[#This Row],[Total]]-tbl_individual[[#This Row],[Lowest Score]]</f>
        <v>0</v>
      </c>
    </row>
    <row r="314" spans="1:19" x14ac:dyDescent="0.4">
      <c r="A314" t="s">
        <v>366</v>
      </c>
      <c r="B314" t="s">
        <v>31</v>
      </c>
      <c r="C314" t="s">
        <v>7</v>
      </c>
      <c r="D314" s="3">
        <v>835</v>
      </c>
      <c r="F314" s="3" t="str">
        <f>IF(E314="","",IF(E314="DNS",0,IF(E314="DQ",0,IF(E314="DNF",1,IF(AND(ISNUMBER(E314),E314&gt;59),1,_xlfn.XLOOKUP(E314,tbl_points[Place],tbl_points[Points],""))))))</f>
        <v/>
      </c>
      <c r="H314" s="3" t="str">
        <f>IF(G314="","",IF(G314="DNS",0,IF(G314="DQ",0,IF(G314="DNF",1,IF(AND(ISNUMBER(G314),G314&gt;59),1,_xlfn.XLOOKUP(G314,tbl_points[Place],tbl_points[Points],""))))))</f>
        <v/>
      </c>
      <c r="J314" s="3" t="str">
        <f>IF(I314="","",IF(I314="DNS",0,IF(I314="DQ",0,IF(I314="DNF",1,IF(AND(ISNUMBER(I314),I314&gt;59),1,_xlfn.XLOOKUP(I314,tbl_points[Place],tbl_points[Points],""))))))</f>
        <v/>
      </c>
      <c r="L314" s="3" t="str">
        <f>IF(K314="","",IF(K314="DNS",0,IF(K314="DQ",0,IF(K314="DNF",1,IF(AND(ISNUMBER(K314),K314&gt;59),1,_xlfn.XLOOKUP(K314,tbl_points[Place],tbl_points[Points],""))))))</f>
        <v/>
      </c>
      <c r="N314" s="3" t="str">
        <f>IF(M314="","",IF(M314="DNS",0,IF(M314="DQ",0,IF(M314="DNF",1,IF(AND(ISNUMBER(M314),M314&gt;59),1,_xlfn.XLOOKUP(M314,tbl_points[Place],tbl_points[Points],""))))))</f>
        <v/>
      </c>
      <c r="P314" s="3" t="str">
        <f>IF(O314="","",IF(O314="DNS",0,IF(O314="DQ",0,IF(O314="DNF",1,IF(AND(ISNUMBER(O314),O314&gt;59),1,_xlfn.XLOOKUP(O314,tbl_points[Place],tbl_points[Points],""))))))</f>
        <v/>
      </c>
      <c r="Q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4" s="3">
        <f>tbl_individual[[#This Row],[Total]]-tbl_individual[[#This Row],[Lowest Score]]</f>
        <v>0</v>
      </c>
    </row>
    <row r="315" spans="1:19" x14ac:dyDescent="0.4">
      <c r="A315" t="s">
        <v>364</v>
      </c>
      <c r="B315" t="s">
        <v>31</v>
      </c>
      <c r="C315" t="s">
        <v>7</v>
      </c>
      <c r="D315" s="3">
        <v>833</v>
      </c>
      <c r="F315" s="3" t="str">
        <f>IF(E315="","",IF(E315="DNS",0,IF(E315="DQ",0,IF(E315="DNF",1,IF(AND(ISNUMBER(E315),E315&gt;59),1,_xlfn.XLOOKUP(E315,tbl_points[Place],tbl_points[Points],""))))))</f>
        <v/>
      </c>
      <c r="H315" s="3" t="str">
        <f>IF(G315="","",IF(G315="DNS",0,IF(G315="DQ",0,IF(G315="DNF",1,IF(AND(ISNUMBER(G315),G315&gt;59),1,_xlfn.XLOOKUP(G315,tbl_points[Place],tbl_points[Points],""))))))</f>
        <v/>
      </c>
      <c r="J315" s="3" t="str">
        <f>IF(I315="","",IF(I315="DNS",0,IF(I315="DQ",0,IF(I315="DNF",1,IF(AND(ISNUMBER(I315),I315&gt;59),1,_xlfn.XLOOKUP(I315,tbl_points[Place],tbl_points[Points],""))))))</f>
        <v/>
      </c>
      <c r="L315" s="3" t="str">
        <f>IF(K315="","",IF(K315="DNS",0,IF(K315="DQ",0,IF(K315="DNF",1,IF(AND(ISNUMBER(K315),K315&gt;59),1,_xlfn.XLOOKUP(K315,tbl_points[Place],tbl_points[Points],""))))))</f>
        <v/>
      </c>
      <c r="N315" s="3" t="str">
        <f>IF(M315="","",IF(M315="DNS",0,IF(M315="DQ",0,IF(M315="DNF",1,IF(AND(ISNUMBER(M315),M315&gt;59),1,_xlfn.XLOOKUP(M315,tbl_points[Place],tbl_points[Points],""))))))</f>
        <v/>
      </c>
      <c r="P315" s="3" t="str">
        <f>IF(O315="","",IF(O315="DNS",0,IF(O315="DQ",0,IF(O315="DNF",1,IF(AND(ISNUMBER(O315),O315&gt;59),1,_xlfn.XLOOKUP(O315,tbl_points[Place],tbl_points[Points],""))))))</f>
        <v/>
      </c>
      <c r="Q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5" s="3">
        <f>tbl_individual[[#This Row],[Total]]-tbl_individual[[#This Row],[Lowest Score]]</f>
        <v>0</v>
      </c>
    </row>
    <row r="316" spans="1:19" x14ac:dyDescent="0.4">
      <c r="A316" t="s">
        <v>381</v>
      </c>
      <c r="B316" t="s">
        <v>31</v>
      </c>
      <c r="C316" t="s">
        <v>3</v>
      </c>
      <c r="D316" s="3">
        <v>10198</v>
      </c>
      <c r="F316" s="3" t="str">
        <f>IF(E316="","",IF(E316="DNS",0,IF(E316="DQ",0,IF(E316="DNF",1,IF(AND(ISNUMBER(E316),E316&gt;59),1,_xlfn.XLOOKUP(E316,tbl_points[Place],tbl_points[Points],""))))))</f>
        <v/>
      </c>
      <c r="H316" s="3" t="str">
        <f>IF(G316="","",IF(G316="DNS",0,IF(G316="DQ",0,IF(G316="DNF",1,IF(AND(ISNUMBER(G316),G316&gt;59),1,_xlfn.XLOOKUP(G316,tbl_points[Place],tbl_points[Points],""))))))</f>
        <v/>
      </c>
      <c r="J316" s="3" t="str">
        <f>IF(I316="","",IF(I316="DNS",0,IF(I316="DQ",0,IF(I316="DNF",1,IF(AND(ISNUMBER(I316),I316&gt;59),1,_xlfn.XLOOKUP(I316,tbl_points[Place],tbl_points[Points],""))))))</f>
        <v/>
      </c>
      <c r="L316" s="3" t="str">
        <f>IF(K316="","",IF(K316="DNS",0,IF(K316="DQ",0,IF(K316="DNF",1,IF(AND(ISNUMBER(K316),K316&gt;59),1,_xlfn.XLOOKUP(K316,tbl_points[Place],tbl_points[Points],""))))))</f>
        <v/>
      </c>
      <c r="N316" s="3" t="str">
        <f>IF(M316="","",IF(M316="DNS",0,IF(M316="DQ",0,IF(M316="DNF",1,IF(AND(ISNUMBER(M316),M316&gt;59),1,_xlfn.XLOOKUP(M316,tbl_points[Place],tbl_points[Points],""))))))</f>
        <v/>
      </c>
      <c r="P316" s="3" t="str">
        <f>IF(O316="","",IF(O316="DNS",0,IF(O316="DQ",0,IF(O316="DNF",1,IF(AND(ISNUMBER(O316),O316&gt;59),1,_xlfn.XLOOKUP(O316,tbl_points[Place],tbl_points[Points],""))))))</f>
        <v/>
      </c>
      <c r="Q3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6" s="3">
        <f>tbl_individual[[#This Row],[Total]]-tbl_individual[[#This Row],[Lowest Score]]</f>
        <v>0</v>
      </c>
    </row>
    <row r="317" spans="1:19" x14ac:dyDescent="0.4">
      <c r="A317" t="s">
        <v>382</v>
      </c>
      <c r="B317" t="s">
        <v>31</v>
      </c>
      <c r="C317" t="s">
        <v>3</v>
      </c>
      <c r="D317" s="3">
        <v>10199</v>
      </c>
      <c r="F317" s="3" t="str">
        <f>IF(E317="","",IF(E317="DNS",0,IF(E317="DQ",0,IF(E317="DNF",1,IF(AND(ISNUMBER(E317),E317&gt;59),1,_xlfn.XLOOKUP(E317,tbl_points[Place],tbl_points[Points],""))))))</f>
        <v/>
      </c>
      <c r="H317" s="3" t="str">
        <f>IF(G317="","",IF(G317="DNS",0,IF(G317="DQ",0,IF(G317="DNF",1,IF(AND(ISNUMBER(G317),G317&gt;59),1,_xlfn.XLOOKUP(G317,tbl_points[Place],tbl_points[Points],""))))))</f>
        <v/>
      </c>
      <c r="J317" s="3" t="str">
        <f>IF(I317="","",IF(I317="DNS",0,IF(I317="DQ",0,IF(I317="DNF",1,IF(AND(ISNUMBER(I317),I317&gt;59),1,_xlfn.XLOOKUP(I317,tbl_points[Place],tbl_points[Points],""))))))</f>
        <v/>
      </c>
      <c r="L317" s="3" t="str">
        <f>IF(K317="","",IF(K317="DNS",0,IF(K317="DQ",0,IF(K317="DNF",1,IF(AND(ISNUMBER(K317),K317&gt;59),1,_xlfn.XLOOKUP(K317,tbl_points[Place],tbl_points[Points],""))))))</f>
        <v/>
      </c>
      <c r="N317" s="3" t="str">
        <f>IF(M317="","",IF(M317="DNS",0,IF(M317="DQ",0,IF(M317="DNF",1,IF(AND(ISNUMBER(M317),M317&gt;59),1,_xlfn.XLOOKUP(M317,tbl_points[Place],tbl_points[Points],""))))))</f>
        <v/>
      </c>
      <c r="P317" s="3" t="str">
        <f>IF(O317="","",IF(O317="DNS",0,IF(O317="DQ",0,IF(O317="DNF",1,IF(AND(ISNUMBER(O317),O317&gt;59),1,_xlfn.XLOOKUP(O317,tbl_points[Place],tbl_points[Points],""))))))</f>
        <v/>
      </c>
      <c r="Q3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7" s="3">
        <f>tbl_individual[[#This Row],[Total]]-tbl_individual[[#This Row],[Lowest Score]]</f>
        <v>0</v>
      </c>
    </row>
    <row r="318" spans="1:19" x14ac:dyDescent="0.4">
      <c r="A318" t="s">
        <v>383</v>
      </c>
      <c r="B318" t="s">
        <v>31</v>
      </c>
      <c r="C318" t="s">
        <v>3</v>
      </c>
      <c r="D318" s="3">
        <v>10200</v>
      </c>
      <c r="F318" s="3" t="str">
        <f>IF(E318="","",IF(E318="DNS",0,IF(E318="DQ",0,IF(E318="DNF",1,IF(AND(ISNUMBER(E318),E318&gt;59),1,_xlfn.XLOOKUP(E318,tbl_points[Place],tbl_points[Points],""))))))</f>
        <v/>
      </c>
      <c r="H318" s="3" t="str">
        <f>IF(G318="","",IF(G318="DNS",0,IF(G318="DQ",0,IF(G318="DNF",1,IF(AND(ISNUMBER(G318),G318&gt;59),1,_xlfn.XLOOKUP(G318,tbl_points[Place],tbl_points[Points],""))))))</f>
        <v/>
      </c>
      <c r="J318" s="3" t="str">
        <f>IF(I318="","",IF(I318="DNS",0,IF(I318="DQ",0,IF(I318="DNF",1,IF(AND(ISNUMBER(I318),I318&gt;59),1,_xlfn.XLOOKUP(I318,tbl_points[Place],tbl_points[Points],""))))))</f>
        <v/>
      </c>
      <c r="L318" s="3" t="str">
        <f>IF(K318="","",IF(K318="DNS",0,IF(K318="DQ",0,IF(K318="DNF",1,IF(AND(ISNUMBER(K318),K318&gt;59),1,_xlfn.XLOOKUP(K318,tbl_points[Place],tbl_points[Points],""))))))</f>
        <v/>
      </c>
      <c r="N318" s="3" t="str">
        <f>IF(M318="","",IF(M318="DNS",0,IF(M318="DQ",0,IF(M318="DNF",1,IF(AND(ISNUMBER(M318),M318&gt;59),1,_xlfn.XLOOKUP(M318,tbl_points[Place],tbl_points[Points],""))))))</f>
        <v/>
      </c>
      <c r="P318" s="3" t="str">
        <f>IF(O318="","",IF(O318="DNS",0,IF(O318="DQ",0,IF(O318="DNF",1,IF(AND(ISNUMBER(O318),O318&gt;59),1,_xlfn.XLOOKUP(O318,tbl_points[Place],tbl_points[Points],""))))))</f>
        <v/>
      </c>
      <c r="Q3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8" s="3">
        <f>tbl_individual[[#This Row],[Total]]-tbl_individual[[#This Row],[Lowest Score]]</f>
        <v>0</v>
      </c>
    </row>
    <row r="319" spans="1:19" x14ac:dyDescent="0.4">
      <c r="A319" t="s">
        <v>376</v>
      </c>
      <c r="B319" t="s">
        <v>31</v>
      </c>
      <c r="C319" t="s">
        <v>3</v>
      </c>
      <c r="D319" s="3">
        <v>10193</v>
      </c>
      <c r="F319" s="3" t="str">
        <f>IF(E319="","",IF(E319="DNS",0,IF(E319="DQ",0,IF(E319="DNF",1,IF(AND(ISNUMBER(E319),E319&gt;59),1,_xlfn.XLOOKUP(E319,tbl_points[Place],tbl_points[Points],""))))))</f>
        <v/>
      </c>
      <c r="H319" s="3" t="str">
        <f>IF(G319="","",IF(G319="DNS",0,IF(G319="DQ",0,IF(G319="DNF",1,IF(AND(ISNUMBER(G319),G319&gt;59),1,_xlfn.XLOOKUP(G319,tbl_points[Place],tbl_points[Points],""))))))</f>
        <v/>
      </c>
      <c r="J319" s="3" t="str">
        <f>IF(I319="","",IF(I319="DNS",0,IF(I319="DQ",0,IF(I319="DNF",1,IF(AND(ISNUMBER(I319),I319&gt;59),1,_xlfn.XLOOKUP(I319,tbl_points[Place],tbl_points[Points],""))))))</f>
        <v/>
      </c>
      <c r="L319" s="3" t="str">
        <f>IF(K319="","",IF(K319="DNS",0,IF(K319="DQ",0,IF(K319="DNF",1,IF(AND(ISNUMBER(K319),K319&gt;59),1,_xlfn.XLOOKUP(K319,tbl_points[Place],tbl_points[Points],""))))))</f>
        <v/>
      </c>
      <c r="N319" s="3" t="str">
        <f>IF(M319="","",IF(M319="DNS",0,IF(M319="DQ",0,IF(M319="DNF",1,IF(AND(ISNUMBER(M319),M319&gt;59),1,_xlfn.XLOOKUP(M319,tbl_points[Place],tbl_points[Points],""))))))</f>
        <v/>
      </c>
      <c r="P319" s="3" t="str">
        <f>IF(O319="","",IF(O319="DNS",0,IF(O319="DQ",0,IF(O319="DNF",1,IF(AND(ISNUMBER(O319),O319&gt;59),1,_xlfn.XLOOKUP(O319,tbl_points[Place],tbl_points[Points],""))))))</f>
        <v/>
      </c>
      <c r="Q3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9" s="3">
        <f>tbl_individual[[#This Row],[Total]]-tbl_individual[[#This Row],[Lowest Score]]</f>
        <v>0</v>
      </c>
    </row>
    <row r="320" spans="1:19" x14ac:dyDescent="0.4">
      <c r="A320" t="s">
        <v>380</v>
      </c>
      <c r="B320" t="s">
        <v>31</v>
      </c>
      <c r="C320" t="s">
        <v>3</v>
      </c>
      <c r="D320" s="3">
        <v>10197</v>
      </c>
      <c r="F320" s="3" t="str">
        <f>IF(E320="","",IF(E320="DNS",0,IF(E320="DQ",0,IF(E320="DNF",1,IF(AND(ISNUMBER(E320),E320&gt;59),1,_xlfn.XLOOKUP(E320,tbl_points[Place],tbl_points[Points],""))))))</f>
        <v/>
      </c>
      <c r="H320" s="3" t="str">
        <f>IF(G320="","",IF(G320="DNS",0,IF(G320="DQ",0,IF(G320="DNF",1,IF(AND(ISNUMBER(G320),G320&gt;59),1,_xlfn.XLOOKUP(G320,tbl_points[Place],tbl_points[Points],""))))))</f>
        <v/>
      </c>
      <c r="J320" s="3" t="str">
        <f>IF(I320="","",IF(I320="DNS",0,IF(I320="DQ",0,IF(I320="DNF",1,IF(AND(ISNUMBER(I320),I320&gt;59),1,_xlfn.XLOOKUP(I320,tbl_points[Place],tbl_points[Points],""))))))</f>
        <v/>
      </c>
      <c r="L320" s="3" t="str">
        <f>IF(K320="","",IF(K320="DNS",0,IF(K320="DQ",0,IF(K320="DNF",1,IF(AND(ISNUMBER(K320),K320&gt;59),1,_xlfn.XLOOKUP(K320,tbl_points[Place],tbl_points[Points],""))))))</f>
        <v/>
      </c>
      <c r="N320" s="3" t="str">
        <f>IF(M320="","",IF(M320="DNS",0,IF(M320="DQ",0,IF(M320="DNF",1,IF(AND(ISNUMBER(M320),M320&gt;59),1,_xlfn.XLOOKUP(M320,tbl_points[Place],tbl_points[Points],""))))))</f>
        <v/>
      </c>
      <c r="P320" s="3" t="str">
        <f>IF(O320="","",IF(O320="DNS",0,IF(O320="DQ",0,IF(O320="DNF",1,IF(AND(ISNUMBER(O320),O320&gt;59),1,_xlfn.XLOOKUP(O320,tbl_points[Place],tbl_points[Points],""))))))</f>
        <v/>
      </c>
      <c r="Q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0" s="3">
        <f>tbl_individual[[#This Row],[Total]]-tbl_individual[[#This Row],[Lowest Score]]</f>
        <v>0</v>
      </c>
    </row>
    <row r="321" spans="1:19" x14ac:dyDescent="0.4">
      <c r="A321" t="s">
        <v>384</v>
      </c>
      <c r="B321" t="s">
        <v>31</v>
      </c>
      <c r="C321" t="s">
        <v>3</v>
      </c>
      <c r="D321" s="3">
        <v>10201</v>
      </c>
      <c r="F321" s="3" t="str">
        <f>IF(E321="","",IF(E321="DNS",0,IF(E321="DQ",0,IF(E321="DNF",1,IF(AND(ISNUMBER(E321),E321&gt;59),1,_xlfn.XLOOKUP(E321,tbl_points[Place],tbl_points[Points],""))))))</f>
        <v/>
      </c>
      <c r="H321" s="3" t="str">
        <f>IF(G321="","",IF(G321="DNS",0,IF(G321="DQ",0,IF(G321="DNF",1,IF(AND(ISNUMBER(G321),G321&gt;59),1,_xlfn.XLOOKUP(G321,tbl_points[Place],tbl_points[Points],""))))))</f>
        <v/>
      </c>
      <c r="J321" s="3" t="str">
        <f>IF(I321="","",IF(I321="DNS",0,IF(I321="DQ",0,IF(I321="DNF",1,IF(AND(ISNUMBER(I321),I321&gt;59),1,_xlfn.XLOOKUP(I321,tbl_points[Place],tbl_points[Points],""))))))</f>
        <v/>
      </c>
      <c r="L321" s="3" t="str">
        <f>IF(K321="","",IF(K321="DNS",0,IF(K321="DQ",0,IF(K321="DNF",1,IF(AND(ISNUMBER(K321),K321&gt;59),1,_xlfn.XLOOKUP(K321,tbl_points[Place],tbl_points[Points],""))))))</f>
        <v/>
      </c>
      <c r="N321" s="3" t="str">
        <f>IF(M321="","",IF(M321="DNS",0,IF(M321="DQ",0,IF(M321="DNF",1,IF(AND(ISNUMBER(M321),M321&gt;59),1,_xlfn.XLOOKUP(M321,tbl_points[Place],tbl_points[Points],""))))))</f>
        <v/>
      </c>
      <c r="P321" s="3" t="str">
        <f>IF(O321="","",IF(O321="DNS",0,IF(O321="DQ",0,IF(O321="DNF",1,IF(AND(ISNUMBER(O321),O321&gt;59),1,_xlfn.XLOOKUP(O321,tbl_points[Place],tbl_points[Points],""))))))</f>
        <v/>
      </c>
      <c r="Q3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1" s="3">
        <f>tbl_individual[[#This Row],[Total]]-tbl_individual[[#This Row],[Lowest Score]]</f>
        <v>0</v>
      </c>
    </row>
    <row r="322" spans="1:19" x14ac:dyDescent="0.4">
      <c r="A322" t="s">
        <v>378</v>
      </c>
      <c r="B322" t="s">
        <v>31</v>
      </c>
      <c r="C322" t="s">
        <v>3</v>
      </c>
      <c r="D322" s="3">
        <v>10195</v>
      </c>
      <c r="F322" s="3" t="str">
        <f>IF(E322="","",IF(E322="DNS",0,IF(E322="DQ",0,IF(E322="DNF",1,IF(AND(ISNUMBER(E322),E322&gt;59),1,_xlfn.XLOOKUP(E322,tbl_points[Place],tbl_points[Points],""))))))</f>
        <v/>
      </c>
      <c r="H322" s="3" t="str">
        <f>IF(G322="","",IF(G322="DNS",0,IF(G322="DQ",0,IF(G322="DNF",1,IF(AND(ISNUMBER(G322),G322&gt;59),1,_xlfn.XLOOKUP(G322,tbl_points[Place],tbl_points[Points],""))))))</f>
        <v/>
      </c>
      <c r="J322" s="3" t="str">
        <f>IF(I322="","",IF(I322="DNS",0,IF(I322="DQ",0,IF(I322="DNF",1,IF(AND(ISNUMBER(I322),I322&gt;59),1,_xlfn.XLOOKUP(I322,tbl_points[Place],tbl_points[Points],""))))))</f>
        <v/>
      </c>
      <c r="L322" s="3" t="str">
        <f>IF(K322="","",IF(K322="DNS",0,IF(K322="DQ",0,IF(K322="DNF",1,IF(AND(ISNUMBER(K322),K322&gt;59),1,_xlfn.XLOOKUP(K322,tbl_points[Place],tbl_points[Points],""))))))</f>
        <v/>
      </c>
      <c r="N322" s="3" t="str">
        <f>IF(M322="","",IF(M322="DNS",0,IF(M322="DQ",0,IF(M322="DNF",1,IF(AND(ISNUMBER(M322),M322&gt;59),1,_xlfn.XLOOKUP(M322,tbl_points[Place],tbl_points[Points],""))))))</f>
        <v/>
      </c>
      <c r="P322" s="3" t="str">
        <f>IF(O322="","",IF(O322="DNS",0,IF(O322="DQ",0,IF(O322="DNF",1,IF(AND(ISNUMBER(O322),O322&gt;59),1,_xlfn.XLOOKUP(O322,tbl_points[Place],tbl_points[Points],""))))))</f>
        <v/>
      </c>
      <c r="Q3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2" s="3">
        <f>tbl_individual[[#This Row],[Total]]-tbl_individual[[#This Row],[Lowest Score]]</f>
        <v>0</v>
      </c>
    </row>
    <row r="323" spans="1:19" x14ac:dyDescent="0.4">
      <c r="A323" t="s">
        <v>379</v>
      </c>
      <c r="B323" t="s">
        <v>31</v>
      </c>
      <c r="C323" t="s">
        <v>3</v>
      </c>
      <c r="D323" s="3">
        <v>10196</v>
      </c>
      <c r="F323" s="3" t="str">
        <f>IF(E323="","",IF(E323="DNS",0,IF(E323="DQ",0,IF(E323="DNF",1,IF(AND(ISNUMBER(E323),E323&gt;59),1,_xlfn.XLOOKUP(E323,tbl_points[Place],tbl_points[Points],""))))))</f>
        <v/>
      </c>
      <c r="H323" s="3" t="str">
        <f>IF(G323="","",IF(G323="DNS",0,IF(G323="DQ",0,IF(G323="DNF",1,IF(AND(ISNUMBER(G323),G323&gt;59),1,_xlfn.XLOOKUP(G323,tbl_points[Place],tbl_points[Points],""))))))</f>
        <v/>
      </c>
      <c r="J323" s="3" t="str">
        <f>IF(I323="","",IF(I323="DNS",0,IF(I323="DQ",0,IF(I323="DNF",1,IF(AND(ISNUMBER(I323),I323&gt;59),1,_xlfn.XLOOKUP(I323,tbl_points[Place],tbl_points[Points],""))))))</f>
        <v/>
      </c>
      <c r="L323" s="3" t="str">
        <f>IF(K323="","",IF(K323="DNS",0,IF(K323="DQ",0,IF(K323="DNF",1,IF(AND(ISNUMBER(K323),K323&gt;59),1,_xlfn.XLOOKUP(K323,tbl_points[Place],tbl_points[Points],""))))))</f>
        <v/>
      </c>
      <c r="N323" s="3" t="str">
        <f>IF(M323="","",IF(M323="DNS",0,IF(M323="DQ",0,IF(M323="DNF",1,IF(AND(ISNUMBER(M323),M323&gt;59),1,_xlfn.XLOOKUP(M323,tbl_points[Place],tbl_points[Points],""))))))</f>
        <v/>
      </c>
      <c r="P323" s="3" t="str">
        <f>IF(O323="","",IF(O323="DNS",0,IF(O323="DQ",0,IF(O323="DNF",1,IF(AND(ISNUMBER(O323),O323&gt;59),1,_xlfn.XLOOKUP(O323,tbl_points[Place],tbl_points[Points],""))))))</f>
        <v/>
      </c>
      <c r="Q3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3" s="3">
        <f>tbl_individual[[#This Row],[Total]]-tbl_individual[[#This Row],[Lowest Score]]</f>
        <v>0</v>
      </c>
    </row>
    <row r="324" spans="1:19" x14ac:dyDescent="0.4">
      <c r="A324" t="s">
        <v>377</v>
      </c>
      <c r="B324" t="s">
        <v>31</v>
      </c>
      <c r="C324" t="s">
        <v>3</v>
      </c>
      <c r="D324" s="3">
        <v>10194</v>
      </c>
      <c r="F324" s="3" t="str">
        <f>IF(E324="","",IF(E324="DNS",0,IF(E324="DQ",0,IF(E324="DNF",1,IF(AND(ISNUMBER(E324),E324&gt;59),1,_xlfn.XLOOKUP(E324,tbl_points[Place],tbl_points[Points],""))))))</f>
        <v/>
      </c>
      <c r="H324" s="3" t="str">
        <f>IF(G324="","",IF(G324="DNS",0,IF(G324="DQ",0,IF(G324="DNF",1,IF(AND(ISNUMBER(G324),G324&gt;59),1,_xlfn.XLOOKUP(G324,tbl_points[Place],tbl_points[Points],""))))))</f>
        <v/>
      </c>
      <c r="J324" s="3" t="str">
        <f>IF(I324="","",IF(I324="DNS",0,IF(I324="DQ",0,IF(I324="DNF",1,IF(AND(ISNUMBER(I324),I324&gt;59),1,_xlfn.XLOOKUP(I324,tbl_points[Place],tbl_points[Points],""))))))</f>
        <v/>
      </c>
      <c r="L324" s="3" t="str">
        <f>IF(K324="","",IF(K324="DNS",0,IF(K324="DQ",0,IF(K324="DNF",1,IF(AND(ISNUMBER(K324),K324&gt;59),1,_xlfn.XLOOKUP(K324,tbl_points[Place],tbl_points[Points],""))))))</f>
        <v/>
      </c>
      <c r="N324" s="3" t="str">
        <f>IF(M324="","",IF(M324="DNS",0,IF(M324="DQ",0,IF(M324="DNF",1,IF(AND(ISNUMBER(M324),M324&gt;59),1,_xlfn.XLOOKUP(M324,tbl_points[Place],tbl_points[Points],""))))))</f>
        <v/>
      </c>
      <c r="P324" s="3" t="str">
        <f>IF(O324="","",IF(O324="DNS",0,IF(O324="DQ",0,IF(O324="DNF",1,IF(AND(ISNUMBER(O324),O324&gt;59),1,_xlfn.XLOOKUP(O324,tbl_points[Place],tbl_points[Points],""))))))</f>
        <v/>
      </c>
      <c r="Q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4" s="3">
        <f>tbl_individual[[#This Row],[Total]]-tbl_individual[[#This Row],[Lowest Score]]</f>
        <v>0</v>
      </c>
    </row>
    <row r="325" spans="1:19" x14ac:dyDescent="0.4">
      <c r="A325" t="s">
        <v>374</v>
      </c>
      <c r="B325" t="s">
        <v>31</v>
      </c>
      <c r="C325" t="s">
        <v>4</v>
      </c>
      <c r="D325" s="3">
        <v>1042</v>
      </c>
      <c r="F325" s="3" t="str">
        <f>IF(E325="","",IF(E325="DNS",0,IF(E325="DQ",0,IF(E325="DNF",1,IF(AND(ISNUMBER(E325),E325&gt;59),1,_xlfn.XLOOKUP(E325,tbl_points[Place],tbl_points[Points],""))))))</f>
        <v/>
      </c>
      <c r="H325" s="3" t="str">
        <f>IF(G325="","",IF(G325="DNS",0,IF(G325="DQ",0,IF(G325="DNF",1,IF(AND(ISNUMBER(G325),G325&gt;59),1,_xlfn.XLOOKUP(G325,tbl_points[Place],tbl_points[Points],""))))))</f>
        <v/>
      </c>
      <c r="J325" s="3" t="str">
        <f>IF(I325="","",IF(I325="DNS",0,IF(I325="DQ",0,IF(I325="DNF",1,IF(AND(ISNUMBER(I325),I325&gt;59),1,_xlfn.XLOOKUP(I325,tbl_points[Place],tbl_points[Points],""))))))</f>
        <v/>
      </c>
      <c r="L325" s="3" t="str">
        <f>IF(K325="","",IF(K325="DNS",0,IF(K325="DQ",0,IF(K325="DNF",1,IF(AND(ISNUMBER(K325),K325&gt;59),1,_xlfn.XLOOKUP(K325,tbl_points[Place],tbl_points[Points],""))))))</f>
        <v/>
      </c>
      <c r="N325" s="3" t="str">
        <f>IF(M325="","",IF(M325="DNS",0,IF(M325="DQ",0,IF(M325="DNF",1,IF(AND(ISNUMBER(M325),M325&gt;59),1,_xlfn.XLOOKUP(M325,tbl_points[Place],tbl_points[Points],""))))))</f>
        <v/>
      </c>
      <c r="P325" s="3" t="str">
        <f>IF(O325="","",IF(O325="DNS",0,IF(O325="DQ",0,IF(O325="DNF",1,IF(AND(ISNUMBER(O325),O325&gt;59),1,_xlfn.XLOOKUP(O325,tbl_points[Place],tbl_points[Points],""))))))</f>
        <v/>
      </c>
      <c r="Q3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5" s="3">
        <f>tbl_individual[[#This Row],[Total]]-tbl_individual[[#This Row],[Lowest Score]]</f>
        <v>0</v>
      </c>
    </row>
    <row r="326" spans="1:19" x14ac:dyDescent="0.4">
      <c r="A326" t="s">
        <v>375</v>
      </c>
      <c r="B326" t="s">
        <v>31</v>
      </c>
      <c r="C326" t="s">
        <v>4</v>
      </c>
      <c r="D326" s="3">
        <v>1043</v>
      </c>
      <c r="F326" s="3" t="str">
        <f>IF(E326="","",IF(E326="DNS",0,IF(E326="DQ",0,IF(E326="DNF",1,IF(AND(ISNUMBER(E326),E326&gt;59),1,_xlfn.XLOOKUP(E326,tbl_points[Place],tbl_points[Points],""))))))</f>
        <v/>
      </c>
      <c r="H326" s="3" t="str">
        <f>IF(G326="","",IF(G326="DNS",0,IF(G326="DQ",0,IF(G326="DNF",1,IF(AND(ISNUMBER(G326),G326&gt;59),1,_xlfn.XLOOKUP(G326,tbl_points[Place],tbl_points[Points],""))))))</f>
        <v/>
      </c>
      <c r="J326" s="3" t="str">
        <f>IF(I326="","",IF(I326="DNS",0,IF(I326="DQ",0,IF(I326="DNF",1,IF(AND(ISNUMBER(I326),I326&gt;59),1,_xlfn.XLOOKUP(I326,tbl_points[Place],tbl_points[Points],""))))))</f>
        <v/>
      </c>
      <c r="L326" s="3" t="str">
        <f>IF(K326="","",IF(K326="DNS",0,IF(K326="DQ",0,IF(K326="DNF",1,IF(AND(ISNUMBER(K326),K326&gt;59),1,_xlfn.XLOOKUP(K326,tbl_points[Place],tbl_points[Points],""))))))</f>
        <v/>
      </c>
      <c r="N326" s="3" t="str">
        <f>IF(M326="","",IF(M326="DNS",0,IF(M326="DQ",0,IF(M326="DNF",1,IF(AND(ISNUMBER(M326),M326&gt;59),1,_xlfn.XLOOKUP(M326,tbl_points[Place],tbl_points[Points],""))))))</f>
        <v/>
      </c>
      <c r="P326" s="3" t="str">
        <f>IF(O326="","",IF(O326="DNS",0,IF(O326="DQ",0,IF(O326="DNF",1,IF(AND(ISNUMBER(O326),O326&gt;59),1,_xlfn.XLOOKUP(O326,tbl_points[Place],tbl_points[Points],""))))))</f>
        <v/>
      </c>
      <c r="Q3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6" s="3">
        <f>tbl_individual[[#This Row],[Total]]-tbl_individual[[#This Row],[Lowest Score]]</f>
        <v>0</v>
      </c>
    </row>
    <row r="327" spans="1:19" x14ac:dyDescent="0.4">
      <c r="A327" t="s">
        <v>373</v>
      </c>
      <c r="B327" t="s">
        <v>31</v>
      </c>
      <c r="C327" t="s">
        <v>4</v>
      </c>
      <c r="D327" s="3">
        <v>1041</v>
      </c>
      <c r="F327" s="3" t="str">
        <f>IF(E327="","",IF(E327="DNS",0,IF(E327="DQ",0,IF(E327="DNF",1,IF(AND(ISNUMBER(E327),E327&gt;59),1,_xlfn.XLOOKUP(E327,tbl_points[Place],tbl_points[Points],""))))))</f>
        <v/>
      </c>
      <c r="H327" s="3" t="str">
        <f>IF(G327="","",IF(G327="DNS",0,IF(G327="DQ",0,IF(G327="DNF",1,IF(AND(ISNUMBER(G327),G327&gt;59),1,_xlfn.XLOOKUP(G327,tbl_points[Place],tbl_points[Points],""))))))</f>
        <v/>
      </c>
      <c r="J327" s="3" t="str">
        <f>IF(I327="","",IF(I327="DNS",0,IF(I327="DQ",0,IF(I327="DNF",1,IF(AND(ISNUMBER(I327),I327&gt;59),1,_xlfn.XLOOKUP(I327,tbl_points[Place],tbl_points[Points],""))))))</f>
        <v/>
      </c>
      <c r="L327" s="3" t="str">
        <f>IF(K327="","",IF(K327="DNS",0,IF(K327="DQ",0,IF(K327="DNF",1,IF(AND(ISNUMBER(K327),K327&gt;59),1,_xlfn.XLOOKUP(K327,tbl_points[Place],tbl_points[Points],""))))))</f>
        <v/>
      </c>
      <c r="N327" s="3" t="str">
        <f>IF(M327="","",IF(M327="DNS",0,IF(M327="DQ",0,IF(M327="DNF",1,IF(AND(ISNUMBER(M327),M327&gt;59),1,_xlfn.XLOOKUP(M327,tbl_points[Place],tbl_points[Points],""))))))</f>
        <v/>
      </c>
      <c r="P327" s="3" t="str">
        <f>IF(O327="","",IF(O327="DNS",0,IF(O327="DQ",0,IF(O327="DNF",1,IF(AND(ISNUMBER(O327),O327&gt;59),1,_xlfn.XLOOKUP(O327,tbl_points[Place],tbl_points[Points],""))))))</f>
        <v/>
      </c>
      <c r="Q3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7" s="3">
        <f>tbl_individual[[#This Row],[Total]]-tbl_individual[[#This Row],[Lowest Score]]</f>
        <v>0</v>
      </c>
    </row>
    <row r="328" spans="1:19" x14ac:dyDescent="0.4">
      <c r="A328" t="s">
        <v>372</v>
      </c>
      <c r="B328" t="s">
        <v>31</v>
      </c>
      <c r="C328" t="s">
        <v>6</v>
      </c>
      <c r="D328" s="3">
        <v>935</v>
      </c>
      <c r="F328" s="3" t="str">
        <f>IF(E328="","",IF(E328="DNS",0,IF(E328="DQ",0,IF(E328="DNF",1,IF(AND(ISNUMBER(E328),E328&gt;59),1,_xlfn.XLOOKUP(E328,tbl_points[Place],tbl_points[Points],""))))))</f>
        <v/>
      </c>
      <c r="H328" s="3" t="str">
        <f>IF(G328="","",IF(G328="DNS",0,IF(G328="DQ",0,IF(G328="DNF",1,IF(AND(ISNUMBER(G328),G328&gt;59),1,_xlfn.XLOOKUP(G328,tbl_points[Place],tbl_points[Points],""))))))</f>
        <v/>
      </c>
      <c r="J328" s="3" t="str">
        <f>IF(I328="","",IF(I328="DNS",0,IF(I328="DQ",0,IF(I328="DNF",1,IF(AND(ISNUMBER(I328),I328&gt;59),1,_xlfn.XLOOKUP(I328,tbl_points[Place],tbl_points[Points],""))))))</f>
        <v/>
      </c>
      <c r="L328" s="3" t="str">
        <f>IF(K328="","",IF(K328="DNS",0,IF(K328="DQ",0,IF(K328="DNF",1,IF(AND(ISNUMBER(K328),K328&gt;59),1,_xlfn.XLOOKUP(K328,tbl_points[Place],tbl_points[Points],""))))))</f>
        <v/>
      </c>
      <c r="N328" s="3" t="str">
        <f>IF(M328="","",IF(M328="DNS",0,IF(M328="DQ",0,IF(M328="DNF",1,IF(AND(ISNUMBER(M328),M328&gt;59),1,_xlfn.XLOOKUP(M328,tbl_points[Place],tbl_points[Points],""))))))</f>
        <v/>
      </c>
      <c r="P328" s="3" t="str">
        <f>IF(O328="","",IF(O328="DNS",0,IF(O328="DQ",0,IF(O328="DNF",1,IF(AND(ISNUMBER(O328),O328&gt;59),1,_xlfn.XLOOKUP(O328,tbl_points[Place],tbl_points[Points],""))))))</f>
        <v/>
      </c>
      <c r="Q3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8" s="3">
        <f>tbl_individual[[#This Row],[Total]]-tbl_individual[[#This Row],[Lowest Score]]</f>
        <v>0</v>
      </c>
    </row>
    <row r="329" spans="1:19" x14ac:dyDescent="0.4">
      <c r="A329" t="s">
        <v>370</v>
      </c>
      <c r="B329" t="s">
        <v>31</v>
      </c>
      <c r="C329" t="s">
        <v>6</v>
      </c>
      <c r="D329" s="3">
        <v>933</v>
      </c>
      <c r="F329" s="3" t="str">
        <f>IF(E329="","",IF(E329="DNS",0,IF(E329="DQ",0,IF(E329="DNF",1,IF(AND(ISNUMBER(E329),E329&gt;59),1,_xlfn.XLOOKUP(E329,tbl_points[Place],tbl_points[Points],""))))))</f>
        <v/>
      </c>
      <c r="H329" s="3" t="str">
        <f>IF(G329="","",IF(G329="DNS",0,IF(G329="DQ",0,IF(G329="DNF",1,IF(AND(ISNUMBER(G329),G329&gt;59),1,_xlfn.XLOOKUP(G329,tbl_points[Place],tbl_points[Points],""))))))</f>
        <v/>
      </c>
      <c r="J329" s="3" t="str">
        <f>IF(I329="","",IF(I329="DNS",0,IF(I329="DQ",0,IF(I329="DNF",1,IF(AND(ISNUMBER(I329),I329&gt;59),1,_xlfn.XLOOKUP(I329,tbl_points[Place],tbl_points[Points],""))))))</f>
        <v/>
      </c>
      <c r="L329" s="3" t="str">
        <f>IF(K329="","",IF(K329="DNS",0,IF(K329="DQ",0,IF(K329="DNF",1,IF(AND(ISNUMBER(K329),K329&gt;59),1,_xlfn.XLOOKUP(K329,tbl_points[Place],tbl_points[Points],""))))))</f>
        <v/>
      </c>
      <c r="N329" s="3" t="str">
        <f>IF(M329="","",IF(M329="DNS",0,IF(M329="DQ",0,IF(M329="DNF",1,IF(AND(ISNUMBER(M329),M329&gt;59),1,_xlfn.XLOOKUP(M329,tbl_points[Place],tbl_points[Points],""))))))</f>
        <v/>
      </c>
      <c r="P329" s="3" t="str">
        <f>IF(O329="","",IF(O329="DNS",0,IF(O329="DQ",0,IF(O329="DNF",1,IF(AND(ISNUMBER(O329),O329&gt;59),1,_xlfn.XLOOKUP(O329,tbl_points[Place],tbl_points[Points],""))))))</f>
        <v/>
      </c>
      <c r="Q3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9" s="3">
        <f>tbl_individual[[#This Row],[Total]]-tbl_individual[[#This Row],[Lowest Score]]</f>
        <v>0</v>
      </c>
    </row>
    <row r="330" spans="1:19" x14ac:dyDescent="0.4">
      <c r="A330" t="s">
        <v>368</v>
      </c>
      <c r="B330" t="s">
        <v>31</v>
      </c>
      <c r="C330" t="s">
        <v>6</v>
      </c>
      <c r="D330" s="3">
        <v>931</v>
      </c>
      <c r="F330" s="3" t="str">
        <f>IF(E330="","",IF(E330="DNS",0,IF(E330="DQ",0,IF(E330="DNF",1,IF(AND(ISNUMBER(E330),E330&gt;59),1,_xlfn.XLOOKUP(E330,tbl_points[Place],tbl_points[Points],""))))))</f>
        <v/>
      </c>
      <c r="H330" s="3" t="str">
        <f>IF(G330="","",IF(G330="DNS",0,IF(G330="DQ",0,IF(G330="DNF",1,IF(AND(ISNUMBER(G330),G330&gt;59),1,_xlfn.XLOOKUP(G330,tbl_points[Place],tbl_points[Points],""))))))</f>
        <v/>
      </c>
      <c r="J330" s="3" t="str">
        <f>IF(I330="","",IF(I330="DNS",0,IF(I330="DQ",0,IF(I330="DNF",1,IF(AND(ISNUMBER(I330),I330&gt;59),1,_xlfn.XLOOKUP(I330,tbl_points[Place],tbl_points[Points],""))))))</f>
        <v/>
      </c>
      <c r="L330" s="3" t="str">
        <f>IF(K330="","",IF(K330="DNS",0,IF(K330="DQ",0,IF(K330="DNF",1,IF(AND(ISNUMBER(K330),K330&gt;59),1,_xlfn.XLOOKUP(K330,tbl_points[Place],tbl_points[Points],""))))))</f>
        <v/>
      </c>
      <c r="N330" s="3" t="str">
        <f>IF(M330="","",IF(M330="DNS",0,IF(M330="DQ",0,IF(M330="DNF",1,IF(AND(ISNUMBER(M330),M330&gt;59),1,_xlfn.XLOOKUP(M330,tbl_points[Place],tbl_points[Points],""))))))</f>
        <v/>
      </c>
      <c r="P330" s="3" t="str">
        <f>IF(O330="","",IF(O330="DNS",0,IF(O330="DQ",0,IF(O330="DNF",1,IF(AND(ISNUMBER(O330),O330&gt;59),1,_xlfn.XLOOKUP(O330,tbl_points[Place],tbl_points[Points],""))))))</f>
        <v/>
      </c>
      <c r="Q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0" s="3">
        <f>tbl_individual[[#This Row],[Total]]-tbl_individual[[#This Row],[Lowest Score]]</f>
        <v>0</v>
      </c>
    </row>
    <row r="331" spans="1:19" x14ac:dyDescent="0.4">
      <c r="A331" t="s">
        <v>369</v>
      </c>
      <c r="B331" t="s">
        <v>31</v>
      </c>
      <c r="C331" t="s">
        <v>6</v>
      </c>
      <c r="D331" s="3">
        <v>932</v>
      </c>
      <c r="F331" s="3" t="str">
        <f>IF(E331="","",IF(E331="DNS",0,IF(E331="DQ",0,IF(E331="DNF",1,IF(AND(ISNUMBER(E331),E331&gt;59),1,_xlfn.XLOOKUP(E331,tbl_points[Place],tbl_points[Points],""))))))</f>
        <v/>
      </c>
      <c r="H331" s="3" t="str">
        <f>IF(G331="","",IF(G331="DNS",0,IF(G331="DQ",0,IF(G331="DNF",1,IF(AND(ISNUMBER(G331),G331&gt;59),1,_xlfn.XLOOKUP(G331,tbl_points[Place],tbl_points[Points],""))))))</f>
        <v/>
      </c>
      <c r="J331" s="3" t="str">
        <f>IF(I331="","",IF(I331="DNS",0,IF(I331="DQ",0,IF(I331="DNF",1,IF(AND(ISNUMBER(I331),I331&gt;59),1,_xlfn.XLOOKUP(I331,tbl_points[Place],tbl_points[Points],""))))))</f>
        <v/>
      </c>
      <c r="L331" s="3" t="str">
        <f>IF(K331="","",IF(K331="DNS",0,IF(K331="DQ",0,IF(K331="DNF",1,IF(AND(ISNUMBER(K331),K331&gt;59),1,_xlfn.XLOOKUP(K331,tbl_points[Place],tbl_points[Points],""))))))</f>
        <v/>
      </c>
      <c r="N331" s="3" t="str">
        <f>IF(M331="","",IF(M331="DNS",0,IF(M331="DQ",0,IF(M331="DNF",1,IF(AND(ISNUMBER(M331),M331&gt;59),1,_xlfn.XLOOKUP(M331,tbl_points[Place],tbl_points[Points],""))))))</f>
        <v/>
      </c>
      <c r="P331" s="3" t="str">
        <f>IF(O331="","",IF(O331="DNS",0,IF(O331="DQ",0,IF(O331="DNF",1,IF(AND(ISNUMBER(O331),O331&gt;59),1,_xlfn.XLOOKUP(O331,tbl_points[Place],tbl_points[Points],""))))))</f>
        <v/>
      </c>
      <c r="Q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1" s="3">
        <f>tbl_individual[[#This Row],[Total]]-tbl_individual[[#This Row],[Lowest Score]]</f>
        <v>0</v>
      </c>
    </row>
    <row r="332" spans="1:19" x14ac:dyDescent="0.4">
      <c r="A332" t="s">
        <v>371</v>
      </c>
      <c r="B332" t="s">
        <v>31</v>
      </c>
      <c r="C332" t="s">
        <v>6</v>
      </c>
      <c r="D332" s="3">
        <v>934</v>
      </c>
      <c r="F332" s="3" t="str">
        <f>IF(E332="","",IF(E332="DNS",0,IF(E332="DQ",0,IF(E332="DNF",1,IF(AND(ISNUMBER(E332),E332&gt;59),1,_xlfn.XLOOKUP(E332,tbl_points[Place],tbl_points[Points],""))))))</f>
        <v/>
      </c>
      <c r="H332" s="3" t="str">
        <f>IF(G332="","",IF(G332="DNS",0,IF(G332="DQ",0,IF(G332="DNF",1,IF(AND(ISNUMBER(G332),G332&gt;59),1,_xlfn.XLOOKUP(G332,tbl_points[Place],tbl_points[Points],""))))))</f>
        <v/>
      </c>
      <c r="J332" s="3" t="str">
        <f>IF(I332="","",IF(I332="DNS",0,IF(I332="DQ",0,IF(I332="DNF",1,IF(AND(ISNUMBER(I332),I332&gt;59),1,_xlfn.XLOOKUP(I332,tbl_points[Place],tbl_points[Points],""))))))</f>
        <v/>
      </c>
      <c r="L332" s="3" t="str">
        <f>IF(K332="","",IF(K332="DNS",0,IF(K332="DQ",0,IF(K332="DNF",1,IF(AND(ISNUMBER(K332),K332&gt;59),1,_xlfn.XLOOKUP(K332,tbl_points[Place],tbl_points[Points],""))))))</f>
        <v/>
      </c>
      <c r="N332" s="3" t="str">
        <f>IF(M332="","",IF(M332="DNS",0,IF(M332="DQ",0,IF(M332="DNF",1,IF(AND(ISNUMBER(M332),M332&gt;59),1,_xlfn.XLOOKUP(M332,tbl_points[Place],tbl_points[Points],""))))))</f>
        <v/>
      </c>
      <c r="P332" s="3" t="str">
        <f>IF(O332="","",IF(O332="DNS",0,IF(O332="DQ",0,IF(O332="DNF",1,IF(AND(ISNUMBER(O332),O332&gt;59),1,_xlfn.XLOOKUP(O332,tbl_points[Place],tbl_points[Points],""))))))</f>
        <v/>
      </c>
      <c r="Q3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2" s="3">
        <f>tbl_individual[[#This Row],[Total]]-tbl_individual[[#This Row],[Lowest Score]]</f>
        <v>0</v>
      </c>
    </row>
    <row r="333" spans="1:19" x14ac:dyDescent="0.4">
      <c r="A333" t="s">
        <v>391</v>
      </c>
      <c r="B333" t="s">
        <v>31</v>
      </c>
      <c r="C333" t="s">
        <v>1</v>
      </c>
      <c r="D333" s="3">
        <v>12100</v>
      </c>
      <c r="F333" s="3" t="str">
        <f>IF(E333="","",IF(E333="DNS",0,IF(E333="DQ",0,IF(E333="DNF",1,IF(AND(ISNUMBER(E333),E333&gt;59),1,_xlfn.XLOOKUP(E333,tbl_points[Place],tbl_points[Points],""))))))</f>
        <v/>
      </c>
      <c r="H333" s="3" t="str">
        <f>IF(G333="","",IF(G333="DNS",0,IF(G333="DQ",0,IF(G333="DNF",1,IF(AND(ISNUMBER(G333),G333&gt;59),1,_xlfn.XLOOKUP(G333,tbl_points[Place],tbl_points[Points],""))))))</f>
        <v/>
      </c>
      <c r="J333" s="3" t="str">
        <f>IF(I333="","",IF(I333="DNS",0,IF(I333="DQ",0,IF(I333="DNF",1,IF(AND(ISNUMBER(I333),I333&gt;59),1,_xlfn.XLOOKUP(I333,tbl_points[Place],tbl_points[Points],""))))))</f>
        <v/>
      </c>
      <c r="L333" s="3" t="str">
        <f>IF(K333="","",IF(K333="DNS",0,IF(K333="DQ",0,IF(K333="DNF",1,IF(AND(ISNUMBER(K333),K333&gt;59),1,_xlfn.XLOOKUP(K333,tbl_points[Place],tbl_points[Points],""))))))</f>
        <v/>
      </c>
      <c r="N333" s="3" t="str">
        <f>IF(M333="","",IF(M333="DNS",0,IF(M333="DQ",0,IF(M333="DNF",1,IF(AND(ISNUMBER(M333),M333&gt;59),1,_xlfn.XLOOKUP(M333,tbl_points[Place],tbl_points[Points],""))))))</f>
        <v/>
      </c>
      <c r="P333" s="3" t="str">
        <f>IF(O333="","",IF(O333="DNS",0,IF(O333="DQ",0,IF(O333="DNF",1,IF(AND(ISNUMBER(O333),O333&gt;59),1,_xlfn.XLOOKUP(O333,tbl_points[Place],tbl_points[Points],""))))))</f>
        <v/>
      </c>
      <c r="Q3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3" s="3">
        <f>tbl_individual[[#This Row],[Total]]-tbl_individual[[#This Row],[Lowest Score]]</f>
        <v>0</v>
      </c>
    </row>
    <row r="334" spans="1:19" x14ac:dyDescent="0.4">
      <c r="A334" t="s">
        <v>390</v>
      </c>
      <c r="B334" t="s">
        <v>31</v>
      </c>
      <c r="C334" t="s">
        <v>1</v>
      </c>
      <c r="D334" s="3">
        <v>12099</v>
      </c>
      <c r="F334" s="3" t="str">
        <f>IF(E334="","",IF(E334="DNS",0,IF(E334="DQ",0,IF(E334="DNF",1,IF(AND(ISNUMBER(E334),E334&gt;59),1,_xlfn.XLOOKUP(E334,tbl_points[Place],tbl_points[Points],""))))))</f>
        <v/>
      </c>
      <c r="H334" s="3" t="str">
        <f>IF(G334="","",IF(G334="DNS",0,IF(G334="DQ",0,IF(G334="DNF",1,IF(AND(ISNUMBER(G334),G334&gt;59),1,_xlfn.XLOOKUP(G334,tbl_points[Place],tbl_points[Points],""))))))</f>
        <v/>
      </c>
      <c r="J334" s="3" t="str">
        <f>IF(I334="","",IF(I334="DNS",0,IF(I334="DQ",0,IF(I334="DNF",1,IF(AND(ISNUMBER(I334),I334&gt;59),1,_xlfn.XLOOKUP(I334,tbl_points[Place],tbl_points[Points],""))))))</f>
        <v/>
      </c>
      <c r="L334" s="3" t="str">
        <f>IF(K334="","",IF(K334="DNS",0,IF(K334="DQ",0,IF(K334="DNF",1,IF(AND(ISNUMBER(K334),K334&gt;59),1,_xlfn.XLOOKUP(K334,tbl_points[Place],tbl_points[Points],""))))))</f>
        <v/>
      </c>
      <c r="N334" s="3" t="str">
        <f>IF(M334="","",IF(M334="DNS",0,IF(M334="DQ",0,IF(M334="DNF",1,IF(AND(ISNUMBER(M334),M334&gt;59),1,_xlfn.XLOOKUP(M334,tbl_points[Place],tbl_points[Points],""))))))</f>
        <v/>
      </c>
      <c r="P334" s="3" t="str">
        <f>IF(O334="","",IF(O334="DNS",0,IF(O334="DQ",0,IF(O334="DNF",1,IF(AND(ISNUMBER(O334),O334&gt;59),1,_xlfn.XLOOKUP(O334,tbl_points[Place],tbl_points[Points],""))))))</f>
        <v/>
      </c>
      <c r="Q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4" s="3">
        <f>tbl_individual[[#This Row],[Total]]-tbl_individual[[#This Row],[Lowest Score]]</f>
        <v>0</v>
      </c>
    </row>
    <row r="335" spans="1:19" x14ac:dyDescent="0.4">
      <c r="A335" t="s">
        <v>389</v>
      </c>
      <c r="B335" t="s">
        <v>31</v>
      </c>
      <c r="C335" t="s">
        <v>1</v>
      </c>
      <c r="D335" s="3">
        <v>12098</v>
      </c>
      <c r="F335" s="3" t="str">
        <f>IF(E335="","",IF(E335="DNS",0,IF(E335="DQ",0,IF(E335="DNF",1,IF(AND(ISNUMBER(E335),E335&gt;59),1,_xlfn.XLOOKUP(E335,tbl_points[Place],tbl_points[Points],""))))))</f>
        <v/>
      </c>
      <c r="H335" s="3" t="str">
        <f>IF(G335="","",IF(G335="DNS",0,IF(G335="DQ",0,IF(G335="DNF",1,IF(AND(ISNUMBER(G335),G335&gt;59),1,_xlfn.XLOOKUP(G335,tbl_points[Place],tbl_points[Points],""))))))</f>
        <v/>
      </c>
      <c r="J335" s="3" t="str">
        <f>IF(I335="","",IF(I335="DNS",0,IF(I335="DQ",0,IF(I335="DNF",1,IF(AND(ISNUMBER(I335),I335&gt;59),1,_xlfn.XLOOKUP(I335,tbl_points[Place],tbl_points[Points],""))))))</f>
        <v/>
      </c>
      <c r="L335" s="3" t="str">
        <f>IF(K335="","",IF(K335="DNS",0,IF(K335="DQ",0,IF(K335="DNF",1,IF(AND(ISNUMBER(K335),K335&gt;59),1,_xlfn.XLOOKUP(K335,tbl_points[Place],tbl_points[Points],""))))))</f>
        <v/>
      </c>
      <c r="N335" s="3" t="str">
        <f>IF(M335="","",IF(M335="DNS",0,IF(M335="DQ",0,IF(M335="DNF",1,IF(AND(ISNUMBER(M335),M335&gt;59),1,_xlfn.XLOOKUP(M335,tbl_points[Place],tbl_points[Points],""))))))</f>
        <v/>
      </c>
      <c r="P335" s="3" t="str">
        <f>IF(O335="","",IF(O335="DNS",0,IF(O335="DQ",0,IF(O335="DNF",1,IF(AND(ISNUMBER(O335),O335&gt;59),1,_xlfn.XLOOKUP(O335,tbl_points[Place],tbl_points[Points],""))))))</f>
        <v/>
      </c>
      <c r="Q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5" s="3">
        <f>tbl_individual[[#This Row],[Total]]-tbl_individual[[#This Row],[Lowest Score]]</f>
        <v>0</v>
      </c>
    </row>
    <row r="336" spans="1:19" x14ac:dyDescent="0.4">
      <c r="A336" t="s">
        <v>388</v>
      </c>
      <c r="B336" t="s">
        <v>31</v>
      </c>
      <c r="C336" t="s">
        <v>1</v>
      </c>
      <c r="D336" s="3">
        <v>12097</v>
      </c>
      <c r="F336" s="3" t="str">
        <f>IF(E336="","",IF(E336="DNS",0,IF(E336="DQ",0,IF(E336="DNF",1,IF(AND(ISNUMBER(E336),E336&gt;59),1,_xlfn.XLOOKUP(E336,tbl_points[Place],tbl_points[Points],""))))))</f>
        <v/>
      </c>
      <c r="H336" s="3" t="str">
        <f>IF(G336="","",IF(G336="DNS",0,IF(G336="DQ",0,IF(G336="DNF",1,IF(AND(ISNUMBER(G336),G336&gt;59),1,_xlfn.XLOOKUP(G336,tbl_points[Place],tbl_points[Points],""))))))</f>
        <v/>
      </c>
      <c r="J336" s="3" t="str">
        <f>IF(I336="","",IF(I336="DNS",0,IF(I336="DQ",0,IF(I336="DNF",1,IF(AND(ISNUMBER(I336),I336&gt;59),1,_xlfn.XLOOKUP(I336,tbl_points[Place],tbl_points[Points],""))))))</f>
        <v/>
      </c>
      <c r="L336" s="3" t="str">
        <f>IF(K336="","",IF(K336="DNS",0,IF(K336="DQ",0,IF(K336="DNF",1,IF(AND(ISNUMBER(K336),K336&gt;59),1,_xlfn.XLOOKUP(K336,tbl_points[Place],tbl_points[Points],""))))))</f>
        <v/>
      </c>
      <c r="N336" s="3" t="str">
        <f>IF(M336="","",IF(M336="DNS",0,IF(M336="DQ",0,IF(M336="DNF",1,IF(AND(ISNUMBER(M336),M336&gt;59),1,_xlfn.XLOOKUP(M336,tbl_points[Place],tbl_points[Points],""))))))</f>
        <v/>
      </c>
      <c r="P336" s="3" t="str">
        <f>IF(O336="","",IF(O336="DNS",0,IF(O336="DQ",0,IF(O336="DNF",1,IF(AND(ISNUMBER(O336),O336&gt;59),1,_xlfn.XLOOKUP(O336,tbl_points[Place],tbl_points[Points],""))))))</f>
        <v/>
      </c>
      <c r="Q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6" s="3">
        <f>tbl_individual[[#This Row],[Total]]-tbl_individual[[#This Row],[Lowest Score]]</f>
        <v>0</v>
      </c>
    </row>
    <row r="337" spans="1:19" x14ac:dyDescent="0.4">
      <c r="A337" t="s">
        <v>387</v>
      </c>
      <c r="B337" t="s">
        <v>31</v>
      </c>
      <c r="C337" t="s">
        <v>2</v>
      </c>
      <c r="D337" s="3">
        <v>1247</v>
      </c>
      <c r="F337" s="3" t="str">
        <f>IF(E337="","",IF(E337="DNS",0,IF(E337="DQ",0,IF(E337="DNF",1,IF(AND(ISNUMBER(E337),E337&gt;59),1,_xlfn.XLOOKUP(E337,tbl_points[Place],tbl_points[Points],""))))))</f>
        <v/>
      </c>
      <c r="H337" s="3" t="str">
        <f>IF(G337="","",IF(G337="DNS",0,IF(G337="DQ",0,IF(G337="DNF",1,IF(AND(ISNUMBER(G337),G337&gt;59),1,_xlfn.XLOOKUP(G337,tbl_points[Place],tbl_points[Points],""))))))</f>
        <v/>
      </c>
      <c r="J337" s="3" t="str">
        <f>IF(I337="","",IF(I337="DNS",0,IF(I337="DQ",0,IF(I337="DNF",1,IF(AND(ISNUMBER(I337),I337&gt;59),1,_xlfn.XLOOKUP(I337,tbl_points[Place],tbl_points[Points],""))))))</f>
        <v/>
      </c>
      <c r="L337" s="3" t="str">
        <f>IF(K337="","",IF(K337="DNS",0,IF(K337="DQ",0,IF(K337="DNF",1,IF(AND(ISNUMBER(K337),K337&gt;59),1,_xlfn.XLOOKUP(K337,tbl_points[Place],tbl_points[Points],""))))))</f>
        <v/>
      </c>
      <c r="N337" s="3" t="str">
        <f>IF(M337="","",IF(M337="DNS",0,IF(M337="DQ",0,IF(M337="DNF",1,IF(AND(ISNUMBER(M337),M337&gt;59),1,_xlfn.XLOOKUP(M337,tbl_points[Place],tbl_points[Points],""))))))</f>
        <v/>
      </c>
      <c r="P337" s="3" t="str">
        <f>IF(O337="","",IF(O337="DNS",0,IF(O337="DQ",0,IF(O337="DNF",1,IF(AND(ISNUMBER(O337),O337&gt;59),1,_xlfn.XLOOKUP(O337,tbl_points[Place],tbl_points[Points],""))))))</f>
        <v/>
      </c>
      <c r="Q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7" s="3">
        <f>tbl_individual[[#This Row],[Total]]-tbl_individual[[#This Row],[Lowest Score]]</f>
        <v>0</v>
      </c>
    </row>
    <row r="338" spans="1:19" x14ac:dyDescent="0.4">
      <c r="A338" t="s">
        <v>385</v>
      </c>
      <c r="B338" t="s">
        <v>31</v>
      </c>
      <c r="C338" t="s">
        <v>2</v>
      </c>
      <c r="D338" s="3">
        <v>1245</v>
      </c>
      <c r="F338" s="3" t="str">
        <f>IF(E338="","",IF(E338="DNS",0,IF(E338="DQ",0,IF(E338="DNF",1,IF(AND(ISNUMBER(E338),E338&gt;59),1,_xlfn.XLOOKUP(E338,tbl_points[Place],tbl_points[Points],""))))))</f>
        <v/>
      </c>
      <c r="H338" s="3" t="str">
        <f>IF(G338="","",IF(G338="DNS",0,IF(G338="DQ",0,IF(G338="DNF",1,IF(AND(ISNUMBER(G338),G338&gt;59),1,_xlfn.XLOOKUP(G338,tbl_points[Place],tbl_points[Points],""))))))</f>
        <v/>
      </c>
      <c r="J338" s="3" t="str">
        <f>IF(I338="","",IF(I338="DNS",0,IF(I338="DQ",0,IF(I338="DNF",1,IF(AND(ISNUMBER(I338),I338&gt;59),1,_xlfn.XLOOKUP(I338,tbl_points[Place],tbl_points[Points],""))))))</f>
        <v/>
      </c>
      <c r="L338" s="3" t="str">
        <f>IF(K338="","",IF(K338="DNS",0,IF(K338="DQ",0,IF(K338="DNF",1,IF(AND(ISNUMBER(K338),K338&gt;59),1,_xlfn.XLOOKUP(K338,tbl_points[Place],tbl_points[Points],""))))))</f>
        <v/>
      </c>
      <c r="N338" s="3" t="str">
        <f>IF(M338="","",IF(M338="DNS",0,IF(M338="DQ",0,IF(M338="DNF",1,IF(AND(ISNUMBER(M338),M338&gt;59),1,_xlfn.XLOOKUP(M338,tbl_points[Place],tbl_points[Points],""))))))</f>
        <v/>
      </c>
      <c r="P338" s="3" t="str">
        <f>IF(O338="","",IF(O338="DNS",0,IF(O338="DQ",0,IF(O338="DNF",1,IF(AND(ISNUMBER(O338),O338&gt;59),1,_xlfn.XLOOKUP(O338,tbl_points[Place],tbl_points[Points],""))))))</f>
        <v/>
      </c>
      <c r="Q3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8" s="3">
        <f>tbl_individual[[#This Row],[Total]]-tbl_individual[[#This Row],[Lowest Score]]</f>
        <v>0</v>
      </c>
    </row>
    <row r="339" spans="1:19" x14ac:dyDescent="0.4">
      <c r="A339" t="s">
        <v>386</v>
      </c>
      <c r="B339" t="s">
        <v>31</v>
      </c>
      <c r="C339" t="s">
        <v>2</v>
      </c>
      <c r="D339" s="3">
        <v>1246</v>
      </c>
      <c r="F339" s="3" t="str">
        <f>IF(E339="","",IF(E339="DNS",0,IF(E339="DQ",0,IF(E339="DNF",1,IF(AND(ISNUMBER(E339),E339&gt;59),1,_xlfn.XLOOKUP(E339,tbl_points[Place],tbl_points[Points],""))))))</f>
        <v/>
      </c>
      <c r="H339" s="3" t="str">
        <f>IF(G339="","",IF(G339="DNS",0,IF(G339="DQ",0,IF(G339="DNF",1,IF(AND(ISNUMBER(G339),G339&gt;59),1,_xlfn.XLOOKUP(G339,tbl_points[Place],tbl_points[Points],""))))))</f>
        <v/>
      </c>
      <c r="J339" s="3" t="str">
        <f>IF(I339="","",IF(I339="DNS",0,IF(I339="DQ",0,IF(I339="DNF",1,IF(AND(ISNUMBER(I339),I339&gt;59),1,_xlfn.XLOOKUP(I339,tbl_points[Place],tbl_points[Points],""))))))</f>
        <v/>
      </c>
      <c r="L339" s="3" t="str">
        <f>IF(K339="","",IF(K339="DNS",0,IF(K339="DQ",0,IF(K339="DNF",1,IF(AND(ISNUMBER(K339),K339&gt;59),1,_xlfn.XLOOKUP(K339,tbl_points[Place],tbl_points[Points],""))))))</f>
        <v/>
      </c>
      <c r="N339" s="3" t="str">
        <f>IF(M339="","",IF(M339="DNS",0,IF(M339="DQ",0,IF(M339="DNF",1,IF(AND(ISNUMBER(M339),M339&gt;59),1,_xlfn.XLOOKUP(M339,tbl_points[Place],tbl_points[Points],""))))))</f>
        <v/>
      </c>
      <c r="P339" s="3" t="str">
        <f>IF(O339="","",IF(O339="DNS",0,IF(O339="DQ",0,IF(O339="DNF",1,IF(AND(ISNUMBER(O339),O339&gt;59),1,_xlfn.XLOOKUP(O339,tbl_points[Place],tbl_points[Points],""))))))</f>
        <v/>
      </c>
      <c r="Q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9" s="3">
        <f>tbl_individual[[#This Row],[Total]]-tbl_individual[[#This Row],[Lowest Score]]</f>
        <v>0</v>
      </c>
    </row>
    <row r="340" spans="1:19" x14ac:dyDescent="0.4">
      <c r="A340" t="s">
        <v>392</v>
      </c>
      <c r="B340" t="s">
        <v>32</v>
      </c>
      <c r="C340" t="s">
        <v>7</v>
      </c>
      <c r="D340" s="3">
        <v>8084</v>
      </c>
      <c r="F340" s="3" t="str">
        <f>IF(E340="","",IF(E340="DNS",0,IF(E340="DQ",0,IF(E340="DNF",1,IF(AND(ISNUMBER(E340),E340&gt;59),1,_xlfn.XLOOKUP(E340,tbl_points[Place],tbl_points[Points],""))))))</f>
        <v/>
      </c>
      <c r="H340" s="3" t="str">
        <f>IF(G340="","",IF(G340="DNS",0,IF(G340="DQ",0,IF(G340="DNF",1,IF(AND(ISNUMBER(G340),G340&gt;59),1,_xlfn.XLOOKUP(G340,tbl_points[Place],tbl_points[Points],""))))))</f>
        <v/>
      </c>
      <c r="J340" s="3" t="str">
        <f>IF(I340="","",IF(I340="DNS",0,IF(I340="DQ",0,IF(I340="DNF",1,IF(AND(ISNUMBER(I340),I340&gt;59),1,_xlfn.XLOOKUP(I340,tbl_points[Place],tbl_points[Points],""))))))</f>
        <v/>
      </c>
      <c r="L340" s="3" t="str">
        <f>IF(K340="","",IF(K340="DNS",0,IF(K340="DQ",0,IF(K340="DNF",1,IF(AND(ISNUMBER(K340),K340&gt;59),1,_xlfn.XLOOKUP(K340,tbl_points[Place],tbl_points[Points],""))))))</f>
        <v/>
      </c>
      <c r="N340" s="3" t="str">
        <f>IF(M340="","",IF(M340="DNS",0,IF(M340="DQ",0,IF(M340="DNF",1,IF(AND(ISNUMBER(M340),M340&gt;59),1,_xlfn.XLOOKUP(M340,tbl_points[Place],tbl_points[Points],""))))))</f>
        <v/>
      </c>
      <c r="P340" s="3" t="str">
        <f>IF(O340="","",IF(O340="DNS",0,IF(O340="DQ",0,IF(O340="DNF",1,IF(AND(ISNUMBER(O340),O340&gt;59),1,_xlfn.XLOOKUP(O340,tbl_points[Place],tbl_points[Points],""))))))</f>
        <v/>
      </c>
      <c r="Q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0" s="3">
        <f>tbl_individual[[#This Row],[Total]]-tbl_individual[[#This Row],[Lowest Score]]</f>
        <v>0</v>
      </c>
    </row>
    <row r="341" spans="1:19" x14ac:dyDescent="0.4">
      <c r="A341" t="s">
        <v>396</v>
      </c>
      <c r="B341" t="s">
        <v>32</v>
      </c>
      <c r="C341" t="s">
        <v>3</v>
      </c>
      <c r="D341" s="3">
        <v>10202</v>
      </c>
      <c r="F341" s="3" t="str">
        <f>IF(E341="","",IF(E341="DNS",0,IF(E341="DQ",0,IF(E341="DNF",1,IF(AND(ISNUMBER(E341),E341&gt;59),1,_xlfn.XLOOKUP(E341,tbl_points[Place],tbl_points[Points],""))))))</f>
        <v/>
      </c>
      <c r="H341" s="3" t="str">
        <f>IF(G341="","",IF(G341="DNS",0,IF(G341="DQ",0,IF(G341="DNF",1,IF(AND(ISNUMBER(G341),G341&gt;59),1,_xlfn.XLOOKUP(G341,tbl_points[Place],tbl_points[Points],""))))))</f>
        <v/>
      </c>
      <c r="J341" s="3" t="str">
        <f>IF(I341="","",IF(I341="DNS",0,IF(I341="DQ",0,IF(I341="DNF",1,IF(AND(ISNUMBER(I341),I341&gt;59),1,_xlfn.XLOOKUP(I341,tbl_points[Place],tbl_points[Points],""))))))</f>
        <v/>
      </c>
      <c r="L341" s="3" t="str">
        <f>IF(K341="","",IF(K341="DNS",0,IF(K341="DQ",0,IF(K341="DNF",1,IF(AND(ISNUMBER(K341),K341&gt;59),1,_xlfn.XLOOKUP(K341,tbl_points[Place],tbl_points[Points],""))))))</f>
        <v/>
      </c>
      <c r="N341" s="3" t="str">
        <f>IF(M341="","",IF(M341="DNS",0,IF(M341="DQ",0,IF(M341="DNF",1,IF(AND(ISNUMBER(M341),M341&gt;59),1,_xlfn.XLOOKUP(M341,tbl_points[Place],tbl_points[Points],""))))))</f>
        <v/>
      </c>
      <c r="P341" s="3" t="str">
        <f>IF(O341="","",IF(O341="DNS",0,IF(O341="DQ",0,IF(O341="DNF",1,IF(AND(ISNUMBER(O341),O341&gt;59),1,_xlfn.XLOOKUP(O341,tbl_points[Place],tbl_points[Points],""))))))</f>
        <v/>
      </c>
      <c r="Q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1" s="3">
        <f>tbl_individual[[#This Row],[Total]]-tbl_individual[[#This Row],[Lowest Score]]</f>
        <v>0</v>
      </c>
    </row>
    <row r="342" spans="1:19" x14ac:dyDescent="0.4">
      <c r="A342" t="s">
        <v>397</v>
      </c>
      <c r="B342" t="s">
        <v>32</v>
      </c>
      <c r="C342" t="s">
        <v>4</v>
      </c>
      <c r="D342" s="3">
        <v>1044</v>
      </c>
      <c r="F342" s="3" t="str">
        <f>IF(E342="","",IF(E342="DNS",0,IF(E342="DQ",0,IF(E342="DNF",1,IF(AND(ISNUMBER(E342),E342&gt;59),1,_xlfn.XLOOKUP(E342,tbl_points[Place],tbl_points[Points],""))))))</f>
        <v/>
      </c>
      <c r="H342" s="3" t="str">
        <f>IF(G342="","",IF(G342="DNS",0,IF(G342="DQ",0,IF(G342="DNF",1,IF(AND(ISNUMBER(G342),G342&gt;59),1,_xlfn.XLOOKUP(G342,tbl_points[Place],tbl_points[Points],""))))))</f>
        <v/>
      </c>
      <c r="J342" s="3" t="str">
        <f>IF(I342="","",IF(I342="DNS",0,IF(I342="DQ",0,IF(I342="DNF",1,IF(AND(ISNUMBER(I342),I342&gt;59),1,_xlfn.XLOOKUP(I342,tbl_points[Place],tbl_points[Points],""))))))</f>
        <v/>
      </c>
      <c r="L342" s="3" t="str">
        <f>IF(K342="","",IF(K342="DNS",0,IF(K342="DQ",0,IF(K342="DNF",1,IF(AND(ISNUMBER(K342),K342&gt;59),1,_xlfn.XLOOKUP(K342,tbl_points[Place],tbl_points[Points],""))))))</f>
        <v/>
      </c>
      <c r="N342" s="3" t="str">
        <f>IF(M342="","",IF(M342="DNS",0,IF(M342="DQ",0,IF(M342="DNF",1,IF(AND(ISNUMBER(M342),M342&gt;59),1,_xlfn.XLOOKUP(M342,tbl_points[Place],tbl_points[Points],""))))))</f>
        <v/>
      </c>
      <c r="P342" s="3" t="str">
        <f>IF(O342="","",IF(O342="DNS",0,IF(O342="DQ",0,IF(O342="DNF",1,IF(AND(ISNUMBER(O342),O342&gt;59),1,_xlfn.XLOOKUP(O342,tbl_points[Place],tbl_points[Points],""))))))</f>
        <v/>
      </c>
      <c r="Q3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2" s="3">
        <f>tbl_individual[[#This Row],[Total]]-tbl_individual[[#This Row],[Lowest Score]]</f>
        <v>0</v>
      </c>
    </row>
    <row r="343" spans="1:19" x14ac:dyDescent="0.4">
      <c r="A343" t="s">
        <v>394</v>
      </c>
      <c r="B343" t="s">
        <v>32</v>
      </c>
      <c r="C343" t="s">
        <v>5</v>
      </c>
      <c r="D343" s="3">
        <v>953</v>
      </c>
      <c r="F343" s="3" t="str">
        <f>IF(E343="","",IF(E343="DNS",0,IF(E343="DQ",0,IF(E343="DNF",1,IF(AND(ISNUMBER(E343),E343&gt;59),1,_xlfn.XLOOKUP(E343,tbl_points[Place],tbl_points[Points],""))))))</f>
        <v/>
      </c>
      <c r="H343" s="3" t="str">
        <f>IF(G343="","",IF(G343="DNS",0,IF(G343="DQ",0,IF(G343="DNF",1,IF(AND(ISNUMBER(G343),G343&gt;59),1,_xlfn.XLOOKUP(G343,tbl_points[Place],tbl_points[Points],""))))))</f>
        <v/>
      </c>
      <c r="J343" s="3" t="str">
        <f>IF(I343="","",IF(I343="DNS",0,IF(I343="DQ",0,IF(I343="DNF",1,IF(AND(ISNUMBER(I343),I343&gt;59),1,_xlfn.XLOOKUP(I343,tbl_points[Place],tbl_points[Points],""))))))</f>
        <v/>
      </c>
      <c r="L343" s="3" t="str">
        <f>IF(K343="","",IF(K343="DNS",0,IF(K343="DQ",0,IF(K343="DNF",1,IF(AND(ISNUMBER(K343),K343&gt;59),1,_xlfn.XLOOKUP(K343,tbl_points[Place],tbl_points[Points],""))))))</f>
        <v/>
      </c>
      <c r="N343" s="3" t="str">
        <f>IF(M343="","",IF(M343="DNS",0,IF(M343="DQ",0,IF(M343="DNF",1,IF(AND(ISNUMBER(M343),M343&gt;59),1,_xlfn.XLOOKUP(M343,tbl_points[Place],tbl_points[Points],""))))))</f>
        <v/>
      </c>
      <c r="P343" s="3" t="str">
        <f>IF(O343="","",IF(O343="DNS",0,IF(O343="DQ",0,IF(O343="DNF",1,IF(AND(ISNUMBER(O343),O343&gt;59),1,_xlfn.XLOOKUP(O343,tbl_points[Place],tbl_points[Points],""))))))</f>
        <v/>
      </c>
      <c r="Q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3" s="3">
        <f>tbl_individual[[#This Row],[Total]]-tbl_individual[[#This Row],[Lowest Score]]</f>
        <v>0</v>
      </c>
    </row>
    <row r="344" spans="1:19" x14ac:dyDescent="0.4">
      <c r="A344" t="s">
        <v>393</v>
      </c>
      <c r="B344" t="s">
        <v>32</v>
      </c>
      <c r="C344" t="s">
        <v>5</v>
      </c>
      <c r="D344" s="3">
        <v>952</v>
      </c>
      <c r="F344" s="3" t="str">
        <f>IF(E344="","",IF(E344="DNS",0,IF(E344="DQ",0,IF(E344="DNF",1,IF(AND(ISNUMBER(E344),E344&gt;59),1,_xlfn.XLOOKUP(E344,tbl_points[Place],tbl_points[Points],""))))))</f>
        <v/>
      </c>
      <c r="H344" s="3" t="str">
        <f>IF(G344="","",IF(G344="DNS",0,IF(G344="DQ",0,IF(G344="DNF",1,IF(AND(ISNUMBER(G344),G344&gt;59),1,_xlfn.XLOOKUP(G344,tbl_points[Place],tbl_points[Points],""))))))</f>
        <v/>
      </c>
      <c r="J344" s="3" t="str">
        <f>IF(I344="","",IF(I344="DNS",0,IF(I344="DQ",0,IF(I344="DNF",1,IF(AND(ISNUMBER(I344),I344&gt;59),1,_xlfn.XLOOKUP(I344,tbl_points[Place],tbl_points[Points],""))))))</f>
        <v/>
      </c>
      <c r="L344" s="3" t="str">
        <f>IF(K344="","",IF(K344="DNS",0,IF(K344="DQ",0,IF(K344="DNF",1,IF(AND(ISNUMBER(K344),K344&gt;59),1,_xlfn.XLOOKUP(K344,tbl_points[Place],tbl_points[Points],""))))))</f>
        <v/>
      </c>
      <c r="N344" s="3" t="str">
        <f>IF(M344="","",IF(M344="DNS",0,IF(M344="DQ",0,IF(M344="DNF",1,IF(AND(ISNUMBER(M344),M344&gt;59),1,_xlfn.XLOOKUP(M344,tbl_points[Place],tbl_points[Points],""))))))</f>
        <v/>
      </c>
      <c r="P344" s="3" t="str">
        <f>IF(O344="","",IF(O344="DNS",0,IF(O344="DQ",0,IF(O344="DNF",1,IF(AND(ISNUMBER(O344),O344&gt;59),1,_xlfn.XLOOKUP(O344,tbl_points[Place],tbl_points[Points],""))))))</f>
        <v/>
      </c>
      <c r="Q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4" s="3">
        <f>tbl_individual[[#This Row],[Total]]-tbl_individual[[#This Row],[Lowest Score]]</f>
        <v>0</v>
      </c>
    </row>
    <row r="345" spans="1:19" x14ac:dyDescent="0.4">
      <c r="A345" t="s">
        <v>395</v>
      </c>
      <c r="B345" t="s">
        <v>32</v>
      </c>
      <c r="C345" t="s">
        <v>5</v>
      </c>
      <c r="D345" s="3">
        <v>954</v>
      </c>
      <c r="F345" s="3" t="str">
        <f>IF(E345="","",IF(E345="DNS",0,IF(E345="DQ",0,IF(E345="DNF",1,IF(AND(ISNUMBER(E345),E345&gt;59),1,_xlfn.XLOOKUP(E345,tbl_points[Place],tbl_points[Points],""))))))</f>
        <v/>
      </c>
      <c r="H345" s="3" t="str">
        <f>IF(G345="","",IF(G345="DNS",0,IF(G345="DQ",0,IF(G345="DNF",1,IF(AND(ISNUMBER(G345),G345&gt;59),1,_xlfn.XLOOKUP(G345,tbl_points[Place],tbl_points[Points],""))))))</f>
        <v/>
      </c>
      <c r="J345" s="3" t="str">
        <f>IF(I345="","",IF(I345="DNS",0,IF(I345="DQ",0,IF(I345="DNF",1,IF(AND(ISNUMBER(I345),I345&gt;59),1,_xlfn.XLOOKUP(I345,tbl_points[Place],tbl_points[Points],""))))))</f>
        <v/>
      </c>
      <c r="L345" s="3" t="str">
        <f>IF(K345="","",IF(K345="DNS",0,IF(K345="DQ",0,IF(K345="DNF",1,IF(AND(ISNUMBER(K345),K345&gt;59),1,_xlfn.XLOOKUP(K345,tbl_points[Place],tbl_points[Points],""))))))</f>
        <v/>
      </c>
      <c r="N345" s="3" t="str">
        <f>IF(M345="","",IF(M345="DNS",0,IF(M345="DQ",0,IF(M345="DNF",1,IF(AND(ISNUMBER(M345),M345&gt;59),1,_xlfn.XLOOKUP(M345,tbl_points[Place],tbl_points[Points],""))))))</f>
        <v/>
      </c>
      <c r="P345" s="3" t="str">
        <f>IF(O345="","",IF(O345="DNS",0,IF(O345="DQ",0,IF(O345="DNF",1,IF(AND(ISNUMBER(O345),O345&gt;59),1,_xlfn.XLOOKUP(O345,tbl_points[Place],tbl_points[Points],""))))))</f>
        <v/>
      </c>
      <c r="Q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5" s="3">
        <f>tbl_individual[[#This Row],[Total]]-tbl_individual[[#This Row],[Lowest Score]]</f>
        <v>0</v>
      </c>
    </row>
    <row r="346" spans="1:19" x14ac:dyDescent="0.4">
      <c r="A346" t="s">
        <v>399</v>
      </c>
      <c r="B346" t="s">
        <v>32</v>
      </c>
      <c r="C346" t="s">
        <v>1</v>
      </c>
      <c r="D346" s="3">
        <v>12102</v>
      </c>
      <c r="F346" s="3" t="str">
        <f>IF(E346="","",IF(E346="DNS",0,IF(E346="DQ",0,IF(E346="DNF",1,IF(AND(ISNUMBER(E346),E346&gt;59),1,_xlfn.XLOOKUP(E346,tbl_points[Place],tbl_points[Points],""))))))</f>
        <v/>
      </c>
      <c r="H346" s="3" t="str">
        <f>IF(G346="","",IF(G346="DNS",0,IF(G346="DQ",0,IF(G346="DNF",1,IF(AND(ISNUMBER(G346),G346&gt;59),1,_xlfn.XLOOKUP(G346,tbl_points[Place],tbl_points[Points],""))))))</f>
        <v/>
      </c>
      <c r="J346" s="3" t="str">
        <f>IF(I346="","",IF(I346="DNS",0,IF(I346="DQ",0,IF(I346="DNF",1,IF(AND(ISNUMBER(I346),I346&gt;59),1,_xlfn.XLOOKUP(I346,tbl_points[Place],tbl_points[Points],""))))))</f>
        <v/>
      </c>
      <c r="L346" s="3" t="str">
        <f>IF(K346="","",IF(K346="DNS",0,IF(K346="DQ",0,IF(K346="DNF",1,IF(AND(ISNUMBER(K346),K346&gt;59),1,_xlfn.XLOOKUP(K346,tbl_points[Place],tbl_points[Points],""))))))</f>
        <v/>
      </c>
      <c r="N346" s="3" t="str">
        <f>IF(M346="","",IF(M346="DNS",0,IF(M346="DQ",0,IF(M346="DNF",1,IF(AND(ISNUMBER(M346),M346&gt;59),1,_xlfn.XLOOKUP(M346,tbl_points[Place],tbl_points[Points],""))))))</f>
        <v/>
      </c>
      <c r="P346" s="3" t="str">
        <f>IF(O346="","",IF(O346="DNS",0,IF(O346="DQ",0,IF(O346="DNF",1,IF(AND(ISNUMBER(O346),O346&gt;59),1,_xlfn.XLOOKUP(O346,tbl_points[Place],tbl_points[Points],""))))))</f>
        <v/>
      </c>
      <c r="Q3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6" s="3">
        <f>tbl_individual[[#This Row],[Total]]-tbl_individual[[#This Row],[Lowest Score]]</f>
        <v>0</v>
      </c>
    </row>
    <row r="347" spans="1:19" x14ac:dyDescent="0.4">
      <c r="A347" t="s">
        <v>398</v>
      </c>
      <c r="B347" t="s">
        <v>32</v>
      </c>
      <c r="C347" t="s">
        <v>1</v>
      </c>
      <c r="D347" s="3">
        <v>12101</v>
      </c>
      <c r="F347" s="3" t="str">
        <f>IF(E347="","",IF(E347="DNS",0,IF(E347="DQ",0,IF(E347="DNF",1,IF(AND(ISNUMBER(E347),E347&gt;59),1,_xlfn.XLOOKUP(E347,tbl_points[Place],tbl_points[Points],""))))))</f>
        <v/>
      </c>
      <c r="H347" s="3" t="str">
        <f>IF(G347="","",IF(G347="DNS",0,IF(G347="DQ",0,IF(G347="DNF",1,IF(AND(ISNUMBER(G347),G347&gt;59),1,_xlfn.XLOOKUP(G347,tbl_points[Place],tbl_points[Points],""))))))</f>
        <v/>
      </c>
      <c r="J347" s="3" t="str">
        <f>IF(I347="","",IF(I347="DNS",0,IF(I347="DQ",0,IF(I347="DNF",1,IF(AND(ISNUMBER(I347),I347&gt;59),1,_xlfn.XLOOKUP(I347,tbl_points[Place],tbl_points[Points],""))))))</f>
        <v/>
      </c>
      <c r="L347" s="3" t="str">
        <f>IF(K347="","",IF(K347="DNS",0,IF(K347="DQ",0,IF(K347="DNF",1,IF(AND(ISNUMBER(K347),K347&gt;59),1,_xlfn.XLOOKUP(K347,tbl_points[Place],tbl_points[Points],""))))))</f>
        <v/>
      </c>
      <c r="N347" s="3" t="str">
        <f>IF(M347="","",IF(M347="DNS",0,IF(M347="DQ",0,IF(M347="DNF",1,IF(AND(ISNUMBER(M347),M347&gt;59),1,_xlfn.XLOOKUP(M347,tbl_points[Place],tbl_points[Points],""))))))</f>
        <v/>
      </c>
      <c r="P347" s="3" t="str">
        <f>IF(O347="","",IF(O347="DNS",0,IF(O347="DQ",0,IF(O347="DNF",1,IF(AND(ISNUMBER(O347),O347&gt;59),1,_xlfn.XLOOKUP(O347,tbl_points[Place],tbl_points[Points],""))))))</f>
        <v/>
      </c>
      <c r="Q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7" s="3">
        <f>tbl_individual[[#This Row],[Total]]-tbl_individual[[#This Row],[Lowest Score]]</f>
        <v>0</v>
      </c>
    </row>
    <row r="348" spans="1:19" x14ac:dyDescent="0.4">
      <c r="A348" t="s">
        <v>400</v>
      </c>
      <c r="B348" t="s">
        <v>32</v>
      </c>
      <c r="C348" t="s">
        <v>2</v>
      </c>
      <c r="D348" s="3">
        <v>1248</v>
      </c>
      <c r="F348" s="3" t="str">
        <f>IF(E348="","",IF(E348="DNS",0,IF(E348="DQ",0,IF(E348="DNF",1,IF(AND(ISNUMBER(E348),E348&gt;59),1,_xlfn.XLOOKUP(E348,tbl_points[Place],tbl_points[Points],""))))))</f>
        <v/>
      </c>
      <c r="H348" s="3" t="str">
        <f>IF(G348="","",IF(G348="DNS",0,IF(G348="DQ",0,IF(G348="DNF",1,IF(AND(ISNUMBER(G348),G348&gt;59),1,_xlfn.XLOOKUP(G348,tbl_points[Place],tbl_points[Points],""))))))</f>
        <v/>
      </c>
      <c r="J348" s="3" t="str">
        <f>IF(I348="","",IF(I348="DNS",0,IF(I348="DQ",0,IF(I348="DNF",1,IF(AND(ISNUMBER(I348),I348&gt;59),1,_xlfn.XLOOKUP(I348,tbl_points[Place],tbl_points[Points],""))))))</f>
        <v/>
      </c>
      <c r="L348" s="3" t="str">
        <f>IF(K348="","",IF(K348="DNS",0,IF(K348="DQ",0,IF(K348="DNF",1,IF(AND(ISNUMBER(K348),K348&gt;59),1,_xlfn.XLOOKUP(K348,tbl_points[Place],tbl_points[Points],""))))))</f>
        <v/>
      </c>
      <c r="N348" s="3" t="str">
        <f>IF(M348="","",IF(M348="DNS",0,IF(M348="DQ",0,IF(M348="DNF",1,IF(AND(ISNUMBER(M348),M348&gt;59),1,_xlfn.XLOOKUP(M348,tbl_points[Place],tbl_points[Points],""))))))</f>
        <v/>
      </c>
      <c r="P348" s="3" t="str">
        <f>IF(O348="","",IF(O348="DNS",0,IF(O348="DQ",0,IF(O348="DNF",1,IF(AND(ISNUMBER(O348),O348&gt;59),1,_xlfn.XLOOKUP(O348,tbl_points[Place],tbl_points[Points],""))))))</f>
        <v/>
      </c>
      <c r="Q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8" s="3">
        <f>tbl_individual[[#This Row],[Total]]-tbl_individual[[#This Row],[Lowest Score]]</f>
        <v>0</v>
      </c>
    </row>
    <row r="349" spans="1:19" x14ac:dyDescent="0.4">
      <c r="A349" t="s">
        <v>401</v>
      </c>
      <c r="B349" t="s">
        <v>32</v>
      </c>
      <c r="C349" t="s">
        <v>2</v>
      </c>
      <c r="D349" s="3">
        <v>1249</v>
      </c>
      <c r="F349" s="3" t="str">
        <f>IF(E349="","",IF(E349="DNS",0,IF(E349="DQ",0,IF(E349="DNF",1,IF(AND(ISNUMBER(E349),E349&gt;59),1,_xlfn.XLOOKUP(E349,tbl_points[Place],tbl_points[Points],""))))))</f>
        <v/>
      </c>
      <c r="H349" s="3" t="str">
        <f>IF(G349="","",IF(G349="DNS",0,IF(G349="DQ",0,IF(G349="DNF",1,IF(AND(ISNUMBER(G349),G349&gt;59),1,_xlfn.XLOOKUP(G349,tbl_points[Place],tbl_points[Points],""))))))</f>
        <v/>
      </c>
      <c r="J349" s="3" t="str">
        <f>IF(I349="","",IF(I349="DNS",0,IF(I349="DQ",0,IF(I349="DNF",1,IF(AND(ISNUMBER(I349),I349&gt;59),1,_xlfn.XLOOKUP(I349,tbl_points[Place],tbl_points[Points],""))))))</f>
        <v/>
      </c>
      <c r="L349" s="3" t="str">
        <f>IF(K349="","",IF(K349="DNS",0,IF(K349="DQ",0,IF(K349="DNF",1,IF(AND(ISNUMBER(K349),K349&gt;59),1,_xlfn.XLOOKUP(K349,tbl_points[Place],tbl_points[Points],""))))))</f>
        <v/>
      </c>
      <c r="N349" s="3" t="str">
        <f>IF(M349="","",IF(M349="DNS",0,IF(M349="DQ",0,IF(M349="DNF",1,IF(AND(ISNUMBER(M349),M349&gt;59),1,_xlfn.XLOOKUP(M349,tbl_points[Place],tbl_points[Points],""))))))</f>
        <v/>
      </c>
      <c r="P349" s="3" t="str">
        <f>IF(O349="","",IF(O349="DNS",0,IF(O349="DQ",0,IF(O349="DNF",1,IF(AND(ISNUMBER(O349),O349&gt;59),1,_xlfn.XLOOKUP(O349,tbl_points[Place],tbl_points[Points],""))))))</f>
        <v/>
      </c>
      <c r="Q3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9" s="3">
        <f>tbl_individual[[#This Row],[Total]]-tbl_individual[[#This Row],[Lowest Score]]</f>
        <v>0</v>
      </c>
    </row>
  </sheetData>
  <conditionalFormatting sqref="D2:D384">
    <cfRule type="expression" dxfId="7" priority="1">
      <formula>$C2="Bant Boys"</formula>
    </cfRule>
    <cfRule type="expression" dxfId="6" priority="2">
      <formula>$C2="Bant Girls"</formula>
    </cfRule>
    <cfRule type="expression" dxfId="5" priority="3">
      <formula>$C2="Juv Girls"</formula>
    </cfRule>
    <cfRule type="expression" dxfId="4" priority="4">
      <formula>$C2="Juv Boys"</formula>
    </cfRule>
    <cfRule type="expression" dxfId="3" priority="5">
      <formula>$C2="Jr Girls"</formula>
    </cfRule>
    <cfRule type="expression" dxfId="2" priority="6">
      <formula>$C2="Jr Boys"</formula>
    </cfRule>
    <cfRule type="expression" dxfId="1" priority="7">
      <formula>$C2="Sr Boys"</formula>
    </cfRule>
    <cfRule type="expression" dxfId="0" priority="8">
      <formula>$C2="Sr Girls"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E73A58-E06A-4729-ABD9-CA136ACD767B}">
          <x14:formula1>
            <xm:f>helper!$B$2:$B$24</xm:f>
          </x14:formula1>
          <xm:sqref>B2:B349</xm:sqref>
        </x14:dataValidation>
        <x14:dataValidation type="list" allowBlank="1" showInputMessage="1" showErrorMessage="1" xr:uid="{D143BE4B-2ABD-4071-9EA1-71E4DA942A1C}">
          <x14:formula1>
            <xm:f>helper!$A$2:$A$9</xm:f>
          </x14:formula1>
          <xm:sqref>C2:C349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sqref="A1:I2"/>
    </sheetView>
  </sheetViews>
  <sheetFormatPr defaultRowHeight="16.8" x14ac:dyDescent="0.4"/>
  <cols>
    <col min="1" max="1" width="16.19921875" customWidth="1"/>
    <col min="2" max="2" width="12.09765625" customWidth="1"/>
    <col min="3" max="9" width="8.796875" style="3"/>
  </cols>
  <sheetData>
    <row r="1" spans="1:9" s="1" customFormat="1" x14ac:dyDescent="0.4">
      <c r="A1" s="1" t="s">
        <v>37</v>
      </c>
      <c r="B1" s="1" t="s">
        <v>36</v>
      </c>
      <c r="C1" s="2" t="s">
        <v>402</v>
      </c>
      <c r="D1" s="2" t="s">
        <v>403</v>
      </c>
      <c r="E1" s="2" t="s">
        <v>404</v>
      </c>
      <c r="F1" s="2" t="s">
        <v>405</v>
      </c>
      <c r="G1" s="2" t="s">
        <v>406</v>
      </c>
      <c r="H1" s="2" t="s">
        <v>407</v>
      </c>
      <c r="I1" s="2" t="s">
        <v>51</v>
      </c>
    </row>
    <row r="2" spans="1:9" x14ac:dyDescent="0.4">
      <c r="A2" t="s">
        <v>7</v>
      </c>
      <c r="B2" t="s">
        <v>11</v>
      </c>
      <c r="C2" s="3" t="str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" s="3" t="str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0</v>
      </c>
    </row>
    <row r="3" spans="1:9" x14ac:dyDescent="0.4">
      <c r="A3" t="s">
        <v>3</v>
      </c>
      <c r="B3" t="s">
        <v>11</v>
      </c>
      <c r="C3" s="3" t="str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0</v>
      </c>
    </row>
    <row r="4" spans="1:9" x14ac:dyDescent="0.4">
      <c r="A4" t="s">
        <v>408</v>
      </c>
      <c r="B4" t="s">
        <v>11</v>
      </c>
      <c r="C4" s="3" t="str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" s="3" t="str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" s="3">
        <f>SUM(tbl_teampoints[[#This Row],[Race 1]]:tbl_teampoints[[#This Row],[Race 6]])</f>
        <v>0</v>
      </c>
    </row>
    <row r="5" spans="1:9" x14ac:dyDescent="0.4">
      <c r="A5" t="s">
        <v>5</v>
      </c>
      <c r="B5" t="s">
        <v>11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t="str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5" s="3" t="str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5" s="3" t="str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5" s="3" t="str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5" s="3">
        <f>SUM(tbl_teampoints[[#This Row],[Race 1]]:tbl_teampoints[[#This Row],[Race 6]])</f>
        <v>0</v>
      </c>
    </row>
    <row r="6" spans="1:9" x14ac:dyDescent="0.4">
      <c r="A6" t="s">
        <v>409</v>
      </c>
      <c r="B6" t="s">
        <v>11</v>
      </c>
      <c r="C6" s="3" t="str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0</v>
      </c>
    </row>
    <row r="7" spans="1:9" x14ac:dyDescent="0.4">
      <c r="A7" t="s">
        <v>1</v>
      </c>
      <c r="B7" t="s">
        <v>11</v>
      </c>
      <c r="C7" s="3" t="str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7" s="3" t="str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7" s="3" t="str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7" s="3" t="str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7" s="3">
        <f>SUM(tbl_teampoints[[#This Row],[Race 1]]:tbl_teampoints[[#This Row],[Race 6]])</f>
        <v>0</v>
      </c>
    </row>
    <row r="8" spans="1:9" x14ac:dyDescent="0.4">
      <c r="A8" t="s">
        <v>3</v>
      </c>
      <c r="B8" t="s">
        <v>12</v>
      </c>
      <c r="C8" s="3" t="str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0</v>
      </c>
    </row>
    <row r="9" spans="1:9" x14ac:dyDescent="0.4">
      <c r="A9" t="s">
        <v>1</v>
      </c>
      <c r="B9" t="s">
        <v>13</v>
      </c>
      <c r="C9" s="3" t="str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0</v>
      </c>
    </row>
    <row r="10" spans="1:9" x14ac:dyDescent="0.4">
      <c r="A10" t="s">
        <v>1</v>
      </c>
      <c r="B10" t="s">
        <v>14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408</v>
      </c>
      <c r="B11" t="s">
        <v>14</v>
      </c>
      <c r="C11" s="3" t="str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0</v>
      </c>
    </row>
    <row r="12" spans="1:9" x14ac:dyDescent="0.4">
      <c r="A12" t="s">
        <v>7</v>
      </c>
      <c r="B12" t="s">
        <v>16</v>
      </c>
      <c r="C12" s="3" t="str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2" s="3" t="str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2" s="3" t="str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2" s="3" t="str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2" s="3">
        <f>SUM(tbl_teampoints[[#This Row],[Race 1]]:tbl_teampoints[[#This Row],[Race 6]])</f>
        <v>0</v>
      </c>
    </row>
    <row r="13" spans="1:9" x14ac:dyDescent="0.4">
      <c r="A13" t="s">
        <v>409</v>
      </c>
      <c r="B13" t="s">
        <v>16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5</v>
      </c>
      <c r="B14" t="s">
        <v>17</v>
      </c>
      <c r="C14" s="3" t="str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0</v>
      </c>
    </row>
    <row r="15" spans="1:9" x14ac:dyDescent="0.4">
      <c r="A15" t="s">
        <v>7</v>
      </c>
      <c r="B15" t="s">
        <v>18</v>
      </c>
      <c r="C15" s="3" t="str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0</v>
      </c>
    </row>
    <row r="16" spans="1:9" x14ac:dyDescent="0.4">
      <c r="A16" t="s">
        <v>409</v>
      </c>
      <c r="B16" t="s">
        <v>18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6" s="3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6" s="3">
        <f>SUM(tbl_teampoints[[#This Row],[Race 1]]:tbl_teampoints[[#This Row],[Race 6]])</f>
        <v>0</v>
      </c>
    </row>
    <row r="17" spans="1:9" x14ac:dyDescent="0.4">
      <c r="A17" t="s">
        <v>5</v>
      </c>
      <c r="B17" t="s">
        <v>18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7" s="3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7" s="3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7" s="3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7" s="3">
        <f>SUM(tbl_teampoints[[#This Row],[Race 1]]:tbl_teampoints[[#This Row],[Race 6]])</f>
        <v>0</v>
      </c>
    </row>
    <row r="18" spans="1:9" x14ac:dyDescent="0.4">
      <c r="A18" t="s">
        <v>7</v>
      </c>
      <c r="B18" t="s">
        <v>19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8" s="3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8" s="3">
        <f>SUM(tbl_teampoints[[#This Row],[Race 1]]:tbl_teampoints[[#This Row],[Race 6]])</f>
        <v>0</v>
      </c>
    </row>
    <row r="19" spans="1:9" x14ac:dyDescent="0.4">
      <c r="A19" t="s">
        <v>7</v>
      </c>
      <c r="B19" t="s">
        <v>21</v>
      </c>
      <c r="C19" s="3" t="str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0</v>
      </c>
    </row>
    <row r="20" spans="1:9" x14ac:dyDescent="0.4">
      <c r="A20" t="s">
        <v>3</v>
      </c>
      <c r="B20" t="s">
        <v>21</v>
      </c>
      <c r="C20" s="3" t="str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0</v>
      </c>
    </row>
    <row r="21" spans="1:9" x14ac:dyDescent="0.4">
      <c r="A21" t="s">
        <v>5</v>
      </c>
      <c r="B21" t="s">
        <v>21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0</v>
      </c>
    </row>
    <row r="22" spans="1:9" x14ac:dyDescent="0.4">
      <c r="A22" t="s">
        <v>1</v>
      </c>
      <c r="B22" t="s">
        <v>21</v>
      </c>
      <c r="C22" s="3" t="str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0</v>
      </c>
    </row>
    <row r="23" spans="1:9" x14ac:dyDescent="0.4">
      <c r="A23" t="s">
        <v>408</v>
      </c>
      <c r="B23" t="s">
        <v>21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3" s="3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3" s="3">
        <f>SUM(tbl_teampoints[[#This Row],[Race 1]]:tbl_teampoints[[#This Row],[Race 6]])</f>
        <v>0</v>
      </c>
    </row>
    <row r="24" spans="1:9" x14ac:dyDescent="0.4">
      <c r="A24" t="s">
        <v>3</v>
      </c>
      <c r="B24" t="s">
        <v>22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t="str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4" s="3" t="str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4" s="3" t="str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4" s="3" t="str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4" s="3">
        <f>SUM(tbl_teampoints[[#This Row],[Race 1]]:tbl_teampoints[[#This Row],[Race 6]])</f>
        <v>0</v>
      </c>
    </row>
    <row r="25" spans="1:9" x14ac:dyDescent="0.4">
      <c r="A25" t="s">
        <v>408</v>
      </c>
      <c r="B25" t="s">
        <v>22</v>
      </c>
      <c r="C25" s="3" t="str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0</v>
      </c>
    </row>
    <row r="26" spans="1:9" x14ac:dyDescent="0.4">
      <c r="A26" t="s">
        <v>1</v>
      </c>
      <c r="B26" t="s">
        <v>22</v>
      </c>
      <c r="C26" s="3" t="str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0</v>
      </c>
    </row>
    <row r="27" spans="1:9" x14ac:dyDescent="0.4">
      <c r="A27" t="s">
        <v>7</v>
      </c>
      <c r="B27" t="s">
        <v>24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27" s="3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7" s="3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7" s="3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7" s="3">
        <f>SUM(tbl_teampoints[[#This Row],[Race 1]]:tbl_teampoints[[#This Row],[Race 6]])</f>
        <v>0</v>
      </c>
    </row>
    <row r="28" spans="1:9" x14ac:dyDescent="0.4">
      <c r="A28" t="s">
        <v>409</v>
      </c>
      <c r="B28" t="s">
        <v>24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3</v>
      </c>
      <c r="B29" t="s">
        <v>24</v>
      </c>
      <c r="C29" s="3" t="str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0</v>
      </c>
    </row>
    <row r="30" spans="1:9" x14ac:dyDescent="0.4">
      <c r="A30" t="s">
        <v>408</v>
      </c>
      <c r="B30" t="s">
        <v>24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1</v>
      </c>
      <c r="B31" t="s">
        <v>24</v>
      </c>
      <c r="C31" s="3" t="str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0</v>
      </c>
    </row>
    <row r="32" spans="1:9" x14ac:dyDescent="0.4">
      <c r="A32" t="s">
        <v>5</v>
      </c>
      <c r="B32" t="s">
        <v>24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1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3" s="3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3" s="3">
        <f>SUM(tbl_teampoints[[#This Row],[Race 1]]:tbl_teampoints[[#This Row],[Race 6]])</f>
        <v>0</v>
      </c>
    </row>
    <row r="34" spans="1:9" x14ac:dyDescent="0.4">
      <c r="A34" t="s">
        <v>5</v>
      </c>
      <c r="B34" t="s">
        <v>26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7</v>
      </c>
      <c r="B35" t="s">
        <v>27</v>
      </c>
      <c r="C35" s="3" t="str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0</v>
      </c>
    </row>
    <row r="36" spans="1:9" x14ac:dyDescent="0.4">
      <c r="A36" t="s">
        <v>1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28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28</v>
      </c>
      <c r="C38" s="3" t="str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0</v>
      </c>
    </row>
    <row r="39" spans="1:9" x14ac:dyDescent="0.4">
      <c r="A39" t="s">
        <v>7</v>
      </c>
      <c r="B39" t="s">
        <v>29</v>
      </c>
      <c r="C39" s="3" t="str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9" s="3" t="str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0</v>
      </c>
    </row>
    <row r="40" spans="1:9" x14ac:dyDescent="0.4">
      <c r="A40" t="s">
        <v>5</v>
      </c>
      <c r="B40" t="s">
        <v>29</v>
      </c>
      <c r="C40" s="3" t="str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0</v>
      </c>
    </row>
    <row r="41" spans="1:9" x14ac:dyDescent="0.4">
      <c r="A41" t="s">
        <v>1</v>
      </c>
      <c r="B41" t="s">
        <v>29</v>
      </c>
      <c r="C41" s="3" t="str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0</v>
      </c>
    </row>
    <row r="42" spans="1:9" x14ac:dyDescent="0.4">
      <c r="A42" t="s">
        <v>7</v>
      </c>
      <c r="B42" t="s">
        <v>31</v>
      </c>
      <c r="C42" s="3" t="str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2" s="3" t="str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0</v>
      </c>
    </row>
    <row r="43" spans="1:9" x14ac:dyDescent="0.4">
      <c r="A43" t="s">
        <v>3</v>
      </c>
      <c r="B43" t="s">
        <v>31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t="str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3" s="3" t="str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3" s="3" t="str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3" s="3" t="str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3" s="3">
        <f>SUM(tbl_teampoints[[#This Row],[Race 1]]:tbl_teampoints[[#This Row],[Race 6]])</f>
        <v>0</v>
      </c>
    </row>
    <row r="44" spans="1:9" x14ac:dyDescent="0.4">
      <c r="A44" t="s">
        <v>408</v>
      </c>
      <c r="B44" t="s">
        <v>31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409</v>
      </c>
      <c r="B45" t="s">
        <v>31</v>
      </c>
      <c r="C45" s="3" t="str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0</v>
      </c>
    </row>
    <row r="46" spans="1:9" x14ac:dyDescent="0.4">
      <c r="A46" t="s">
        <v>1</v>
      </c>
      <c r="B46" t="s">
        <v>31</v>
      </c>
      <c r="C46" s="3" t="str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0</v>
      </c>
    </row>
    <row r="47" spans="1:9" x14ac:dyDescent="0.4">
      <c r="A47" t="s">
        <v>5</v>
      </c>
      <c r="B47" t="s">
        <v>32</v>
      </c>
      <c r="C47" s="3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7" s="3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7" s="3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7E02CA6-A5D7-4B8D-B745-E8B55301577C}">
          <x14:formula1>
            <xm:f>helper!$B$2:$B$24</xm:f>
          </x14:formula1>
          <xm:sqref>B2:B47</xm:sqref>
        </x14:dataValidation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/>
  </sheetViews>
  <sheetFormatPr defaultRowHeight="16.8" x14ac:dyDescent="0.4"/>
  <cols>
    <col min="1" max="1" width="5.69921875" style="7" customWidth="1"/>
    <col min="2" max="2" width="24.3984375" style="8" customWidth="1"/>
    <col min="3" max="3" width="15.796875" style="8" customWidth="1"/>
    <col min="4" max="4" width="9.3984375" style="7" customWidth="1"/>
    <col min="5" max="7" width="8.796875" style="7"/>
    <col min="8" max="16384" width="8.796875" style="8"/>
  </cols>
  <sheetData>
    <row r="1" spans="1:7" x14ac:dyDescent="0.4">
      <c r="B1" s="8" t="s">
        <v>37</v>
      </c>
      <c r="C1" s="8" t="s">
        <v>5</v>
      </c>
    </row>
    <row r="2" spans="1:7" ht="19.95" customHeight="1" x14ac:dyDescent="0.4"/>
    <row r="3" spans="1:7" s="6" customFormat="1" ht="24" customHeight="1" x14ac:dyDescent="0.4">
      <c r="A3" s="9"/>
      <c r="B3" s="10" t="s">
        <v>410</v>
      </c>
      <c r="C3" s="10" t="s">
        <v>36</v>
      </c>
      <c r="D3" s="9" t="s">
        <v>37</v>
      </c>
      <c r="E3" s="9" t="s">
        <v>411</v>
      </c>
      <c r="F3" s="9" t="s">
        <v>412</v>
      </c>
      <c r="G3" s="9" t="s">
        <v>33</v>
      </c>
    </row>
    <row r="4" spans="1:7" ht="24" customHeight="1" x14ac:dyDescent="0.4">
      <c r="A4" s="11">
        <v>1</v>
      </c>
      <c r="B4" s="12" t="str" cm="1">
        <f t="array" ref="B4:E61">_xlfn.LET(
_xlpm.data,_xlfn._xlws.FILTER(tbl_individual[],tbl_individual[Division]=$C$1),
_xlfn.SORTBY(
_xlfn.CHOOSECOLS(_xlpm.data,1,2,3,4),
_xlfn.CHOOSECOLS(_xlpm.data,2),1,
_xlfn.CHOOSECOLS(_xlpm.data,4),1
)
)</f>
        <v>Oliver Reedman</v>
      </c>
      <c r="C4" s="12" t="str">
        <v>Argyle</v>
      </c>
      <c r="D4" s="11" t="str">
        <v>Juv Boys</v>
      </c>
      <c r="E4" s="11">
        <v>900</v>
      </c>
      <c r="F4" s="11"/>
      <c r="G4" s="11"/>
    </row>
    <row r="5" spans="1:7" ht="24" customHeight="1" x14ac:dyDescent="0.4">
      <c r="A5" s="11">
        <v>2</v>
      </c>
      <c r="B5" s="12" t="str">
        <v>Toby Stromer</v>
      </c>
      <c r="C5" s="12" t="str">
        <v>Argyle</v>
      </c>
      <c r="D5" s="11" t="str">
        <v>Juv Boys</v>
      </c>
      <c r="E5" s="11">
        <v>901</v>
      </c>
      <c r="F5" s="11"/>
      <c r="G5" s="11"/>
    </row>
    <row r="6" spans="1:7" ht="24" customHeight="1" x14ac:dyDescent="0.4">
      <c r="A6" s="11">
        <v>3</v>
      </c>
      <c r="B6" s="12" t="str">
        <v>Theo Zaleski</v>
      </c>
      <c r="C6" s="12" t="str">
        <v>Argyle</v>
      </c>
      <c r="D6" s="11" t="str">
        <v>Juv Boys</v>
      </c>
      <c r="E6" s="11">
        <v>902</v>
      </c>
      <c r="F6" s="11"/>
      <c r="G6" s="11"/>
    </row>
    <row r="7" spans="1:7" ht="24" customHeight="1" x14ac:dyDescent="0.4">
      <c r="A7" s="11">
        <v>4</v>
      </c>
      <c r="B7" s="12" t="str">
        <v>Keaton Swystun</v>
      </c>
      <c r="C7" s="12" t="str">
        <v>Argyle</v>
      </c>
      <c r="D7" s="11" t="str">
        <v>Juv Boys</v>
      </c>
      <c r="E7" s="11">
        <v>903</v>
      </c>
      <c r="F7" s="11"/>
      <c r="G7" s="11"/>
    </row>
    <row r="8" spans="1:7" ht="24" customHeight="1" x14ac:dyDescent="0.4">
      <c r="A8" s="11">
        <v>5</v>
      </c>
      <c r="B8" s="12" t="str">
        <v>Nolan Mckinney</v>
      </c>
      <c r="C8" s="12" t="str">
        <v>Argyle</v>
      </c>
      <c r="D8" s="11" t="str">
        <v>Juv Boys</v>
      </c>
      <c r="E8" s="11">
        <v>904</v>
      </c>
      <c r="F8" s="11"/>
      <c r="G8" s="11"/>
    </row>
    <row r="9" spans="1:7" ht="24" customHeight="1" x14ac:dyDescent="0.4">
      <c r="A9" s="11">
        <v>6</v>
      </c>
      <c r="B9" s="12" t="str">
        <v>Matthew Crockford</v>
      </c>
      <c r="C9" s="12" t="str">
        <v>Argyle</v>
      </c>
      <c r="D9" s="11" t="str">
        <v>Juv Boys</v>
      </c>
      <c r="E9" s="11">
        <v>905</v>
      </c>
      <c r="F9" s="11"/>
      <c r="G9" s="11"/>
    </row>
    <row r="10" spans="1:7" ht="24" customHeight="1" x14ac:dyDescent="0.4">
      <c r="A10" s="11">
        <v>7</v>
      </c>
      <c r="B10" s="12" t="str">
        <v>Harrison Watson</v>
      </c>
      <c r="C10" s="12" t="str">
        <v>Argyle</v>
      </c>
      <c r="D10" s="11" t="str">
        <v>Juv Boys</v>
      </c>
      <c r="E10" s="11">
        <v>906</v>
      </c>
      <c r="F10" s="11"/>
      <c r="G10" s="11"/>
    </row>
    <row r="11" spans="1:7" ht="24" customHeight="1" x14ac:dyDescent="0.4">
      <c r="A11" s="11">
        <v>8</v>
      </c>
      <c r="B11" s="12" t="str">
        <v>Daniel Munroe</v>
      </c>
      <c r="C11" s="12" t="str">
        <v>Argyle</v>
      </c>
      <c r="D11" s="11" t="str">
        <v>Juv Boys</v>
      </c>
      <c r="E11" s="11">
        <v>907</v>
      </c>
      <c r="F11" s="11"/>
      <c r="G11" s="11"/>
    </row>
    <row r="12" spans="1:7" ht="24" customHeight="1" x14ac:dyDescent="0.4">
      <c r="A12" s="11">
        <v>9</v>
      </c>
      <c r="B12" s="12" t="str">
        <v>Jack Lucy</v>
      </c>
      <c r="C12" s="12" t="str">
        <v>Argyle</v>
      </c>
      <c r="D12" s="11" t="str">
        <v>Juv Boys</v>
      </c>
      <c r="E12" s="11">
        <v>908</v>
      </c>
      <c r="F12" s="11"/>
      <c r="G12" s="11"/>
    </row>
    <row r="13" spans="1:7" ht="24" customHeight="1" x14ac:dyDescent="0.4">
      <c r="A13" s="11">
        <v>10</v>
      </c>
      <c r="B13" s="12" t="str">
        <v>Sacha Strajt-Bornik</v>
      </c>
      <c r="C13" s="12" t="str">
        <v>Argyle</v>
      </c>
      <c r="D13" s="11" t="str">
        <v>Juv Boys</v>
      </c>
      <c r="E13" s="11">
        <v>909</v>
      </c>
      <c r="F13" s="11"/>
      <c r="G13" s="11"/>
    </row>
    <row r="14" spans="1:7" ht="24" customHeight="1" x14ac:dyDescent="0.4">
      <c r="A14" s="11">
        <v>11</v>
      </c>
      <c r="B14" s="12" t="str">
        <v>Miles Trenouth</v>
      </c>
      <c r="C14" s="12" t="str">
        <v>Argyle</v>
      </c>
      <c r="D14" s="11" t="str">
        <v>Juv Boys</v>
      </c>
      <c r="E14" s="11">
        <v>910</v>
      </c>
      <c r="F14" s="11"/>
      <c r="G14" s="11"/>
    </row>
    <row r="15" spans="1:7" ht="24" customHeight="1" x14ac:dyDescent="0.4">
      <c r="A15" s="11">
        <v>12</v>
      </c>
      <c r="B15" s="12" t="str">
        <v>Platon Yaremych</v>
      </c>
      <c r="C15" s="12" t="str">
        <v>Brockton</v>
      </c>
      <c r="D15" s="11" t="str">
        <v>Juv Boys</v>
      </c>
      <c r="E15" s="11">
        <v>911</v>
      </c>
      <c r="F15" s="11"/>
      <c r="G15" s="11"/>
    </row>
    <row r="16" spans="1:7" ht="24" customHeight="1" x14ac:dyDescent="0.4">
      <c r="A16" s="11">
        <v>13</v>
      </c>
      <c r="B16" s="12" t="str">
        <v>Marcelo Maldifassi</v>
      </c>
      <c r="C16" s="12" t="str">
        <v>Carson</v>
      </c>
      <c r="D16" s="11" t="str">
        <v>Juv Boys</v>
      </c>
      <c r="E16" s="11">
        <v>912</v>
      </c>
      <c r="F16" s="11"/>
      <c r="G16" s="11"/>
    </row>
    <row r="17" spans="1:7" ht="24" customHeight="1" x14ac:dyDescent="0.4">
      <c r="A17" s="11">
        <v>14</v>
      </c>
      <c r="B17" s="12" t="str">
        <v>Logan Weiss-Podolski</v>
      </c>
      <c r="C17" s="12" t="str">
        <v>Carson</v>
      </c>
      <c r="D17" s="11" t="str">
        <v>Juv Boys</v>
      </c>
      <c r="E17" s="11">
        <v>913</v>
      </c>
      <c r="F17" s="11"/>
      <c r="G17" s="11"/>
    </row>
    <row r="18" spans="1:7" ht="24" customHeight="1" x14ac:dyDescent="0.4">
      <c r="A18" s="11">
        <v>15</v>
      </c>
      <c r="B18" s="12" t="str">
        <v>Hunter Hodge</v>
      </c>
      <c r="C18" s="12" t="str">
        <v>Collingwood</v>
      </c>
      <c r="D18" s="11" t="str">
        <v>Juv Boys</v>
      </c>
      <c r="E18" s="11">
        <v>914</v>
      </c>
      <c r="F18" s="11"/>
      <c r="G18" s="11"/>
    </row>
    <row r="19" spans="1:7" ht="24" customHeight="1" x14ac:dyDescent="0.4">
      <c r="A19" s="11">
        <v>16</v>
      </c>
      <c r="B19" s="12" t="str">
        <v>Bruckner Norman-Thiessen</v>
      </c>
      <c r="C19" s="12" t="str">
        <v>Collingwood</v>
      </c>
      <c r="D19" s="11" t="str">
        <v>Juv Boys</v>
      </c>
      <c r="E19" s="11">
        <v>915</v>
      </c>
      <c r="F19" s="11"/>
      <c r="G19" s="11"/>
    </row>
    <row r="20" spans="1:7" ht="24" customHeight="1" x14ac:dyDescent="0.4">
      <c r="A20" s="11">
        <v>17</v>
      </c>
      <c r="B20" s="12" t="str">
        <v>Stellan Ortved</v>
      </c>
      <c r="C20" s="12" t="str">
        <v>Collingwood</v>
      </c>
      <c r="D20" s="11" t="str">
        <v>Juv Boys</v>
      </c>
      <c r="E20" s="11">
        <v>916</v>
      </c>
      <c r="F20" s="11"/>
      <c r="G20" s="11"/>
    </row>
    <row r="21" spans="1:7" ht="24" customHeight="1" x14ac:dyDescent="0.4">
      <c r="A21" s="11">
        <v>18</v>
      </c>
      <c r="B21" s="12" t="str">
        <v>John Suda</v>
      </c>
      <c r="C21" s="12" t="str">
        <v>Collingwood</v>
      </c>
      <c r="D21" s="11" t="str">
        <v>Juv Boys</v>
      </c>
      <c r="E21" s="11">
        <v>917</v>
      </c>
      <c r="F21" s="11"/>
      <c r="G21" s="11"/>
    </row>
    <row r="22" spans="1:7" ht="24" customHeight="1" x14ac:dyDescent="0.4">
      <c r="A22" s="11">
        <v>19</v>
      </c>
      <c r="B22" s="12" t="str">
        <v>Martin Cernicka</v>
      </c>
      <c r="C22" s="12" t="str">
        <v>Don Ross</v>
      </c>
      <c r="D22" s="11" t="str">
        <v>Juv Boys</v>
      </c>
      <c r="E22" s="11">
        <v>955</v>
      </c>
      <c r="F22" s="11"/>
      <c r="G22" s="11"/>
    </row>
    <row r="23" spans="1:7" ht="24" customHeight="1" x14ac:dyDescent="0.4">
      <c r="A23" s="11">
        <v>20</v>
      </c>
      <c r="B23" s="12" t="str">
        <v>Kelyn Horsely</v>
      </c>
      <c r="C23" s="12" t="str">
        <v>Don Ross</v>
      </c>
      <c r="D23" s="11" t="str">
        <v>Juv Boys</v>
      </c>
      <c r="E23" s="11">
        <v>956</v>
      </c>
      <c r="F23" s="11"/>
      <c r="G23" s="11"/>
    </row>
    <row r="24" spans="1:7" ht="24" customHeight="1" x14ac:dyDescent="0.4">
      <c r="A24" s="11">
        <v>21</v>
      </c>
      <c r="B24" s="12" t="str">
        <v>Elias Newby</v>
      </c>
      <c r="C24" s="12" t="str">
        <v>Don Ross</v>
      </c>
      <c r="D24" s="11" t="str">
        <v>Juv Boys</v>
      </c>
      <c r="E24" s="11">
        <v>957</v>
      </c>
      <c r="F24" s="11"/>
      <c r="G24" s="11"/>
    </row>
    <row r="25" spans="1:7" ht="24" customHeight="1" x14ac:dyDescent="0.4">
      <c r="A25" s="11">
        <v>22</v>
      </c>
      <c r="B25" s="12" t="str">
        <v xml:space="preserve">AJ Lysak </v>
      </c>
      <c r="C25" s="12" t="str">
        <v>GW Graham</v>
      </c>
      <c r="D25" s="11" t="str">
        <v>Juv Boys</v>
      </c>
      <c r="E25" s="11">
        <v>918</v>
      </c>
      <c r="F25" s="11"/>
      <c r="G25" s="11"/>
    </row>
    <row r="26" spans="1:7" ht="24" customHeight="1" x14ac:dyDescent="0.4">
      <c r="A26" s="11">
        <v>23</v>
      </c>
      <c r="B26" s="12" t="str">
        <v>Alexandre Legrand Comeau</v>
      </c>
      <c r="C26" s="12" t="str">
        <v>Handsworth</v>
      </c>
      <c r="D26" s="11" t="str">
        <v>Juv Boys</v>
      </c>
      <c r="E26" s="11">
        <v>919</v>
      </c>
      <c r="F26" s="11"/>
      <c r="G26" s="11"/>
    </row>
    <row r="27" spans="1:7" ht="24" customHeight="1" x14ac:dyDescent="0.4">
      <c r="A27" s="11">
        <v>24</v>
      </c>
      <c r="B27" s="12" t="str">
        <v>Monty Cormack</v>
      </c>
      <c r="C27" s="12" t="str">
        <v>Handsworth</v>
      </c>
      <c r="D27" s="11" t="str">
        <v>Juv Boys</v>
      </c>
      <c r="E27" s="11">
        <v>920</v>
      </c>
      <c r="F27" s="11"/>
      <c r="G27" s="11"/>
    </row>
    <row r="28" spans="1:7" ht="24" customHeight="1" x14ac:dyDescent="0.4">
      <c r="A28" s="11">
        <v>25</v>
      </c>
      <c r="B28" s="12" t="str">
        <v>Ben Macpherson</v>
      </c>
      <c r="C28" s="12" t="str">
        <v>Handsworth</v>
      </c>
      <c r="D28" s="11" t="str">
        <v>Juv Boys</v>
      </c>
      <c r="E28" s="11">
        <v>921</v>
      </c>
      <c r="F28" s="11"/>
      <c r="G28" s="11"/>
    </row>
    <row r="29" spans="1:7" ht="24" customHeight="1" x14ac:dyDescent="0.4">
      <c r="A29" s="11">
        <v>26</v>
      </c>
      <c r="B29" s="12" t="str">
        <v>Matthew Runzer</v>
      </c>
      <c r="C29" s="12" t="str">
        <v>Handsworth</v>
      </c>
      <c r="D29" s="11" t="str">
        <v>Juv Boys</v>
      </c>
      <c r="E29" s="11">
        <v>922</v>
      </c>
      <c r="F29" s="11"/>
      <c r="G29" s="11"/>
    </row>
    <row r="30" spans="1:7" ht="24" customHeight="1" x14ac:dyDescent="0.4">
      <c r="A30" s="11">
        <v>27</v>
      </c>
      <c r="B30" s="12" t="str">
        <v>Aiden Klimek</v>
      </c>
      <c r="C30" s="12" t="str">
        <v>Mulgrave</v>
      </c>
      <c r="D30" s="11" t="str">
        <v>Juv Boys</v>
      </c>
      <c r="E30" s="11">
        <v>923</v>
      </c>
      <c r="F30" s="11"/>
      <c r="G30" s="11"/>
    </row>
    <row r="31" spans="1:7" ht="24" customHeight="1" x14ac:dyDescent="0.4">
      <c r="A31" s="11">
        <v>28</v>
      </c>
      <c r="B31" s="12" t="str">
        <v>Blake Benns</v>
      </c>
      <c r="C31" s="12" t="str">
        <v>Pemberton</v>
      </c>
      <c r="D31" s="11" t="str">
        <v>Juv Boys</v>
      </c>
      <c r="E31" s="11">
        <v>924</v>
      </c>
      <c r="F31" s="11"/>
      <c r="G31" s="11"/>
    </row>
    <row r="32" spans="1:7" ht="24" customHeight="1" x14ac:dyDescent="0.4">
      <c r="A32" s="11">
        <v>29</v>
      </c>
      <c r="B32" s="12" t="str">
        <v>Xavier Harrisson</v>
      </c>
      <c r="C32" s="12" t="str">
        <v>Pemberton</v>
      </c>
      <c r="D32" s="11" t="str">
        <v>Juv Boys</v>
      </c>
      <c r="E32" s="11">
        <v>925</v>
      </c>
      <c r="F32" s="11"/>
      <c r="G32" s="11"/>
    </row>
    <row r="33" spans="1:7" ht="24" customHeight="1" x14ac:dyDescent="0.4">
      <c r="A33" s="11">
        <v>30</v>
      </c>
      <c r="B33" s="12" t="str">
        <v>Mack Manietta</v>
      </c>
      <c r="C33" s="12" t="str">
        <v>Pemberton</v>
      </c>
      <c r="D33" s="11" t="str">
        <v>Juv Boys</v>
      </c>
      <c r="E33" s="11">
        <v>926</v>
      </c>
      <c r="F33" s="11"/>
      <c r="G33" s="11"/>
    </row>
    <row r="34" spans="1:7" ht="24" customHeight="1" x14ac:dyDescent="0.4">
      <c r="A34" s="11">
        <v>31</v>
      </c>
      <c r="B34" s="12" t="str">
        <v>Noah Ricignuolo</v>
      </c>
      <c r="C34" s="12" t="str">
        <v>Pemberton</v>
      </c>
      <c r="D34" s="11" t="str">
        <v>Juv Boys</v>
      </c>
      <c r="E34" s="11">
        <v>927</v>
      </c>
      <c r="F34" s="11"/>
      <c r="G34" s="11"/>
    </row>
    <row r="35" spans="1:7" ht="24" customHeight="1" x14ac:dyDescent="0.4">
      <c r="A35" s="11">
        <v>32</v>
      </c>
      <c r="B35" s="12" t="str">
        <v>Finley Wood</v>
      </c>
      <c r="C35" s="12" t="str">
        <v>Pemberton</v>
      </c>
      <c r="D35" s="11" t="str">
        <v>Juv Boys</v>
      </c>
      <c r="E35" s="11">
        <v>928</v>
      </c>
      <c r="F35" s="11"/>
      <c r="G35" s="11"/>
    </row>
    <row r="36" spans="1:7" ht="24" customHeight="1" x14ac:dyDescent="0.4">
      <c r="A36" s="11">
        <v>33</v>
      </c>
      <c r="B36" s="12" t="str">
        <v xml:space="preserve">Luca Crema </v>
      </c>
      <c r="C36" s="12" t="str">
        <v>Seycove</v>
      </c>
      <c r="D36" s="11" t="str">
        <v>Juv Boys</v>
      </c>
      <c r="E36" s="11">
        <v>929</v>
      </c>
      <c r="F36" s="11"/>
      <c r="G36" s="11"/>
    </row>
    <row r="37" spans="1:7" ht="24" customHeight="1" x14ac:dyDescent="0.4">
      <c r="A37" s="11">
        <v>34</v>
      </c>
      <c r="B37" s="12" t="str">
        <v>Bodhi Elmas</v>
      </c>
      <c r="C37" s="12" t="str">
        <v>Seycove</v>
      </c>
      <c r="D37" s="11" t="str">
        <v>Juv Boys</v>
      </c>
      <c r="E37" s="11">
        <v>930</v>
      </c>
      <c r="F37" s="11"/>
      <c r="G37" s="11"/>
    </row>
    <row r="38" spans="1:7" ht="24" customHeight="1" x14ac:dyDescent="0.4">
      <c r="A38" s="11">
        <v>35</v>
      </c>
      <c r="B38" s="12" t="str">
        <v xml:space="preserve">Edward Gillett </v>
      </c>
      <c r="C38" s="12" t="str">
        <v>Seycove</v>
      </c>
      <c r="D38" s="11" t="str">
        <v>Juv Boys</v>
      </c>
      <c r="E38" s="11">
        <v>931</v>
      </c>
      <c r="F38" s="11"/>
      <c r="G38" s="11"/>
    </row>
    <row r="39" spans="1:7" ht="24" customHeight="1" x14ac:dyDescent="0.4">
      <c r="A39" s="11">
        <v>36</v>
      </c>
      <c r="B39" s="12" t="str">
        <v>Nico Gomez</v>
      </c>
      <c r="C39" s="12" t="str">
        <v>Seycove</v>
      </c>
      <c r="D39" s="11" t="str">
        <v>Juv Boys</v>
      </c>
      <c r="E39" s="11">
        <v>932</v>
      </c>
      <c r="F39" s="11"/>
      <c r="G39" s="11"/>
    </row>
    <row r="40" spans="1:7" ht="24" customHeight="1" x14ac:dyDescent="0.4">
      <c r="A40" s="11">
        <v>37</v>
      </c>
      <c r="B40" s="12" t="str">
        <v>Kyle Hopper-Isaac</v>
      </c>
      <c r="C40" s="12" t="str">
        <v>Seycove</v>
      </c>
      <c r="D40" s="11" t="str">
        <v>Juv Boys</v>
      </c>
      <c r="E40" s="11">
        <v>933</v>
      </c>
      <c r="F40" s="11"/>
      <c r="G40" s="11"/>
    </row>
    <row r="41" spans="1:7" ht="24" customHeight="1" x14ac:dyDescent="0.4">
      <c r="A41" s="11">
        <v>38</v>
      </c>
      <c r="B41" s="12" t="str">
        <v>Jared Kalisch</v>
      </c>
      <c r="C41" s="12" t="str">
        <v>Seycove</v>
      </c>
      <c r="D41" s="11" t="str">
        <v>Juv Boys</v>
      </c>
      <c r="E41" s="11">
        <v>934</v>
      </c>
      <c r="F41" s="11"/>
      <c r="G41" s="11"/>
    </row>
    <row r="42" spans="1:7" ht="24" customHeight="1" x14ac:dyDescent="0.4">
      <c r="A42" s="11">
        <v>39</v>
      </c>
      <c r="B42" s="12" t="str">
        <v xml:space="preserve">Max Keinhorst </v>
      </c>
      <c r="C42" s="12" t="str">
        <v>Seycove</v>
      </c>
      <c r="D42" s="11" t="str">
        <v>Juv Boys</v>
      </c>
      <c r="E42" s="11">
        <v>935</v>
      </c>
      <c r="F42" s="11"/>
      <c r="G42" s="11"/>
    </row>
    <row r="43" spans="1:7" ht="24" customHeight="1" x14ac:dyDescent="0.4">
      <c r="A43" s="11">
        <v>40</v>
      </c>
      <c r="B43" s="12" t="str">
        <v>Arlo McIntosh</v>
      </c>
      <c r="C43" s="12" t="str">
        <v>Seycove</v>
      </c>
      <c r="D43" s="11" t="str">
        <v>Juv Boys</v>
      </c>
      <c r="E43" s="11">
        <v>936</v>
      </c>
      <c r="F43" s="11"/>
      <c r="G43" s="11"/>
    </row>
    <row r="44" spans="1:7" ht="24" customHeight="1" x14ac:dyDescent="0.4">
      <c r="A44" s="11">
        <v>41</v>
      </c>
      <c r="B44" s="12" t="str">
        <v>Owen Small</v>
      </c>
      <c r="C44" s="12" t="str">
        <v>Seycove</v>
      </c>
      <c r="D44" s="11" t="str">
        <v>Juv Boys</v>
      </c>
      <c r="E44" s="11">
        <v>937</v>
      </c>
      <c r="F44" s="11"/>
      <c r="G44" s="11"/>
    </row>
    <row r="45" spans="1:7" ht="24" customHeight="1" x14ac:dyDescent="0.4">
      <c r="A45" s="11">
        <v>42</v>
      </c>
      <c r="B45" s="12" t="str">
        <v>Lucas Norbert</v>
      </c>
      <c r="C45" s="12" t="str">
        <v>Seycove</v>
      </c>
      <c r="D45" s="11" t="str">
        <v>Juv Boys</v>
      </c>
      <c r="E45" s="11">
        <v>938</v>
      </c>
      <c r="F45" s="11"/>
      <c r="G45" s="11"/>
    </row>
    <row r="46" spans="1:7" ht="24" customHeight="1" x14ac:dyDescent="0.4">
      <c r="A46" s="11">
        <v>43</v>
      </c>
      <c r="B46" s="12" t="str">
        <v>Jakson Bozzer</v>
      </c>
      <c r="C46" s="12" t="str">
        <v>St. Georges</v>
      </c>
      <c r="D46" s="11" t="str">
        <v>Juv Boys</v>
      </c>
      <c r="E46" s="11">
        <v>939</v>
      </c>
      <c r="F46" s="11"/>
      <c r="G46" s="11"/>
    </row>
    <row r="47" spans="1:7" ht="24" customHeight="1" x14ac:dyDescent="0.4">
      <c r="A47" s="11">
        <v>44</v>
      </c>
      <c r="B47" s="12" t="str">
        <v>Charlie Jones</v>
      </c>
      <c r="C47" s="12" t="str">
        <v>St. Georges</v>
      </c>
      <c r="D47" s="11" t="str">
        <v>Juv Boys</v>
      </c>
      <c r="E47" s="11">
        <v>940</v>
      </c>
      <c r="F47" s="11"/>
      <c r="G47" s="11"/>
    </row>
    <row r="48" spans="1:7" ht="24" customHeight="1" x14ac:dyDescent="0.4">
      <c r="A48" s="11">
        <v>45</v>
      </c>
      <c r="B48" s="12" t="str">
        <v>Landon Brown</v>
      </c>
      <c r="C48" s="12" t="str">
        <v>STA</v>
      </c>
      <c r="D48" s="11" t="str">
        <v>Juv Boys</v>
      </c>
      <c r="E48" s="11">
        <v>941</v>
      </c>
      <c r="F48" s="11"/>
      <c r="G48" s="11"/>
    </row>
    <row r="49" spans="1:7" ht="24" customHeight="1" x14ac:dyDescent="0.4">
      <c r="A49" s="11">
        <v>46</v>
      </c>
      <c r="B49" s="12" t="str">
        <v>Luke Brownlee</v>
      </c>
      <c r="C49" s="12" t="str">
        <v>STA</v>
      </c>
      <c r="D49" s="11" t="str">
        <v>Juv Boys</v>
      </c>
      <c r="E49" s="11">
        <v>942</v>
      </c>
      <c r="F49" s="11"/>
      <c r="G49" s="11"/>
    </row>
    <row r="50" spans="1:7" ht="24" customHeight="1" x14ac:dyDescent="0.4">
      <c r="A50" s="11">
        <v>47</v>
      </c>
      <c r="B50" s="12" t="str">
        <v>Wandrille de Bonniers</v>
      </c>
      <c r="C50" s="12" t="str">
        <v>STA</v>
      </c>
      <c r="D50" s="11" t="str">
        <v>Juv Boys</v>
      </c>
      <c r="E50" s="11">
        <v>943</v>
      </c>
      <c r="F50" s="11"/>
      <c r="G50" s="11"/>
    </row>
    <row r="51" spans="1:7" ht="24" customHeight="1" x14ac:dyDescent="0.4">
      <c r="A51" s="11">
        <v>48</v>
      </c>
      <c r="B51" s="12" t="str">
        <v>Elliot O'Hara</v>
      </c>
      <c r="C51" s="12" t="str">
        <v>STA</v>
      </c>
      <c r="D51" s="11" t="str">
        <v>Juv Boys</v>
      </c>
      <c r="E51" s="11">
        <v>944</v>
      </c>
      <c r="F51" s="11"/>
      <c r="G51" s="11"/>
    </row>
    <row r="52" spans="1:7" ht="24" customHeight="1" x14ac:dyDescent="0.4">
      <c r="A52" s="11">
        <v>49</v>
      </c>
      <c r="B52" s="12" t="str">
        <v>Bradeley Stephenson</v>
      </c>
      <c r="C52" s="12" t="str">
        <v>Sutherland</v>
      </c>
      <c r="D52" s="11" t="str">
        <v>Juv Boys</v>
      </c>
      <c r="E52" s="11">
        <v>945</v>
      </c>
      <c r="F52" s="11"/>
      <c r="G52" s="11"/>
    </row>
    <row r="53" spans="1:7" ht="24" customHeight="1" x14ac:dyDescent="0.4">
      <c r="A53" s="11">
        <v>50</v>
      </c>
      <c r="B53" s="12" t="str">
        <v>Oliver Thatcher</v>
      </c>
      <c r="C53" s="12" t="str">
        <v>Sutherland</v>
      </c>
      <c r="D53" s="11" t="str">
        <v>Juv Boys</v>
      </c>
      <c r="E53" s="11">
        <v>946</v>
      </c>
      <c r="F53" s="11"/>
      <c r="G53" s="11"/>
    </row>
    <row r="54" spans="1:7" ht="24" customHeight="1" x14ac:dyDescent="0.4">
      <c r="A54" s="11">
        <v>51</v>
      </c>
      <c r="B54" s="12" t="str">
        <v>Kaeden Lau</v>
      </c>
      <c r="C54" s="12" t="str">
        <v>Sutherland</v>
      </c>
      <c r="D54" s="11" t="str">
        <v>Juv Boys</v>
      </c>
      <c r="E54" s="11">
        <v>947</v>
      </c>
      <c r="F54" s="11"/>
      <c r="G54" s="11"/>
    </row>
    <row r="55" spans="1:7" ht="24" customHeight="1" x14ac:dyDescent="0.4">
      <c r="A55" s="11">
        <v>52</v>
      </c>
      <c r="B55" s="12" t="str">
        <v>Bradley Harris</v>
      </c>
      <c r="C55" s="12" t="str">
        <v>Sutherland</v>
      </c>
      <c r="D55" s="11" t="str">
        <v>Juv Boys</v>
      </c>
      <c r="E55" s="11">
        <v>948</v>
      </c>
      <c r="F55" s="11"/>
      <c r="G55" s="11"/>
    </row>
    <row r="56" spans="1:7" ht="24" customHeight="1" x14ac:dyDescent="0.4">
      <c r="A56" s="11">
        <v>53</v>
      </c>
      <c r="B56" s="12" t="str">
        <v>Alexandre Roy</v>
      </c>
      <c r="C56" s="12" t="str">
        <v>Sutherland</v>
      </c>
      <c r="D56" s="11" t="str">
        <v>Juv Boys</v>
      </c>
      <c r="E56" s="11">
        <v>949</v>
      </c>
      <c r="F56" s="11"/>
      <c r="G56" s="11"/>
    </row>
    <row r="57" spans="1:7" ht="24" customHeight="1" x14ac:dyDescent="0.4">
      <c r="A57" s="11">
        <v>54</v>
      </c>
      <c r="B57" s="12" t="str">
        <v>Pierre Gonzales Hungr</v>
      </c>
      <c r="C57" s="12" t="str">
        <v>West Van</v>
      </c>
      <c r="D57" s="11" t="str">
        <v>Juv Boys</v>
      </c>
      <c r="E57" s="11">
        <v>950</v>
      </c>
      <c r="F57" s="11"/>
      <c r="G57" s="11"/>
    </row>
    <row r="58" spans="1:7" ht="24" customHeight="1" x14ac:dyDescent="0.4">
      <c r="A58" s="11">
        <v>55</v>
      </c>
      <c r="B58" s="12" t="str">
        <v>Simon Gonzales Hungr</v>
      </c>
      <c r="C58" s="12" t="str">
        <v>West Van</v>
      </c>
      <c r="D58" s="11" t="str">
        <v>Juv Boys</v>
      </c>
      <c r="E58" s="11">
        <v>951</v>
      </c>
      <c r="F58" s="11"/>
      <c r="G58" s="11"/>
    </row>
    <row r="59" spans="1:7" ht="24" customHeight="1" x14ac:dyDescent="0.4">
      <c r="A59" s="11">
        <v>56</v>
      </c>
      <c r="B59" s="12" t="str">
        <v>Rafe Dykstra</v>
      </c>
      <c r="C59" s="12" t="str">
        <v>Windsor</v>
      </c>
      <c r="D59" s="11" t="str">
        <v>Juv Boys</v>
      </c>
      <c r="E59" s="11">
        <v>952</v>
      </c>
      <c r="F59" s="11"/>
      <c r="G59" s="11"/>
    </row>
    <row r="60" spans="1:7" ht="24" customHeight="1" x14ac:dyDescent="0.4">
      <c r="A60" s="11">
        <v>57</v>
      </c>
      <c r="B60" s="12" t="str">
        <v>Tanner Bruce</v>
      </c>
      <c r="C60" s="12" t="str">
        <v>Windsor</v>
      </c>
      <c r="D60" s="11" t="str">
        <v>Juv Boys</v>
      </c>
      <c r="E60" s="11">
        <v>953</v>
      </c>
      <c r="F60" s="11"/>
      <c r="G60" s="11"/>
    </row>
    <row r="61" spans="1:7" ht="24" customHeight="1" x14ac:dyDescent="0.4">
      <c r="A61" s="11">
        <v>58</v>
      </c>
      <c r="B61" s="12" t="str">
        <v>James Felix</v>
      </c>
      <c r="C61" s="12" t="str">
        <v>Windsor</v>
      </c>
      <c r="D61" s="11" t="str">
        <v>Juv Boys</v>
      </c>
      <c r="E61" s="11">
        <v>954</v>
      </c>
      <c r="F61" s="11"/>
      <c r="G61" s="11"/>
    </row>
    <row r="62" spans="1:7" ht="24" customHeight="1" x14ac:dyDescent="0.4">
      <c r="A62" s="11">
        <v>59</v>
      </c>
      <c r="B62" s="12"/>
      <c r="C62" s="12"/>
      <c r="D62" s="11"/>
      <c r="E62" s="11"/>
      <c r="F62" s="11"/>
      <c r="G62" s="11"/>
    </row>
    <row r="63" spans="1:7" ht="24" customHeight="1" x14ac:dyDescent="0.4">
      <c r="A63" s="11">
        <v>60</v>
      </c>
      <c r="B63" s="12"/>
      <c r="C63" s="12"/>
      <c r="D63" s="11"/>
      <c r="E63" s="11"/>
      <c r="F63" s="11"/>
      <c r="G63" s="11"/>
    </row>
    <row r="64" spans="1:7" ht="24" customHeight="1" x14ac:dyDescent="0.4">
      <c r="A64" s="11">
        <v>61</v>
      </c>
      <c r="B64" s="12"/>
      <c r="C64" s="12"/>
      <c r="D64" s="11"/>
      <c r="E64" s="11"/>
      <c r="F64" s="11"/>
      <c r="G64" s="11"/>
    </row>
    <row r="65" spans="1:7" ht="24" customHeight="1" x14ac:dyDescent="0.4">
      <c r="A65" s="11">
        <v>62</v>
      </c>
      <c r="B65" s="12"/>
      <c r="C65" s="12"/>
      <c r="D65" s="11"/>
      <c r="E65" s="11"/>
      <c r="F65" s="11"/>
      <c r="G65" s="11"/>
    </row>
    <row r="66" spans="1:7" ht="24" customHeight="1" x14ac:dyDescent="0.4">
      <c r="A66" s="11">
        <v>63</v>
      </c>
      <c r="B66" s="12"/>
      <c r="C66" s="12"/>
      <c r="D66" s="11"/>
      <c r="E66" s="11"/>
      <c r="F66" s="11"/>
      <c r="G66" s="11"/>
    </row>
    <row r="67" spans="1:7" ht="24" customHeight="1" x14ac:dyDescent="0.4">
      <c r="A67" s="11">
        <v>64</v>
      </c>
      <c r="B67" s="12"/>
      <c r="C67" s="12"/>
      <c r="D67" s="11"/>
      <c r="E67" s="11"/>
      <c r="F67" s="11"/>
      <c r="G67" s="11"/>
    </row>
    <row r="68" spans="1:7" ht="24" customHeight="1" x14ac:dyDescent="0.4">
      <c r="A68" s="11">
        <v>65</v>
      </c>
      <c r="B68" s="12"/>
      <c r="C68" s="12"/>
      <c r="D68" s="11"/>
      <c r="E68" s="11"/>
      <c r="F68" s="11"/>
      <c r="G68" s="11"/>
    </row>
    <row r="69" spans="1:7" ht="24" customHeight="1" x14ac:dyDescent="0.4">
      <c r="A69" s="11">
        <v>66</v>
      </c>
      <c r="B69" s="12"/>
      <c r="C69" s="12"/>
      <c r="D69" s="11"/>
      <c r="E69" s="11"/>
      <c r="F69" s="11"/>
      <c r="G69" s="11"/>
    </row>
    <row r="70" spans="1:7" ht="24" customHeight="1" x14ac:dyDescent="0.4">
      <c r="A70" s="11">
        <v>67</v>
      </c>
      <c r="B70" s="12"/>
      <c r="C70" s="12"/>
      <c r="D70" s="11"/>
      <c r="E70" s="11"/>
      <c r="F70" s="11"/>
      <c r="G70" s="11"/>
    </row>
    <row r="71" spans="1:7" ht="24" customHeight="1" x14ac:dyDescent="0.4">
      <c r="A71" s="11">
        <v>68</v>
      </c>
      <c r="B71" s="12"/>
      <c r="C71" s="12"/>
      <c r="D71" s="11"/>
      <c r="E71" s="11"/>
      <c r="F71" s="11"/>
      <c r="G71" s="11"/>
    </row>
    <row r="72" spans="1:7" ht="24" customHeight="1" x14ac:dyDescent="0.4">
      <c r="A72" s="11">
        <v>69</v>
      </c>
      <c r="B72" s="12"/>
      <c r="C72" s="12"/>
      <c r="D72" s="11"/>
      <c r="E72" s="11"/>
      <c r="F72" s="11"/>
      <c r="G72" s="11"/>
    </row>
    <row r="73" spans="1:7" ht="24" customHeight="1" x14ac:dyDescent="0.4">
      <c r="A73" s="11">
        <v>70</v>
      </c>
      <c r="B73" s="12"/>
      <c r="C73" s="12"/>
      <c r="D73" s="11"/>
      <c r="E73" s="11"/>
      <c r="F73" s="11"/>
      <c r="G73" s="11"/>
    </row>
    <row r="74" spans="1:7" ht="24" customHeight="1" x14ac:dyDescent="0.4">
      <c r="A74" s="11">
        <v>71</v>
      </c>
      <c r="B74" s="12"/>
      <c r="C74" s="12"/>
      <c r="D74" s="11"/>
      <c r="E74" s="11"/>
      <c r="F74" s="11"/>
      <c r="G74" s="11"/>
    </row>
    <row r="75" spans="1:7" ht="24" customHeight="1" x14ac:dyDescent="0.4">
      <c r="A75" s="11">
        <v>72</v>
      </c>
      <c r="B75" s="12"/>
      <c r="C75" s="12"/>
      <c r="D75" s="11"/>
      <c r="E75" s="11"/>
      <c r="F75" s="11"/>
      <c r="G75" s="11"/>
    </row>
    <row r="76" spans="1:7" ht="24" customHeight="1" x14ac:dyDescent="0.4">
      <c r="A76" s="11">
        <v>73</v>
      </c>
      <c r="B76" s="12"/>
      <c r="C76" s="12"/>
      <c r="D76" s="11"/>
      <c r="E76" s="11"/>
      <c r="F76" s="11"/>
      <c r="G76" s="11"/>
    </row>
    <row r="77" spans="1:7" ht="24" customHeight="1" x14ac:dyDescent="0.4">
      <c r="A77" s="11">
        <v>74</v>
      </c>
      <c r="B77" s="12"/>
      <c r="C77" s="12"/>
      <c r="D77" s="11"/>
      <c r="E77" s="11"/>
      <c r="F77" s="11"/>
      <c r="G77" s="11"/>
    </row>
    <row r="78" spans="1:7" ht="24" customHeight="1" x14ac:dyDescent="0.4">
      <c r="A78" s="11">
        <v>75</v>
      </c>
      <c r="B78" s="12"/>
      <c r="C78" s="12"/>
      <c r="D78" s="11"/>
      <c r="E78" s="11"/>
      <c r="F78" s="11"/>
      <c r="G78" s="11"/>
    </row>
    <row r="79" spans="1:7" ht="24" customHeight="1" x14ac:dyDescent="0.4">
      <c r="A79" s="11">
        <v>76</v>
      </c>
      <c r="B79" s="12"/>
      <c r="C79" s="12"/>
      <c r="D79" s="11"/>
      <c r="E79" s="11"/>
      <c r="F79" s="11"/>
      <c r="G79" s="11"/>
    </row>
    <row r="80" spans="1:7" ht="24" customHeight="1" x14ac:dyDescent="0.4">
      <c r="A80" s="11">
        <v>77</v>
      </c>
      <c r="B80" s="12"/>
      <c r="C80" s="12"/>
      <c r="D80" s="11"/>
      <c r="E80" s="11"/>
      <c r="F80" s="11"/>
      <c r="G80" s="11"/>
    </row>
    <row r="81" spans="1:7" ht="24" customHeight="1" x14ac:dyDescent="0.4">
      <c r="A81" s="11">
        <v>78</v>
      </c>
      <c r="B81" s="12"/>
      <c r="C81" s="12"/>
      <c r="D81" s="11"/>
      <c r="E81" s="11"/>
      <c r="F81" s="11"/>
      <c r="G81" s="11"/>
    </row>
    <row r="82" spans="1:7" ht="24" customHeight="1" x14ac:dyDescent="0.4">
      <c r="A82" s="11">
        <v>79</v>
      </c>
      <c r="B82" s="12"/>
      <c r="C82" s="12"/>
      <c r="D82" s="11"/>
      <c r="E82" s="11"/>
      <c r="F82" s="11"/>
      <c r="G82" s="11"/>
    </row>
    <row r="83" spans="1:7" ht="24" customHeight="1" x14ac:dyDescent="0.4">
      <c r="A83" s="11">
        <v>80</v>
      </c>
      <c r="B83" s="12"/>
      <c r="C83" s="12"/>
      <c r="D83" s="11"/>
      <c r="E83" s="11"/>
      <c r="F83" s="11"/>
      <c r="G83" s="11"/>
    </row>
    <row r="84" spans="1:7" ht="24" customHeight="1" x14ac:dyDescent="0.4">
      <c r="A84" s="11">
        <v>81</v>
      </c>
      <c r="B84" s="12"/>
      <c r="C84" s="12"/>
      <c r="D84" s="11"/>
      <c r="E84" s="11"/>
      <c r="F84" s="11"/>
      <c r="G84" s="11"/>
    </row>
    <row r="85" spans="1:7" ht="24" customHeight="1" x14ac:dyDescent="0.4">
      <c r="A85" s="11">
        <v>82</v>
      </c>
      <c r="B85" s="12"/>
      <c r="C85" s="12"/>
      <c r="D85" s="11"/>
      <c r="E85" s="11"/>
      <c r="F85" s="11"/>
      <c r="G85" s="11"/>
    </row>
    <row r="86" spans="1:7" ht="24" customHeight="1" x14ac:dyDescent="0.4">
      <c r="A86" s="11">
        <v>83</v>
      </c>
      <c r="B86" s="12"/>
      <c r="C86" s="12"/>
      <c r="D86" s="11"/>
      <c r="E86" s="11"/>
      <c r="F86" s="11"/>
      <c r="G86" s="11"/>
    </row>
    <row r="87" spans="1:7" ht="24" customHeight="1" x14ac:dyDescent="0.4">
      <c r="A87" s="11">
        <v>84</v>
      </c>
      <c r="B87" s="12"/>
      <c r="C87" s="12"/>
      <c r="D87" s="11"/>
      <c r="E87" s="11"/>
      <c r="F87" s="11"/>
      <c r="G87" s="11"/>
    </row>
    <row r="88" spans="1:7" ht="24" customHeight="1" x14ac:dyDescent="0.4">
      <c r="A88" s="11">
        <v>85</v>
      </c>
      <c r="B88" s="12"/>
      <c r="C88" s="12"/>
      <c r="D88" s="11"/>
      <c r="E88" s="11"/>
      <c r="F88" s="11"/>
      <c r="G88" s="11"/>
    </row>
    <row r="89" spans="1:7" ht="24" customHeight="1" x14ac:dyDescent="0.4">
      <c r="A89" s="11">
        <v>86</v>
      </c>
      <c r="B89" s="12"/>
      <c r="C89" s="12"/>
      <c r="D89" s="11"/>
      <c r="E89" s="11"/>
      <c r="F89" s="11"/>
      <c r="G89" s="11"/>
    </row>
    <row r="90" spans="1:7" ht="24" customHeight="1" x14ac:dyDescent="0.4">
      <c r="A90" s="11">
        <v>87</v>
      </c>
      <c r="B90" s="12"/>
      <c r="C90" s="12"/>
      <c r="D90" s="11"/>
      <c r="E90" s="11"/>
      <c r="F90" s="11"/>
      <c r="G90" s="11"/>
    </row>
    <row r="91" spans="1:7" ht="24" customHeight="1" x14ac:dyDescent="0.4">
      <c r="A91" s="11">
        <v>88</v>
      </c>
      <c r="B91" s="12"/>
      <c r="C91" s="12"/>
      <c r="D91" s="11"/>
      <c r="E91" s="11"/>
      <c r="F91" s="11"/>
      <c r="G91" s="11"/>
    </row>
    <row r="92" spans="1:7" ht="24" customHeight="1" x14ac:dyDescent="0.4">
      <c r="A92" s="11">
        <v>89</v>
      </c>
      <c r="B92" s="12"/>
      <c r="C92" s="12"/>
      <c r="D92" s="11"/>
      <c r="E92" s="11"/>
      <c r="F92" s="11"/>
      <c r="G92" s="11"/>
    </row>
    <row r="93" spans="1:7" ht="24" customHeight="1" x14ac:dyDescent="0.4">
      <c r="A93" s="11">
        <v>90</v>
      </c>
      <c r="B93" s="12"/>
      <c r="C93" s="12"/>
      <c r="D93" s="11"/>
      <c r="E93" s="11"/>
      <c r="F93" s="11"/>
      <c r="G93" s="11"/>
    </row>
    <row r="94" spans="1:7" ht="24" customHeight="1" x14ac:dyDescent="0.4">
      <c r="A94" s="11">
        <v>91</v>
      </c>
      <c r="B94" s="12"/>
      <c r="C94" s="12"/>
      <c r="D94" s="11"/>
      <c r="E94" s="11"/>
      <c r="F94" s="11"/>
      <c r="G94" s="11"/>
    </row>
    <row r="95" spans="1:7" ht="24" customHeight="1" x14ac:dyDescent="0.4">
      <c r="A95" s="11">
        <v>92</v>
      </c>
      <c r="B95" s="12"/>
      <c r="C95" s="12"/>
      <c r="D95" s="11"/>
      <c r="E95" s="11"/>
      <c r="F95" s="11"/>
      <c r="G95" s="11"/>
    </row>
    <row r="96" spans="1:7" ht="24" customHeight="1" x14ac:dyDescent="0.4">
      <c r="A96" s="11">
        <v>93</v>
      </c>
      <c r="B96" s="12"/>
      <c r="C96" s="12"/>
      <c r="D96" s="11"/>
      <c r="E96" s="11"/>
      <c r="F96" s="11"/>
      <c r="G96" s="11"/>
    </row>
    <row r="97" spans="1:7" ht="24" customHeight="1" x14ac:dyDescent="0.4">
      <c r="A97" s="11">
        <v>94</v>
      </c>
      <c r="B97" s="12"/>
      <c r="C97" s="12"/>
      <c r="D97" s="11"/>
      <c r="E97" s="11"/>
      <c r="F97" s="11"/>
      <c r="G97" s="11"/>
    </row>
    <row r="98" spans="1:7" ht="24" customHeight="1" x14ac:dyDescent="0.4">
      <c r="A98" s="11">
        <v>95</v>
      </c>
      <c r="B98" s="12"/>
      <c r="C98" s="12"/>
      <c r="D98" s="11"/>
      <c r="E98" s="11"/>
      <c r="F98" s="11"/>
      <c r="G98" s="11"/>
    </row>
    <row r="99" spans="1:7" ht="24" customHeight="1" x14ac:dyDescent="0.4">
      <c r="A99" s="11">
        <v>96</v>
      </c>
      <c r="B99" s="12"/>
      <c r="C99" s="12"/>
      <c r="D99" s="11"/>
      <c r="E99" s="11"/>
      <c r="F99" s="11"/>
      <c r="G99" s="11"/>
    </row>
    <row r="100" spans="1:7" ht="24" customHeight="1" x14ac:dyDescent="0.4">
      <c r="A100" s="11">
        <v>97</v>
      </c>
      <c r="B100" s="12"/>
      <c r="C100" s="12"/>
      <c r="D100" s="11"/>
      <c r="E100" s="11"/>
      <c r="F100" s="11"/>
      <c r="G100" s="11"/>
    </row>
    <row r="101" spans="1:7" ht="24" customHeight="1" x14ac:dyDescent="0.4">
      <c r="A101" s="11">
        <v>98</v>
      </c>
      <c r="B101" s="12"/>
      <c r="C101" s="12"/>
      <c r="D101" s="11"/>
      <c r="E101" s="11"/>
      <c r="F101" s="11"/>
      <c r="G101" s="11"/>
    </row>
    <row r="102" spans="1:7" ht="24" customHeight="1" x14ac:dyDescent="0.4">
      <c r="A102" s="11">
        <v>99</v>
      </c>
      <c r="B102" s="12"/>
      <c r="C102" s="12"/>
      <c r="D102" s="11"/>
      <c r="E102" s="11"/>
      <c r="F102" s="11"/>
      <c r="G102" s="11"/>
    </row>
    <row r="103" spans="1:7" ht="24" customHeight="1" x14ac:dyDescent="0.4">
      <c r="A103" s="11">
        <v>100</v>
      </c>
      <c r="B103" s="12"/>
      <c r="C103" s="12"/>
      <c r="D103" s="11"/>
      <c r="E103" s="11"/>
      <c r="F103" s="11"/>
      <c r="G103" s="11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helper</vt:lpstr>
      <vt:lpstr>Individual Results</vt:lpstr>
      <vt:lpstr>TeamPoints</vt:lpstr>
      <vt:lpstr>For Print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2026-04-07T04:31:28Z</cp:lastPrinted>
  <dcterms:created xsi:type="dcterms:W3CDTF">2026-04-06T23:28:35Z</dcterms:created>
  <dcterms:modified xsi:type="dcterms:W3CDTF">2026-04-07T04:31:47Z</dcterms:modified>
</cp:coreProperties>
</file>