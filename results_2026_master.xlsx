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175DFF62-4796-43F6-A4FC-4B44D4686D3C}" xr6:coauthVersionLast="47" xr6:coauthVersionMax="47" xr10:uidLastSave="{00000000-0000-0000-0000-000000000000}"/>
  <bookViews>
    <workbookView xWindow="-1940" yWindow="-21530" windowWidth="17580" windowHeight="20870" tabRatio="762" firstSheet="1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0" l="1"/>
  <c r="D8" i="10"/>
  <c r="D7" i="10"/>
  <c r="D6" i="10"/>
  <c r="D5" i="10"/>
  <c r="D4" i="10"/>
  <c r="D3" i="10"/>
  <c r="D2" i="10"/>
  <c r="I205" i="2"/>
  <c r="K205" i="2"/>
  <c r="M205" i="2"/>
  <c r="O205" i="2"/>
  <c r="Q205" i="2"/>
  <c r="S205" i="2"/>
  <c r="I58" i="2"/>
  <c r="K58" i="2"/>
  <c r="M58" i="2"/>
  <c r="O58" i="2"/>
  <c r="Q58" i="2"/>
  <c r="S58" i="2"/>
  <c r="D10" i="10" l="1"/>
  <c r="D11" i="10" s="1"/>
  <c r="T205" i="2"/>
  <c r="V205" i="2" s="1"/>
  <c r="U205" i="2"/>
  <c r="U58" i="2"/>
  <c r="T58" i="2"/>
  <c r="V58" i="2" s="1"/>
  <c r="I56" i="2"/>
  <c r="K56" i="2"/>
  <c r="M56" i="2"/>
  <c r="O56" i="2"/>
  <c r="Q56" i="2"/>
  <c r="S56" i="2"/>
  <c r="I61" i="2"/>
  <c r="K61" i="2"/>
  <c r="M61" i="2"/>
  <c r="O61" i="2"/>
  <c r="Q61" i="2"/>
  <c r="S61" i="2"/>
  <c r="I326" i="2"/>
  <c r="K326" i="2"/>
  <c r="M326" i="2"/>
  <c r="O326" i="2"/>
  <c r="Q326" i="2"/>
  <c r="S326" i="2"/>
  <c r="I201" i="2"/>
  <c r="K201" i="2"/>
  <c r="M201" i="2"/>
  <c r="O201" i="2"/>
  <c r="Q201" i="2"/>
  <c r="S201" i="2"/>
  <c r="I62" i="2"/>
  <c r="K62" i="2"/>
  <c r="M62" i="2"/>
  <c r="O62" i="2"/>
  <c r="Q62" i="2"/>
  <c r="S62" i="2"/>
  <c r="T56" i="2" l="1"/>
  <c r="V56" i="2" s="1"/>
  <c r="U56" i="2"/>
  <c r="T61" i="2"/>
  <c r="V61" i="2" s="1"/>
  <c r="U61" i="2"/>
  <c r="U326" i="2"/>
  <c r="T326" i="2"/>
  <c r="V326" i="2" s="1"/>
  <c r="T201" i="2"/>
  <c r="V201" i="2" s="1"/>
  <c r="U201" i="2"/>
  <c r="T62" i="2"/>
  <c r="V62" i="2" s="1"/>
  <c r="U62" i="2"/>
  <c r="E365" i="2"/>
  <c r="G365" i="2"/>
  <c r="I285" i="2"/>
  <c r="K285" i="2"/>
  <c r="M285" i="2"/>
  <c r="O285" i="2"/>
  <c r="Q285" i="2"/>
  <c r="S285" i="2"/>
  <c r="I289" i="2"/>
  <c r="K289" i="2"/>
  <c r="M289" i="2"/>
  <c r="O289" i="2"/>
  <c r="Q289" i="2"/>
  <c r="S289" i="2"/>
  <c r="I107" i="2"/>
  <c r="K107" i="2"/>
  <c r="M107" i="2"/>
  <c r="O107" i="2"/>
  <c r="Q107" i="2"/>
  <c r="S107" i="2"/>
  <c r="I260" i="2"/>
  <c r="K260" i="2"/>
  <c r="M260" i="2"/>
  <c r="O260" i="2"/>
  <c r="Q260" i="2"/>
  <c r="S260" i="2"/>
  <c r="T289" i="2" l="1"/>
  <c r="V289" i="2" s="1"/>
  <c r="U289" i="2"/>
  <c r="U285" i="2"/>
  <c r="T285" i="2"/>
  <c r="V285" i="2" s="1"/>
  <c r="T107" i="2"/>
  <c r="V107" i="2" s="1"/>
  <c r="U107" i="2"/>
  <c r="T260" i="2"/>
  <c r="V260" i="2" s="1"/>
  <c r="U260" i="2"/>
  <c r="I123" i="2" l="1"/>
  <c r="K123" i="2"/>
  <c r="M123" i="2"/>
  <c r="O123" i="2"/>
  <c r="Q123" i="2"/>
  <c r="S123" i="2"/>
  <c r="B3" i="10"/>
  <c r="B4" i="10"/>
  <c r="B5" i="10"/>
  <c r="B6" i="10"/>
  <c r="B7" i="10"/>
  <c r="B8" i="10"/>
  <c r="B9" i="10"/>
  <c r="B2" i="10"/>
  <c r="C10" i="10"/>
  <c r="I237" i="2"/>
  <c r="K237" i="2"/>
  <c r="M237" i="2"/>
  <c r="O237" i="2"/>
  <c r="Q237" i="2"/>
  <c r="S237" i="2"/>
  <c r="I202" i="2"/>
  <c r="K202" i="2"/>
  <c r="M202" i="2"/>
  <c r="O202" i="2"/>
  <c r="Q202" i="2"/>
  <c r="S202" i="2"/>
  <c r="I60" i="2"/>
  <c r="K60" i="2"/>
  <c r="M60" i="2"/>
  <c r="O60" i="2"/>
  <c r="Q60" i="2"/>
  <c r="S60" i="2"/>
  <c r="I321" i="2"/>
  <c r="K321" i="2"/>
  <c r="M321" i="2"/>
  <c r="O321" i="2"/>
  <c r="Q321" i="2"/>
  <c r="S321" i="2"/>
  <c r="I35" i="2"/>
  <c r="K35" i="2"/>
  <c r="M35" i="2"/>
  <c r="O35" i="2"/>
  <c r="Q35" i="2"/>
  <c r="S35" i="2"/>
  <c r="I223" i="2"/>
  <c r="K223" i="2"/>
  <c r="M223" i="2"/>
  <c r="O223" i="2"/>
  <c r="Q223" i="2"/>
  <c r="S223" i="2"/>
  <c r="I301" i="2"/>
  <c r="K301" i="2"/>
  <c r="M301" i="2"/>
  <c r="O301" i="2"/>
  <c r="Q301" i="2"/>
  <c r="S301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70" i="2"/>
  <c r="K70" i="2"/>
  <c r="M70" i="2"/>
  <c r="O70" i="2"/>
  <c r="Q70" i="2"/>
  <c r="S70" i="2"/>
  <c r="I103" i="2"/>
  <c r="K103" i="2"/>
  <c r="M103" i="2"/>
  <c r="O103" i="2"/>
  <c r="Q103" i="2"/>
  <c r="S103" i="2"/>
  <c r="U123" i="2" l="1"/>
  <c r="T123" i="2"/>
  <c r="V123" i="2" s="1"/>
  <c r="B10" i="10"/>
  <c r="C11" i="10" s="1"/>
  <c r="T237" i="2"/>
  <c r="V237" i="2" s="1"/>
  <c r="U237" i="2"/>
  <c r="T202" i="2"/>
  <c r="V202" i="2" s="1"/>
  <c r="T321" i="2"/>
  <c r="V321" i="2" s="1"/>
  <c r="U60" i="2"/>
  <c r="U202" i="2"/>
  <c r="T60" i="2"/>
  <c r="V60" i="2" s="1"/>
  <c r="U321" i="2"/>
  <c r="T223" i="2"/>
  <c r="V223" i="2" s="1"/>
  <c r="T35" i="2"/>
  <c r="V35" i="2" s="1"/>
  <c r="U35" i="2"/>
  <c r="U223" i="2"/>
  <c r="T301" i="2"/>
  <c r="V301" i="2" s="1"/>
  <c r="U301" i="2"/>
  <c r="T70" i="2"/>
  <c r="V70" i="2" s="1"/>
  <c r="U70" i="2"/>
  <c r="C24" i="1"/>
  <c r="T103" i="2"/>
  <c r="V103" i="2" s="1"/>
  <c r="U103" i="2"/>
  <c r="I252" i="2" l="1"/>
  <c r="K252" i="2"/>
  <c r="M252" i="2"/>
  <c r="O252" i="2"/>
  <c r="Q252" i="2"/>
  <c r="S252" i="2"/>
  <c r="I22" i="2"/>
  <c r="K22" i="2"/>
  <c r="M22" i="2"/>
  <c r="O22" i="2"/>
  <c r="Q22" i="2"/>
  <c r="S22" i="2"/>
  <c r="K12" i="2"/>
  <c r="M12" i="2"/>
  <c r="O12" i="2"/>
  <c r="Q12" i="2"/>
  <c r="S12" i="2"/>
  <c r="U22" i="2" l="1"/>
  <c r="U12" i="2"/>
  <c r="U252" i="2"/>
  <c r="T252" i="2"/>
  <c r="V252" i="2" s="1"/>
  <c r="T22" i="2"/>
  <c r="V22" i="2" s="1"/>
  <c r="T12" i="2"/>
  <c r="V12" i="2" s="1"/>
  <c r="I360" i="2" l="1"/>
  <c r="K360" i="2"/>
  <c r="M360" i="2"/>
  <c r="O360" i="2"/>
  <c r="Q360" i="2"/>
  <c r="S360" i="2"/>
  <c r="K281" i="2"/>
  <c r="K273" i="2"/>
  <c r="K271" i="2"/>
  <c r="K206" i="2"/>
  <c r="K145" i="2"/>
  <c r="S270" i="2"/>
  <c r="S135" i="2"/>
  <c r="S147" i="2"/>
  <c r="S271" i="2"/>
  <c r="S104" i="2"/>
  <c r="S272" i="2"/>
  <c r="S273" i="2"/>
  <c r="S206" i="2"/>
  <c r="S145" i="2"/>
  <c r="S281" i="2"/>
  <c r="S96" i="2"/>
  <c r="S212" i="2"/>
  <c r="S214" i="2"/>
  <c r="S246" i="2"/>
  <c r="S332" i="2"/>
  <c r="S13" i="2"/>
  <c r="S71" i="2"/>
  <c r="S25" i="2"/>
  <c r="S26" i="2"/>
  <c r="S27" i="2"/>
  <c r="S28" i="2"/>
  <c r="S29" i="2"/>
  <c r="S30" i="2"/>
  <c r="S259" i="2"/>
  <c r="S288" i="2"/>
  <c r="S116" i="2"/>
  <c r="S36" i="2"/>
  <c r="S97" i="2"/>
  <c r="S290" i="2"/>
  <c r="S31" i="2"/>
  <c r="S142" i="2"/>
  <c r="S226" i="2"/>
  <c r="S227" i="2"/>
  <c r="S131" i="2"/>
  <c r="S111" i="2"/>
  <c r="S120" i="2"/>
  <c r="S231" i="2"/>
  <c r="S291" i="2"/>
  <c r="S292" i="2"/>
  <c r="S187" i="2"/>
  <c r="S248" i="2"/>
  <c r="S235" i="2"/>
  <c r="S278" i="2"/>
  <c r="S200" i="2"/>
  <c r="S282" i="2"/>
  <c r="S211" i="2"/>
  <c r="S213" i="2"/>
  <c r="S150" i="2"/>
  <c r="S151" i="2"/>
  <c r="S264" i="2"/>
  <c r="S343" i="2"/>
  <c r="S233" i="2"/>
  <c r="S293" i="2"/>
  <c r="S139" i="2"/>
  <c r="S280" i="2"/>
  <c r="S294" i="2"/>
  <c r="S279" i="2"/>
  <c r="S249" i="2"/>
  <c r="S93" i="2"/>
  <c r="S133" i="2"/>
  <c r="S101" i="2"/>
  <c r="S72" i="2"/>
  <c r="S178" i="2"/>
  <c r="S257" i="2"/>
  <c r="S126" i="2"/>
  <c r="S74" i="2"/>
  <c r="S171" i="2"/>
  <c r="S229" i="2"/>
  <c r="S295" i="2"/>
  <c r="S112" i="2"/>
  <c r="S298" i="2"/>
  <c r="S318" i="2"/>
  <c r="S76" i="2"/>
  <c r="S351" i="2"/>
  <c r="S299" i="2"/>
  <c r="S305" i="2"/>
  <c r="S296" i="2"/>
  <c r="S4" i="2"/>
  <c r="S100" i="2"/>
  <c r="S300" i="2"/>
  <c r="S108" i="2"/>
  <c r="S109" i="2"/>
  <c r="S14" i="2"/>
  <c r="S228" i="2"/>
  <c r="S297" i="2"/>
  <c r="S310" i="2"/>
  <c r="S134" i="2"/>
  <c r="S6" i="2"/>
  <c r="S117" i="2"/>
  <c r="S306" i="2"/>
  <c r="S38" i="2"/>
  <c r="S41" i="2"/>
  <c r="S189" i="2"/>
  <c r="S39" i="2"/>
  <c r="S287" i="2"/>
  <c r="S32" i="2"/>
  <c r="S65" i="2"/>
  <c r="S45" i="2"/>
  <c r="S345" i="2"/>
  <c r="S3" i="2"/>
  <c r="S10" i="2"/>
  <c r="S302" i="2"/>
  <c r="S319" i="2"/>
  <c r="S320" i="2"/>
  <c r="S183" i="2"/>
  <c r="S182" i="2"/>
  <c r="S15" i="2"/>
  <c r="S16" i="2"/>
  <c r="S308" i="2"/>
  <c r="S311" i="2"/>
  <c r="S312" i="2"/>
  <c r="S269" i="2"/>
  <c r="S99" i="2"/>
  <c r="S148" i="2"/>
  <c r="S115" i="2"/>
  <c r="S17" i="2"/>
  <c r="S110" i="2"/>
  <c r="S334" i="2"/>
  <c r="S141" i="2"/>
  <c r="S156" i="2"/>
  <c r="S215" i="2"/>
  <c r="S265" i="2"/>
  <c r="S127" i="2"/>
  <c r="S80" i="2"/>
  <c r="S262" i="2"/>
  <c r="S67" i="2"/>
  <c r="S196" i="2"/>
  <c r="S54" i="2"/>
  <c r="S75" i="2"/>
  <c r="S267" i="2"/>
  <c r="S48" i="2"/>
  <c r="S121" i="2"/>
  <c r="S51" i="2"/>
  <c r="S277" i="2"/>
  <c r="S173" i="2"/>
  <c r="S154" i="2"/>
  <c r="S253" i="2"/>
  <c r="S337" i="2"/>
  <c r="S355" i="2"/>
  <c r="S216" i="2"/>
  <c r="S152" i="2"/>
  <c r="S63" i="2"/>
  <c r="S184" i="2"/>
  <c r="S185" i="2"/>
  <c r="S217" i="2"/>
  <c r="S88" i="2"/>
  <c r="S66" i="2"/>
  <c r="S313" i="2"/>
  <c r="S314" i="2"/>
  <c r="S188" i="2"/>
  <c r="S194" i="2"/>
  <c r="S192" i="2"/>
  <c r="S53" i="2"/>
  <c r="S315" i="2"/>
  <c r="S190" i="2"/>
  <c r="S353" i="2"/>
  <c r="S90" i="2"/>
  <c r="S9" i="2"/>
  <c r="S106" i="2"/>
  <c r="S176" i="2"/>
  <c r="S136" i="2"/>
  <c r="S2" i="2"/>
  <c r="S59" i="2"/>
  <c r="S208" i="2"/>
  <c r="S209" i="2"/>
  <c r="S210" i="2"/>
  <c r="S336" i="2"/>
  <c r="S18" i="2"/>
  <c r="S333" i="2"/>
  <c r="S251" i="2"/>
  <c r="S274" i="2"/>
  <c r="S331" i="2"/>
  <c r="S218" i="2"/>
  <c r="S219" i="2"/>
  <c r="S322" i="2"/>
  <c r="S40" i="2"/>
  <c r="S64" i="2"/>
  <c r="S266" i="2"/>
  <c r="S341" i="2"/>
  <c r="S342" i="2"/>
  <c r="S83" i="2"/>
  <c r="S168" i="2"/>
  <c r="S172" i="2"/>
  <c r="S316" i="2"/>
  <c r="S122" i="2"/>
  <c r="S268" i="2"/>
  <c r="S317" i="2"/>
  <c r="S55" i="2"/>
  <c r="S82" i="2"/>
  <c r="S163" i="2"/>
  <c r="S243" i="2"/>
  <c r="S175" i="2"/>
  <c r="S240" i="2"/>
  <c r="S91" i="2"/>
  <c r="S327" i="2"/>
  <c r="S77" i="2"/>
  <c r="S95" i="2"/>
  <c r="S325" i="2"/>
  <c r="S143" i="2"/>
  <c r="S346" i="2"/>
  <c r="S250" i="2"/>
  <c r="S138" i="2"/>
  <c r="S221" i="2"/>
  <c r="S255" i="2"/>
  <c r="S159" i="2"/>
  <c r="S161" i="2"/>
  <c r="S37" i="2"/>
  <c r="S34" i="2"/>
  <c r="S119" i="2"/>
  <c r="S323" i="2"/>
  <c r="S129" i="2"/>
  <c r="S42" i="2"/>
  <c r="S130" i="2"/>
  <c r="S347" i="2"/>
  <c r="S245" i="2"/>
  <c r="S207" i="2"/>
  <c r="S149" i="2"/>
  <c r="S222" i="2"/>
  <c r="S158" i="2"/>
  <c r="S232" i="2"/>
  <c r="S197" i="2"/>
  <c r="S348" i="2"/>
  <c r="S193" i="2"/>
  <c r="S105" i="2"/>
  <c r="S94" i="2"/>
  <c r="S283" i="2"/>
  <c r="S284" i="2"/>
  <c r="S286" i="2"/>
  <c r="S256" i="2"/>
  <c r="S357" i="2"/>
  <c r="S166" i="2"/>
  <c r="S234" i="2"/>
  <c r="S164" i="2"/>
  <c r="S236" i="2"/>
  <c r="S89" i="2"/>
  <c r="S84" i="2"/>
  <c r="S191" i="2"/>
  <c r="S362" i="2"/>
  <c r="S7" i="2"/>
  <c r="S328" i="2"/>
  <c r="S329" i="2"/>
  <c r="S102" i="2"/>
  <c r="S160" i="2"/>
  <c r="S275" i="2"/>
  <c r="S81" i="2"/>
  <c r="S118" i="2"/>
  <c r="S204" i="2"/>
  <c r="S349" i="2"/>
  <c r="S350" i="2"/>
  <c r="S85" i="2"/>
  <c r="S57" i="2"/>
  <c r="S186" i="2"/>
  <c r="S113" i="2"/>
  <c r="S238" i="2"/>
  <c r="S165" i="2"/>
  <c r="S174" i="2"/>
  <c r="S8" i="2"/>
  <c r="S261" i="2"/>
  <c r="S263" i="2"/>
  <c r="S195" i="2"/>
  <c r="S78" i="2"/>
  <c r="S5" i="2"/>
  <c r="S69" i="2"/>
  <c r="S354" i="2"/>
  <c r="S180" i="2"/>
  <c r="S140" i="2"/>
  <c r="S21" i="2"/>
  <c r="S181" i="2"/>
  <c r="S153" i="2"/>
  <c r="S79" i="2"/>
  <c r="S338" i="2"/>
  <c r="S339" i="2"/>
  <c r="S340" i="2"/>
  <c r="S47" i="2"/>
  <c r="S46" i="2"/>
  <c r="S43" i="2"/>
  <c r="S344" i="2"/>
  <c r="S132" i="2"/>
  <c r="S98" i="2"/>
  <c r="S87" i="2"/>
  <c r="S86" i="2"/>
  <c r="S52" i="2"/>
  <c r="S241" i="2"/>
  <c r="S11" i="2"/>
  <c r="S24" i="2"/>
  <c r="S356" i="2"/>
  <c r="S358" i="2"/>
  <c r="S359" i="2"/>
  <c r="S225" i="2"/>
  <c r="S73" i="2"/>
  <c r="S361" i="2"/>
  <c r="S92" i="2"/>
  <c r="S199" i="2"/>
  <c r="Q270" i="2"/>
  <c r="Q135" i="2"/>
  <c r="Q147" i="2"/>
  <c r="Q271" i="2"/>
  <c r="Q104" i="2"/>
  <c r="Q272" i="2"/>
  <c r="Q273" i="2"/>
  <c r="Q206" i="2"/>
  <c r="Q145" i="2"/>
  <c r="Q281" i="2"/>
  <c r="Q96" i="2"/>
  <c r="Q212" i="2"/>
  <c r="Q214" i="2"/>
  <c r="Q304" i="2"/>
  <c r="Q203" i="2"/>
  <c r="Q246" i="2"/>
  <c r="Q332" i="2"/>
  <c r="Q13" i="2"/>
  <c r="Q71" i="2"/>
  <c r="Q25" i="2"/>
  <c r="Q26" i="2"/>
  <c r="Q27" i="2"/>
  <c r="Q28" i="2"/>
  <c r="Q29" i="2"/>
  <c r="Q30" i="2"/>
  <c r="Q259" i="2"/>
  <c r="Q288" i="2"/>
  <c r="Q116" i="2"/>
  <c r="Q36" i="2"/>
  <c r="Q258" i="2"/>
  <c r="Q33" i="2"/>
  <c r="Q224" i="2"/>
  <c r="Q97" i="2"/>
  <c r="Q290" i="2"/>
  <c r="Q31" i="2"/>
  <c r="Q142" i="2"/>
  <c r="Q226" i="2"/>
  <c r="Q227" i="2"/>
  <c r="Q131" i="2"/>
  <c r="Q111" i="2"/>
  <c r="Q120" i="2"/>
  <c r="Q231" i="2"/>
  <c r="Q291" i="2"/>
  <c r="Q292" i="2"/>
  <c r="Q187" i="2"/>
  <c r="Q162" i="2"/>
  <c r="Q239" i="2"/>
  <c r="Q248" i="2"/>
  <c r="Q235" i="2"/>
  <c r="Q278" i="2"/>
  <c r="Q282" i="2"/>
  <c r="Q211" i="2"/>
  <c r="Q213" i="2"/>
  <c r="Q150" i="2"/>
  <c r="Q151" i="2"/>
  <c r="Q264" i="2"/>
  <c r="Q343" i="2"/>
  <c r="Q233" i="2"/>
  <c r="Q293" i="2"/>
  <c r="Q146" i="2"/>
  <c r="Q244" i="2"/>
  <c r="Q155" i="2"/>
  <c r="Q139" i="2"/>
  <c r="Q280" i="2"/>
  <c r="Q294" i="2"/>
  <c r="Q249" i="2"/>
  <c r="Q93" i="2"/>
  <c r="Q133" i="2"/>
  <c r="Q101" i="2"/>
  <c r="Q72" i="2"/>
  <c r="Q178" i="2"/>
  <c r="Q257" i="2"/>
  <c r="Q126" i="2"/>
  <c r="Q74" i="2"/>
  <c r="Q49" i="2"/>
  <c r="Q230" i="2"/>
  <c r="Q171" i="2"/>
  <c r="Q229" i="2"/>
  <c r="Q298" i="2"/>
  <c r="Q318" i="2"/>
  <c r="Q76" i="2"/>
  <c r="Q351" i="2"/>
  <c r="Q299" i="2"/>
  <c r="Q305" i="2"/>
  <c r="Q296" i="2"/>
  <c r="Q4" i="2"/>
  <c r="Q100" i="2"/>
  <c r="Q300" i="2"/>
  <c r="Q125" i="2"/>
  <c r="Q114" i="2"/>
  <c r="Q108" i="2"/>
  <c r="Q228" i="2"/>
  <c r="Q310" i="2"/>
  <c r="Q134" i="2"/>
  <c r="Q6" i="2"/>
  <c r="Q117" i="2"/>
  <c r="Q306" i="2"/>
  <c r="Q38" i="2"/>
  <c r="Q41" i="2"/>
  <c r="Q44" i="2"/>
  <c r="Q189" i="2"/>
  <c r="Q247" i="2"/>
  <c r="Q307" i="2"/>
  <c r="Q39" i="2"/>
  <c r="Q287" i="2"/>
  <c r="Q32" i="2"/>
  <c r="Q65" i="2"/>
  <c r="Q45" i="2"/>
  <c r="Q345" i="2"/>
  <c r="Q3" i="2"/>
  <c r="Q10" i="2"/>
  <c r="Q302" i="2"/>
  <c r="Q319" i="2"/>
  <c r="Q320" i="2"/>
  <c r="Q137" i="2"/>
  <c r="Q183" i="2"/>
  <c r="Q182" i="2"/>
  <c r="Q15" i="2"/>
  <c r="Q16" i="2"/>
  <c r="Q311" i="2"/>
  <c r="Q312" i="2"/>
  <c r="Q269" i="2"/>
  <c r="Q99" i="2"/>
  <c r="Q148" i="2"/>
  <c r="Q115" i="2"/>
  <c r="Q17" i="2"/>
  <c r="Q110" i="2"/>
  <c r="Q334" i="2"/>
  <c r="Q141" i="2"/>
  <c r="Q330" i="2"/>
  <c r="Q156" i="2"/>
  <c r="Q215" i="2"/>
  <c r="Q265" i="2"/>
  <c r="Q127" i="2"/>
  <c r="Q80" i="2"/>
  <c r="Q67" i="2"/>
  <c r="Q196" i="2"/>
  <c r="Q54" i="2"/>
  <c r="Q75" i="2"/>
  <c r="Q267" i="2"/>
  <c r="Q48" i="2"/>
  <c r="Q121" i="2"/>
  <c r="Q51" i="2"/>
  <c r="Q277" i="2"/>
  <c r="Q50" i="2"/>
  <c r="Q167" i="2"/>
  <c r="Q352" i="2"/>
  <c r="Q198" i="2"/>
  <c r="Q173" i="2"/>
  <c r="Q154" i="2"/>
  <c r="Q253" i="2"/>
  <c r="Q337" i="2"/>
  <c r="Q355" i="2"/>
  <c r="Q216" i="2"/>
  <c r="Q152" i="2"/>
  <c r="Q63" i="2"/>
  <c r="Q184" i="2"/>
  <c r="Q185" i="2"/>
  <c r="Q217" i="2"/>
  <c r="Q88" i="2"/>
  <c r="Q144" i="2"/>
  <c r="Q170" i="2"/>
  <c r="Q66" i="2"/>
  <c r="Q313" i="2"/>
  <c r="Q314" i="2"/>
  <c r="Q188" i="2"/>
  <c r="Q194" i="2"/>
  <c r="Q192" i="2"/>
  <c r="Q53" i="2"/>
  <c r="Q315" i="2"/>
  <c r="Q190" i="2"/>
  <c r="Q353" i="2"/>
  <c r="Q90" i="2"/>
  <c r="Q9" i="2"/>
  <c r="Q106" i="2"/>
  <c r="Q176" i="2"/>
  <c r="Q335" i="2"/>
  <c r="Q276" i="2"/>
  <c r="Q136" i="2"/>
  <c r="Q2" i="2"/>
  <c r="Q208" i="2"/>
  <c r="Q209" i="2"/>
  <c r="Q210" i="2"/>
  <c r="Q336" i="2"/>
  <c r="Q18" i="2"/>
  <c r="Q333" i="2"/>
  <c r="Q251" i="2"/>
  <c r="Q274" i="2"/>
  <c r="Q331" i="2"/>
  <c r="Q218" i="2"/>
  <c r="Q219" i="2"/>
  <c r="Q220" i="2"/>
  <c r="Q254" i="2"/>
  <c r="Q128" i="2"/>
  <c r="Q309" i="2"/>
  <c r="Q322" i="2"/>
  <c r="Q40" i="2"/>
  <c r="Q64" i="2"/>
  <c r="Q266" i="2"/>
  <c r="Q341" i="2"/>
  <c r="Q342" i="2"/>
  <c r="Q83" i="2"/>
  <c r="Q168" i="2"/>
  <c r="Q172" i="2"/>
  <c r="Q316" i="2"/>
  <c r="Q122" i="2"/>
  <c r="Q268" i="2"/>
  <c r="Q169" i="2"/>
  <c r="Q317" i="2"/>
  <c r="Q55" i="2"/>
  <c r="Q82" i="2"/>
  <c r="Q163" i="2"/>
  <c r="Q243" i="2"/>
  <c r="Q175" i="2"/>
  <c r="Q240" i="2"/>
  <c r="Q91" i="2"/>
  <c r="Q327" i="2"/>
  <c r="Q77" i="2"/>
  <c r="Q95" i="2"/>
  <c r="Q325" i="2"/>
  <c r="Q143" i="2"/>
  <c r="Q346" i="2"/>
  <c r="Q250" i="2"/>
  <c r="Q177" i="2"/>
  <c r="Q179" i="2"/>
  <c r="Q138" i="2"/>
  <c r="Q221" i="2"/>
  <c r="Q37" i="2"/>
  <c r="Q34" i="2"/>
  <c r="Q119" i="2"/>
  <c r="Q323" i="2"/>
  <c r="Q129" i="2"/>
  <c r="Q42" i="2"/>
  <c r="Q130" i="2"/>
  <c r="Q347" i="2"/>
  <c r="Q245" i="2"/>
  <c r="Q124" i="2"/>
  <c r="Q207" i="2"/>
  <c r="Q149" i="2"/>
  <c r="Q19" i="2"/>
  <c r="Q158" i="2"/>
  <c r="Q232" i="2"/>
  <c r="Q197" i="2"/>
  <c r="Q348" i="2"/>
  <c r="Q193" i="2"/>
  <c r="Q105" i="2"/>
  <c r="Q94" i="2"/>
  <c r="Q283" i="2"/>
  <c r="Q284" i="2"/>
  <c r="Q286" i="2"/>
  <c r="Q324" i="2"/>
  <c r="Q256" i="2"/>
  <c r="Q357" i="2"/>
  <c r="Q166" i="2"/>
  <c r="Q234" i="2"/>
  <c r="Q164" i="2"/>
  <c r="Q236" i="2"/>
  <c r="Q89" i="2"/>
  <c r="Q84" i="2"/>
  <c r="Q191" i="2"/>
  <c r="Q362" i="2"/>
  <c r="Q7" i="2"/>
  <c r="Q328" i="2"/>
  <c r="Q329" i="2"/>
  <c r="Q102" i="2"/>
  <c r="Q303" i="2"/>
  <c r="Q20" i="2"/>
  <c r="Q160" i="2"/>
  <c r="Q275" i="2"/>
  <c r="Q81" i="2"/>
  <c r="Q118" i="2"/>
  <c r="Q204" i="2"/>
  <c r="Q349" i="2"/>
  <c r="Q350" i="2"/>
  <c r="Q85" i="2"/>
  <c r="Q57" i="2"/>
  <c r="Q186" i="2"/>
  <c r="Q113" i="2"/>
  <c r="Q238" i="2"/>
  <c r="Q165" i="2"/>
  <c r="Q174" i="2"/>
  <c r="Q68" i="2"/>
  <c r="Q8" i="2"/>
  <c r="Q261" i="2"/>
  <c r="Q263" i="2"/>
  <c r="Q78" i="2"/>
  <c r="Q5" i="2"/>
  <c r="Q69" i="2"/>
  <c r="Q354" i="2"/>
  <c r="Q180" i="2"/>
  <c r="Q140" i="2"/>
  <c r="Q21" i="2"/>
  <c r="Q181" i="2"/>
  <c r="Q153" i="2"/>
  <c r="Q23" i="2"/>
  <c r="Q157" i="2"/>
  <c r="Q79" i="2"/>
  <c r="Q338" i="2"/>
  <c r="Q339" i="2"/>
  <c r="Q340" i="2"/>
  <c r="Q47" i="2"/>
  <c r="Q46" i="2"/>
  <c r="Q43" i="2"/>
  <c r="Q344" i="2"/>
  <c r="Q132" i="2"/>
  <c r="Q98" i="2"/>
  <c r="Q87" i="2"/>
  <c r="Q86" i="2"/>
  <c r="Q52" i="2"/>
  <c r="Q241" i="2"/>
  <c r="Q363" i="2"/>
  <c r="Q242" i="2"/>
  <c r="Q11" i="2"/>
  <c r="Q24" i="2"/>
  <c r="Q356" i="2"/>
  <c r="Q358" i="2"/>
  <c r="Q359" i="2"/>
  <c r="Q225" i="2"/>
  <c r="Q73" i="2"/>
  <c r="Q361" i="2"/>
  <c r="Q92" i="2"/>
  <c r="Q199" i="2"/>
  <c r="O270" i="2"/>
  <c r="O135" i="2"/>
  <c r="O147" i="2"/>
  <c r="O271" i="2"/>
  <c r="O104" i="2"/>
  <c r="O272" i="2"/>
  <c r="O273" i="2"/>
  <c r="O206" i="2"/>
  <c r="O145" i="2"/>
  <c r="O281" i="2"/>
  <c r="O96" i="2"/>
  <c r="O212" i="2"/>
  <c r="O214" i="2"/>
  <c r="O304" i="2"/>
  <c r="O203" i="2"/>
  <c r="O246" i="2"/>
  <c r="O332" i="2"/>
  <c r="O13" i="2"/>
  <c r="O71" i="2"/>
  <c r="O25" i="2"/>
  <c r="O26" i="2"/>
  <c r="O27" i="2"/>
  <c r="O28" i="2"/>
  <c r="O29" i="2"/>
  <c r="O30" i="2"/>
  <c r="O259" i="2"/>
  <c r="O288" i="2"/>
  <c r="O116" i="2"/>
  <c r="O36" i="2"/>
  <c r="O258" i="2"/>
  <c r="O33" i="2"/>
  <c r="O224" i="2"/>
  <c r="O97" i="2"/>
  <c r="O290" i="2"/>
  <c r="O31" i="2"/>
  <c r="O142" i="2"/>
  <c r="O226" i="2"/>
  <c r="O131" i="2"/>
  <c r="O111" i="2"/>
  <c r="O120" i="2"/>
  <c r="O231" i="2"/>
  <c r="O291" i="2"/>
  <c r="O292" i="2"/>
  <c r="O187" i="2"/>
  <c r="O162" i="2"/>
  <c r="O239" i="2"/>
  <c r="O248" i="2"/>
  <c r="O235" i="2"/>
  <c r="O278" i="2"/>
  <c r="O200" i="2"/>
  <c r="O282" i="2"/>
  <c r="O151" i="2"/>
  <c r="O264" i="2"/>
  <c r="O343" i="2"/>
  <c r="O233" i="2"/>
  <c r="O293" i="2"/>
  <c r="O146" i="2"/>
  <c r="O244" i="2"/>
  <c r="O155" i="2"/>
  <c r="O139" i="2"/>
  <c r="O280" i="2"/>
  <c r="O294" i="2"/>
  <c r="O279" i="2"/>
  <c r="O249" i="2"/>
  <c r="O133" i="2"/>
  <c r="O101" i="2"/>
  <c r="O72" i="2"/>
  <c r="O178" i="2"/>
  <c r="O257" i="2"/>
  <c r="O126" i="2"/>
  <c r="O74" i="2"/>
  <c r="O49" i="2"/>
  <c r="O230" i="2"/>
  <c r="O171" i="2"/>
  <c r="O229" i="2"/>
  <c r="O295" i="2"/>
  <c r="O112" i="2"/>
  <c r="O298" i="2"/>
  <c r="O318" i="2"/>
  <c r="O76" i="2"/>
  <c r="O351" i="2"/>
  <c r="O299" i="2"/>
  <c r="O305" i="2"/>
  <c r="O296" i="2"/>
  <c r="O4" i="2"/>
  <c r="O100" i="2"/>
  <c r="O300" i="2"/>
  <c r="O125" i="2"/>
  <c r="O114" i="2"/>
  <c r="O108" i="2"/>
  <c r="O109" i="2"/>
  <c r="O14" i="2"/>
  <c r="O228" i="2"/>
  <c r="O297" i="2"/>
  <c r="O310" i="2"/>
  <c r="O134" i="2"/>
  <c r="O6" i="2"/>
  <c r="O117" i="2"/>
  <c r="O306" i="2"/>
  <c r="O38" i="2"/>
  <c r="O41" i="2"/>
  <c r="O44" i="2"/>
  <c r="O189" i="2"/>
  <c r="O247" i="2"/>
  <c r="O307" i="2"/>
  <c r="O39" i="2"/>
  <c r="O287" i="2"/>
  <c r="O32" i="2"/>
  <c r="O65" i="2"/>
  <c r="O345" i="2"/>
  <c r="O3" i="2"/>
  <c r="O10" i="2"/>
  <c r="O302" i="2"/>
  <c r="O319" i="2"/>
  <c r="O320" i="2"/>
  <c r="O137" i="2"/>
  <c r="O183" i="2"/>
  <c r="O182" i="2"/>
  <c r="O15" i="2"/>
  <c r="O16" i="2"/>
  <c r="O308" i="2"/>
  <c r="O311" i="2"/>
  <c r="O312" i="2"/>
  <c r="O269" i="2"/>
  <c r="O99" i="2"/>
  <c r="O148" i="2"/>
  <c r="O115" i="2"/>
  <c r="O17" i="2"/>
  <c r="O110" i="2"/>
  <c r="O334" i="2"/>
  <c r="O141" i="2"/>
  <c r="O330" i="2"/>
  <c r="O156" i="2"/>
  <c r="O215" i="2"/>
  <c r="O265" i="2"/>
  <c r="O127" i="2"/>
  <c r="O80" i="2"/>
  <c r="O262" i="2"/>
  <c r="O67" i="2"/>
  <c r="O196" i="2"/>
  <c r="O54" i="2"/>
  <c r="O267" i="2"/>
  <c r="O48" i="2"/>
  <c r="O121" i="2"/>
  <c r="O51" i="2"/>
  <c r="O277" i="2"/>
  <c r="O50" i="2"/>
  <c r="O167" i="2"/>
  <c r="O352" i="2"/>
  <c r="O198" i="2"/>
  <c r="O173" i="2"/>
  <c r="O154" i="2"/>
  <c r="O253" i="2"/>
  <c r="O337" i="2"/>
  <c r="O355" i="2"/>
  <c r="O216" i="2"/>
  <c r="O152" i="2"/>
  <c r="O63" i="2"/>
  <c r="O184" i="2"/>
  <c r="O185" i="2"/>
  <c r="O217" i="2"/>
  <c r="O88" i="2"/>
  <c r="O144" i="2"/>
  <c r="O170" i="2"/>
  <c r="O66" i="2"/>
  <c r="O313" i="2"/>
  <c r="O314" i="2"/>
  <c r="O188" i="2"/>
  <c r="O194" i="2"/>
  <c r="O192" i="2"/>
  <c r="O53" i="2"/>
  <c r="O315" i="2"/>
  <c r="O190" i="2"/>
  <c r="O353" i="2"/>
  <c r="O90" i="2"/>
  <c r="O9" i="2"/>
  <c r="O106" i="2"/>
  <c r="O176" i="2"/>
  <c r="O335" i="2"/>
  <c r="O276" i="2"/>
  <c r="O136" i="2"/>
  <c r="O2" i="2"/>
  <c r="O59" i="2"/>
  <c r="O208" i="2"/>
  <c r="O209" i="2"/>
  <c r="O210" i="2"/>
  <c r="O336" i="2"/>
  <c r="O18" i="2"/>
  <c r="O251" i="2"/>
  <c r="O274" i="2"/>
  <c r="O331" i="2"/>
  <c r="O218" i="2"/>
  <c r="O219" i="2"/>
  <c r="O220" i="2"/>
  <c r="O254" i="2"/>
  <c r="O128" i="2"/>
  <c r="O309" i="2"/>
  <c r="O322" i="2"/>
  <c r="O40" i="2"/>
  <c r="O64" i="2"/>
  <c r="O266" i="2"/>
  <c r="O341" i="2"/>
  <c r="O342" i="2"/>
  <c r="O83" i="2"/>
  <c r="O168" i="2"/>
  <c r="O172" i="2"/>
  <c r="O316" i="2"/>
  <c r="O122" i="2"/>
  <c r="O268" i="2"/>
  <c r="O169" i="2"/>
  <c r="O317" i="2"/>
  <c r="O55" i="2"/>
  <c r="O82" i="2"/>
  <c r="O163" i="2"/>
  <c r="O243" i="2"/>
  <c r="O175" i="2"/>
  <c r="O240" i="2"/>
  <c r="O91" i="2"/>
  <c r="O327" i="2"/>
  <c r="O77" i="2"/>
  <c r="O95" i="2"/>
  <c r="O325" i="2"/>
  <c r="O143" i="2"/>
  <c r="O346" i="2"/>
  <c r="O250" i="2"/>
  <c r="O177" i="2"/>
  <c r="O179" i="2"/>
  <c r="O138" i="2"/>
  <c r="O221" i="2"/>
  <c r="O255" i="2"/>
  <c r="O159" i="2"/>
  <c r="O161" i="2"/>
  <c r="O37" i="2"/>
  <c r="O34" i="2"/>
  <c r="O119" i="2"/>
  <c r="O323" i="2"/>
  <c r="O129" i="2"/>
  <c r="O42" i="2"/>
  <c r="O130" i="2"/>
  <c r="O347" i="2"/>
  <c r="O245" i="2"/>
  <c r="O124" i="2"/>
  <c r="O207" i="2"/>
  <c r="O149" i="2"/>
  <c r="O19" i="2"/>
  <c r="O222" i="2"/>
  <c r="O158" i="2"/>
  <c r="O232" i="2"/>
  <c r="O197" i="2"/>
  <c r="O348" i="2"/>
  <c r="O193" i="2"/>
  <c r="O105" i="2"/>
  <c r="O94" i="2"/>
  <c r="O283" i="2"/>
  <c r="O284" i="2"/>
  <c r="O286" i="2"/>
  <c r="O324" i="2"/>
  <c r="O256" i="2"/>
  <c r="O357" i="2"/>
  <c r="O166" i="2"/>
  <c r="O234" i="2"/>
  <c r="O164" i="2"/>
  <c r="O236" i="2"/>
  <c r="O89" i="2"/>
  <c r="O84" i="2"/>
  <c r="O191" i="2"/>
  <c r="O362" i="2"/>
  <c r="O7" i="2"/>
  <c r="O328" i="2"/>
  <c r="O329" i="2"/>
  <c r="O102" i="2"/>
  <c r="O303" i="2"/>
  <c r="O20" i="2"/>
  <c r="O160" i="2"/>
  <c r="O275" i="2"/>
  <c r="O81" i="2"/>
  <c r="O118" i="2"/>
  <c r="O204" i="2"/>
  <c r="O349" i="2"/>
  <c r="O350" i="2"/>
  <c r="O85" i="2"/>
  <c r="O57" i="2"/>
  <c r="O186" i="2"/>
  <c r="O113" i="2"/>
  <c r="O238" i="2"/>
  <c r="O165" i="2"/>
  <c r="O174" i="2"/>
  <c r="O68" i="2"/>
  <c r="O8" i="2"/>
  <c r="O261" i="2"/>
  <c r="O263" i="2"/>
  <c r="O195" i="2"/>
  <c r="O78" i="2"/>
  <c r="O5" i="2"/>
  <c r="O69" i="2"/>
  <c r="O354" i="2"/>
  <c r="O180" i="2"/>
  <c r="O140" i="2"/>
  <c r="O21" i="2"/>
  <c r="O181" i="2"/>
  <c r="O153" i="2"/>
  <c r="O23" i="2"/>
  <c r="O157" i="2"/>
  <c r="O79" i="2"/>
  <c r="O338" i="2"/>
  <c r="O339" i="2"/>
  <c r="O340" i="2"/>
  <c r="O47" i="2"/>
  <c r="O46" i="2"/>
  <c r="O43" i="2"/>
  <c r="O344" i="2"/>
  <c r="O132" i="2"/>
  <c r="O98" i="2"/>
  <c r="O87" i="2"/>
  <c r="O86" i="2"/>
  <c r="O52" i="2"/>
  <c r="O241" i="2"/>
  <c r="O363" i="2"/>
  <c r="O242" i="2"/>
  <c r="O11" i="2"/>
  <c r="O24" i="2"/>
  <c r="O356" i="2"/>
  <c r="O358" i="2"/>
  <c r="O359" i="2"/>
  <c r="O225" i="2"/>
  <c r="O73" i="2"/>
  <c r="O361" i="2"/>
  <c r="O92" i="2"/>
  <c r="O199" i="2"/>
  <c r="M270" i="2"/>
  <c r="M135" i="2"/>
  <c r="M147" i="2"/>
  <c r="M271" i="2"/>
  <c r="M104" i="2"/>
  <c r="M272" i="2"/>
  <c r="M273" i="2"/>
  <c r="M206" i="2"/>
  <c r="M145" i="2"/>
  <c r="M281" i="2"/>
  <c r="M96" i="2"/>
  <c r="M212" i="2"/>
  <c r="M214" i="2"/>
  <c r="M304" i="2"/>
  <c r="M203" i="2"/>
  <c r="M246" i="2"/>
  <c r="M332" i="2"/>
  <c r="M13" i="2"/>
  <c r="M71" i="2"/>
  <c r="M25" i="2"/>
  <c r="M26" i="2"/>
  <c r="M27" i="2"/>
  <c r="M28" i="2"/>
  <c r="M29" i="2"/>
  <c r="M30" i="2"/>
  <c r="M259" i="2"/>
  <c r="M288" i="2"/>
  <c r="M116" i="2"/>
  <c r="M36" i="2"/>
  <c r="M258" i="2"/>
  <c r="M33" i="2"/>
  <c r="M224" i="2"/>
  <c r="M97" i="2"/>
  <c r="M290" i="2"/>
  <c r="M31" i="2"/>
  <c r="M142" i="2"/>
  <c r="M226" i="2"/>
  <c r="M227" i="2"/>
  <c r="M131" i="2"/>
  <c r="M111" i="2"/>
  <c r="M120" i="2"/>
  <c r="M231" i="2"/>
  <c r="M291" i="2"/>
  <c r="M292" i="2"/>
  <c r="M187" i="2"/>
  <c r="M162" i="2"/>
  <c r="M239" i="2"/>
  <c r="M248" i="2"/>
  <c r="M235" i="2"/>
  <c r="M278" i="2"/>
  <c r="M200" i="2"/>
  <c r="M282" i="2"/>
  <c r="M211" i="2"/>
  <c r="M213" i="2"/>
  <c r="M150" i="2"/>
  <c r="M151" i="2"/>
  <c r="M264" i="2"/>
  <c r="M343" i="2"/>
  <c r="M233" i="2"/>
  <c r="M293" i="2"/>
  <c r="M146" i="2"/>
  <c r="M244" i="2"/>
  <c r="M155" i="2"/>
  <c r="M139" i="2"/>
  <c r="M280" i="2"/>
  <c r="M294" i="2"/>
  <c r="M279" i="2"/>
  <c r="M249" i="2"/>
  <c r="M93" i="2"/>
  <c r="M133" i="2"/>
  <c r="M101" i="2"/>
  <c r="M72" i="2"/>
  <c r="M178" i="2"/>
  <c r="M257" i="2"/>
  <c r="M126" i="2"/>
  <c r="M74" i="2"/>
  <c r="M49" i="2"/>
  <c r="M230" i="2"/>
  <c r="M171" i="2"/>
  <c r="M229" i="2"/>
  <c r="M295" i="2"/>
  <c r="M112" i="2"/>
  <c r="M298" i="2"/>
  <c r="M318" i="2"/>
  <c r="M76" i="2"/>
  <c r="M351" i="2"/>
  <c r="M299" i="2"/>
  <c r="M305" i="2"/>
  <c r="M296" i="2"/>
  <c r="M4" i="2"/>
  <c r="M100" i="2"/>
  <c r="M300" i="2"/>
  <c r="M125" i="2"/>
  <c r="M114" i="2"/>
  <c r="M108" i="2"/>
  <c r="M109" i="2"/>
  <c r="M14" i="2"/>
  <c r="M228" i="2"/>
  <c r="M297" i="2"/>
  <c r="M310" i="2"/>
  <c r="M134" i="2"/>
  <c r="M6" i="2"/>
  <c r="M117" i="2"/>
  <c r="M306" i="2"/>
  <c r="M38" i="2"/>
  <c r="M41" i="2"/>
  <c r="M44" i="2"/>
  <c r="M189" i="2"/>
  <c r="M247" i="2"/>
  <c r="M307" i="2"/>
  <c r="M39" i="2"/>
  <c r="M287" i="2"/>
  <c r="M32" i="2"/>
  <c r="M65" i="2"/>
  <c r="M45" i="2"/>
  <c r="M345" i="2"/>
  <c r="M3" i="2"/>
  <c r="M10" i="2"/>
  <c r="M302" i="2"/>
  <c r="M319" i="2"/>
  <c r="M320" i="2"/>
  <c r="M137" i="2"/>
  <c r="M183" i="2"/>
  <c r="M182" i="2"/>
  <c r="M15" i="2"/>
  <c r="M16" i="2"/>
  <c r="M308" i="2"/>
  <c r="M311" i="2"/>
  <c r="M312" i="2"/>
  <c r="M269" i="2"/>
  <c r="M99" i="2"/>
  <c r="M148" i="2"/>
  <c r="M115" i="2"/>
  <c r="M17" i="2"/>
  <c r="M110" i="2"/>
  <c r="M334" i="2"/>
  <c r="M141" i="2"/>
  <c r="M330" i="2"/>
  <c r="M156" i="2"/>
  <c r="M215" i="2"/>
  <c r="M265" i="2"/>
  <c r="M127" i="2"/>
  <c r="M80" i="2"/>
  <c r="M262" i="2"/>
  <c r="M67" i="2"/>
  <c r="M196" i="2"/>
  <c r="M54" i="2"/>
  <c r="M75" i="2"/>
  <c r="M267" i="2"/>
  <c r="M48" i="2"/>
  <c r="M121" i="2"/>
  <c r="M51" i="2"/>
  <c r="M277" i="2"/>
  <c r="M50" i="2"/>
  <c r="M167" i="2"/>
  <c r="M352" i="2"/>
  <c r="M198" i="2"/>
  <c r="M173" i="2"/>
  <c r="M154" i="2"/>
  <c r="M253" i="2"/>
  <c r="M337" i="2"/>
  <c r="M355" i="2"/>
  <c r="M216" i="2"/>
  <c r="M152" i="2"/>
  <c r="M63" i="2"/>
  <c r="M184" i="2"/>
  <c r="M185" i="2"/>
  <c r="M217" i="2"/>
  <c r="M88" i="2"/>
  <c r="M144" i="2"/>
  <c r="M170" i="2"/>
  <c r="M66" i="2"/>
  <c r="M313" i="2"/>
  <c r="M314" i="2"/>
  <c r="M188" i="2"/>
  <c r="M194" i="2"/>
  <c r="M192" i="2"/>
  <c r="M53" i="2"/>
  <c r="M315" i="2"/>
  <c r="M190" i="2"/>
  <c r="M353" i="2"/>
  <c r="M90" i="2"/>
  <c r="M9" i="2"/>
  <c r="M106" i="2"/>
  <c r="M176" i="2"/>
  <c r="M335" i="2"/>
  <c r="M276" i="2"/>
  <c r="M136" i="2"/>
  <c r="M2" i="2"/>
  <c r="M59" i="2"/>
  <c r="M208" i="2"/>
  <c r="M209" i="2"/>
  <c r="M210" i="2"/>
  <c r="M336" i="2"/>
  <c r="M18" i="2"/>
  <c r="M333" i="2"/>
  <c r="M251" i="2"/>
  <c r="M274" i="2"/>
  <c r="M331" i="2"/>
  <c r="M218" i="2"/>
  <c r="M219" i="2"/>
  <c r="M220" i="2"/>
  <c r="M254" i="2"/>
  <c r="M128" i="2"/>
  <c r="M309" i="2"/>
  <c r="M322" i="2"/>
  <c r="M40" i="2"/>
  <c r="M64" i="2"/>
  <c r="M266" i="2"/>
  <c r="M341" i="2"/>
  <c r="M342" i="2"/>
  <c r="M83" i="2"/>
  <c r="M168" i="2"/>
  <c r="M172" i="2"/>
  <c r="M316" i="2"/>
  <c r="M122" i="2"/>
  <c r="M268" i="2"/>
  <c r="M169" i="2"/>
  <c r="M317" i="2"/>
  <c r="M55" i="2"/>
  <c r="M82" i="2"/>
  <c r="M163" i="2"/>
  <c r="M243" i="2"/>
  <c r="M175" i="2"/>
  <c r="M240" i="2"/>
  <c r="M91" i="2"/>
  <c r="M327" i="2"/>
  <c r="M77" i="2"/>
  <c r="M95" i="2"/>
  <c r="M325" i="2"/>
  <c r="M143" i="2"/>
  <c r="M346" i="2"/>
  <c r="M250" i="2"/>
  <c r="M177" i="2"/>
  <c r="M179" i="2"/>
  <c r="M138" i="2"/>
  <c r="M221" i="2"/>
  <c r="M255" i="2"/>
  <c r="M159" i="2"/>
  <c r="M161" i="2"/>
  <c r="M37" i="2"/>
  <c r="M34" i="2"/>
  <c r="M119" i="2"/>
  <c r="M323" i="2"/>
  <c r="M129" i="2"/>
  <c r="M42" i="2"/>
  <c r="M130" i="2"/>
  <c r="M347" i="2"/>
  <c r="M245" i="2"/>
  <c r="M124" i="2"/>
  <c r="M207" i="2"/>
  <c r="M149" i="2"/>
  <c r="M19" i="2"/>
  <c r="M222" i="2"/>
  <c r="M158" i="2"/>
  <c r="M232" i="2"/>
  <c r="M197" i="2"/>
  <c r="M348" i="2"/>
  <c r="M193" i="2"/>
  <c r="M105" i="2"/>
  <c r="M94" i="2"/>
  <c r="M283" i="2"/>
  <c r="M284" i="2"/>
  <c r="M286" i="2"/>
  <c r="M324" i="2"/>
  <c r="M256" i="2"/>
  <c r="M357" i="2"/>
  <c r="M166" i="2"/>
  <c r="M234" i="2"/>
  <c r="M164" i="2"/>
  <c r="M236" i="2"/>
  <c r="M89" i="2"/>
  <c r="M84" i="2"/>
  <c r="M191" i="2"/>
  <c r="M362" i="2"/>
  <c r="M7" i="2"/>
  <c r="M328" i="2"/>
  <c r="M329" i="2"/>
  <c r="M102" i="2"/>
  <c r="M303" i="2"/>
  <c r="M20" i="2"/>
  <c r="M160" i="2"/>
  <c r="M275" i="2"/>
  <c r="M81" i="2"/>
  <c r="M118" i="2"/>
  <c r="M204" i="2"/>
  <c r="M349" i="2"/>
  <c r="M350" i="2"/>
  <c r="M85" i="2"/>
  <c r="M57" i="2"/>
  <c r="M186" i="2"/>
  <c r="M113" i="2"/>
  <c r="M238" i="2"/>
  <c r="M165" i="2"/>
  <c r="M174" i="2"/>
  <c r="M68" i="2"/>
  <c r="M8" i="2"/>
  <c r="M261" i="2"/>
  <c r="M263" i="2"/>
  <c r="M195" i="2"/>
  <c r="M78" i="2"/>
  <c r="M5" i="2"/>
  <c r="M69" i="2"/>
  <c r="M354" i="2"/>
  <c r="M180" i="2"/>
  <c r="M140" i="2"/>
  <c r="M21" i="2"/>
  <c r="M181" i="2"/>
  <c r="M153" i="2"/>
  <c r="M23" i="2"/>
  <c r="M157" i="2"/>
  <c r="M79" i="2"/>
  <c r="M338" i="2"/>
  <c r="M339" i="2"/>
  <c r="M340" i="2"/>
  <c r="M47" i="2"/>
  <c r="M46" i="2"/>
  <c r="M43" i="2"/>
  <c r="M344" i="2"/>
  <c r="M132" i="2"/>
  <c r="M98" i="2"/>
  <c r="M87" i="2"/>
  <c r="M86" i="2"/>
  <c r="M52" i="2"/>
  <c r="M241" i="2"/>
  <c r="M363" i="2"/>
  <c r="M242" i="2"/>
  <c r="M11" i="2"/>
  <c r="M24" i="2"/>
  <c r="M356" i="2"/>
  <c r="M358" i="2"/>
  <c r="M359" i="2"/>
  <c r="M225" i="2"/>
  <c r="M73" i="2"/>
  <c r="M361" i="2"/>
  <c r="M92" i="2"/>
  <c r="M199" i="2"/>
  <c r="S146" i="2"/>
  <c r="S244" i="2"/>
  <c r="S125" i="2"/>
  <c r="S114" i="2"/>
  <c r="S307" i="2"/>
  <c r="S124" i="2"/>
  <c r="S303" i="2"/>
  <c r="S68" i="2"/>
  <c r="S137" i="2"/>
  <c r="S304" i="2"/>
  <c r="S203" i="2"/>
  <c r="S155" i="2"/>
  <c r="S330" i="2"/>
  <c r="S335" i="2"/>
  <c r="S177" i="2"/>
  <c r="S179" i="2"/>
  <c r="S19" i="2"/>
  <c r="S20" i="2"/>
  <c r="S23" i="2"/>
  <c r="S157" i="2"/>
  <c r="S220" i="2"/>
  <c r="S254" i="2"/>
  <c r="S258" i="2"/>
  <c r="S33" i="2"/>
  <c r="S224" i="2"/>
  <c r="S276" i="2"/>
  <c r="S128" i="2"/>
  <c r="S309" i="2"/>
  <c r="S324" i="2"/>
  <c r="S44" i="2"/>
  <c r="S162" i="2"/>
  <c r="S239" i="2"/>
  <c r="S49" i="2"/>
  <c r="S230" i="2"/>
  <c r="S247" i="2"/>
  <c r="S50" i="2"/>
  <c r="S167" i="2"/>
  <c r="S144" i="2"/>
  <c r="S170" i="2"/>
  <c r="S169" i="2"/>
  <c r="S352" i="2"/>
  <c r="S198" i="2"/>
  <c r="S363" i="2"/>
  <c r="S242" i="2"/>
  <c r="Q200" i="2"/>
  <c r="Q59" i="2"/>
  <c r="Q109" i="2"/>
  <c r="Q14" i="2"/>
  <c r="Q308" i="2"/>
  <c r="Q262" i="2"/>
  <c r="Q255" i="2"/>
  <c r="Q159" i="2"/>
  <c r="Q161" i="2"/>
  <c r="Q222" i="2"/>
  <c r="Q279" i="2"/>
  <c r="Q295" i="2"/>
  <c r="Q112" i="2"/>
  <c r="Q297" i="2"/>
  <c r="Q195" i="2"/>
  <c r="O45" i="2"/>
  <c r="O211" i="2"/>
  <c r="O213" i="2"/>
  <c r="O150" i="2"/>
  <c r="O333" i="2"/>
  <c r="O227" i="2"/>
  <c r="O75" i="2"/>
  <c r="O93" i="2"/>
  <c r="K270" i="2"/>
  <c r="K135" i="2"/>
  <c r="K147" i="2"/>
  <c r="K104" i="2"/>
  <c r="K272" i="2"/>
  <c r="K200" i="2"/>
  <c r="K282" i="2"/>
  <c r="K146" i="2"/>
  <c r="K244" i="2"/>
  <c r="K133" i="2"/>
  <c r="K101" i="2"/>
  <c r="K299" i="2"/>
  <c r="K305" i="2"/>
  <c r="K4" i="2"/>
  <c r="K100" i="2"/>
  <c r="K300" i="2"/>
  <c r="K125" i="2"/>
  <c r="K114" i="2"/>
  <c r="K134" i="2"/>
  <c r="K6" i="2"/>
  <c r="K307" i="2"/>
  <c r="K39" i="2"/>
  <c r="K287" i="2"/>
  <c r="K32" i="2"/>
  <c r="K302" i="2"/>
  <c r="K319" i="2"/>
  <c r="K320" i="2"/>
  <c r="K269" i="2"/>
  <c r="K99" i="2"/>
  <c r="K148" i="2"/>
  <c r="K115" i="2"/>
  <c r="K9" i="2"/>
  <c r="K106" i="2"/>
  <c r="K136" i="2"/>
  <c r="K2" i="2"/>
  <c r="K59" i="2"/>
  <c r="K327" i="2"/>
  <c r="K77" i="2"/>
  <c r="K245" i="2"/>
  <c r="K124" i="2"/>
  <c r="K207" i="2"/>
  <c r="K149" i="2"/>
  <c r="K105" i="2"/>
  <c r="K94" i="2"/>
  <c r="K7" i="2"/>
  <c r="K328" i="2"/>
  <c r="K329" i="2"/>
  <c r="K102" i="2"/>
  <c r="K303" i="2"/>
  <c r="K68" i="2"/>
  <c r="K8" i="2"/>
  <c r="K78" i="2"/>
  <c r="K5" i="2"/>
  <c r="K69" i="2"/>
  <c r="K354" i="2"/>
  <c r="K11" i="2"/>
  <c r="K108" i="2"/>
  <c r="K109" i="2"/>
  <c r="K65" i="2"/>
  <c r="K45" i="2"/>
  <c r="K345" i="2"/>
  <c r="K137" i="2"/>
  <c r="K208" i="2"/>
  <c r="K209" i="2"/>
  <c r="K210" i="2"/>
  <c r="K250" i="2"/>
  <c r="K283" i="2"/>
  <c r="K284" i="2"/>
  <c r="K96" i="2"/>
  <c r="K212" i="2"/>
  <c r="K214" i="2"/>
  <c r="K304" i="2"/>
  <c r="K203" i="2"/>
  <c r="K246" i="2"/>
  <c r="K332" i="2"/>
  <c r="K13" i="2"/>
  <c r="K71" i="2"/>
  <c r="K211" i="2"/>
  <c r="K213" i="2"/>
  <c r="K150" i="2"/>
  <c r="K151" i="2"/>
  <c r="K155" i="2"/>
  <c r="K139" i="2"/>
  <c r="K72" i="2"/>
  <c r="K178" i="2"/>
  <c r="K14" i="2"/>
  <c r="K182" i="2"/>
  <c r="K15" i="2"/>
  <c r="K16" i="2"/>
  <c r="K17" i="2"/>
  <c r="K110" i="2"/>
  <c r="K334" i="2"/>
  <c r="K141" i="2"/>
  <c r="K330" i="2"/>
  <c r="K156" i="2"/>
  <c r="K215" i="2"/>
  <c r="K154" i="2"/>
  <c r="K253" i="2"/>
  <c r="K337" i="2"/>
  <c r="K355" i="2"/>
  <c r="K216" i="2"/>
  <c r="K152" i="2"/>
  <c r="K63" i="2"/>
  <c r="K176" i="2"/>
  <c r="K335" i="2"/>
  <c r="K336" i="2"/>
  <c r="K18" i="2"/>
  <c r="K333" i="2"/>
  <c r="K251" i="2"/>
  <c r="K274" i="2"/>
  <c r="K331" i="2"/>
  <c r="K95" i="2"/>
  <c r="K177" i="2"/>
  <c r="K179" i="2"/>
  <c r="K19" i="2"/>
  <c r="K20" i="2"/>
  <c r="K180" i="2"/>
  <c r="K140" i="2"/>
  <c r="K21" i="2"/>
  <c r="K181" i="2"/>
  <c r="K153" i="2"/>
  <c r="K23" i="2"/>
  <c r="K157" i="2"/>
  <c r="K79" i="2"/>
  <c r="K24" i="2"/>
  <c r="K25" i="2"/>
  <c r="K26" i="2"/>
  <c r="K27" i="2"/>
  <c r="K28" i="2"/>
  <c r="K29" i="2"/>
  <c r="K30" i="2"/>
  <c r="K183" i="2"/>
  <c r="K184" i="2"/>
  <c r="K185" i="2"/>
  <c r="K217" i="2"/>
  <c r="K218" i="2"/>
  <c r="K219" i="2"/>
  <c r="K220" i="2"/>
  <c r="K254" i="2"/>
  <c r="K138" i="2"/>
  <c r="K286" i="2"/>
  <c r="K338" i="2"/>
  <c r="K339" i="2"/>
  <c r="K340" i="2"/>
  <c r="K356" i="2"/>
  <c r="K259" i="2"/>
  <c r="K288" i="2"/>
  <c r="K116" i="2"/>
  <c r="K36" i="2"/>
  <c r="K258" i="2"/>
  <c r="K33" i="2"/>
  <c r="K224" i="2"/>
  <c r="K97" i="2"/>
  <c r="K290" i="2"/>
  <c r="K31" i="2"/>
  <c r="K142" i="2"/>
  <c r="K264" i="2"/>
  <c r="K257" i="2"/>
  <c r="K126" i="2"/>
  <c r="K117" i="2"/>
  <c r="K306" i="2"/>
  <c r="K38" i="2"/>
  <c r="K41" i="2"/>
  <c r="K3" i="2"/>
  <c r="K10" i="2"/>
  <c r="K308" i="2"/>
  <c r="K265" i="2"/>
  <c r="K127" i="2"/>
  <c r="K80" i="2"/>
  <c r="K262" i="2"/>
  <c r="K276" i="2"/>
  <c r="K128" i="2"/>
  <c r="K309" i="2"/>
  <c r="K322" i="2"/>
  <c r="K40" i="2"/>
  <c r="K64" i="2"/>
  <c r="K221" i="2"/>
  <c r="K255" i="2"/>
  <c r="K159" i="2"/>
  <c r="K161" i="2"/>
  <c r="K37" i="2"/>
  <c r="K34" i="2"/>
  <c r="K119" i="2"/>
  <c r="K323" i="2"/>
  <c r="K129" i="2"/>
  <c r="K42" i="2"/>
  <c r="K222" i="2"/>
  <c r="K158" i="2"/>
  <c r="K324" i="2"/>
  <c r="K256" i="2"/>
  <c r="K357" i="2"/>
  <c r="K160" i="2"/>
  <c r="K275" i="2"/>
  <c r="K81" i="2"/>
  <c r="K118" i="2"/>
  <c r="K204" i="2"/>
  <c r="K261" i="2"/>
  <c r="K263" i="2"/>
  <c r="K358" i="2"/>
  <c r="K359" i="2"/>
  <c r="K225" i="2"/>
  <c r="K226" i="2"/>
  <c r="K227" i="2"/>
  <c r="K131" i="2"/>
  <c r="K111" i="2"/>
  <c r="K120" i="2"/>
  <c r="K343" i="2"/>
  <c r="K228" i="2"/>
  <c r="K44" i="2"/>
  <c r="K266" i="2"/>
  <c r="K341" i="2"/>
  <c r="K342" i="2"/>
  <c r="K130" i="2"/>
  <c r="K47" i="2"/>
  <c r="K46" i="2"/>
  <c r="K43" i="2"/>
  <c r="K344" i="2"/>
  <c r="K132" i="2"/>
  <c r="K231" i="2"/>
  <c r="K291" i="2"/>
  <c r="K292" i="2"/>
  <c r="K187" i="2"/>
  <c r="K162" i="2"/>
  <c r="K239" i="2"/>
  <c r="K248" i="2"/>
  <c r="K235" i="2"/>
  <c r="K278" i="2"/>
  <c r="K233" i="2"/>
  <c r="K293" i="2"/>
  <c r="K280" i="2"/>
  <c r="K294" i="2"/>
  <c r="K279" i="2"/>
  <c r="K249" i="2"/>
  <c r="K74" i="2"/>
  <c r="K49" i="2"/>
  <c r="K230" i="2"/>
  <c r="K171" i="2"/>
  <c r="K229" i="2"/>
  <c r="K295" i="2"/>
  <c r="K112" i="2"/>
  <c r="K296" i="2"/>
  <c r="K297" i="2"/>
  <c r="K310" i="2"/>
  <c r="K189" i="2"/>
  <c r="K247" i="2"/>
  <c r="K311" i="2"/>
  <c r="K312" i="2"/>
  <c r="K67" i="2"/>
  <c r="K196" i="2"/>
  <c r="K54" i="2"/>
  <c r="K75" i="2"/>
  <c r="K267" i="2"/>
  <c r="K48" i="2"/>
  <c r="K121" i="2"/>
  <c r="K51" i="2"/>
  <c r="K277" i="2"/>
  <c r="K50" i="2"/>
  <c r="K167" i="2"/>
  <c r="K88" i="2"/>
  <c r="K144" i="2"/>
  <c r="K170" i="2"/>
  <c r="K66" i="2"/>
  <c r="K313" i="2"/>
  <c r="K314" i="2"/>
  <c r="K188" i="2"/>
  <c r="K194" i="2"/>
  <c r="K192" i="2"/>
  <c r="K53" i="2"/>
  <c r="K315" i="2"/>
  <c r="K190" i="2"/>
  <c r="K83" i="2"/>
  <c r="K168" i="2"/>
  <c r="K172" i="2"/>
  <c r="K316" i="2"/>
  <c r="K122" i="2"/>
  <c r="K268" i="2"/>
  <c r="K169" i="2"/>
  <c r="K317" i="2"/>
  <c r="K55" i="2"/>
  <c r="K82" i="2"/>
  <c r="K163" i="2"/>
  <c r="K325" i="2"/>
  <c r="K143" i="2"/>
  <c r="K346" i="2"/>
  <c r="K347" i="2"/>
  <c r="K232" i="2"/>
  <c r="K197" i="2"/>
  <c r="K348" i="2"/>
  <c r="K193" i="2"/>
  <c r="K166" i="2"/>
  <c r="K234" i="2"/>
  <c r="K164" i="2"/>
  <c r="K236" i="2"/>
  <c r="K89" i="2"/>
  <c r="K84" i="2"/>
  <c r="K191" i="2"/>
  <c r="K349" i="2"/>
  <c r="K350" i="2"/>
  <c r="K85" i="2"/>
  <c r="K57" i="2"/>
  <c r="K186" i="2"/>
  <c r="K113" i="2"/>
  <c r="K238" i="2"/>
  <c r="K165" i="2"/>
  <c r="K195" i="2"/>
  <c r="K98" i="2"/>
  <c r="K87" i="2"/>
  <c r="K86" i="2"/>
  <c r="K52" i="2"/>
  <c r="K73" i="2"/>
  <c r="K361" i="2"/>
  <c r="K93" i="2"/>
  <c r="K298" i="2"/>
  <c r="K318" i="2"/>
  <c r="K76" i="2"/>
  <c r="K351" i="2"/>
  <c r="K352" i="2"/>
  <c r="K198" i="2"/>
  <c r="K173" i="2"/>
  <c r="K353" i="2"/>
  <c r="K90" i="2"/>
  <c r="K243" i="2"/>
  <c r="K175" i="2"/>
  <c r="K240" i="2"/>
  <c r="K91" i="2"/>
  <c r="K362" i="2"/>
  <c r="K174" i="2"/>
  <c r="K241" i="2"/>
  <c r="K363" i="2"/>
  <c r="K242" i="2"/>
  <c r="K92" i="2"/>
  <c r="K199" i="2"/>
  <c r="I270" i="2"/>
  <c r="I135" i="2"/>
  <c r="I147" i="2"/>
  <c r="I271" i="2"/>
  <c r="I104" i="2"/>
  <c r="I272" i="2"/>
  <c r="I273" i="2"/>
  <c r="I206" i="2"/>
  <c r="I145" i="2"/>
  <c r="I281" i="2"/>
  <c r="I200" i="2"/>
  <c r="I282" i="2"/>
  <c r="I146" i="2"/>
  <c r="I244" i="2"/>
  <c r="I133" i="2"/>
  <c r="I101" i="2"/>
  <c r="I299" i="2"/>
  <c r="I305" i="2"/>
  <c r="I4" i="2"/>
  <c r="I100" i="2"/>
  <c r="I300" i="2"/>
  <c r="I125" i="2"/>
  <c r="I114" i="2"/>
  <c r="I134" i="2"/>
  <c r="I6" i="2"/>
  <c r="I307" i="2"/>
  <c r="I39" i="2"/>
  <c r="I287" i="2"/>
  <c r="I32" i="2"/>
  <c r="I302" i="2"/>
  <c r="I319" i="2"/>
  <c r="I320" i="2"/>
  <c r="I269" i="2"/>
  <c r="I99" i="2"/>
  <c r="I148" i="2"/>
  <c r="I115" i="2"/>
  <c r="I9" i="2"/>
  <c r="I106" i="2"/>
  <c r="I136" i="2"/>
  <c r="I2" i="2"/>
  <c r="I59" i="2"/>
  <c r="I327" i="2"/>
  <c r="I77" i="2"/>
  <c r="I245" i="2"/>
  <c r="I124" i="2"/>
  <c r="I207" i="2"/>
  <c r="I149" i="2"/>
  <c r="I105" i="2"/>
  <c r="I94" i="2"/>
  <c r="I7" i="2"/>
  <c r="I328" i="2"/>
  <c r="I329" i="2"/>
  <c r="I102" i="2"/>
  <c r="I68" i="2"/>
  <c r="I8" i="2"/>
  <c r="I78" i="2"/>
  <c r="I5" i="2"/>
  <c r="I69" i="2"/>
  <c r="I354" i="2"/>
  <c r="I11" i="2"/>
  <c r="I108" i="2"/>
  <c r="I109" i="2"/>
  <c r="I65" i="2"/>
  <c r="I45" i="2"/>
  <c r="I345" i="2"/>
  <c r="I137" i="2"/>
  <c r="I208" i="2"/>
  <c r="I209" i="2"/>
  <c r="I210" i="2"/>
  <c r="I250" i="2"/>
  <c r="I283" i="2"/>
  <c r="I284" i="2"/>
  <c r="I96" i="2"/>
  <c r="I212" i="2"/>
  <c r="I214" i="2"/>
  <c r="I304" i="2"/>
  <c r="I203" i="2"/>
  <c r="I246" i="2"/>
  <c r="I332" i="2"/>
  <c r="I13" i="2"/>
  <c r="I71" i="2"/>
  <c r="I211" i="2"/>
  <c r="I213" i="2"/>
  <c r="I150" i="2"/>
  <c r="I151" i="2"/>
  <c r="I155" i="2"/>
  <c r="I139" i="2"/>
  <c r="I72" i="2"/>
  <c r="I178" i="2"/>
  <c r="I14" i="2"/>
  <c r="I182" i="2"/>
  <c r="I15" i="2"/>
  <c r="I16" i="2"/>
  <c r="I17" i="2"/>
  <c r="I110" i="2"/>
  <c r="I334" i="2"/>
  <c r="I141" i="2"/>
  <c r="I330" i="2"/>
  <c r="I156" i="2"/>
  <c r="I215" i="2"/>
  <c r="I154" i="2"/>
  <c r="I253" i="2"/>
  <c r="I337" i="2"/>
  <c r="I355" i="2"/>
  <c r="I216" i="2"/>
  <c r="I152" i="2"/>
  <c r="I63" i="2"/>
  <c r="I176" i="2"/>
  <c r="I335" i="2"/>
  <c r="I336" i="2"/>
  <c r="I18" i="2"/>
  <c r="I333" i="2"/>
  <c r="I251" i="2"/>
  <c r="I274" i="2"/>
  <c r="I331" i="2"/>
  <c r="I95" i="2"/>
  <c r="I177" i="2"/>
  <c r="I179" i="2"/>
  <c r="I19" i="2"/>
  <c r="I20" i="2"/>
  <c r="I180" i="2"/>
  <c r="I140" i="2"/>
  <c r="I21" i="2"/>
  <c r="I181" i="2"/>
  <c r="I153" i="2"/>
  <c r="I23" i="2"/>
  <c r="I157" i="2"/>
  <c r="I79" i="2"/>
  <c r="I24" i="2"/>
  <c r="I25" i="2"/>
  <c r="I26" i="2"/>
  <c r="I27" i="2"/>
  <c r="I28" i="2"/>
  <c r="I29" i="2"/>
  <c r="I30" i="2"/>
  <c r="I183" i="2"/>
  <c r="I184" i="2"/>
  <c r="I185" i="2"/>
  <c r="I217" i="2"/>
  <c r="I218" i="2"/>
  <c r="I219" i="2"/>
  <c r="I220" i="2"/>
  <c r="I254" i="2"/>
  <c r="I138" i="2"/>
  <c r="I286" i="2"/>
  <c r="I338" i="2"/>
  <c r="I339" i="2"/>
  <c r="I340" i="2"/>
  <c r="I356" i="2"/>
  <c r="I259" i="2"/>
  <c r="I288" i="2"/>
  <c r="I116" i="2"/>
  <c r="I36" i="2"/>
  <c r="I258" i="2"/>
  <c r="I33" i="2"/>
  <c r="I224" i="2"/>
  <c r="I97" i="2"/>
  <c r="I290" i="2"/>
  <c r="I31" i="2"/>
  <c r="I142" i="2"/>
  <c r="I264" i="2"/>
  <c r="I257" i="2"/>
  <c r="I126" i="2"/>
  <c r="I117" i="2"/>
  <c r="I306" i="2"/>
  <c r="I38" i="2"/>
  <c r="I41" i="2"/>
  <c r="I3" i="2"/>
  <c r="I10" i="2"/>
  <c r="I308" i="2"/>
  <c r="I265" i="2"/>
  <c r="I127" i="2"/>
  <c r="I80" i="2"/>
  <c r="I262" i="2"/>
  <c r="I276" i="2"/>
  <c r="I128" i="2"/>
  <c r="I309" i="2"/>
  <c r="I322" i="2"/>
  <c r="I40" i="2"/>
  <c r="I64" i="2"/>
  <c r="I221" i="2"/>
  <c r="I255" i="2"/>
  <c r="I159" i="2"/>
  <c r="I161" i="2"/>
  <c r="I37" i="2"/>
  <c r="I34" i="2"/>
  <c r="I119" i="2"/>
  <c r="I323" i="2"/>
  <c r="I129" i="2"/>
  <c r="I42" i="2"/>
  <c r="I222" i="2"/>
  <c r="I158" i="2"/>
  <c r="I324" i="2"/>
  <c r="I256" i="2"/>
  <c r="I357" i="2"/>
  <c r="I160" i="2"/>
  <c r="I275" i="2"/>
  <c r="I81" i="2"/>
  <c r="I118" i="2"/>
  <c r="I204" i="2"/>
  <c r="I261" i="2"/>
  <c r="I263" i="2"/>
  <c r="I358" i="2"/>
  <c r="I359" i="2"/>
  <c r="I225" i="2"/>
  <c r="I226" i="2"/>
  <c r="I227" i="2"/>
  <c r="I131" i="2"/>
  <c r="I111" i="2"/>
  <c r="I120" i="2"/>
  <c r="I343" i="2"/>
  <c r="I228" i="2"/>
  <c r="I44" i="2"/>
  <c r="I266" i="2"/>
  <c r="I341" i="2"/>
  <c r="I342" i="2"/>
  <c r="I130" i="2"/>
  <c r="I47" i="2"/>
  <c r="I46" i="2"/>
  <c r="I43" i="2"/>
  <c r="I344" i="2"/>
  <c r="I132" i="2"/>
  <c r="I231" i="2"/>
  <c r="I291" i="2"/>
  <c r="I292" i="2"/>
  <c r="I187" i="2"/>
  <c r="I162" i="2"/>
  <c r="I239" i="2"/>
  <c r="I248" i="2"/>
  <c r="I235" i="2"/>
  <c r="I278" i="2"/>
  <c r="I233" i="2"/>
  <c r="I293" i="2"/>
  <c r="I280" i="2"/>
  <c r="I294" i="2"/>
  <c r="I279" i="2"/>
  <c r="I249" i="2"/>
  <c r="I74" i="2"/>
  <c r="I49" i="2"/>
  <c r="I230" i="2"/>
  <c r="I171" i="2"/>
  <c r="I229" i="2"/>
  <c r="I295" i="2"/>
  <c r="I112" i="2"/>
  <c r="I296" i="2"/>
  <c r="I297" i="2"/>
  <c r="I310" i="2"/>
  <c r="I189" i="2"/>
  <c r="I247" i="2"/>
  <c r="I311" i="2"/>
  <c r="I312" i="2"/>
  <c r="I67" i="2"/>
  <c r="I196" i="2"/>
  <c r="I54" i="2"/>
  <c r="I75" i="2"/>
  <c r="I267" i="2"/>
  <c r="I48" i="2"/>
  <c r="I121" i="2"/>
  <c r="I51" i="2"/>
  <c r="I277" i="2"/>
  <c r="I50" i="2"/>
  <c r="I167" i="2"/>
  <c r="I88" i="2"/>
  <c r="I144" i="2"/>
  <c r="I170" i="2"/>
  <c r="I66" i="2"/>
  <c r="I313" i="2"/>
  <c r="I314" i="2"/>
  <c r="I188" i="2"/>
  <c r="I194" i="2"/>
  <c r="I192" i="2"/>
  <c r="I53" i="2"/>
  <c r="I315" i="2"/>
  <c r="I190" i="2"/>
  <c r="I83" i="2"/>
  <c r="I168" i="2"/>
  <c r="I172" i="2"/>
  <c r="I316" i="2"/>
  <c r="I122" i="2"/>
  <c r="I268" i="2"/>
  <c r="I169" i="2"/>
  <c r="I317" i="2"/>
  <c r="I55" i="2"/>
  <c r="I82" i="2"/>
  <c r="I163" i="2"/>
  <c r="I325" i="2"/>
  <c r="I143" i="2"/>
  <c r="I346" i="2"/>
  <c r="I347" i="2"/>
  <c r="I232" i="2"/>
  <c r="I197" i="2"/>
  <c r="I348" i="2"/>
  <c r="I193" i="2"/>
  <c r="I166" i="2"/>
  <c r="I234" i="2"/>
  <c r="I164" i="2"/>
  <c r="I236" i="2"/>
  <c r="I89" i="2"/>
  <c r="I84" i="2"/>
  <c r="I191" i="2"/>
  <c r="I349" i="2"/>
  <c r="I350" i="2"/>
  <c r="I85" i="2"/>
  <c r="I57" i="2"/>
  <c r="I186" i="2"/>
  <c r="I113" i="2"/>
  <c r="I238" i="2"/>
  <c r="I165" i="2"/>
  <c r="I195" i="2"/>
  <c r="I98" i="2"/>
  <c r="I87" i="2"/>
  <c r="I86" i="2"/>
  <c r="I52" i="2"/>
  <c r="I73" i="2"/>
  <c r="I361" i="2"/>
  <c r="I93" i="2"/>
  <c r="I298" i="2"/>
  <c r="I318" i="2"/>
  <c r="I76" i="2"/>
  <c r="I351" i="2"/>
  <c r="I352" i="2"/>
  <c r="I198" i="2"/>
  <c r="I173" i="2"/>
  <c r="I353" i="2"/>
  <c r="I90" i="2"/>
  <c r="I243" i="2"/>
  <c r="I175" i="2"/>
  <c r="I240" i="2"/>
  <c r="I91" i="2"/>
  <c r="I362" i="2"/>
  <c r="I174" i="2"/>
  <c r="I241" i="2"/>
  <c r="I363" i="2"/>
  <c r="I242" i="2"/>
  <c r="I92" i="2"/>
  <c r="I199" i="2"/>
  <c r="D22" i="4" l="1" a="1"/>
  <c r="D22" i="4" s="1"/>
  <c r="T360" i="2"/>
  <c r="V360" i="2" s="1"/>
  <c r="U360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U330" i="2"/>
  <c r="U157" i="2"/>
  <c r="U156" i="2"/>
  <c r="T352" i="2"/>
  <c r="V352" i="2" s="1"/>
  <c r="T230" i="2"/>
  <c r="V230" i="2" s="1"/>
  <c r="T303" i="2"/>
  <c r="V303" i="2" s="1"/>
  <c r="T79" i="2"/>
  <c r="V79" i="2" s="1"/>
  <c r="T128" i="2"/>
  <c r="V128" i="2" s="1"/>
  <c r="T136" i="2"/>
  <c r="V136" i="2" s="1"/>
  <c r="U314" i="2"/>
  <c r="U24" i="2"/>
  <c r="T19" i="2"/>
  <c r="V19" i="2" s="1"/>
  <c r="T313" i="2"/>
  <c r="V313" i="2" s="1"/>
  <c r="T229" i="2"/>
  <c r="V229" i="2" s="1"/>
  <c r="U220" i="2"/>
  <c r="T49" i="2"/>
  <c r="V49" i="2" s="1"/>
  <c r="U328" i="2"/>
  <c r="T168" i="2"/>
  <c r="V168" i="2" s="1"/>
  <c r="T241" i="2"/>
  <c r="V241" i="2" s="1"/>
  <c r="U300" i="2"/>
  <c r="T143" i="2"/>
  <c r="V143" i="2" s="1"/>
  <c r="T110" i="2"/>
  <c r="V110" i="2" s="1"/>
  <c r="T4" i="2"/>
  <c r="V4" i="2" s="1"/>
  <c r="U174" i="2"/>
  <c r="T329" i="2"/>
  <c r="V329" i="2" s="1"/>
  <c r="U319" i="2"/>
  <c r="T240" i="2"/>
  <c r="V240" i="2" s="1"/>
  <c r="T121" i="2"/>
  <c r="V121" i="2" s="1"/>
  <c r="T179" i="2"/>
  <c r="V179" i="2" s="1"/>
  <c r="U268" i="2"/>
  <c r="U141" i="2"/>
  <c r="U100" i="2"/>
  <c r="T358" i="2"/>
  <c r="V358" i="2" s="1"/>
  <c r="T7" i="2"/>
  <c r="V7" i="2" s="1"/>
  <c r="T362" i="2"/>
  <c r="V362" i="2" s="1"/>
  <c r="U344" i="2"/>
  <c r="T84" i="2"/>
  <c r="V84" i="2" s="1"/>
  <c r="T351" i="2"/>
  <c r="V351" i="2" s="1"/>
  <c r="T46" i="2"/>
  <c r="V46" i="2" s="1"/>
  <c r="U192" i="2"/>
  <c r="T312" i="2"/>
  <c r="V312" i="2" s="1"/>
  <c r="T228" i="2"/>
  <c r="V228" i="2" s="1"/>
  <c r="U172" i="2"/>
  <c r="U352" i="2"/>
  <c r="T132" i="2"/>
  <c r="V132" i="2" s="1"/>
  <c r="T323" i="2"/>
  <c r="V323" i="2" s="1"/>
  <c r="T83" i="2"/>
  <c r="V83" i="2" s="1"/>
  <c r="T327" i="2"/>
  <c r="V327" i="2" s="1"/>
  <c r="T18" i="2"/>
  <c r="V18" i="2" s="1"/>
  <c r="U310" i="2"/>
  <c r="T225" i="2"/>
  <c r="V225" i="2" s="1"/>
  <c r="U37" i="2"/>
  <c r="U158" i="2"/>
  <c r="T294" i="2"/>
  <c r="V294" i="2" s="1"/>
  <c r="U129" i="2"/>
  <c r="U39" i="2"/>
  <c r="U112" i="2"/>
  <c r="T40" i="2"/>
  <c r="V40" i="2" s="1"/>
  <c r="T59" i="2"/>
  <c r="V59" i="2" s="1"/>
  <c r="U295" i="2"/>
  <c r="U307" i="2"/>
  <c r="T330" i="2"/>
  <c r="V330" i="2" s="1"/>
  <c r="T324" i="2"/>
  <c r="V324" i="2" s="1"/>
  <c r="U243" i="2"/>
  <c r="U308" i="2"/>
  <c r="T340" i="2"/>
  <c r="V340" i="2" s="1"/>
  <c r="T139" i="2"/>
  <c r="V139" i="2" s="1"/>
  <c r="U175" i="2"/>
  <c r="U89" i="2"/>
  <c r="U317" i="2"/>
  <c r="U311" i="2"/>
  <c r="U280" i="2"/>
  <c r="U47" i="2"/>
  <c r="U119" i="2"/>
  <c r="U224" i="2"/>
  <c r="U336" i="2"/>
  <c r="U269" i="2"/>
  <c r="U236" i="2"/>
  <c r="T76" i="2"/>
  <c r="V76" i="2" s="1"/>
  <c r="T255" i="2"/>
  <c r="V255" i="2" s="1"/>
  <c r="U207" i="2"/>
  <c r="T318" i="2"/>
  <c r="V318" i="2" s="1"/>
  <c r="U337" i="2"/>
  <c r="T27" i="2"/>
  <c r="V27" i="2" s="1"/>
  <c r="U193" i="2"/>
  <c r="T242" i="2"/>
  <c r="V242" i="2" s="1"/>
  <c r="U355" i="2"/>
  <c r="U19" i="2"/>
  <c r="U348" i="2"/>
  <c r="U221" i="2"/>
  <c r="U197" i="2"/>
  <c r="T353" i="2"/>
  <c r="V353" i="2" s="1"/>
  <c r="T92" i="2"/>
  <c r="V92" i="2" s="1"/>
  <c r="U217" i="2"/>
  <c r="U168" i="2"/>
  <c r="T192" i="2"/>
  <c r="V192" i="2" s="1"/>
  <c r="T158" i="2"/>
  <c r="V158" i="2" s="1"/>
  <c r="U150" i="2"/>
  <c r="T114" i="2"/>
  <c r="V114" i="2" s="1"/>
  <c r="T310" i="2"/>
  <c r="V310" i="2" s="1"/>
  <c r="T184" i="2"/>
  <c r="V184" i="2" s="1"/>
  <c r="T113" i="2"/>
  <c r="V113" i="2" s="1"/>
  <c r="U218" i="2"/>
  <c r="T186" i="2"/>
  <c r="V186" i="2" s="1"/>
  <c r="T315" i="2"/>
  <c r="V315" i="2" s="1"/>
  <c r="T171" i="2"/>
  <c r="V171" i="2" s="1"/>
  <c r="U320" i="2"/>
  <c r="U77" i="2"/>
  <c r="U351" i="2"/>
  <c r="U306" i="2"/>
  <c r="U327" i="2"/>
  <c r="U143" i="2"/>
  <c r="U49" i="2"/>
  <c r="U264" i="2"/>
  <c r="T210" i="2"/>
  <c r="V210" i="2" s="1"/>
  <c r="T346" i="2"/>
  <c r="V346" i="2" s="1"/>
  <c r="T53" i="2"/>
  <c r="V53" i="2" s="1"/>
  <c r="T257" i="2"/>
  <c r="V257" i="2" s="1"/>
  <c r="T25" i="2"/>
  <c r="V25" i="2" s="1"/>
  <c r="U91" i="2"/>
  <c r="U191" i="2"/>
  <c r="U67" i="2"/>
  <c r="U279" i="2"/>
  <c r="U290" i="2"/>
  <c r="U333" i="2"/>
  <c r="U71" i="2"/>
  <c r="U231" i="2"/>
  <c r="U83" i="2"/>
  <c r="U34" i="2"/>
  <c r="U132" i="2"/>
  <c r="T3" i="2"/>
  <c r="V3" i="2" s="1"/>
  <c r="U196" i="2"/>
  <c r="U169" i="2"/>
  <c r="T120" i="2"/>
  <c r="V120" i="2" s="1"/>
  <c r="U227" i="2"/>
  <c r="T249" i="2"/>
  <c r="V249" i="2" s="1"/>
  <c r="U299" i="2"/>
  <c r="T24" i="2"/>
  <c r="V24" i="2" s="1"/>
  <c r="T78" i="2"/>
  <c r="V78" i="2" s="1"/>
  <c r="U241" i="2"/>
  <c r="U66" i="2"/>
  <c r="T234" i="2"/>
  <c r="V234" i="2" s="1"/>
  <c r="T118" i="2"/>
  <c r="V118" i="2" s="1"/>
  <c r="T232" i="2"/>
  <c r="V232" i="2" s="1"/>
  <c r="T187" i="2"/>
  <c r="V187" i="2" s="1"/>
  <c r="T117" i="2"/>
  <c r="V117" i="2" s="1"/>
  <c r="U153" i="2"/>
  <c r="U94" i="2"/>
  <c r="T172" i="2"/>
  <c r="V172" i="2" s="1"/>
  <c r="U105" i="2"/>
  <c r="U228" i="2"/>
  <c r="U51" i="2"/>
  <c r="T93" i="2"/>
  <c r="V93" i="2" s="1"/>
  <c r="T231" i="2"/>
  <c r="V231" i="2" s="1"/>
  <c r="T156" i="2"/>
  <c r="V156" i="2" s="1"/>
  <c r="T349" i="2"/>
  <c r="V349" i="2" s="1"/>
  <c r="T344" i="2"/>
  <c r="V344" i="2" s="1"/>
  <c r="T208" i="2"/>
  <c r="V208" i="2" s="1"/>
  <c r="T300" i="2"/>
  <c r="V300" i="2" s="1"/>
  <c r="U130" i="2"/>
  <c r="T345" i="2"/>
  <c r="V345" i="2" s="1"/>
  <c r="U263" i="2"/>
  <c r="T98" i="2"/>
  <c r="V98" i="2" s="1"/>
  <c r="T341" i="2"/>
  <c r="V341" i="2" s="1"/>
  <c r="T63" i="2"/>
  <c r="V63" i="2" s="1"/>
  <c r="T190" i="2"/>
  <c r="V190" i="2" s="1"/>
  <c r="T253" i="2"/>
  <c r="V253" i="2" s="1"/>
  <c r="T284" i="2"/>
  <c r="V284" i="2" s="1"/>
  <c r="T6" i="2"/>
  <c r="V6" i="2" s="1"/>
  <c r="T347" i="2"/>
  <c r="V347" i="2" s="1"/>
  <c r="T48" i="2"/>
  <c r="V48" i="2" s="1"/>
  <c r="T298" i="2"/>
  <c r="V298" i="2" s="1"/>
  <c r="T131" i="2"/>
  <c r="V131" i="2" s="1"/>
  <c r="U64" i="2"/>
  <c r="U85" i="2"/>
  <c r="U128" i="2"/>
  <c r="U303" i="2"/>
  <c r="T188" i="2"/>
  <c r="V188" i="2" s="1"/>
  <c r="T157" i="2"/>
  <c r="V157" i="2" s="1"/>
  <c r="U329" i="2"/>
  <c r="U170" i="2"/>
  <c r="U335" i="2"/>
  <c r="T73" i="2"/>
  <c r="V73" i="2" s="1"/>
  <c r="U17" i="2"/>
  <c r="U45" i="2"/>
  <c r="U305" i="2"/>
  <c r="T268" i="2"/>
  <c r="V268" i="2" s="1"/>
  <c r="T37" i="2"/>
  <c r="V37" i="2" s="1"/>
  <c r="T10" i="2"/>
  <c r="V10" i="2" s="1"/>
  <c r="T176" i="2"/>
  <c r="V176" i="2" s="1"/>
  <c r="T109" i="2"/>
  <c r="V109" i="2" s="1"/>
  <c r="T319" i="2"/>
  <c r="V319" i="2" s="1"/>
  <c r="U79" i="2"/>
  <c r="U31" i="2"/>
  <c r="T211" i="2"/>
  <c r="V211" i="2" s="1"/>
  <c r="T264" i="2"/>
  <c r="V264" i="2" s="1"/>
  <c r="T31" i="2"/>
  <c r="V31" i="2" s="1"/>
  <c r="U142" i="2"/>
  <c r="U239" i="2"/>
  <c r="U343" i="2"/>
  <c r="U200" i="2"/>
  <c r="T13" i="2"/>
  <c r="V13" i="2" s="1"/>
  <c r="T203" i="2"/>
  <c r="V203" i="2" s="1"/>
  <c r="U332" i="2"/>
  <c r="T258" i="2"/>
  <c r="V258" i="2" s="1"/>
  <c r="U246" i="2"/>
  <c r="U259" i="2"/>
  <c r="U29" i="2"/>
  <c r="U96" i="2"/>
  <c r="U28" i="2"/>
  <c r="T281" i="2"/>
  <c r="V281" i="2" s="1"/>
  <c r="U104" i="2"/>
  <c r="U271" i="2"/>
  <c r="T147" i="2"/>
  <c r="V147" i="2" s="1"/>
  <c r="U135" i="2"/>
  <c r="T343" i="2"/>
  <c r="V343" i="2" s="1"/>
  <c r="T97" i="2"/>
  <c r="V97" i="2" s="1"/>
  <c r="U255" i="2"/>
  <c r="T174" i="2"/>
  <c r="V174" i="2" s="1"/>
  <c r="T189" i="2"/>
  <c r="V189" i="2" s="1"/>
  <c r="U189" i="2"/>
  <c r="T142" i="2"/>
  <c r="V142" i="2" s="1"/>
  <c r="T233" i="2"/>
  <c r="V233" i="2" s="1"/>
  <c r="U233" i="2"/>
  <c r="T204" i="2"/>
  <c r="V204" i="2" s="1"/>
  <c r="U204" i="2"/>
  <c r="T173" i="2"/>
  <c r="V173" i="2" s="1"/>
  <c r="U173" i="2"/>
  <c r="T166" i="2"/>
  <c r="V166" i="2" s="1"/>
  <c r="U166" i="2"/>
  <c r="T316" i="2"/>
  <c r="V316" i="2" s="1"/>
  <c r="U316" i="2"/>
  <c r="T167" i="2"/>
  <c r="V167" i="2" s="1"/>
  <c r="U167" i="2"/>
  <c r="T297" i="2"/>
  <c r="V297" i="2" s="1"/>
  <c r="U297" i="2"/>
  <c r="T235" i="2"/>
  <c r="V235" i="2" s="1"/>
  <c r="U235" i="2"/>
  <c r="T266" i="2"/>
  <c r="V266" i="2" s="1"/>
  <c r="U266" i="2"/>
  <c r="T81" i="2"/>
  <c r="V81" i="2" s="1"/>
  <c r="U81" i="2"/>
  <c r="T159" i="2"/>
  <c r="V159" i="2" s="1"/>
  <c r="U159" i="2"/>
  <c r="T116" i="2"/>
  <c r="V116" i="2" s="1"/>
  <c r="U116" i="2"/>
  <c r="T183" i="2"/>
  <c r="V183" i="2" s="1"/>
  <c r="U183" i="2"/>
  <c r="T180" i="2"/>
  <c r="V180" i="2" s="1"/>
  <c r="U180" i="2"/>
  <c r="T152" i="2"/>
  <c r="V152" i="2" s="1"/>
  <c r="U152" i="2"/>
  <c r="T214" i="2"/>
  <c r="V214" i="2" s="1"/>
  <c r="U214" i="2"/>
  <c r="T11" i="2"/>
  <c r="V11" i="2" s="1"/>
  <c r="U11" i="2"/>
  <c r="T124" i="2"/>
  <c r="V124" i="2" s="1"/>
  <c r="U124" i="2"/>
  <c r="T32" i="2"/>
  <c r="V32" i="2" s="1"/>
  <c r="U32" i="2"/>
  <c r="T244" i="2"/>
  <c r="V244" i="2" s="1"/>
  <c r="U244" i="2"/>
  <c r="T350" i="2"/>
  <c r="V350" i="2" s="1"/>
  <c r="U350" i="2"/>
  <c r="U325" i="2"/>
  <c r="T325" i="2"/>
  <c r="V325" i="2" s="1"/>
  <c r="T194" i="2"/>
  <c r="V194" i="2" s="1"/>
  <c r="U194" i="2"/>
  <c r="U54" i="2"/>
  <c r="T54" i="2"/>
  <c r="V54" i="2" s="1"/>
  <c r="T74" i="2"/>
  <c r="V74" i="2" s="1"/>
  <c r="U74" i="2"/>
  <c r="T226" i="2"/>
  <c r="V226" i="2" s="1"/>
  <c r="U226" i="2"/>
  <c r="U222" i="2"/>
  <c r="T222" i="2"/>
  <c r="V222" i="2" s="1"/>
  <c r="U276" i="2"/>
  <c r="T276" i="2"/>
  <c r="V276" i="2" s="1"/>
  <c r="U138" i="2"/>
  <c r="T138" i="2"/>
  <c r="V138" i="2" s="1"/>
  <c r="T274" i="2"/>
  <c r="V274" i="2" s="1"/>
  <c r="U274" i="2"/>
  <c r="U213" i="2"/>
  <c r="T213" i="2"/>
  <c r="V213" i="2" s="1"/>
  <c r="U209" i="2"/>
  <c r="T209" i="2"/>
  <c r="V209" i="2" s="1"/>
  <c r="T102" i="2"/>
  <c r="V102" i="2" s="1"/>
  <c r="U102" i="2"/>
  <c r="U9" i="2"/>
  <c r="T9" i="2"/>
  <c r="V9" i="2" s="1"/>
  <c r="T125" i="2"/>
  <c r="V125" i="2" s="1"/>
  <c r="U125" i="2"/>
  <c r="U272" i="2"/>
  <c r="T272" i="2"/>
  <c r="V272" i="2" s="1"/>
  <c r="T193" i="2"/>
  <c r="V193" i="2" s="1"/>
  <c r="T87" i="2"/>
  <c r="V87" i="2" s="1"/>
  <c r="U87" i="2"/>
  <c r="T90" i="2"/>
  <c r="V90" i="2" s="1"/>
  <c r="U90" i="2"/>
  <c r="T164" i="2"/>
  <c r="V164" i="2" s="1"/>
  <c r="U164" i="2"/>
  <c r="T144" i="2"/>
  <c r="V144" i="2" s="1"/>
  <c r="U144" i="2"/>
  <c r="T342" i="2"/>
  <c r="V342" i="2" s="1"/>
  <c r="U342" i="2"/>
  <c r="U198" i="2"/>
  <c r="T198" i="2"/>
  <c r="V198" i="2" s="1"/>
  <c r="T195" i="2"/>
  <c r="V195" i="2" s="1"/>
  <c r="U195" i="2"/>
  <c r="U50" i="2"/>
  <c r="T50" i="2"/>
  <c r="V50" i="2" s="1"/>
  <c r="T296" i="2"/>
  <c r="V296" i="2" s="1"/>
  <c r="U296" i="2"/>
  <c r="U248" i="2"/>
  <c r="T248" i="2"/>
  <c r="V248" i="2" s="1"/>
  <c r="T44" i="2"/>
  <c r="V44" i="2" s="1"/>
  <c r="U44" i="2"/>
  <c r="T275" i="2"/>
  <c r="V275" i="2" s="1"/>
  <c r="U275" i="2"/>
  <c r="T41" i="2"/>
  <c r="V41" i="2" s="1"/>
  <c r="U41" i="2"/>
  <c r="U288" i="2"/>
  <c r="T288" i="2"/>
  <c r="V288" i="2" s="1"/>
  <c r="T30" i="2"/>
  <c r="V30" i="2" s="1"/>
  <c r="U30" i="2"/>
  <c r="U20" i="2"/>
  <c r="T20" i="2"/>
  <c r="V20" i="2" s="1"/>
  <c r="U216" i="2"/>
  <c r="T216" i="2"/>
  <c r="V216" i="2" s="1"/>
  <c r="U14" i="2"/>
  <c r="T14" i="2"/>
  <c r="V14" i="2" s="1"/>
  <c r="U212" i="2"/>
  <c r="T212" i="2"/>
  <c r="V212" i="2" s="1"/>
  <c r="T354" i="2"/>
  <c r="V354" i="2" s="1"/>
  <c r="U354" i="2"/>
  <c r="U245" i="2"/>
  <c r="T245" i="2"/>
  <c r="V245" i="2" s="1"/>
  <c r="T287" i="2"/>
  <c r="V287" i="2" s="1"/>
  <c r="U287" i="2"/>
  <c r="U146" i="2"/>
  <c r="T146" i="2"/>
  <c r="V146" i="2" s="1"/>
  <c r="T42" i="2"/>
  <c r="V42" i="2" s="1"/>
  <c r="U42" i="2"/>
  <c r="U251" i="2"/>
  <c r="T251" i="2"/>
  <c r="V251" i="2" s="1"/>
  <c r="U293" i="2"/>
  <c r="U261" i="2"/>
  <c r="U33" i="2"/>
  <c r="U16" i="2"/>
  <c r="T348" i="2"/>
  <c r="V348" i="2" s="1"/>
  <c r="T306" i="2"/>
  <c r="V306" i="2" s="1"/>
  <c r="U234" i="2"/>
  <c r="T21" i="2"/>
  <c r="V21" i="2" s="1"/>
  <c r="U21" i="2"/>
  <c r="T149" i="2"/>
  <c r="V149" i="2" s="1"/>
  <c r="U149" i="2"/>
  <c r="T101" i="2"/>
  <c r="V101" i="2" s="1"/>
  <c r="U101" i="2"/>
  <c r="T197" i="2"/>
  <c r="V197" i="2" s="1"/>
  <c r="T112" i="2"/>
  <c r="V112" i="2" s="1"/>
  <c r="T150" i="2"/>
  <c r="V150" i="2" s="1"/>
  <c r="U184" i="2"/>
  <c r="T185" i="2"/>
  <c r="V185" i="2" s="1"/>
  <c r="U185" i="2"/>
  <c r="T15" i="2"/>
  <c r="V15" i="2" s="1"/>
  <c r="U15" i="2"/>
  <c r="T122" i="2"/>
  <c r="V122" i="2" s="1"/>
  <c r="U122" i="2"/>
  <c r="T88" i="2"/>
  <c r="V88" i="2" s="1"/>
  <c r="U88" i="2"/>
  <c r="T278" i="2"/>
  <c r="V278" i="2" s="1"/>
  <c r="U278" i="2"/>
  <c r="T161" i="2"/>
  <c r="V161" i="2" s="1"/>
  <c r="U161" i="2"/>
  <c r="T36" i="2"/>
  <c r="V36" i="2" s="1"/>
  <c r="U36" i="2"/>
  <c r="T140" i="2"/>
  <c r="V140" i="2" s="1"/>
  <c r="U140" i="2"/>
  <c r="T182" i="2"/>
  <c r="V182" i="2" s="1"/>
  <c r="U182" i="2"/>
  <c r="T304" i="2"/>
  <c r="V304" i="2" s="1"/>
  <c r="T108" i="2"/>
  <c r="V108" i="2" s="1"/>
  <c r="T207" i="2"/>
  <c r="V207" i="2" s="1"/>
  <c r="T302" i="2"/>
  <c r="V302" i="2" s="1"/>
  <c r="U302" i="2"/>
  <c r="T133" i="2"/>
  <c r="V133" i="2" s="1"/>
  <c r="U133" i="2"/>
  <c r="T295" i="2"/>
  <c r="V295" i="2" s="1"/>
  <c r="T227" i="2"/>
  <c r="V227" i="2" s="1"/>
  <c r="T77" i="2"/>
  <c r="V77" i="2" s="1"/>
  <c r="T106" i="2"/>
  <c r="V106" i="2" s="1"/>
  <c r="U106" i="2"/>
  <c r="T96" i="2"/>
  <c r="V96" i="2" s="1"/>
  <c r="T307" i="2"/>
  <c r="V307" i="2" s="1"/>
  <c r="U353" i="2"/>
  <c r="U10" i="2"/>
  <c r="U203" i="2"/>
  <c r="U114" i="2"/>
  <c r="U92" i="2"/>
  <c r="U76" i="2"/>
  <c r="U113" i="2"/>
  <c r="U232" i="2"/>
  <c r="U190" i="2"/>
  <c r="U121" i="2"/>
  <c r="U229" i="2"/>
  <c r="U187" i="2"/>
  <c r="U120" i="2"/>
  <c r="U40" i="2"/>
  <c r="U117" i="2"/>
  <c r="U340" i="2"/>
  <c r="U27" i="2"/>
  <c r="U179" i="2"/>
  <c r="U253" i="2"/>
  <c r="U139" i="2"/>
  <c r="U284" i="2"/>
  <c r="U78" i="2"/>
  <c r="U59" i="2"/>
  <c r="U6" i="2"/>
  <c r="U281" i="2"/>
  <c r="U93" i="2"/>
  <c r="U188" i="2"/>
  <c r="U3" i="2"/>
  <c r="U304" i="2"/>
  <c r="U277" i="2"/>
  <c r="T277" i="2"/>
  <c r="V277" i="2" s="1"/>
  <c r="U160" i="2"/>
  <c r="T160" i="2"/>
  <c r="V160" i="2" s="1"/>
  <c r="U178" i="2"/>
  <c r="T178" i="2"/>
  <c r="V178" i="2" s="1"/>
  <c r="U162" i="2"/>
  <c r="T162" i="2"/>
  <c r="V162" i="2" s="1"/>
  <c r="U48" i="2"/>
  <c r="T337" i="2"/>
  <c r="V337" i="2" s="1"/>
  <c r="U238" i="2"/>
  <c r="T238" i="2"/>
  <c r="V238" i="2" s="1"/>
  <c r="U357" i="2"/>
  <c r="T357" i="2"/>
  <c r="V357" i="2" s="1"/>
  <c r="U356" i="2"/>
  <c r="T356" i="2"/>
  <c r="V356" i="2" s="1"/>
  <c r="U72" i="2"/>
  <c r="T72" i="2"/>
  <c r="V72" i="2" s="1"/>
  <c r="U286" i="2"/>
  <c r="T286" i="2"/>
  <c r="V286" i="2" s="1"/>
  <c r="U331" i="2"/>
  <c r="T331" i="2"/>
  <c r="V331" i="2" s="1"/>
  <c r="U273" i="2"/>
  <c r="T273" i="2"/>
  <c r="V273" i="2" s="1"/>
  <c r="U242" i="2"/>
  <c r="U347" i="2"/>
  <c r="U171" i="2"/>
  <c r="U111" i="2"/>
  <c r="U322" i="2"/>
  <c r="U339" i="2"/>
  <c r="U177" i="2"/>
  <c r="U155" i="2"/>
  <c r="U8" i="2"/>
  <c r="U145" i="2"/>
  <c r="U210" i="2"/>
  <c r="U363" i="2"/>
  <c r="T363" i="2"/>
  <c r="V363" i="2" s="1"/>
  <c r="U298" i="2"/>
  <c r="U57" i="2"/>
  <c r="U346" i="2"/>
  <c r="U53" i="2"/>
  <c r="U267" i="2"/>
  <c r="T267" i="2"/>
  <c r="V267" i="2" s="1"/>
  <c r="U230" i="2"/>
  <c r="U291" i="2"/>
  <c r="T291" i="2"/>
  <c r="V291" i="2" s="1"/>
  <c r="U131" i="2"/>
  <c r="U324" i="2"/>
  <c r="U309" i="2"/>
  <c r="T309" i="2"/>
  <c r="V309" i="2" s="1"/>
  <c r="U257" i="2"/>
  <c r="U338" i="2"/>
  <c r="U25" i="2"/>
  <c r="U95" i="2"/>
  <c r="T95" i="2"/>
  <c r="V95" i="2" s="1"/>
  <c r="U215" i="2"/>
  <c r="U151" i="2"/>
  <c r="T151" i="2"/>
  <c r="V151" i="2" s="1"/>
  <c r="U250" i="2"/>
  <c r="U68" i="2"/>
  <c r="U136" i="2"/>
  <c r="U206" i="2"/>
  <c r="T206" i="2"/>
  <c r="V206" i="2" s="1"/>
  <c r="U43" i="2"/>
  <c r="U334" i="2"/>
  <c r="T239" i="2"/>
  <c r="V239" i="2" s="1"/>
  <c r="T355" i="2"/>
  <c r="V355" i="2" s="1"/>
  <c r="T250" i="2"/>
  <c r="V250" i="2" s="1"/>
  <c r="U98" i="2"/>
  <c r="U341" i="2"/>
  <c r="U109" i="2"/>
  <c r="T57" i="2"/>
  <c r="V57" i="2" s="1"/>
  <c r="T338" i="2"/>
  <c r="V338" i="2" s="1"/>
  <c r="U108" i="2"/>
  <c r="T85" i="2"/>
  <c r="V85" i="2" s="1"/>
  <c r="T221" i="2"/>
  <c r="V221" i="2" s="1"/>
  <c r="U176" i="2"/>
  <c r="U165" i="2"/>
  <c r="T165" i="2"/>
  <c r="V165" i="2" s="1"/>
  <c r="U186" i="2"/>
  <c r="U247" i="2"/>
  <c r="U38" i="2"/>
  <c r="T38" i="2"/>
  <c r="V38" i="2" s="1"/>
  <c r="U69" i="2"/>
  <c r="T69" i="2"/>
  <c r="V69" i="2" s="1"/>
  <c r="U282" i="2"/>
  <c r="T282" i="2"/>
  <c r="V282" i="2" s="1"/>
  <c r="T39" i="2"/>
  <c r="V39" i="2" s="1"/>
  <c r="U199" i="2"/>
  <c r="T199" i="2"/>
  <c r="V199" i="2" s="1"/>
  <c r="U5" i="2"/>
  <c r="T5" i="2"/>
  <c r="V5" i="2" s="1"/>
  <c r="U75" i="2"/>
  <c r="T75" i="2"/>
  <c r="V75" i="2" s="1"/>
  <c r="U318" i="2"/>
  <c r="U315" i="2"/>
  <c r="U292" i="2"/>
  <c r="U256" i="2"/>
  <c r="U126" i="2"/>
  <c r="U26" i="2"/>
  <c r="U154" i="2"/>
  <c r="U283" i="2"/>
  <c r="U2" i="2"/>
  <c r="U134" i="2"/>
  <c r="T259" i="2"/>
  <c r="V259" i="2" s="1"/>
  <c r="U362" i="2"/>
  <c r="U163" i="2"/>
  <c r="T163" i="2"/>
  <c r="V163" i="2" s="1"/>
  <c r="T196" i="2"/>
  <c r="V196" i="2" s="1"/>
  <c r="U249" i="2"/>
  <c r="U225" i="2"/>
  <c r="U262" i="2"/>
  <c r="T262" i="2"/>
  <c r="V262" i="2" s="1"/>
  <c r="U254" i="2"/>
  <c r="T254" i="2"/>
  <c r="V254" i="2" s="1"/>
  <c r="T141" i="2"/>
  <c r="V141" i="2" s="1"/>
  <c r="U211" i="2"/>
  <c r="U208" i="2"/>
  <c r="U115" i="2"/>
  <c r="T115" i="2"/>
  <c r="V115" i="2" s="1"/>
  <c r="T104" i="2"/>
  <c r="V104" i="2" s="1"/>
  <c r="U181" i="2"/>
  <c r="T64" i="2"/>
  <c r="V64" i="2" s="1"/>
  <c r="T29" i="2"/>
  <c r="V29" i="2" s="1"/>
  <c r="T215" i="2"/>
  <c r="V215" i="2" s="1"/>
  <c r="U349" i="2"/>
  <c r="U118" i="2"/>
  <c r="U63" i="2"/>
  <c r="U23" i="2"/>
  <c r="T51" i="2"/>
  <c r="V51" i="2" s="1"/>
  <c r="T28" i="2"/>
  <c r="V28" i="2" s="1"/>
  <c r="T68" i="2"/>
  <c r="V68" i="2" s="1"/>
  <c r="T200" i="2"/>
  <c r="V200" i="2" s="1"/>
  <c r="U258" i="2"/>
  <c r="T361" i="2"/>
  <c r="V361" i="2" s="1"/>
  <c r="T82" i="2"/>
  <c r="V82" i="2" s="1"/>
  <c r="T67" i="2"/>
  <c r="V67" i="2" s="1"/>
  <c r="T359" i="2"/>
  <c r="V359" i="2" s="1"/>
  <c r="T290" i="2"/>
  <c r="V290" i="2" s="1"/>
  <c r="T23" i="2"/>
  <c r="V23" i="2" s="1"/>
  <c r="T334" i="2"/>
  <c r="V334" i="2" s="1"/>
  <c r="T137" i="2"/>
  <c r="V137" i="2" s="1"/>
  <c r="T148" i="2"/>
  <c r="V148" i="2" s="1"/>
  <c r="T271" i="2"/>
  <c r="V271" i="2" s="1"/>
  <c r="U359" i="2"/>
  <c r="T91" i="2"/>
  <c r="V91" i="2" s="1"/>
  <c r="T191" i="2"/>
  <c r="V191" i="2" s="1"/>
  <c r="T314" i="2"/>
  <c r="V314" i="2" s="1"/>
  <c r="T279" i="2"/>
  <c r="V279" i="2" s="1"/>
  <c r="T43" i="2"/>
  <c r="V43" i="2" s="1"/>
  <c r="T129" i="2"/>
  <c r="V129" i="2" s="1"/>
  <c r="T80" i="2"/>
  <c r="V80" i="2" s="1"/>
  <c r="T220" i="2"/>
  <c r="V220" i="2" s="1"/>
  <c r="T333" i="2"/>
  <c r="V333" i="2" s="1"/>
  <c r="T71" i="2"/>
  <c r="V71" i="2" s="1"/>
  <c r="T328" i="2"/>
  <c r="V328" i="2" s="1"/>
  <c r="T100" i="2"/>
  <c r="V100" i="2" s="1"/>
  <c r="U240" i="2"/>
  <c r="U73" i="2"/>
  <c r="U84" i="2"/>
  <c r="U55" i="2"/>
  <c r="U313" i="2"/>
  <c r="U312" i="2"/>
  <c r="U294" i="2"/>
  <c r="U46" i="2"/>
  <c r="U358" i="2"/>
  <c r="U323" i="2"/>
  <c r="U127" i="2"/>
  <c r="U97" i="2"/>
  <c r="U219" i="2"/>
  <c r="U18" i="2"/>
  <c r="U110" i="2"/>
  <c r="U13" i="2"/>
  <c r="U345" i="2"/>
  <c r="U7" i="2"/>
  <c r="U99" i="2"/>
  <c r="U4" i="2"/>
  <c r="U147" i="2"/>
  <c r="T127" i="2"/>
  <c r="V127" i="2" s="1"/>
  <c r="U361" i="2"/>
  <c r="U137" i="2"/>
  <c r="T52" i="2"/>
  <c r="V52" i="2" s="1"/>
  <c r="T317" i="2"/>
  <c r="V317" i="2" s="1"/>
  <c r="T311" i="2"/>
  <c r="V311" i="2" s="1"/>
  <c r="T47" i="2"/>
  <c r="V47" i="2" s="1"/>
  <c r="T119" i="2"/>
  <c r="V119" i="2" s="1"/>
  <c r="T218" i="2"/>
  <c r="V218" i="2" s="1"/>
  <c r="T336" i="2"/>
  <c r="V336" i="2" s="1"/>
  <c r="T332" i="2"/>
  <c r="V332" i="2" s="1"/>
  <c r="T94" i="2"/>
  <c r="V94" i="2" s="1"/>
  <c r="T305" i="2"/>
  <c r="V305" i="2" s="1"/>
  <c r="T55" i="2"/>
  <c r="V55" i="2" s="1"/>
  <c r="T99" i="2"/>
  <c r="V99" i="2" s="1"/>
  <c r="U52" i="2"/>
  <c r="U80" i="2"/>
  <c r="T175" i="2"/>
  <c r="V175" i="2" s="1"/>
  <c r="T89" i="2"/>
  <c r="V89" i="2" s="1"/>
  <c r="T66" i="2"/>
  <c r="V66" i="2" s="1"/>
  <c r="T280" i="2"/>
  <c r="V280" i="2" s="1"/>
  <c r="T263" i="2"/>
  <c r="V263" i="2" s="1"/>
  <c r="T265" i="2"/>
  <c r="V265" i="2" s="1"/>
  <c r="T224" i="2"/>
  <c r="V224" i="2" s="1"/>
  <c r="T153" i="2"/>
  <c r="V153" i="2" s="1"/>
  <c r="T17" i="2"/>
  <c r="V17" i="2" s="1"/>
  <c r="T45" i="2"/>
  <c r="V45" i="2" s="1"/>
  <c r="T269" i="2"/>
  <c r="V269" i="2" s="1"/>
  <c r="T135" i="2"/>
  <c r="V135" i="2" s="1"/>
  <c r="T243" i="2"/>
  <c r="V243" i="2" s="1"/>
  <c r="T86" i="2"/>
  <c r="V86" i="2" s="1"/>
  <c r="T236" i="2"/>
  <c r="V236" i="2" s="1"/>
  <c r="T169" i="2"/>
  <c r="V169" i="2" s="1"/>
  <c r="T170" i="2"/>
  <c r="V170" i="2" s="1"/>
  <c r="T247" i="2"/>
  <c r="V247" i="2" s="1"/>
  <c r="T293" i="2"/>
  <c r="V293" i="2" s="1"/>
  <c r="T130" i="2"/>
  <c r="V130" i="2" s="1"/>
  <c r="T261" i="2"/>
  <c r="V261" i="2" s="1"/>
  <c r="T34" i="2"/>
  <c r="V34" i="2" s="1"/>
  <c r="T308" i="2"/>
  <c r="V308" i="2" s="1"/>
  <c r="T33" i="2"/>
  <c r="V33" i="2" s="1"/>
  <c r="T217" i="2"/>
  <c r="V217" i="2" s="1"/>
  <c r="T181" i="2"/>
  <c r="V181" i="2" s="1"/>
  <c r="T335" i="2"/>
  <c r="V335" i="2" s="1"/>
  <c r="T16" i="2"/>
  <c r="V16" i="2" s="1"/>
  <c r="T246" i="2"/>
  <c r="V246" i="2" s="1"/>
  <c r="T65" i="2"/>
  <c r="V65" i="2" s="1"/>
  <c r="T105" i="2"/>
  <c r="V105" i="2" s="1"/>
  <c r="T320" i="2"/>
  <c r="V320" i="2" s="1"/>
  <c r="T299" i="2"/>
  <c r="V299" i="2" s="1"/>
  <c r="T219" i="2"/>
  <c r="V219" i="2" s="1"/>
  <c r="U86" i="2"/>
  <c r="U82" i="2"/>
  <c r="U265" i="2"/>
  <c r="U65" i="2"/>
  <c r="U148" i="2"/>
  <c r="T292" i="2"/>
  <c r="V292" i="2" s="1"/>
  <c r="T111" i="2"/>
  <c r="V111" i="2" s="1"/>
  <c r="T256" i="2"/>
  <c r="V256" i="2" s="1"/>
  <c r="T322" i="2"/>
  <c r="V322" i="2" s="1"/>
  <c r="T126" i="2"/>
  <c r="V126" i="2" s="1"/>
  <c r="T339" i="2"/>
  <c r="V339" i="2" s="1"/>
  <c r="T26" i="2"/>
  <c r="V26" i="2" s="1"/>
  <c r="T177" i="2"/>
  <c r="V177" i="2" s="1"/>
  <c r="T154" i="2"/>
  <c r="V154" i="2" s="1"/>
  <c r="T155" i="2"/>
  <c r="V155" i="2" s="1"/>
  <c r="T283" i="2"/>
  <c r="V283" i="2" s="1"/>
  <c r="T8" i="2"/>
  <c r="V8" i="2" s="1"/>
  <c r="T2" i="2"/>
  <c r="V2" i="2" s="1"/>
  <c r="T134" i="2"/>
  <c r="V134" i="2" s="1"/>
  <c r="T145" i="2"/>
  <c r="V145" i="2" s="1"/>
  <c r="U270" i="2"/>
  <c r="T270" i="2"/>
  <c r="V270" i="2" s="1"/>
  <c r="A4" i="7" l="1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<sst xmlns="http://schemas.openxmlformats.org/spreadsheetml/2006/main" count="2277" uniqueCount="449">
  <si>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</si>
  <si>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</si>
  <si>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</si>
  <si>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</si>
  <si>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</si>
  <si>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</si>
  <si>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</si>
  <si>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</si>
  <si>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</si>
  <si>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</si>
  <si>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</si>
  <si>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</si>
  <si>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</si>
  <si>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</si>
  <si>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</si>
  <si>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</si>
  <si>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</si>
  <si>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</si>
  <si>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</si>
  <si>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</si>
  <si>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</si>
  <si>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</si>
  <si>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</si>
  <si>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</si>
  <si>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</si>
  <si>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</si>
  <si>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</si>
  <si>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</si>
  <si>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</si>
  <si>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</si>
  <si>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</si>
  <si>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</si>
  <si>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</si>
  <si>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</si>
  <si>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</si>
  <si>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</si>
  <si>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</si>
  <si>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</si>
  <si>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</si>
  <si>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</si>
  <si>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</si>
  <si>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</si>
  <si>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</si>
  <si>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</si>
  <si>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</si>
  <si>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</si>
  <si>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</si>
  <si>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</si>
  <si>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</si>
  <si>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</si>
  <si>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</si>
  <si>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</si>
  <si>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</si>
  <si>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</si>
  <si>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</si>
  <si>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</si>
  <si>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</si>
  <si>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</si>
  <si>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</si>
  <si>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</si>
  <si>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</si>
  <si>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</si>
  <si>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</si>
  <si>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</si>
  <si>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</si>
  <si>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</si>
  <si>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</si>
  <si>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</si>
  <si>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</si>
  <si>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</si>
  <si>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</si>
  <si>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</si>
  <si>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</si>
  <si>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</si>
  <si>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</si>
  <si>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</si>
  <si>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</si>
  <si>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</si>
  <si>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</si>
  <si>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</si>
  <si>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</si>
  <si>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</si>
  <si>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</si>
  <si>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</si>
  <si>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</si>
  <si>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</si>
  <si>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</si>
  <si>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</si>
  <si>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</si>
  <si>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</si>
  <si>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</si>
  <si>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</si>
  <si>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</si>
  <si>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</si>
  <si>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</si>
  <si>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</si>
  <si>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</si>
  <si>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</si>
  <si>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</si>
  <si>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</si>
  <si>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</si>
  <si>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</si>
  <si>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</si>
  <si>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</si>
  <si>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</si>
  <si>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</si>
  <si>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</si>
  <si>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</si>
  <si>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</si>
  <si>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</si>
  <si>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</si>
  <si>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</si>
  <si>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</si>
  <si>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</si>
  <si>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</si>
  <si>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</si>
  <si>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</si>
  <si>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</si>
  <si>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</si>
  <si>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</si>
  <si>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</si>
  <si>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</si>
  <si>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</si>
  <si>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</si>
  <si>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</si>
  <si>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</si>
  <si>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</si>
  <si>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</si>
  <si>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</si>
  <si>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</si>
  <si>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</si>
  <si>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</si>
  <si>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</si>
  <si>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</si>
  <si>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</si>
  <si>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</si>
  <si>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</si>
  <si>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</si>
  <si>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</si>
  <si>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</si>
  <si>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</si>
  <si>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</si>
  <si>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</si>
  <si>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</si>
  <si>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</si>
  <si>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</si>
  <si>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</si>
  <si>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</si>
  <si>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</si>
  <si>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</si>
  <si>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</si>
  <si>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</si>
  <si>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</si>
  <si>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</si>
  <si>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</si>
  <si>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</si>
  <si>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</si>
  <si>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</si>
  <si>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</si>
  <si>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</si>
  <si>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</si>
  <si>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</si>
  <si>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</si>
  <si>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</si>
  <si>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</si>
  <si>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</si>
  <si>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</si>
  <si>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</si>
  <si>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</si>
  <si>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</si>
  <si>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</si>
  <si>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</si>
  <si>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</si>
  <si>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</si>
  <si>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</si>
  <si>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</si>
  <si>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</si>
  <si>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</si>
  <si>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</si>
  <si>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</si>
  <si>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</si>
  <si>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</si>
  <si>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</si>
  <si>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</si>
  <si>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</si>
  <si>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</si>
  <si>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</si>
  <si>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</si>
  <si>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</si>
  <si>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</si>
  <si>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</si>
  <si>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</si>
  <si>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</si>
  <si>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</si>
  <si>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</si>
  <si>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</si>
  <si>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</si>
  <si>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</si>
  <si>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</si>
  <si>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</si>
  <si>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</si>
  <si>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</si>
  <si>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</si>
  <si>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</si>
  <si>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</si>
  <si>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</si>
  <si>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</si>
  <si>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</si>
  <si>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</si>
  <si>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</si>
  <si>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</si>
  <si>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</si>
  <si>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</si>
  <si>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</si>
  <si>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</si>
  <si>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</si>
  <si>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</si>
  <si>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</si>
  <si>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</si>
  <si>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</si>
  <si>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</si>
  <si>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</si>
  <si>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</si>
  <si>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</si>
  <si>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</si>
  <si>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</si>
  <si>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</si>
  <si>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</si>
  <si>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</si>
  <si>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</si>
  <si>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</si>
  <si>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</si>
  <si>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</si>
  <si>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</si>
  <si>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</si>
  <si>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</si>
  <si>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</si>
  <si>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</si>
  <si>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</si>
  <si>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</si>
  <si>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</si>
  <si>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</si>
  <si>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</si>
  <si>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</si>
  <si>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</si>
  <si>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</si>
  <si>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</si>
  <si>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</si>
  <si>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</si>
  <si>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</si>
  <si>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</si>
  <si>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</si>
  <si>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</si>
  <si>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</si>
  <si>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</si>
  <si>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</si>
  <si>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</si>
  <si>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</si>
  <si>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</si>
  <si>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</si>
  <si>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</si>
  <si>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</si>
  <si>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</si>
  <si>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</si>
  <si>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</si>
  <si>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</si>
  <si>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</si>
  <si>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</si>
  <si>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</si>
  <si>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</si>
  <si>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</si>
  <si>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</si>
  <si>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</si>
  <si>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</si>
  <si>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</si>
  <si>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</si>
  <si>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</si>
  <si>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</si>
  <si>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</si>
  <si>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</si>
  <si>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</si>
  <si>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</si>
  <si>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</si>
  <si>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</si>
  <si>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</si>
  <si>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</si>
  <si>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</si>
  <si>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</si>
  <si>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</si>
  <si>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</si>
  <si>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</si>
  <si>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</si>
  <si>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</si>
  <si>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</si>
  <si>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</si>
  <si>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</si>
  <si>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</si>
  <si>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</si>
  <si>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</si>
  <si>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</si>
  <si>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</si>
  <si>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</si>
  <si>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</si>
  <si>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</si>
  <si>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</si>
  <si>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</si>
  <si>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</si>
  <si>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</si>
  <si>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</si>
  <si>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</si>
  <si>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</si>
  <si>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</si>
  <si>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</si>
  <si>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</si>
  <si>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</si>
  <si>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</si>
  <si>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</si>
  <si>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</si>
  <si>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</si>
  <si>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</si>
  <si>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</si>
  <si>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</si>
  <si>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</si>
  <si>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</si>
  <si>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</si>
  <si>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</si>
  <si>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</si>
  <si>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</si>
  <si>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</si>
  <si>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</si>
  <si>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</si>
  <si>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</si>
  <si>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</si>
  <si>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</si>
  <si>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</si>
  <si>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</si>
  <si>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</si>
  <si>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</si>
  <si>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</si>
  <si>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</si>
  <si>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</si>
  <si>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</si>
  <si>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</si>
  <si>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</si>
  <si>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</si>
  <si>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</si>
  <si>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</si>
  <si>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</si>
  <si>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</si>
  <si>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</si>
  <si>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</si>
  <si>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</si>
  <si>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</si>
  <si>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</si>
  <si>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</si>
  <si>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</si>
  <si>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</si>
  <si>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</si>
  <si>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</si>
  <si>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</si>
  <si>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</si>
  <si>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</si>
  <si>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</si>
  <si>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</si>
  <si>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</si>
  <si>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</si>
  <si>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</si>
  <si>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</si>
  <si>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</si>
  <si>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</si>
  <si>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</si>
  <si>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</si>
  <si>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</si>
  <si>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</si>
  <si>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</si>
  <si>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</si>
  <si>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</si>
  <si>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</si>
  <si>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</si>
  <si>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</si>
  <si>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</si>
  <si>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</si>
  <si>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</si>
  <si>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</si>
  <si>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</si>
  <si>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</si>
  <si>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</si>
  <si>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</si>
  <si>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</si>
  <si>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</si>
  <si>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</si>
  <si>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</si>
  <si>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</si>
  <si>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</si>
  <si>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</si>
  <si>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</si>
  <si>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</si>
  <si>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</si>
  <si>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</si>
  <si>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</si>
  <si>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</si>
  <si>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</si>
  <si>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</si>
  <si>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</si>
  <si>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</si>
  <si>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</si>
  <si>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</si>
  <si>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</si>
  <si>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</si>
  <si>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</si>
  <si>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</si>
  <si>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</si>
  <si>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</si>
  <si>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</si>
  <si>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</si>
  <si>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</si>
  <si>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</si>
  <si>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</si>
  <si>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</si>
  <si>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</si>
  <si>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</si>
  <si>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</si>
  <si>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</si>
  <si>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need plate</t>
  </si>
  <si>
    <t>Taylor Way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</si>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</sst>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3" totalsRowShown="0" headerRowDxfId="43">
  <autoFilter ref="A1:V363" xr:uid="{4732A653-9976-4BC3-B1BB-3377C0BE5451}">
    <filterColumn colId="2">
      <filters>
        <filter val="Bant Boys"/>
      </filters>
    </filterColumn>
    <filterColumn colId="4">
      <filters>
        <filter val="Active"/>
        <filter val="Added Late"/>
      </filters>
    </filterColumn>
  </autoFilter>
  <sortState xmlns:xlrd2="http://schemas.microsoft.com/office/spreadsheetml/2017/richdata2" ref="A43:V345">
    <sortCondition ref="J1:J363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409</v>
      </c>
      <c r="E1" s="1" t="s">
        <v>32</v>
      </c>
      <c r="F1" s="1" t="s">
        <v>33</v>
      </c>
      <c r="H1" t="s">
        <v>425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426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427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428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438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11</v>
      </c>
      <c r="E9">
        <v>8</v>
      </c>
      <c r="F9">
        <v>65</v>
      </c>
    </row>
    <row r="10" spans="1:8" x14ac:dyDescent="0.4">
      <c r="A10" t="s">
        <v>398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399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20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16.454545454545453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tabSelected="1" zoomScaleNormal="100" workbookViewId="0">
      <pane xSplit="4" ySplit="1" topLeftCell="E9" activePane="bottomRight" state="frozen"/>
      <selection pane="topRight" activeCell="E1" sqref="E1"/>
      <selection pane="bottomLeft" activeCell="A2" sqref="A2"/>
      <selection pane="bottomRight" activeCell="E94" sqref="E94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customWidth="1"/>
    <col min="6" max="6" width="14.5" style="17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425</v>
      </c>
      <c r="F1" s="16" t="s">
        <v>421</v>
      </c>
      <c r="G1" s="2" t="s">
        <v>429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x14ac:dyDescent="0.4">
      <c r="A2" t="s">
        <v>244</v>
      </c>
      <c r="B2" t="s">
        <v>23</v>
      </c>
      <c r="C2" t="s">
        <v>7</v>
      </c>
      <c r="D2" s="3">
        <v>816</v>
      </c>
      <c r="E2" s="3" t="s">
        <v>426</v>
      </c>
      <c r="G2" s="3" t="s">
        <v>406</v>
      </c>
      <c r="H2" s="3">
        <v>5</v>
      </c>
      <c r="I2" s="3">
        <f>IF(H2="","",IF(H2="DNS",0,IF(H2="DQ",0,IF(H2="DNF",1,IF(AND(ISNUMBER(H2),H2&gt;59),1,_xlfn.XLOOKUP(H2,tbl_points[Place],tbl_points[Points],""))))))</f>
        <v>80</v>
      </c>
      <c r="J2" s="3">
        <v>1</v>
      </c>
      <c r="K2" s="3">
        <f>IF(J2="","",IF(J2="DNS",0,IF(J2="DQ",0,IF(J2="DNF",1,IF(AND(ISNUMBER(J2),J2&gt;59),1,_xlfn.XLOOKUP(J2,tbl_points[Place],tbl_points[Points],""))))))</f>
        <v>100</v>
      </c>
      <c r="M2" s="3" t="str">
        <f>IF(L2="","",IF(L2="DNS",0,IF(L2="DQ",0,IF(L2="DNF",1,IF(AND(ISNUMBER(L2),L2&gt;59),1,_xlfn.XLOOKUP(L2,tbl_points[Place],tbl_points[Points],""))))))</f>
        <v/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" s="3">
        <f>tbl_individual[[#This Row],[Total]]</f>
        <v>180</v>
      </c>
    </row>
    <row r="3" spans="1:22" x14ac:dyDescent="0.4">
      <c r="A3" t="s">
        <v>169</v>
      </c>
      <c r="B3" t="s">
        <v>17</v>
      </c>
      <c r="C3" t="s">
        <v>7</v>
      </c>
      <c r="D3" s="3">
        <v>837</v>
      </c>
      <c r="E3" s="3" t="s">
        <v>426</v>
      </c>
      <c r="G3" s="3" t="s">
        <v>406</v>
      </c>
      <c r="H3" s="3">
        <v>1</v>
      </c>
      <c r="I3" s="3">
        <f>IF(H3="","",IF(H3="DNS",0,IF(H3="DQ",0,IF(H3="DNF",1,IF(AND(ISNUMBER(H3),H3&gt;59),1,_xlfn.XLOOKUP(H3,tbl_points[Place],tbl_points[Points],""))))))</f>
        <v>100</v>
      </c>
      <c r="J3" s="3">
        <v>2</v>
      </c>
      <c r="K3" s="3">
        <f>IF(J3="","",IF(J3="DNS",0,IF(J3="DQ",0,IF(J3="DNF",1,IF(AND(ISNUMBER(J3),J3&gt;59),1,_xlfn.XLOOKUP(J3,tbl_points[Place],tbl_points[Points],""))))))</f>
        <v>95</v>
      </c>
      <c r="M3" s="3" t="str">
        <f>IF(L3="","",IF(L3="DNS",0,IF(L3="DQ",0,IF(L3="DNF",1,IF(AND(ISNUMBER(L3),L3&gt;59),1,_xlfn.XLOOKUP(L3,tbl_points[Place],tbl_points[Points],""))))))</f>
        <v/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3" s="3">
        <f>tbl_individual[[#This Row],[Total]]</f>
        <v>195</v>
      </c>
    </row>
    <row r="4" spans="1:22" x14ac:dyDescent="0.4">
      <c r="A4" t="s">
        <v>141</v>
      </c>
      <c r="B4" t="s">
        <v>15</v>
      </c>
      <c r="C4" t="s">
        <v>7</v>
      </c>
      <c r="D4" s="3">
        <v>8197</v>
      </c>
      <c r="E4" s="3" t="s">
        <v>426</v>
      </c>
      <c r="G4" s="3" t="s">
        <v>406</v>
      </c>
      <c r="H4" s="3">
        <v>11</v>
      </c>
      <c r="I4" s="3">
        <f>IF(H4="","",IF(H4="DNS",0,IF(H4="DQ",0,IF(H4="DNF",1,IF(AND(ISNUMBER(H4),H4&gt;59),1,_xlfn.XLOOKUP(H4,tbl_points[Place],tbl_points[Points],""))))))</f>
        <v>53</v>
      </c>
      <c r="J4" s="3">
        <v>3</v>
      </c>
      <c r="K4" s="3">
        <f>IF(J4="","",IF(J4="DNS",0,IF(J4="DQ",0,IF(J4="DNF",1,IF(AND(ISNUMBER(J4),J4&gt;59),1,_xlfn.XLOOKUP(J4,tbl_points[Place],tbl_points[Points],""))))))</f>
        <v>90</v>
      </c>
      <c r="M4" s="3" t="str">
        <f>IF(L4="","",IF(L4="DNS",0,IF(L4="DQ",0,IF(L4="DNF",1,IF(AND(ISNUMBER(L4),L4&gt;59),1,_xlfn.XLOOKUP(L4,tbl_points[Place],tbl_points[Points],""))))))</f>
        <v/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4" s="3">
        <f>tbl_individual[[#This Row],[Total]]</f>
        <v>143</v>
      </c>
    </row>
    <row r="5" spans="1:22" x14ac:dyDescent="0.4">
      <c r="A5" t="s">
        <v>356</v>
      </c>
      <c r="B5" t="s">
        <v>30</v>
      </c>
      <c r="C5" t="s">
        <v>7</v>
      </c>
      <c r="D5" s="3">
        <v>834</v>
      </c>
      <c r="E5" s="3" t="s">
        <v>426</v>
      </c>
      <c r="G5" s="3" t="s">
        <v>406</v>
      </c>
      <c r="H5" s="3" t="s">
        <v>413</v>
      </c>
      <c r="I5" s="3">
        <f>IF(H5="","",IF(H5="DNS",0,IF(H5="DQ",0,IF(H5="DNF",1,IF(AND(ISNUMBER(H5),H5&gt;59),1,_xlfn.XLOOKUP(H5,tbl_points[Place],tbl_points[Points],""))))))</f>
        <v>0</v>
      </c>
      <c r="J5" s="3">
        <v>4</v>
      </c>
      <c r="K5" s="3">
        <f>IF(J5="","",IF(J5="DNS",0,IF(J5="DQ",0,IF(J5="DNF",1,IF(AND(ISNUMBER(J5),J5&gt;59),1,_xlfn.XLOOKUP(J5,tbl_points[Place],tbl_points[Points],""))))))</f>
        <v>85</v>
      </c>
      <c r="M5" s="3" t="str">
        <f>IF(L5="","",IF(L5="DNS",0,IF(L5="DQ",0,IF(L5="DNF",1,IF(AND(ISNUMBER(L5),L5&gt;59),1,_xlfn.XLOOKUP(L5,tbl_points[Place],tbl_points[Points],""))))))</f>
        <v/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85</v>
      </c>
    </row>
    <row r="6" spans="1:22" x14ac:dyDescent="0.4">
      <c r="A6" t="s">
        <v>154</v>
      </c>
      <c r="B6" t="s">
        <v>16</v>
      </c>
      <c r="C6" t="s">
        <v>7</v>
      </c>
      <c r="D6" s="3">
        <v>804</v>
      </c>
      <c r="E6" s="3" t="s">
        <v>426</v>
      </c>
      <c r="G6" s="3" t="s">
        <v>406</v>
      </c>
      <c r="H6" s="3">
        <v>8</v>
      </c>
      <c r="I6" s="3">
        <f>IF(H6="","",IF(H6="DNS",0,IF(H6="DQ",0,IF(H6="DNF",1,IF(AND(ISNUMBER(H6),H6&gt;59),1,_xlfn.XLOOKUP(H6,tbl_points[Place],tbl_points[Points],""))))))</f>
        <v>65</v>
      </c>
      <c r="J6" s="3">
        <v>5</v>
      </c>
      <c r="K6" s="3">
        <f>IF(J6="","",IF(J6="DNS",0,IF(J6="DQ",0,IF(J6="DNF",1,IF(AND(ISNUMBER(J6),J6&gt;59),1,_xlfn.XLOOKUP(J6,tbl_points[Place],tbl_points[Points],""))))))</f>
        <v>80</v>
      </c>
      <c r="M6" s="3" t="str">
        <f>IF(L6="","",IF(L6="DNS",0,IF(L6="DQ",0,IF(L6="DNF",1,IF(AND(ISNUMBER(L6),L6&gt;59),1,_xlfn.XLOOKUP(L6,tbl_points[Place],tbl_points[Points],""))))))</f>
        <v/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6" s="3">
        <f>tbl_individual[[#This Row],[Total]]</f>
        <v>145</v>
      </c>
    </row>
    <row r="7" spans="1:22" x14ac:dyDescent="0.4">
      <c r="A7" t="s">
        <v>330</v>
      </c>
      <c r="B7" t="s">
        <v>28</v>
      </c>
      <c r="C7" t="s">
        <v>7</v>
      </c>
      <c r="D7" s="3">
        <v>826</v>
      </c>
      <c r="E7" s="3" t="s">
        <v>426</v>
      </c>
      <c r="G7" s="3" t="s">
        <v>406</v>
      </c>
      <c r="H7" s="3">
        <v>16</v>
      </c>
      <c r="I7" s="3">
        <f>IF(H7="","",IF(H7="DNS",0,IF(H7="DQ",0,IF(H7="DNF",1,IF(AND(ISNUMBER(H7),H7&gt;59),1,_xlfn.XLOOKUP(H7,tbl_points[Place],tbl_points[Points],""))))))</f>
        <v>44</v>
      </c>
      <c r="J7" s="3">
        <v>6</v>
      </c>
      <c r="K7" s="3">
        <f>IF(J7="","",IF(J7="DNS",0,IF(J7="DQ",0,IF(J7="DNF",1,IF(AND(ISNUMBER(J7),J7&gt;59),1,_xlfn.XLOOKUP(J7,tbl_points[Place],tbl_points[Points],""))))))</f>
        <v>75</v>
      </c>
      <c r="M7" s="3" t="str">
        <f>IF(L7="","",IF(L7="DNS",0,IF(L7="DQ",0,IF(L7="DNF",1,IF(AND(ISNUMBER(L7),L7&gt;59),1,_xlfn.XLOOKUP(L7,tbl_points[Place],tbl_points[Points],""))))))</f>
        <v/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119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7" s="3">
        <f>tbl_individual[[#This Row],[Total]]</f>
        <v>119</v>
      </c>
    </row>
    <row r="8" spans="1:22" x14ac:dyDescent="0.4">
      <c r="A8" t="s">
        <v>351</v>
      </c>
      <c r="B8" t="s">
        <v>29</v>
      </c>
      <c r="C8" t="s">
        <v>7</v>
      </c>
      <c r="D8" s="3">
        <v>832</v>
      </c>
      <c r="E8" s="3" t="s">
        <v>426</v>
      </c>
      <c r="G8" s="3" t="s">
        <v>406</v>
      </c>
      <c r="H8" s="3">
        <v>7</v>
      </c>
      <c r="I8" s="3">
        <f>IF(H8="","",IF(H8="DNS",0,IF(H8="DQ",0,IF(H8="DNF",1,IF(AND(ISNUMBER(H8),H8&gt;59),1,_xlfn.XLOOKUP(H8,tbl_points[Place],tbl_points[Points],""))))))</f>
        <v>70</v>
      </c>
      <c r="J8" s="3">
        <v>7</v>
      </c>
      <c r="K8" s="3">
        <f>IF(J8="","",IF(J8="DNS",0,IF(J8="DQ",0,IF(J8="DNF",1,IF(AND(ISNUMBER(J8),J8&gt;59),1,_xlfn.XLOOKUP(J8,tbl_points[Place],tbl_points[Points],""))))))</f>
        <v>70</v>
      </c>
      <c r="M8" s="3" t="str">
        <f>IF(L8="","",IF(L8="DNS",0,IF(L8="DQ",0,IF(L8="DNF",1,IF(AND(ISNUMBER(L8),L8&gt;59),1,_xlfn.XLOOKUP(L8,tbl_points[Place],tbl_points[Points],""))))))</f>
        <v/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8" s="3">
        <f>tbl_individual[[#This Row],[Total]]</f>
        <v>140</v>
      </c>
    </row>
    <row r="9" spans="1:22" x14ac:dyDescent="0.4">
      <c r="A9" t="s">
        <v>235</v>
      </c>
      <c r="B9" t="s">
        <v>22</v>
      </c>
      <c r="C9" t="s">
        <v>7</v>
      </c>
      <c r="D9" s="3">
        <v>813</v>
      </c>
      <c r="E9" s="3" t="s">
        <v>426</v>
      </c>
      <c r="G9" s="3" t="s">
        <v>406</v>
      </c>
      <c r="H9" s="3" t="s">
        <v>413</v>
      </c>
      <c r="I9" s="3">
        <f>IF(H9="","",IF(H9="DNS",0,IF(H9="DQ",0,IF(H9="DNF",1,IF(AND(ISNUMBER(H9),H9&gt;59),1,_xlfn.XLOOKUP(H9,tbl_points[Place],tbl_points[Points],""))))))</f>
        <v>0</v>
      </c>
      <c r="J9" s="3">
        <v>8</v>
      </c>
      <c r="K9" s="3">
        <f>IF(J9="","",IF(J9="DNS",0,IF(J9="DQ",0,IF(J9="DNF",1,IF(AND(ISNUMBER(J9),J9&gt;59),1,_xlfn.XLOOKUP(J9,tbl_points[Place],tbl_points[Points],""))))))</f>
        <v>65</v>
      </c>
      <c r="M9" s="3" t="str">
        <f>IF(L9="","",IF(L9="DNS",0,IF(L9="DQ",0,IF(L9="DNF",1,IF(AND(ISNUMBER(L9),L9&gt;59),1,_xlfn.XLOOKUP(L9,tbl_points[Place],tbl_points[Points],""))))))</f>
        <v/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65</v>
      </c>
    </row>
    <row r="10" spans="1:22" x14ac:dyDescent="0.4">
      <c r="A10" t="s">
        <v>170</v>
      </c>
      <c r="B10" t="s">
        <v>17</v>
      </c>
      <c r="C10" t="s">
        <v>7</v>
      </c>
      <c r="D10" s="3">
        <v>838</v>
      </c>
      <c r="E10" s="3" t="s">
        <v>426</v>
      </c>
      <c r="G10" s="3" t="s">
        <v>406</v>
      </c>
      <c r="H10" s="3">
        <v>2</v>
      </c>
      <c r="I10" s="3">
        <f>IF(H10="","",IF(H10="DNS",0,IF(H10="DQ",0,IF(H10="DNF",1,IF(AND(ISNUMBER(H10),H10&gt;59),1,_xlfn.XLOOKUP(H10,tbl_points[Place],tbl_points[Points],""))))))</f>
        <v>95</v>
      </c>
      <c r="J10" s="3">
        <v>9</v>
      </c>
      <c r="K10" s="3">
        <f>IF(J10="","",IF(J10="DNS",0,IF(J10="DQ",0,IF(J10="DNF",1,IF(AND(ISNUMBER(J10),J10&gt;59),1,_xlfn.XLOOKUP(J10,tbl_points[Place],tbl_points[Points],""))))))</f>
        <v>60</v>
      </c>
      <c r="M10" s="3" t="str">
        <f>IF(L10="","",IF(L10="DNS",0,IF(L10="DQ",0,IF(L10="DNF",1,IF(AND(ISNUMBER(L10),L10&gt;59),1,_xlfn.XLOOKUP(L10,tbl_points[Place],tbl_points[Points],""))))))</f>
        <v/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0" s="3">
        <f>tbl_individual[[#This Row],[Total]]</f>
        <v>155</v>
      </c>
    </row>
    <row r="11" spans="1:22" x14ac:dyDescent="0.4">
      <c r="A11" t="s">
        <v>382</v>
      </c>
      <c r="B11" t="s">
        <v>31</v>
      </c>
      <c r="C11" t="s">
        <v>7</v>
      </c>
      <c r="D11" s="3">
        <v>8084</v>
      </c>
      <c r="E11" s="3" t="s">
        <v>426</v>
      </c>
      <c r="G11" s="3" t="s">
        <v>406</v>
      </c>
      <c r="H11" s="3" t="s">
        <v>413</v>
      </c>
      <c r="I11" s="3">
        <f>IF(H11="","",IF(H11="DNS",0,IF(H11="DQ",0,IF(H11="DNF",1,IF(AND(ISNUMBER(H11),H11&gt;59),1,_xlfn.XLOOKUP(H11,tbl_points[Place],tbl_points[Points],""))))))</f>
        <v>0</v>
      </c>
      <c r="J11" s="3">
        <v>9</v>
      </c>
      <c r="K11" s="3">
        <f>IF(J11="","",IF(J11="DNS",0,IF(J11="DQ",0,IF(J11="DNF",1,IF(AND(ISNUMBER(J11),J11&gt;59),1,_xlfn.XLOOKUP(J11,tbl_points[Place],tbl_points[Points],""))))))</f>
        <v>60</v>
      </c>
      <c r="M11" s="3" t="str">
        <f>IF(L11="","",IF(L11="DNS",0,IF(L11="DQ",0,IF(L11="DNF",1,IF(AND(ISNUMBER(L11),L11&gt;59),1,_xlfn.XLOOKUP(L11,tbl_points[Place],tbl_points[Points],""))))))</f>
        <v/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" s="3">
        <f>tbl_individual[[#This Row],[Total]]</f>
        <v>60</v>
      </c>
    </row>
    <row r="12" spans="1:22" hidden="1" x14ac:dyDescent="0.4">
      <c r="A12" s="11" t="s">
        <v>92</v>
      </c>
      <c r="B12" s="11" t="s">
        <v>10</v>
      </c>
      <c r="C12" s="11" t="s">
        <v>3</v>
      </c>
      <c r="D12" s="15">
        <v>10065</v>
      </c>
      <c r="E12" s="3" t="s">
        <v>438</v>
      </c>
      <c r="F12" s="17" t="s">
        <v>442</v>
      </c>
      <c r="K12" s="3" t="str">
        <f>IF(J12="","",IF(J12="DNS",0,IF(J12="DQ",0,IF(J12="DNF",1,IF(AND(ISNUMBER(J12),J12&gt;59),1,_xlfn.XLOOKUP(J12,tbl_points[Place],tbl_points[Points],""))))))</f>
        <v/>
      </c>
      <c r="M12" s="3" t="str">
        <f>IF(L12="","",IF(L12="DNS",0,IF(L12="DQ",0,IF(L12="DNF",1,IF(AND(ISNUMBER(L12),L12&gt;59),1,_xlfn.XLOOKUP(L12,tbl_points[Place],tbl_points[Points],""))))))</f>
        <v/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0</v>
      </c>
    </row>
    <row r="13" spans="1:22" hidden="1" x14ac:dyDescent="0.4">
      <c r="A13" t="s">
        <v>91</v>
      </c>
      <c r="B13" t="s">
        <v>10</v>
      </c>
      <c r="C13" t="s">
        <v>3</v>
      </c>
      <c r="D13" s="3">
        <v>10150</v>
      </c>
      <c r="E13" s="3" t="s">
        <v>426</v>
      </c>
      <c r="G13" s="3" t="s">
        <v>410</v>
      </c>
      <c r="H13" s="3">
        <v>8</v>
      </c>
      <c r="I13" s="3">
        <f>IF(H13="","",IF(H13="DNS",0,IF(H13="DQ",0,IF(H13="DNF",1,IF(AND(ISNUMBER(H13),H13&gt;59),1,_xlfn.XLOOKUP(H13,tbl_points[Place],tbl_points[Points],""))))))</f>
        <v>65</v>
      </c>
      <c r="J13" s="3" t="s">
        <v>413</v>
      </c>
      <c r="K13" s="3">
        <f>IF(J13="","",IF(J13="DNS",0,IF(J13="DQ",0,IF(J13="DNF",1,IF(AND(ISNUMBER(J13),J13&gt;59),1,_xlfn.XLOOKUP(J13,tbl_points[Place],tbl_points[Points],""))))))</f>
        <v>0</v>
      </c>
      <c r="M13" s="3" t="str">
        <f>IF(L13="","",IF(L13="DNS",0,IF(L13="DQ",0,IF(L13="DNF",1,IF(AND(ISNUMBER(L13),L13&gt;59),1,_xlfn.XLOOKUP(L13,tbl_points[Place],tbl_points[Points],""))))))</f>
        <v/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" s="3">
        <f>tbl_individual[[#This Row],[Total]]</f>
        <v>65</v>
      </c>
    </row>
    <row r="14" spans="1:22" hidden="1" x14ac:dyDescent="0.4">
      <c r="A14" t="s">
        <v>150</v>
      </c>
      <c r="B14" t="s">
        <v>15</v>
      </c>
      <c r="C14" t="s">
        <v>3</v>
      </c>
      <c r="D14" s="3">
        <v>10160</v>
      </c>
      <c r="E14" s="3" t="s">
        <v>426</v>
      </c>
      <c r="G14" s="3" t="s">
        <v>406</v>
      </c>
      <c r="H14" s="3" t="s">
        <v>412</v>
      </c>
      <c r="I14" s="3">
        <f>IF(H14="","",IF(H14="DNS",0,IF(H14="DQ",0,IF(H14="DNF",1,IF(AND(ISNUMBER(H14),H14&gt;59),1,_xlfn.XLOOKUP(H14,tbl_points[Place],tbl_points[Points],""))))))</f>
        <v>1</v>
      </c>
      <c r="J14" s="3" t="s">
        <v>413</v>
      </c>
      <c r="K14" s="3">
        <f>IF(J14="","",IF(J14="DNS",0,IF(J14="DQ",0,IF(J14="DNF",1,IF(AND(ISNUMBER(J14),J14&gt;59),1,_xlfn.XLOOKUP(J14,tbl_points[Place],tbl_points[Points],""))))))</f>
        <v>0</v>
      </c>
      <c r="M14" s="3" t="str">
        <f>IF(L14="","",IF(L14="DNS",0,IF(L14="DQ",0,IF(L14="DNF",1,IF(AND(ISNUMBER(L14),L14&gt;59),1,_xlfn.XLOOKUP(L14,tbl_points[Place],tbl_points[Points],""))))))</f>
        <v/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</v>
      </c>
    </row>
    <row r="15" spans="1:22" hidden="1" x14ac:dyDescent="0.4">
      <c r="A15" t="s">
        <v>178</v>
      </c>
      <c r="B15" t="s">
        <v>19</v>
      </c>
      <c r="C15" t="s">
        <v>3</v>
      </c>
      <c r="D15" s="3">
        <v>10163</v>
      </c>
      <c r="E15" s="3" t="s">
        <v>426</v>
      </c>
      <c r="G15" s="3" t="s">
        <v>410</v>
      </c>
      <c r="H15" s="3" t="s">
        <v>413</v>
      </c>
      <c r="I15" s="3">
        <f>IF(H15="","",IF(H15="DNS",0,IF(H15="DQ",0,IF(H15="DNF",1,IF(AND(ISNUMBER(H15),H15&gt;59),1,_xlfn.XLOOKUP(H15,tbl_points[Place],tbl_points[Points],""))))))</f>
        <v>0</v>
      </c>
      <c r="J15" s="3" t="s">
        <v>413</v>
      </c>
      <c r="K15" s="3">
        <f>IF(J15="","",IF(J15="DNS",0,IF(J15="DQ",0,IF(J15="DNF",1,IF(AND(ISNUMBER(J15),J15&gt;59),1,_xlfn.XLOOKUP(J15,tbl_points[Place],tbl_points[Points],""))))))</f>
        <v>0</v>
      </c>
      <c r="M15" s="3" t="str">
        <f>IF(L15="","",IF(L15="DNS",0,IF(L15="DQ",0,IF(L15="DNF",1,IF(AND(ISNUMBER(L15),L15&gt;59),1,_xlfn.XLOOKUP(L15,tbl_points[Place],tbl_points[Points],""))))))</f>
        <v/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" s="3">
        <f>tbl_individual[[#This Row],[Total]]</f>
        <v>0</v>
      </c>
    </row>
    <row r="16" spans="1:22" hidden="1" x14ac:dyDescent="0.4">
      <c r="A16" t="s">
        <v>179</v>
      </c>
      <c r="B16" t="s">
        <v>19</v>
      </c>
      <c r="C16" t="s">
        <v>3</v>
      </c>
      <c r="D16" s="3">
        <v>10164</v>
      </c>
      <c r="E16" s="3" t="s">
        <v>426</v>
      </c>
      <c r="G16" s="3" t="s">
        <v>410</v>
      </c>
      <c r="H16" s="3" t="s">
        <v>413</v>
      </c>
      <c r="I16" s="3">
        <f>IF(H16="","",IF(H16="DNS",0,IF(H16="DQ",0,IF(H16="DNF",1,IF(AND(ISNUMBER(H16),H16&gt;59),1,_xlfn.XLOOKUP(H16,tbl_points[Place],tbl_points[Points],""))))))</f>
        <v>0</v>
      </c>
      <c r="J16" s="3" t="s">
        <v>413</v>
      </c>
      <c r="K16" s="3">
        <f>IF(J16="","",IF(J16="DNS",0,IF(J16="DQ",0,IF(J16="DNF",1,IF(AND(ISNUMBER(J16),J16&gt;59),1,_xlfn.XLOOKUP(J16,tbl_points[Place],tbl_points[Points],""))))))</f>
        <v>0</v>
      </c>
      <c r="M16" s="3" t="str">
        <f>IF(L16="","",IF(L16="DNS",0,IF(L16="DQ",0,IF(L16="DNF",1,IF(AND(ISNUMBER(L16),L16&gt;59),1,_xlfn.XLOOKUP(L16,tbl_points[Place],tbl_points[Points],""))))))</f>
        <v/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" s="3">
        <f>tbl_individual[[#This Row],[Total]]</f>
        <v>0</v>
      </c>
    </row>
    <row r="17" spans="1:22" hidden="1" x14ac:dyDescent="0.4">
      <c r="A17" t="s">
        <v>190</v>
      </c>
      <c r="B17" t="s">
        <v>20</v>
      </c>
      <c r="C17" t="s">
        <v>3</v>
      </c>
      <c r="D17" s="3">
        <v>10165</v>
      </c>
      <c r="E17" s="3" t="s">
        <v>426</v>
      </c>
      <c r="G17" s="3" t="s">
        <v>406</v>
      </c>
      <c r="H17" s="3">
        <v>21</v>
      </c>
      <c r="I17" s="3">
        <f>IF(H17="","",IF(H17="DNS",0,IF(H17="DQ",0,IF(H17="DNF",1,IF(AND(ISNUMBER(H17),H17&gt;59),1,_xlfn.XLOOKUP(H17,tbl_points[Place],tbl_points[Points],""))))))</f>
        <v>39</v>
      </c>
      <c r="J17" s="3" t="s">
        <v>413</v>
      </c>
      <c r="K17" s="3">
        <f>IF(J17="","",IF(J17="DNS",0,IF(J17="DQ",0,IF(J17="DNF",1,IF(AND(ISNUMBER(J17),J17&gt;59),1,_xlfn.XLOOKUP(J17,tbl_points[Place],tbl_points[Points],""))))))</f>
        <v>0</v>
      </c>
      <c r="M17" s="3" t="str">
        <f>IF(L17="","",IF(L17="DNS",0,IF(L17="DQ",0,IF(L17="DNF",1,IF(AND(ISNUMBER(L17),L17&gt;59),1,_xlfn.XLOOKUP(L17,tbl_points[Place],tbl_points[Points],""))))))</f>
        <v/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" s="3">
        <f>tbl_individual[[#This Row],[Total]]</f>
        <v>39</v>
      </c>
    </row>
    <row r="18" spans="1:22" hidden="1" x14ac:dyDescent="0.4">
      <c r="A18" t="s">
        <v>259</v>
      </c>
      <c r="B18" t="s">
        <v>23</v>
      </c>
      <c r="C18" t="s">
        <v>3</v>
      </c>
      <c r="D18" s="3">
        <v>10182</v>
      </c>
      <c r="E18" s="3" t="s">
        <v>426</v>
      </c>
      <c r="G18" s="3" t="s">
        <v>410</v>
      </c>
      <c r="H18" s="3" t="s">
        <v>413</v>
      </c>
      <c r="I18" s="3">
        <f>IF(H18="","",IF(H18="DNS",0,IF(H18="DQ",0,IF(H18="DNF",1,IF(AND(ISNUMBER(H18),H18&gt;59),1,_xlfn.XLOOKUP(H18,tbl_points[Place],tbl_points[Points],""))))))</f>
        <v>0</v>
      </c>
      <c r="J18" s="3" t="s">
        <v>413</v>
      </c>
      <c r="K18" s="3">
        <f>IF(J18="","",IF(J18="DNS",0,IF(J18="DQ",0,IF(J18="DNF",1,IF(AND(ISNUMBER(J18),J18&gt;59),1,_xlfn.XLOOKUP(J18,tbl_points[Place],tbl_points[Points],""))))))</f>
        <v>0</v>
      </c>
      <c r="M18" s="3" t="str">
        <f>IF(L18="","",IF(L18="DNS",0,IF(L18="DQ",0,IF(L18="DNF",1,IF(AND(ISNUMBER(L18),L18&gt;59),1,_xlfn.XLOOKUP(L18,tbl_points[Place],tbl_points[Points],""))))))</f>
        <v/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" s="3">
        <f>tbl_individual[[#This Row],[Total]]</f>
        <v>0</v>
      </c>
    </row>
    <row r="19" spans="1:22" hidden="1" x14ac:dyDescent="0.4">
      <c r="A19" t="s">
        <v>307</v>
      </c>
      <c r="B19" t="s">
        <v>26</v>
      </c>
      <c r="C19" t="s">
        <v>3</v>
      </c>
      <c r="D19" s="3">
        <v>10190</v>
      </c>
      <c r="E19" s="3" t="s">
        <v>426</v>
      </c>
      <c r="G19" s="3" t="s">
        <v>406</v>
      </c>
      <c r="H19" s="3" t="s">
        <v>413</v>
      </c>
      <c r="I19" s="3">
        <f>IF(H19="","",IF(H19="DNS",0,IF(H19="DQ",0,IF(H19="DNF",1,IF(AND(ISNUMBER(H19),H19&gt;59),1,_xlfn.XLOOKUP(H19,tbl_points[Place],tbl_points[Points],""))))))</f>
        <v>0</v>
      </c>
      <c r="J19" s="3" t="s">
        <v>413</v>
      </c>
      <c r="K19" s="3">
        <f>IF(J19="","",IF(J19="DNS",0,IF(J19="DQ",0,IF(J19="DNF",1,IF(AND(ISNUMBER(J19),J19&gt;59),1,_xlfn.XLOOKUP(J19,tbl_points[Place],tbl_points[Points],""))))))</f>
        <v>0</v>
      </c>
      <c r="M19" s="3" t="str">
        <f>IF(L19="","",IF(L19="DNS",0,IF(L19="DQ",0,IF(L19="DNF",1,IF(AND(ISNUMBER(L19),L19&gt;59),1,_xlfn.XLOOKUP(L19,tbl_points[Place],tbl_points[Points],""))))))</f>
        <v/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" s="3">
        <f>tbl_individual[[#This Row],[Total]]</f>
        <v>0</v>
      </c>
    </row>
    <row r="20" spans="1:22" hidden="1" x14ac:dyDescent="0.4">
      <c r="A20" t="s">
        <v>340</v>
      </c>
      <c r="B20" t="s">
        <v>28</v>
      </c>
      <c r="C20" t="s">
        <v>3</v>
      </c>
      <c r="D20" s="3">
        <v>10192</v>
      </c>
      <c r="E20" s="3" t="s">
        <v>426</v>
      </c>
      <c r="G20" s="3" t="s">
        <v>406</v>
      </c>
      <c r="H20" s="3" t="s">
        <v>413</v>
      </c>
      <c r="I20" s="3">
        <f>IF(H20="","",IF(H20="DNS",0,IF(H20="DQ",0,IF(H20="DNF",1,IF(AND(ISNUMBER(H20),H20&gt;59),1,_xlfn.XLOOKUP(H20,tbl_points[Place],tbl_points[Points],""))))))</f>
        <v>0</v>
      </c>
      <c r="J20" s="3" t="s">
        <v>413</v>
      </c>
      <c r="K20" s="3">
        <f>IF(J20="","",IF(J20="DNS",0,IF(J20="DQ",0,IF(J20="DNF",1,IF(AND(ISNUMBER(J20),J20&gt;59),1,_xlfn.XLOOKUP(J20,tbl_points[Place],tbl_points[Points],""))))))</f>
        <v>0</v>
      </c>
      <c r="M20" s="3" t="str">
        <f>IF(L20="","",IF(L20="DNS",0,IF(L20="DQ",0,IF(L20="DNF",1,IF(AND(ISNUMBER(L20),L20&gt;59),1,_xlfn.XLOOKUP(L20,tbl_points[Place],tbl_points[Points],""))))))</f>
        <v/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" s="3">
        <f>tbl_individual[[#This Row],[Total]]</f>
        <v>0</v>
      </c>
    </row>
    <row r="21" spans="1:22" hidden="1" x14ac:dyDescent="0.4">
      <c r="A21" t="s">
        <v>369</v>
      </c>
      <c r="B21" t="s">
        <v>30</v>
      </c>
      <c r="C21" t="s">
        <v>3</v>
      </c>
      <c r="D21" s="3">
        <v>10195</v>
      </c>
      <c r="E21" s="3" t="s">
        <v>426</v>
      </c>
      <c r="G21" s="3" t="s">
        <v>406</v>
      </c>
      <c r="H21" s="3" t="s">
        <v>413</v>
      </c>
      <c r="I21" s="3">
        <f>IF(H21="","",IF(H21="DNS",0,IF(H21="DQ",0,IF(H21="DNF",1,IF(AND(ISNUMBER(H21),H21&gt;59),1,_xlfn.XLOOKUP(H21,tbl_points[Place],tbl_points[Points],""))))))</f>
        <v>0</v>
      </c>
      <c r="J21" s="3" t="s">
        <v>413</v>
      </c>
      <c r="K21" s="3">
        <f>IF(J21="","",IF(J21="DNS",0,IF(J21="DQ",0,IF(J21="DNF",1,IF(AND(ISNUMBER(J21),J21&gt;59),1,_xlfn.XLOOKUP(J21,tbl_points[Place],tbl_points[Points],""))))))</f>
        <v>0</v>
      </c>
      <c r="M21" s="3" t="str">
        <f>IF(L21="","",IF(L21="DNS",0,IF(L21="DQ",0,IF(L21="DNF",1,IF(AND(ISNUMBER(L21),L21&gt;59),1,_xlfn.XLOOKUP(L21,tbl_points[Place],tbl_points[Points],""))))))</f>
        <v/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0</v>
      </c>
    </row>
    <row r="22" spans="1:22" hidden="1" x14ac:dyDescent="0.4">
      <c r="A22" t="s">
        <v>404</v>
      </c>
      <c r="B22" t="s">
        <v>10</v>
      </c>
      <c r="C22" t="s">
        <v>3</v>
      </c>
      <c r="D22" s="3">
        <v>10198</v>
      </c>
      <c r="E22" s="3" t="s">
        <v>426</v>
      </c>
      <c r="G22" s="3" t="s">
        <v>406</v>
      </c>
      <c r="H22" s="3" t="s">
        <v>413</v>
      </c>
      <c r="I22" s="3">
        <f>IF(H22="","",IF(H22="DNS",0,IF(H22="DQ",0,IF(H22="DNF",1,IF(AND(ISNUMBER(H22),H22&gt;59),1,_xlfn.XLOOKUP(H22,tbl_points[Place],tbl_points[Points],""))))))</f>
        <v>0</v>
      </c>
      <c r="J22" s="3" t="s">
        <v>413</v>
      </c>
      <c r="K22" s="3">
        <f>IF(J22="","",IF(J22="DNS",0,IF(J22="DQ",0,IF(J22="DNF",1,IF(AND(ISNUMBER(J22),J22&gt;59),1,_xlfn.XLOOKUP(J22,tbl_points[Place],tbl_points[Points],""))))))</f>
        <v>0</v>
      </c>
      <c r="M22" s="3" t="str">
        <f>IF(L22="","",IF(L22="DNS",0,IF(L22="DQ",0,IF(L22="DNF",1,IF(AND(ISNUMBER(L22),L22&gt;59),1,_xlfn.XLOOKUP(L22,tbl_points[Place],tbl_points[Points],""))))))</f>
        <v/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" s="3">
        <f>tbl_individual[[#This Row],[Total]]</f>
        <v>0</v>
      </c>
    </row>
    <row r="23" spans="1:22" hidden="1" x14ac:dyDescent="0.4">
      <c r="A23" t="s">
        <v>372</v>
      </c>
      <c r="B23" t="s">
        <v>30</v>
      </c>
      <c r="C23" t="s">
        <v>3</v>
      </c>
      <c r="D23" s="3">
        <v>10199</v>
      </c>
      <c r="E23" s="3" t="s">
        <v>426</v>
      </c>
      <c r="G23" s="3" t="s">
        <v>406</v>
      </c>
      <c r="H23" s="3" t="s">
        <v>413</v>
      </c>
      <c r="I23" s="3">
        <f>IF(H23="","",IF(H23="DNS",0,IF(H23="DQ",0,IF(H23="DNF",1,IF(AND(ISNUMBER(H23),H23&gt;59),1,_xlfn.XLOOKUP(H23,tbl_points[Place],tbl_points[Points],""))))))</f>
        <v>0</v>
      </c>
      <c r="J23" s="3" t="s">
        <v>413</v>
      </c>
      <c r="K23" s="3">
        <f>IF(J23="","",IF(J23="DNS",0,IF(J23="DQ",0,IF(J23="DNF",1,IF(AND(ISNUMBER(J23),J23&gt;59),1,_xlfn.XLOOKUP(J23,tbl_points[Place],tbl_points[Points],""))))))</f>
        <v>0</v>
      </c>
      <c r="M23" s="3" t="str">
        <f>IF(L23="","",IF(L23="DNS",0,IF(L23="DQ",0,IF(L23="DNF",1,IF(AND(ISNUMBER(L23),L23&gt;59),1,_xlfn.XLOOKUP(L23,tbl_points[Place],tbl_points[Points],""))))))</f>
        <v/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" s="3">
        <f>tbl_individual[[#This Row],[Total]]</f>
        <v>0</v>
      </c>
    </row>
    <row r="24" spans="1:22" hidden="1" x14ac:dyDescent="0.4">
      <c r="A24" t="s">
        <v>386</v>
      </c>
      <c r="B24" t="s">
        <v>31</v>
      </c>
      <c r="C24" t="s">
        <v>3</v>
      </c>
      <c r="D24" s="3">
        <v>10202</v>
      </c>
      <c r="E24" s="3" t="s">
        <v>426</v>
      </c>
      <c r="G24" s="3" t="s">
        <v>406</v>
      </c>
      <c r="H24" s="3">
        <v>30</v>
      </c>
      <c r="I24" s="3">
        <f>IF(H24="","",IF(H24="DNS",0,IF(H24="DQ",0,IF(H24="DNF",1,IF(AND(ISNUMBER(H24),H24&gt;59),1,_xlfn.XLOOKUP(H24,tbl_points[Place],tbl_points[Points],""))))))</f>
        <v>30</v>
      </c>
      <c r="J24" s="3" t="s">
        <v>413</v>
      </c>
      <c r="K24" s="3">
        <f>IF(J24="","",IF(J24="DNS",0,IF(J24="DQ",0,IF(J24="DNF",1,IF(AND(ISNUMBER(J24),J24&gt;59),1,_xlfn.XLOOKUP(J24,tbl_points[Place],tbl_points[Points],""))))))</f>
        <v>0</v>
      </c>
      <c r="M24" s="3" t="str">
        <f>IF(L24="","",IF(L24="DNS",0,IF(L24="DQ",0,IF(L24="DNF",1,IF(AND(ISNUMBER(L24),L24&gt;59),1,_xlfn.XLOOKUP(L24,tbl_points[Place],tbl_points[Points],""))))))</f>
        <v/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" s="3">
        <f>tbl_individual[[#This Row],[Total]]</f>
        <v>30</v>
      </c>
    </row>
    <row r="25" spans="1:22" hidden="1" x14ac:dyDescent="0.4">
      <c r="A25" t="s">
        <v>78</v>
      </c>
      <c r="B25" t="s">
        <v>10</v>
      </c>
      <c r="C25" t="s">
        <v>4</v>
      </c>
      <c r="D25" s="3">
        <v>1019</v>
      </c>
      <c r="E25" s="3" t="s">
        <v>426</v>
      </c>
      <c r="G25" s="3" t="s">
        <v>410</v>
      </c>
      <c r="H25" s="3" t="s">
        <v>413</v>
      </c>
      <c r="I25" s="3">
        <f>IF(H25="","",IF(H25="DNS",0,IF(H25="DQ",0,IF(H25="DNF",1,IF(AND(ISNUMBER(H25),H25&gt;59),1,_xlfn.XLOOKUP(H25,tbl_points[Place],tbl_points[Points],""))))))</f>
        <v>0</v>
      </c>
      <c r="J25" s="3" t="s">
        <v>413</v>
      </c>
      <c r="K25" s="3">
        <f>IF(J25="","",IF(J25="DNS",0,IF(J25="DQ",0,IF(J25="DNF",1,IF(AND(ISNUMBER(J25),J25&gt;59),1,_xlfn.XLOOKUP(J25,tbl_points[Place],tbl_points[Points],""))))))</f>
        <v>0</v>
      </c>
      <c r="M25" s="3" t="str">
        <f>IF(L25="","",IF(L25="DNS",0,IF(L25="DQ",0,IF(L25="DNF",1,IF(AND(ISNUMBER(L25),L25&gt;59),1,_xlfn.XLOOKUP(L25,tbl_points[Place],tbl_points[Points],""))))))</f>
        <v/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0</v>
      </c>
    </row>
    <row r="26" spans="1:22" hidden="1" x14ac:dyDescent="0.4">
      <c r="A26" t="s">
        <v>79</v>
      </c>
      <c r="B26" t="s">
        <v>10</v>
      </c>
      <c r="C26" t="s">
        <v>4</v>
      </c>
      <c r="D26" s="3">
        <v>1020</v>
      </c>
      <c r="E26" s="3" t="s">
        <v>426</v>
      </c>
      <c r="G26" s="3" t="s">
        <v>406</v>
      </c>
      <c r="H26" s="3">
        <v>10</v>
      </c>
      <c r="I26" s="3">
        <f>IF(H26="","",IF(H26="DNS",0,IF(H26="DQ",0,IF(H26="DNF",1,IF(AND(ISNUMBER(H26),H26&gt;59),1,_xlfn.XLOOKUP(H26,tbl_points[Place],tbl_points[Points],""))))))</f>
        <v>55</v>
      </c>
      <c r="J26" s="3">
        <v>7</v>
      </c>
      <c r="K26" s="3">
        <f>IF(J26="","",IF(J26="DNS",0,IF(J26="DQ",0,IF(J26="DNF",1,IF(AND(ISNUMBER(J26),J26&gt;59),1,_xlfn.XLOOKUP(J26,tbl_points[Place],tbl_points[Points],""))))))</f>
        <v>70</v>
      </c>
      <c r="M26" s="3" t="str">
        <f>IF(L26="","",IF(L26="DNS",0,IF(L26="DQ",0,IF(L26="DNF",1,IF(AND(ISNUMBER(L26),L26&gt;59),1,_xlfn.XLOOKUP(L26,tbl_points[Place],tbl_points[Points],""))))))</f>
        <v/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6" s="3">
        <f>tbl_individual[[#This Row],[Total]]</f>
        <v>125</v>
      </c>
    </row>
    <row r="27" spans="1:22" hidden="1" x14ac:dyDescent="0.4">
      <c r="A27" t="s">
        <v>80</v>
      </c>
      <c r="B27" t="s">
        <v>10</v>
      </c>
      <c r="C27" t="s">
        <v>4</v>
      </c>
      <c r="D27" s="3">
        <v>1027</v>
      </c>
      <c r="E27" s="3" t="s">
        <v>426</v>
      </c>
      <c r="G27" s="3" t="s">
        <v>406</v>
      </c>
      <c r="H27" s="3">
        <v>9</v>
      </c>
      <c r="I27" s="3">
        <f>IF(H27="","",IF(H27="DNS",0,IF(H27="DQ",0,IF(H27="DNF",1,IF(AND(ISNUMBER(H27),H27&gt;59),1,_xlfn.XLOOKUP(H27,tbl_points[Place],tbl_points[Points],""))))))</f>
        <v>60</v>
      </c>
      <c r="J27" s="3">
        <v>8</v>
      </c>
      <c r="K27" s="3">
        <f>IF(J27="","",IF(J27="DNS",0,IF(J27="DQ",0,IF(J27="DNF",1,IF(AND(ISNUMBER(J27),J27&gt;59),1,_xlfn.XLOOKUP(J27,tbl_points[Place],tbl_points[Points],""))))))</f>
        <v>65</v>
      </c>
      <c r="M27" s="3" t="str">
        <f>IF(L27="","",IF(L27="DNS",0,IF(L27="DQ",0,IF(L27="DNF",1,IF(AND(ISNUMBER(L27),L27&gt;59),1,_xlfn.XLOOKUP(L27,tbl_points[Place],tbl_points[Points],""))))))</f>
        <v/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7" s="3">
        <f>tbl_individual[[#This Row],[Total]]</f>
        <v>125</v>
      </c>
    </row>
    <row r="28" spans="1:22" hidden="1" x14ac:dyDescent="0.4">
      <c r="A28" t="s">
        <v>81</v>
      </c>
      <c r="B28" t="s">
        <v>10</v>
      </c>
      <c r="C28" t="s">
        <v>4</v>
      </c>
      <c r="D28" s="3">
        <v>1028</v>
      </c>
      <c r="E28" s="3" t="s">
        <v>426</v>
      </c>
      <c r="G28" s="3" t="s">
        <v>406</v>
      </c>
      <c r="H28" s="3" t="s">
        <v>413</v>
      </c>
      <c r="I28" s="3">
        <f>IF(H28="","",IF(H28="DNS",0,IF(H28="DQ",0,IF(H28="DNF",1,IF(AND(ISNUMBER(H28),H28&gt;59),1,_xlfn.XLOOKUP(H28,tbl_points[Place],tbl_points[Points],""))))))</f>
        <v>0</v>
      </c>
      <c r="J28" s="3">
        <v>6</v>
      </c>
      <c r="K28" s="3">
        <f>IF(J28="","",IF(J28="DNS",0,IF(J28="DQ",0,IF(J28="DNF",1,IF(AND(ISNUMBER(J28),J28&gt;59),1,_xlfn.XLOOKUP(J28,tbl_points[Place],tbl_points[Points],""))))))</f>
        <v>75</v>
      </c>
      <c r="M28" s="3" t="str">
        <f>IF(L28="","",IF(L28="DNS",0,IF(L28="DQ",0,IF(L28="DNF",1,IF(AND(ISNUMBER(L28),L28&gt;59),1,_xlfn.XLOOKUP(L28,tbl_points[Place],tbl_points[Points],""))))))</f>
        <v/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" s="3">
        <f>tbl_individual[[#This Row],[Total]]</f>
        <v>75</v>
      </c>
    </row>
    <row r="29" spans="1:22" hidden="1" x14ac:dyDescent="0.4">
      <c r="A29" t="s">
        <v>82</v>
      </c>
      <c r="B29" t="s">
        <v>10</v>
      </c>
      <c r="C29" t="s">
        <v>4</v>
      </c>
      <c r="D29" s="3">
        <v>1029</v>
      </c>
      <c r="E29" s="3" t="s">
        <v>426</v>
      </c>
      <c r="G29" s="3" t="s">
        <v>406</v>
      </c>
      <c r="H29" s="3">
        <v>8</v>
      </c>
      <c r="I29" s="3">
        <f>IF(H29="","",IF(H29="DNS",0,IF(H29="DQ",0,IF(H29="DNF",1,IF(AND(ISNUMBER(H29),H29&gt;59),1,_xlfn.XLOOKUP(H29,tbl_points[Place],tbl_points[Points],""))))))</f>
        <v>65</v>
      </c>
      <c r="J29" s="3">
        <v>9</v>
      </c>
      <c r="K29" s="3">
        <f>IF(J29="","",IF(J29="DNS",0,IF(J29="DQ",0,IF(J29="DNF",1,IF(AND(ISNUMBER(J29),J29&gt;59),1,_xlfn.XLOOKUP(J29,tbl_points[Place],tbl_points[Points],""))))))</f>
        <v>60</v>
      </c>
      <c r="M29" s="3" t="str">
        <f>IF(L29="","",IF(L29="DNS",0,IF(L29="DQ",0,IF(L29="DNF",1,IF(AND(ISNUMBER(L29),L29&gt;59),1,_xlfn.XLOOKUP(L29,tbl_points[Place],tbl_points[Points],""))))))</f>
        <v/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9" s="3">
        <f>tbl_individual[[#This Row],[Total]]</f>
        <v>125</v>
      </c>
    </row>
    <row r="30" spans="1:22" hidden="1" x14ac:dyDescent="0.4">
      <c r="A30" t="s">
        <v>83</v>
      </c>
      <c r="B30" t="s">
        <v>10</v>
      </c>
      <c r="C30" t="s">
        <v>4</v>
      </c>
      <c r="D30" s="3">
        <v>1030</v>
      </c>
      <c r="E30" s="3" t="s">
        <v>426</v>
      </c>
      <c r="G30" s="3" t="s">
        <v>406</v>
      </c>
      <c r="H30" s="3">
        <v>5</v>
      </c>
      <c r="I30" s="3">
        <f>IF(H30="","",IF(H30="DNS",0,IF(H30="DQ",0,IF(H30="DNF",1,IF(AND(ISNUMBER(H30),H30&gt;59),1,_xlfn.XLOOKUP(H30,tbl_points[Place],tbl_points[Points],""))))))</f>
        <v>80</v>
      </c>
      <c r="J30" s="3">
        <v>10</v>
      </c>
      <c r="K30" s="3">
        <f>IF(J30="","",IF(J30="DNS",0,IF(J30="DQ",0,IF(J30="DNF",1,IF(AND(ISNUMBER(J30),J30&gt;59),1,_xlfn.XLOOKUP(J30,tbl_points[Place],tbl_points[Points],""))))))</f>
        <v>55</v>
      </c>
      <c r="M30" s="3" t="str">
        <f>IF(L30="","",IF(L30="DNS",0,IF(L30="DQ",0,IF(L30="DNF",1,IF(AND(ISNUMBER(L30),L30&gt;59),1,_xlfn.XLOOKUP(L30,tbl_points[Place],tbl_points[Points],""))))))</f>
        <v/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0" s="3">
        <f>tbl_individual[[#This Row],[Total]]</f>
        <v>135</v>
      </c>
    </row>
    <row r="31" spans="1:22" hidden="1" x14ac:dyDescent="0.4">
      <c r="A31" t="s">
        <v>76</v>
      </c>
      <c r="B31" t="s">
        <v>10</v>
      </c>
      <c r="C31" t="s">
        <v>5</v>
      </c>
      <c r="D31" s="3">
        <v>909</v>
      </c>
      <c r="E31" s="3" t="s">
        <v>426</v>
      </c>
      <c r="G31" s="3" t="s">
        <v>406</v>
      </c>
      <c r="H31" s="3">
        <v>1</v>
      </c>
      <c r="I31" s="3">
        <f>IF(H31="","",IF(H31="DNS",0,IF(H31="DQ",0,IF(H31="DNF",1,IF(AND(ISNUMBER(H31),H31&gt;59),1,_xlfn.XLOOKUP(H31,tbl_points[Place],tbl_points[Points],""))))))</f>
        <v>100</v>
      </c>
      <c r="J31" s="3">
        <v>1</v>
      </c>
      <c r="K31" s="3">
        <f>IF(J31="","",IF(J31="DNS",0,IF(J31="DQ",0,IF(J31="DNF",1,IF(AND(ISNUMBER(J31),J31&gt;59),1,_xlfn.XLOOKUP(J31,tbl_points[Place],tbl_points[Points],""))))))</f>
        <v>100</v>
      </c>
      <c r="M31" s="3" t="str">
        <f>IF(L31="","",IF(L31="DNS",0,IF(L31="DQ",0,IF(L31="DNF",1,IF(AND(ISNUMBER(L31),L31&gt;59),1,_xlfn.XLOOKUP(L31,tbl_points[Place],tbl_points[Points],""))))))</f>
        <v/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1" s="3">
        <f>tbl_individual[[#This Row],[Total]]</f>
        <v>200</v>
      </c>
    </row>
    <row r="32" spans="1:22" hidden="1" x14ac:dyDescent="0.4">
      <c r="A32" t="s">
        <v>168</v>
      </c>
      <c r="B32" t="s">
        <v>17</v>
      </c>
      <c r="C32" t="s">
        <v>5</v>
      </c>
      <c r="D32" s="3">
        <v>959</v>
      </c>
      <c r="E32" s="3" t="s">
        <v>426</v>
      </c>
      <c r="G32" s="3" t="s">
        <v>406</v>
      </c>
      <c r="H32" s="3">
        <v>6</v>
      </c>
      <c r="I32" s="3">
        <f>IF(H32="","",IF(H32="DNS",0,IF(H32="DQ",0,IF(H32="DNF",1,IF(AND(ISNUMBER(H32),H32&gt;59),1,_xlfn.XLOOKUP(H32,tbl_points[Place],tbl_points[Points],""))))))</f>
        <v>75</v>
      </c>
      <c r="J32" s="3">
        <v>2</v>
      </c>
      <c r="K32" s="3">
        <f>IF(J32="","",IF(J32="DNS",0,IF(J32="DQ",0,IF(J32="DNF",1,IF(AND(ISNUMBER(J32),J32&gt;59),1,_xlfn.XLOOKUP(J32,tbl_points[Place],tbl_points[Points],""))))))</f>
        <v>95</v>
      </c>
      <c r="M32" s="3" t="str">
        <f>IF(L32="","",IF(L32="DNS",0,IF(L32="DQ",0,IF(L32="DNF",1,IF(AND(ISNUMBER(L32),L32&gt;59),1,_xlfn.XLOOKUP(L32,tbl_points[Place],tbl_points[Points],""))))))</f>
        <v/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2" s="3">
        <f>tbl_individual[[#This Row],[Total]]</f>
        <v>170</v>
      </c>
    </row>
    <row r="33" spans="1:22" hidden="1" x14ac:dyDescent="0.4">
      <c r="A33" t="s">
        <v>72</v>
      </c>
      <c r="B33" t="s">
        <v>10</v>
      </c>
      <c r="C33" t="s">
        <v>5</v>
      </c>
      <c r="D33" s="3">
        <v>905</v>
      </c>
      <c r="E33" s="3" t="s">
        <v>426</v>
      </c>
      <c r="G33" s="3" t="s">
        <v>406</v>
      </c>
      <c r="H33" s="3">
        <v>3</v>
      </c>
      <c r="I33" s="3">
        <f>IF(H33="","",IF(H33="DNS",0,IF(H33="DQ",0,IF(H33="DNF",1,IF(AND(ISNUMBER(H33),H33&gt;59),1,_xlfn.XLOOKUP(H33,tbl_points[Place],tbl_points[Points],""))))))</f>
        <v>90</v>
      </c>
      <c r="J33" s="3">
        <v>3</v>
      </c>
      <c r="K33" s="3">
        <f>IF(J33="","",IF(J33="DNS",0,IF(J33="DQ",0,IF(J33="DNF",1,IF(AND(ISNUMBER(J33),J33&gt;59),1,_xlfn.XLOOKUP(J33,tbl_points[Place],tbl_points[Points],""))))))</f>
        <v>90</v>
      </c>
      <c r="M33" s="3" t="str">
        <f>IF(L33="","",IF(L33="DNS",0,IF(L33="DQ",0,IF(L33="DNF",1,IF(AND(ISNUMBER(L33),L33&gt;59),1,_xlfn.XLOOKUP(L33,tbl_points[Place],tbl_points[Points],""))))))</f>
        <v/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33" s="3">
        <f>tbl_individual[[#This Row],[Total]]</f>
        <v>180</v>
      </c>
    </row>
    <row r="34" spans="1:22" hidden="1" x14ac:dyDescent="0.4">
      <c r="A34" t="s">
        <v>291</v>
      </c>
      <c r="B34" t="s">
        <v>25</v>
      </c>
      <c r="C34" t="s">
        <v>5</v>
      </c>
      <c r="D34" s="3">
        <v>934</v>
      </c>
      <c r="E34" s="3" t="s">
        <v>426</v>
      </c>
      <c r="G34" s="3" t="s">
        <v>406</v>
      </c>
      <c r="H34" s="3">
        <v>8</v>
      </c>
      <c r="I34" s="3">
        <f>IF(H34="","",IF(H34="DNS",0,IF(H34="DQ",0,IF(H34="DNF",1,IF(AND(ISNUMBER(H34),H34&gt;59),1,_xlfn.XLOOKUP(H34,tbl_points[Place],tbl_points[Points],""))))))</f>
        <v>65</v>
      </c>
      <c r="J34" s="3">
        <v>4</v>
      </c>
      <c r="K34" s="3">
        <f>IF(J34="","",IF(J34="DNS",0,IF(J34="DQ",0,IF(J34="DNF",1,IF(AND(ISNUMBER(J34),J34&gt;59),1,_xlfn.XLOOKUP(J34,tbl_points[Place],tbl_points[Points],""))))))</f>
        <v>85</v>
      </c>
      <c r="M34" s="3" t="str">
        <f>IF(L34="","",IF(L34="DNS",0,IF(L34="DQ",0,IF(L34="DNF",1,IF(AND(ISNUMBER(L34),L34&gt;59),1,_xlfn.XLOOKUP(L34,tbl_points[Place],tbl_points[Points],""))))))</f>
        <v/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4" s="3">
        <f>tbl_individual[[#This Row],[Total]]</f>
        <v>150</v>
      </c>
    </row>
    <row r="35" spans="1:22" hidden="1" x14ac:dyDescent="0.4">
      <c r="A35" t="s">
        <v>415</v>
      </c>
      <c r="B35" t="s">
        <v>10</v>
      </c>
      <c r="C35" t="s">
        <v>5</v>
      </c>
      <c r="D35" s="3">
        <v>960</v>
      </c>
      <c r="E35" s="3" t="s">
        <v>426</v>
      </c>
      <c r="G35" s="3" t="s">
        <v>410</v>
      </c>
      <c r="H35" s="3">
        <v>13</v>
      </c>
      <c r="I35" s="3">
        <f>IF(H35="","",IF(H35="DNS",0,IF(H35="DQ",0,IF(H35="DNF",1,IF(AND(ISNUMBER(H35),H35&gt;59),1,_xlfn.XLOOKUP(H35,tbl_points[Place],tbl_points[Points],""))))))</f>
        <v>49</v>
      </c>
      <c r="J35" s="3">
        <v>5</v>
      </c>
      <c r="K35" s="3">
        <f>IF(J35="","",IF(J35="DNS",0,IF(J35="DQ",0,IF(J35="DNF",1,IF(AND(ISNUMBER(J35),J35&gt;59),1,_xlfn.XLOOKUP(J35,tbl_points[Place],tbl_points[Points],""))))))</f>
        <v>80</v>
      </c>
      <c r="M35" s="3" t="str">
        <f>IF(L35="","",IF(L35="DNS",0,IF(L35="DQ",0,IF(L35="DNF",1,IF(AND(ISNUMBER(L35),L35&gt;59),1,_xlfn.XLOOKUP(L35,tbl_points[Place],tbl_points[Points],""))))))</f>
        <v/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5" s="3">
        <f>tbl_individual[[#This Row],[Total]]</f>
        <v>129</v>
      </c>
    </row>
    <row r="36" spans="1:22" hidden="1" x14ac:dyDescent="0.4">
      <c r="A36" t="s">
        <v>70</v>
      </c>
      <c r="B36" t="s">
        <v>10</v>
      </c>
      <c r="C36" t="s">
        <v>5</v>
      </c>
      <c r="D36" s="3">
        <v>903</v>
      </c>
      <c r="E36" s="3" t="s">
        <v>426</v>
      </c>
      <c r="G36" s="3" t="s">
        <v>406</v>
      </c>
      <c r="H36" s="3">
        <v>11</v>
      </c>
      <c r="I36" s="3">
        <f>IF(H36="","",IF(H36="DNS",0,IF(H36="DQ",0,IF(H36="DNF",1,IF(AND(ISNUMBER(H36),H36&gt;59),1,_xlfn.XLOOKUP(H36,tbl_points[Place],tbl_points[Points],""))))))</f>
        <v>53</v>
      </c>
      <c r="J36" s="3">
        <v>6</v>
      </c>
      <c r="K36" s="3">
        <f>IF(J36="","",IF(J36="DNS",0,IF(J36="DQ",0,IF(J36="DNF",1,IF(AND(ISNUMBER(J36),J36&gt;59),1,_xlfn.XLOOKUP(J36,tbl_points[Place],tbl_points[Points],""))))))</f>
        <v>75</v>
      </c>
      <c r="M36" s="3" t="str">
        <f>IF(L36="","",IF(L36="DNS",0,IF(L36="DQ",0,IF(L36="DNF",1,IF(AND(ISNUMBER(L36),L36&gt;59),1,_xlfn.XLOOKUP(L36,tbl_points[Place],tbl_points[Points],""))))))</f>
        <v/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128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6" s="3">
        <f>tbl_individual[[#This Row],[Total]]</f>
        <v>128</v>
      </c>
    </row>
    <row r="37" spans="1:22" hidden="1" x14ac:dyDescent="0.4">
      <c r="A37" t="s">
        <v>290</v>
      </c>
      <c r="B37" t="s">
        <v>25</v>
      </c>
      <c r="C37" t="s">
        <v>5</v>
      </c>
      <c r="D37" s="3">
        <v>933</v>
      </c>
      <c r="E37" s="3" t="s">
        <v>426</v>
      </c>
      <c r="G37" s="3" t="s">
        <v>406</v>
      </c>
      <c r="H37" s="3">
        <v>7</v>
      </c>
      <c r="I37" s="3">
        <f>IF(H37="","",IF(H37="DNS",0,IF(H37="DQ",0,IF(H37="DNF",1,IF(AND(ISNUMBER(H37),H37&gt;59),1,_xlfn.XLOOKUP(H37,tbl_points[Place],tbl_points[Points],""))))))</f>
        <v>70</v>
      </c>
      <c r="J37" s="3">
        <v>7</v>
      </c>
      <c r="K37" s="3">
        <f>IF(J37="","",IF(J37="DNS",0,IF(J37="DQ",0,IF(J37="DNF",1,IF(AND(ISNUMBER(J37),J37&gt;59),1,_xlfn.XLOOKUP(J37,tbl_points[Place],tbl_points[Points],""))))))</f>
        <v>70</v>
      </c>
      <c r="M37" s="3" t="str">
        <f>IF(L37="","",IF(L37="DNS",0,IF(L37="DQ",0,IF(L37="DNF",1,IF(AND(ISNUMBER(L37),L37&gt;59),1,_xlfn.XLOOKUP(L37,tbl_points[Place],tbl_points[Points],""))))))</f>
        <v/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7" s="3">
        <f>tbl_individual[[#This Row],[Total]]</f>
        <v>140</v>
      </c>
    </row>
    <row r="38" spans="1:22" hidden="1" x14ac:dyDescent="0.4">
      <c r="A38" t="s">
        <v>157</v>
      </c>
      <c r="B38" t="s">
        <v>16</v>
      </c>
      <c r="C38" t="s">
        <v>5</v>
      </c>
      <c r="D38" s="3">
        <v>916</v>
      </c>
      <c r="E38" s="3" t="s">
        <v>426</v>
      </c>
      <c r="G38" s="3" t="s">
        <v>406</v>
      </c>
      <c r="H38" s="3">
        <v>20</v>
      </c>
      <c r="I38" s="3">
        <f>IF(H38="","",IF(H38="DNS",0,IF(H38="DQ",0,IF(H38="DNF",1,IF(AND(ISNUMBER(H38),H38&gt;59),1,_xlfn.XLOOKUP(H38,tbl_points[Place],tbl_points[Points],""))))))</f>
        <v>40</v>
      </c>
      <c r="J38" s="3">
        <v>8</v>
      </c>
      <c r="K38" s="3">
        <f>IF(J38="","",IF(J38="DNS",0,IF(J38="DQ",0,IF(J38="DNF",1,IF(AND(ISNUMBER(J38),J38&gt;59),1,_xlfn.XLOOKUP(J38,tbl_points[Place],tbl_points[Points],""))))))</f>
        <v>65</v>
      </c>
      <c r="M38" s="3" t="str">
        <f>IF(L38="","",IF(L38="DNS",0,IF(L38="DQ",0,IF(L38="DNF",1,IF(AND(ISNUMBER(L38),L38&gt;59),1,_xlfn.XLOOKUP(L38,tbl_points[Place],tbl_points[Points],""))))))</f>
        <v/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38" s="3">
        <f>tbl_individual[[#This Row],[Total]]</f>
        <v>105</v>
      </c>
    </row>
    <row r="39" spans="1:22" hidden="1" x14ac:dyDescent="0.4">
      <c r="A39" t="s">
        <v>166</v>
      </c>
      <c r="B39" t="s">
        <v>17</v>
      </c>
      <c r="C39" t="s">
        <v>5</v>
      </c>
      <c r="D39" s="3">
        <v>956</v>
      </c>
      <c r="E39" s="3" t="s">
        <v>426</v>
      </c>
      <c r="G39" s="3" t="s">
        <v>406</v>
      </c>
      <c r="H39" s="3" t="s">
        <v>413</v>
      </c>
      <c r="I39" s="3">
        <f>IF(H39="","",IF(H39="DNS",0,IF(H39="DQ",0,IF(H39="DNF",1,IF(AND(ISNUMBER(H39),H39&gt;59),1,_xlfn.XLOOKUP(H39,tbl_points[Place],tbl_points[Points],""))))))</f>
        <v>0</v>
      </c>
      <c r="J39" s="3">
        <v>9</v>
      </c>
      <c r="K39" s="3">
        <f>IF(J39="","",IF(J39="DNS",0,IF(J39="DQ",0,IF(J39="DNF",1,IF(AND(ISNUMBER(J39),J39&gt;59),1,_xlfn.XLOOKUP(J39,tbl_points[Place],tbl_points[Points],""))))))</f>
        <v>60</v>
      </c>
      <c r="M39" s="3" t="str">
        <f>IF(L39="","",IF(L39="DNS",0,IF(L39="DQ",0,IF(L39="DNF",1,IF(AND(ISNUMBER(L39),L39&gt;59),1,_xlfn.XLOOKUP(L39,tbl_points[Place],tbl_points[Points],""))))))</f>
        <v/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</f>
        <v>60</v>
      </c>
    </row>
    <row r="40" spans="1:22" hidden="1" x14ac:dyDescent="0.4">
      <c r="A40" t="s">
        <v>252</v>
      </c>
      <c r="B40" t="s">
        <v>23</v>
      </c>
      <c r="C40" t="s">
        <v>5</v>
      </c>
      <c r="D40" s="3">
        <v>927</v>
      </c>
      <c r="E40" s="3" t="s">
        <v>426</v>
      </c>
      <c r="G40" s="3" t="s">
        <v>406</v>
      </c>
      <c r="H40" s="3" t="s">
        <v>413</v>
      </c>
      <c r="I40" s="3">
        <f>IF(H40="","",IF(H40="DNS",0,IF(H40="DQ",0,IF(H40="DNF",1,IF(AND(ISNUMBER(H40),H40&gt;59),1,_xlfn.XLOOKUP(H40,tbl_points[Place],tbl_points[Points],""))))))</f>
        <v>0</v>
      </c>
      <c r="J40" s="3">
        <v>10</v>
      </c>
      <c r="K40" s="3">
        <f>IF(J40="","",IF(J40="DNS",0,IF(J40="DQ",0,IF(J40="DNF",1,IF(AND(ISNUMBER(J40),J40&gt;59),1,_xlfn.XLOOKUP(J40,tbl_points[Place],tbl_points[Points],""))))))</f>
        <v>55</v>
      </c>
      <c r="M40" s="3" t="str">
        <f>IF(L40="","",IF(L40="DNS",0,IF(L40="DQ",0,IF(L40="DNF",1,IF(AND(ISNUMBER(L40),L40&gt;59),1,_xlfn.XLOOKUP(L40,tbl_points[Place],tbl_points[Points],""))))))</f>
        <v/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55</v>
      </c>
    </row>
    <row r="41" spans="1:22" hidden="1" x14ac:dyDescent="0.4">
      <c r="A41" t="s">
        <v>158</v>
      </c>
      <c r="B41" t="s">
        <v>16</v>
      </c>
      <c r="C41" t="s">
        <v>5</v>
      </c>
      <c r="D41" s="3">
        <v>917</v>
      </c>
      <c r="E41" s="3" t="s">
        <v>426</v>
      </c>
      <c r="G41" s="3" t="s">
        <v>406</v>
      </c>
      <c r="H41" s="3">
        <v>4</v>
      </c>
      <c r="I41" s="3">
        <f>IF(H41="","",IF(H41="DNS",0,IF(H41="DQ",0,IF(H41="DNF",1,IF(AND(ISNUMBER(H41),H41&gt;59),1,_xlfn.XLOOKUP(H41,tbl_points[Place],tbl_points[Points],""))))))</f>
        <v>85</v>
      </c>
      <c r="J41" s="3">
        <v>11</v>
      </c>
      <c r="K41" s="3">
        <f>IF(J41="","",IF(J41="DNS",0,IF(J41="DQ",0,IF(J41="DNF",1,IF(AND(ISNUMBER(J41),J41&gt;59),1,_xlfn.XLOOKUP(J41,tbl_points[Place],tbl_points[Points],""))))))</f>
        <v>53</v>
      </c>
      <c r="M41" s="3" t="str">
        <f>IF(L41="","",IF(L41="DNS",0,IF(L41="DQ",0,IF(L41="DNF",1,IF(AND(ISNUMBER(L41),L41&gt;59),1,_xlfn.XLOOKUP(L41,tbl_points[Place],tbl_points[Points],""))))))</f>
        <v/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41" s="3">
        <f>tbl_individual[[#This Row],[Total]]</f>
        <v>138</v>
      </c>
    </row>
    <row r="42" spans="1:22" hidden="1" x14ac:dyDescent="0.4">
      <c r="A42" t="s">
        <v>295</v>
      </c>
      <c r="B42" t="s">
        <v>25</v>
      </c>
      <c r="C42" t="s">
        <v>5</v>
      </c>
      <c r="D42" s="3">
        <v>938</v>
      </c>
      <c r="E42" s="3" t="s">
        <v>426</v>
      </c>
      <c r="G42" s="3" t="s">
        <v>406</v>
      </c>
      <c r="H42" s="3">
        <v>5</v>
      </c>
      <c r="I42" s="3">
        <f>IF(H42="","",IF(H42="DNS",0,IF(H42="DQ",0,IF(H42="DNF",1,IF(AND(ISNUMBER(H42),H42&gt;59),1,_xlfn.XLOOKUP(H42,tbl_points[Place],tbl_points[Points],""))))))</f>
        <v>80</v>
      </c>
      <c r="J42" s="3">
        <v>12</v>
      </c>
      <c r="K42" s="3">
        <f>IF(J42="","",IF(J42="DNS",0,IF(J42="DQ",0,IF(J42="DNF",1,IF(AND(ISNUMBER(J42),J42&gt;59),1,_xlfn.XLOOKUP(J42,tbl_points[Place],tbl_points[Points],""))))))</f>
        <v>51</v>
      </c>
      <c r="M42" s="3" t="str">
        <f>IF(L42="","",IF(L42="DNS",0,IF(L42="DQ",0,IF(L42="DNF",1,IF(AND(ISNUMBER(L42),L42&gt;59),1,_xlfn.XLOOKUP(L42,tbl_points[Place],tbl_points[Points],""))))))</f>
        <v/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42" s="3">
        <f>tbl_individual[[#This Row],[Total]]</f>
        <v>131</v>
      </c>
    </row>
    <row r="43" spans="1:22" hidden="1" x14ac:dyDescent="0.4">
      <c r="A43" t="s">
        <v>361</v>
      </c>
      <c r="B43" t="s">
        <v>30</v>
      </c>
      <c r="C43" t="s">
        <v>6</v>
      </c>
      <c r="D43" s="3">
        <v>933</v>
      </c>
      <c r="E43" s="3" t="s">
        <v>426</v>
      </c>
      <c r="G43" s="3" t="s">
        <v>406</v>
      </c>
      <c r="H43" s="3">
        <v>1</v>
      </c>
      <c r="I43" s="3">
        <f>IF(H43="","",IF(H43="DNS",0,IF(H43="DQ",0,IF(H43="DNF",1,IF(AND(ISNUMBER(H43),H43&gt;59),1,_xlfn.XLOOKUP(H43,tbl_points[Place],tbl_points[Points],""))))))</f>
        <v>100</v>
      </c>
      <c r="J43" s="3">
        <v>1</v>
      </c>
      <c r="K43" s="3">
        <f>IF(J43="","",IF(J43="DNS",0,IF(J43="DQ",0,IF(J43="DNF",1,IF(AND(ISNUMBER(J43),J43&gt;59),1,_xlfn.XLOOKUP(J43,tbl_points[Place],tbl_points[Points],""))))))</f>
        <v>100</v>
      </c>
      <c r="M43" s="3" t="str">
        <f>IF(L43="","",IF(L43="DNS",0,IF(L43="DQ",0,IF(L43="DNF",1,IF(AND(ISNUMBER(L43),L43&gt;59),1,_xlfn.XLOOKUP(L43,tbl_points[Place],tbl_points[Points],""))))))</f>
        <v/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43" s="3">
        <f>tbl_individual[[#This Row],[Total]]</f>
        <v>200</v>
      </c>
    </row>
    <row r="44" spans="1:22" hidden="1" x14ac:dyDescent="0.4">
      <c r="A44" t="s">
        <v>159</v>
      </c>
      <c r="B44" t="s">
        <v>16</v>
      </c>
      <c r="C44" t="s">
        <v>6</v>
      </c>
      <c r="D44" s="3">
        <v>925</v>
      </c>
      <c r="E44" s="3" t="s">
        <v>426</v>
      </c>
      <c r="G44" s="3" t="s">
        <v>406</v>
      </c>
      <c r="H44" s="3">
        <v>5</v>
      </c>
      <c r="I44" s="3">
        <f>IF(H44="","",IF(H44="DNS",0,IF(H44="DQ",0,IF(H44="DNF",1,IF(AND(ISNUMBER(H44),H44&gt;59),1,_xlfn.XLOOKUP(H44,tbl_points[Place],tbl_points[Points],""))))))</f>
        <v>80</v>
      </c>
      <c r="J44" s="3">
        <v>2</v>
      </c>
      <c r="K44" s="3">
        <f>IF(J44="","",IF(J44="DNS",0,IF(J44="DQ",0,IF(J44="DNF",1,IF(AND(ISNUMBER(J44),J44&gt;59),1,_xlfn.XLOOKUP(J44,tbl_points[Place],tbl_points[Points],""))))))</f>
        <v>95</v>
      </c>
      <c r="M44" s="3" t="str">
        <f>IF(L44="","",IF(L44="DNS",0,IF(L44="DQ",0,IF(L44="DNF",1,IF(AND(ISNUMBER(L44),L44&gt;59),1,_xlfn.XLOOKUP(L44,tbl_points[Place],tbl_points[Points],""))))))</f>
        <v/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44" s="3">
        <f>tbl_individual[[#This Row],[Total]]</f>
        <v>175</v>
      </c>
    </row>
    <row r="45" spans="1:22" hidden="1" x14ac:dyDescent="0.4">
      <c r="A45" t="s">
        <v>163</v>
      </c>
      <c r="B45" t="s">
        <v>17</v>
      </c>
      <c r="C45" t="s">
        <v>6</v>
      </c>
      <c r="D45" s="3">
        <v>937</v>
      </c>
      <c r="E45" s="3" t="s">
        <v>426</v>
      </c>
      <c r="G45" s="3" t="s">
        <v>406</v>
      </c>
      <c r="H45" s="3">
        <v>7</v>
      </c>
      <c r="I45" s="3">
        <f>IF(H45="","",IF(H45="DNS",0,IF(H45="DQ",0,IF(H45="DNF",1,IF(AND(ISNUMBER(H45),H45&gt;59),1,_xlfn.XLOOKUP(H45,tbl_points[Place],tbl_points[Points],""))))))</f>
        <v>70</v>
      </c>
      <c r="J45" s="3">
        <v>3</v>
      </c>
      <c r="K45" s="3">
        <f>IF(J45="","",IF(J45="DNS",0,IF(J45="DQ",0,IF(J45="DNF",1,IF(AND(ISNUMBER(J45),J45&gt;59),1,_xlfn.XLOOKUP(J45,tbl_points[Place],tbl_points[Points],""))))))</f>
        <v>90</v>
      </c>
      <c r="M45" s="3" t="str">
        <f>IF(L45="","",IF(L45="DNS",0,IF(L45="DQ",0,IF(L45="DNF",1,IF(AND(ISNUMBER(L45),L45&gt;59),1,_xlfn.XLOOKUP(L45,tbl_points[Place],tbl_points[Points],""))))))</f>
        <v/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45" s="3">
        <f>tbl_individual[[#This Row],[Total]]</f>
        <v>160</v>
      </c>
    </row>
    <row r="46" spans="1:22" hidden="1" x14ac:dyDescent="0.4">
      <c r="A46" t="s">
        <v>360</v>
      </c>
      <c r="B46" t="s">
        <v>30</v>
      </c>
      <c r="C46" t="s">
        <v>6</v>
      </c>
      <c r="D46" s="3">
        <v>932</v>
      </c>
      <c r="E46" s="3" t="s">
        <v>426</v>
      </c>
      <c r="G46" s="3" t="s">
        <v>406</v>
      </c>
      <c r="H46" s="3" t="s">
        <v>413</v>
      </c>
      <c r="I46" s="3">
        <f>IF(H46="","",IF(H46="DNS",0,IF(H46="DQ",0,IF(H46="DNF",1,IF(AND(ISNUMBER(H46),H46&gt;59),1,_xlfn.XLOOKUP(H46,tbl_points[Place],tbl_points[Points],""))))))</f>
        <v>0</v>
      </c>
      <c r="J46" s="3">
        <v>4</v>
      </c>
      <c r="K46" s="3">
        <f>IF(J46="","",IF(J46="DNS",0,IF(J46="DQ",0,IF(J46="DNF",1,IF(AND(ISNUMBER(J46),J46&gt;59),1,_xlfn.XLOOKUP(J46,tbl_points[Place],tbl_points[Points],""))))))</f>
        <v>85</v>
      </c>
      <c r="M46" s="3" t="str">
        <f>IF(L46="","",IF(L46="DNS",0,IF(L46="DQ",0,IF(L46="DNF",1,IF(AND(ISNUMBER(L46),L46&gt;59),1,_xlfn.XLOOKUP(L46,tbl_points[Place],tbl_points[Points],""))))))</f>
        <v/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85</v>
      </c>
    </row>
    <row r="47" spans="1:22" hidden="1" x14ac:dyDescent="0.4">
      <c r="A47" t="s">
        <v>359</v>
      </c>
      <c r="B47" t="s">
        <v>30</v>
      </c>
      <c r="C47" t="s">
        <v>6</v>
      </c>
      <c r="D47" s="3">
        <v>931</v>
      </c>
      <c r="E47" s="3" t="s">
        <v>426</v>
      </c>
      <c r="G47" s="3" t="s">
        <v>406</v>
      </c>
      <c r="H47" s="3">
        <v>12</v>
      </c>
      <c r="I47" s="3">
        <f>IF(H47="","",IF(H47="DNS",0,IF(H47="DQ",0,IF(H47="DNF",1,IF(AND(ISNUMBER(H47),H47&gt;59),1,_xlfn.XLOOKUP(H47,tbl_points[Place],tbl_points[Points],""))))))</f>
        <v>51</v>
      </c>
      <c r="J47" s="3">
        <v>5</v>
      </c>
      <c r="K47" s="3">
        <f>IF(J47="","",IF(J47="DNS",0,IF(J47="DQ",0,IF(J47="DNF",1,IF(AND(ISNUMBER(J47),J47&gt;59),1,_xlfn.XLOOKUP(J47,tbl_points[Place],tbl_points[Points],""))))))</f>
        <v>80</v>
      </c>
      <c r="M47" s="3" t="str">
        <f>IF(L47="","",IF(L47="DNS",0,IF(L47="DQ",0,IF(L47="DNF",1,IF(AND(ISNUMBER(L47),L47&gt;59),1,_xlfn.XLOOKUP(L47,tbl_points[Place],tbl_points[Points],""))))))</f>
        <v/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47" s="3">
        <f>tbl_individual[[#This Row],[Total]]</f>
        <v>131</v>
      </c>
    </row>
    <row r="48" spans="1:22" hidden="1" x14ac:dyDescent="0.4">
      <c r="A48" t="s">
        <v>202</v>
      </c>
      <c r="B48" t="s">
        <v>20</v>
      </c>
      <c r="C48" t="s">
        <v>1</v>
      </c>
      <c r="D48" s="3">
        <v>12043</v>
      </c>
      <c r="E48" s="3" t="s">
        <v>426</v>
      </c>
      <c r="G48" s="3" t="s">
        <v>406</v>
      </c>
      <c r="H48" s="3">
        <v>17</v>
      </c>
      <c r="I48" s="3">
        <f>IF(H48="","",IF(H48="DNS",0,IF(H48="DQ",0,IF(H48="DNF",1,IF(AND(ISNUMBER(H48),H48&gt;59),1,_xlfn.XLOOKUP(H48,tbl_points[Place],tbl_points[Points],""))))))</f>
        <v>43</v>
      </c>
      <c r="J48" s="3">
        <v>1</v>
      </c>
      <c r="K48" s="3">
        <f>IF(J48="","",IF(J48="DNS",0,IF(J48="DQ",0,IF(J48="DNF",1,IF(AND(ISNUMBER(J48),J48&gt;59),1,_xlfn.XLOOKUP(J48,tbl_points[Place],tbl_points[Points],""))))))</f>
        <v>100</v>
      </c>
      <c r="M48" s="3" t="str">
        <f>IF(L48="","",IF(L48="DNS",0,IF(L48="DQ",0,IF(L48="DNF",1,IF(AND(ISNUMBER(L48),L48&gt;59),1,_xlfn.XLOOKUP(L48,tbl_points[Place],tbl_points[Points],""))))))</f>
        <v/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48" s="3">
        <f>tbl_individual[[#This Row],[Total]]</f>
        <v>143</v>
      </c>
    </row>
    <row r="49" spans="1:22" hidden="1" x14ac:dyDescent="0.4">
      <c r="A49" t="s">
        <v>128</v>
      </c>
      <c r="B49" t="s">
        <v>13</v>
      </c>
      <c r="C49" t="s">
        <v>1</v>
      </c>
      <c r="D49" s="3">
        <v>12025</v>
      </c>
      <c r="E49" s="3" t="s">
        <v>426</v>
      </c>
      <c r="G49" s="3" t="s">
        <v>406</v>
      </c>
      <c r="H49" s="3">
        <v>4</v>
      </c>
      <c r="I49" s="3">
        <f>IF(H49="","",IF(H49="DNS",0,IF(H49="DQ",0,IF(H49="DNF",1,IF(AND(ISNUMBER(H49),H49&gt;59),1,_xlfn.XLOOKUP(H49,tbl_points[Place],tbl_points[Points],""))))))</f>
        <v>85</v>
      </c>
      <c r="J49" s="3">
        <v>2</v>
      </c>
      <c r="K49" s="3">
        <f>IF(J49="","",IF(J49="DNS",0,IF(J49="DQ",0,IF(J49="DNF",1,IF(AND(ISNUMBER(J49),J49&gt;59),1,_xlfn.XLOOKUP(J49,tbl_points[Place],tbl_points[Points],""))))))</f>
        <v>95</v>
      </c>
      <c r="M49" s="3" t="str">
        <f>IF(L49="","",IF(L49="DNS",0,IF(L49="DQ",0,IF(L49="DNF",1,IF(AND(ISNUMBER(L49),L49&gt;59),1,_xlfn.XLOOKUP(L49,tbl_points[Place],tbl_points[Points],""))))))</f>
        <v/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49" s="3">
        <f>tbl_individual[[#This Row],[Total]]</f>
        <v>180</v>
      </c>
    </row>
    <row r="50" spans="1:22" hidden="1" x14ac:dyDescent="0.4">
      <c r="A50" t="s">
        <v>206</v>
      </c>
      <c r="B50" t="s">
        <v>20</v>
      </c>
      <c r="C50" t="s">
        <v>1</v>
      </c>
      <c r="D50" s="3">
        <v>12047</v>
      </c>
      <c r="E50" s="3" t="s">
        <v>426</v>
      </c>
      <c r="G50" s="3" t="s">
        <v>406</v>
      </c>
      <c r="H50" s="3" t="s">
        <v>413</v>
      </c>
      <c r="I50" s="3">
        <f>IF(H50="","",IF(H50="DNS",0,IF(H50="DQ",0,IF(H50="DNF",1,IF(AND(ISNUMBER(H50),H50&gt;59),1,_xlfn.XLOOKUP(H50,tbl_points[Place],tbl_points[Points],""))))))</f>
        <v>0</v>
      </c>
      <c r="J50" s="3">
        <v>3</v>
      </c>
      <c r="K50" s="3">
        <f>IF(J50="","",IF(J50="DNS",0,IF(J50="DQ",0,IF(J50="DNF",1,IF(AND(ISNUMBER(J50),J50&gt;59),1,_xlfn.XLOOKUP(J50,tbl_points[Place],tbl_points[Points],""))))))</f>
        <v>90</v>
      </c>
      <c r="M50" s="3" t="str">
        <f>IF(L50="","",IF(L50="DNS",0,IF(L50="DQ",0,IF(L50="DNF",1,IF(AND(ISNUMBER(L50),L50&gt;59),1,_xlfn.XLOOKUP(L50,tbl_points[Place],tbl_points[Points],""))))))</f>
        <v/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90</v>
      </c>
    </row>
    <row r="51" spans="1:22" hidden="1" x14ac:dyDescent="0.4">
      <c r="A51" t="s">
        <v>204</v>
      </c>
      <c r="B51" t="s">
        <v>20</v>
      </c>
      <c r="C51" t="s">
        <v>1</v>
      </c>
      <c r="D51" s="3">
        <v>12045</v>
      </c>
      <c r="E51" s="3" t="s">
        <v>426</v>
      </c>
      <c r="G51" s="3" t="s">
        <v>406</v>
      </c>
      <c r="H51" s="3" t="s">
        <v>413</v>
      </c>
      <c r="I51" s="3">
        <f>IF(H51="","",IF(H51="DNS",0,IF(H51="DQ",0,IF(H51="DNF",1,IF(AND(ISNUMBER(H51),H51&gt;59),1,_xlfn.XLOOKUP(H51,tbl_points[Place],tbl_points[Points],""))))))</f>
        <v>0</v>
      </c>
      <c r="J51" s="3">
        <v>4</v>
      </c>
      <c r="K51" s="3">
        <f>IF(J51="","",IF(J51="DNS",0,IF(J51="DQ",0,IF(J51="DNF",1,IF(AND(ISNUMBER(J51),J51&gt;59),1,_xlfn.XLOOKUP(J51,tbl_points[Place],tbl_points[Points],""))))))</f>
        <v>85</v>
      </c>
      <c r="M51" s="3" t="str">
        <f>IF(L51="","",IF(L51="DNS",0,IF(L51="DQ",0,IF(L51="DNF",1,IF(AND(ISNUMBER(L51),L51&gt;59),1,_xlfn.XLOOKUP(L51,tbl_points[Place],tbl_points[Points],""))))))</f>
        <v/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85</v>
      </c>
    </row>
    <row r="52" spans="1:22" hidden="1" x14ac:dyDescent="0.4">
      <c r="A52" t="s">
        <v>381</v>
      </c>
      <c r="B52" t="s">
        <v>30</v>
      </c>
      <c r="C52" t="s">
        <v>1</v>
      </c>
      <c r="D52" s="3">
        <v>12100</v>
      </c>
      <c r="E52" s="3" t="s">
        <v>426</v>
      </c>
      <c r="G52" s="3" t="s">
        <v>406</v>
      </c>
      <c r="H52" s="3" t="s">
        <v>413</v>
      </c>
      <c r="I52" s="3">
        <f>IF(H52="","",IF(H52="DNS",0,IF(H52="DQ",0,IF(H52="DNF",1,IF(AND(ISNUMBER(H52),H52&gt;59),1,_xlfn.XLOOKUP(H52,tbl_points[Place],tbl_points[Points],""))))))</f>
        <v>0</v>
      </c>
      <c r="J52" s="3">
        <v>5</v>
      </c>
      <c r="K52" s="3">
        <f>IF(J52="","",IF(J52="DNS",0,IF(J52="DQ",0,IF(J52="DNF",1,IF(AND(ISNUMBER(J52),J52&gt;59),1,_xlfn.XLOOKUP(J52,tbl_points[Place],tbl_points[Points],""))))))</f>
        <v>80</v>
      </c>
      <c r="M52" s="3" t="str">
        <f>IF(L52="","",IF(L52="DNS",0,IF(L52="DQ",0,IF(L52="DNF",1,IF(AND(ISNUMBER(L52),L52&gt;59),1,_xlfn.XLOOKUP(L52,tbl_points[Place],tbl_points[Points],""))))))</f>
        <v/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80</v>
      </c>
    </row>
    <row r="53" spans="1:22" hidden="1" x14ac:dyDescent="0.4">
      <c r="A53" t="s">
        <v>232</v>
      </c>
      <c r="B53" t="s">
        <v>21</v>
      </c>
      <c r="C53" t="s">
        <v>1</v>
      </c>
      <c r="D53" s="3">
        <v>12058</v>
      </c>
      <c r="E53" s="3" t="s">
        <v>426</v>
      </c>
      <c r="G53" s="3" t="s">
        <v>406</v>
      </c>
      <c r="H53" s="3" t="s">
        <v>413</v>
      </c>
      <c r="I53" s="3">
        <f>IF(H53="","",IF(H53="DNS",0,IF(H53="DQ",0,IF(H53="DNF",1,IF(AND(ISNUMBER(H53),H53&gt;59),1,_xlfn.XLOOKUP(H53,tbl_points[Place],tbl_points[Points],""))))))</f>
        <v>0</v>
      </c>
      <c r="J53" s="3">
        <v>6</v>
      </c>
      <c r="K53" s="3">
        <f>IF(J53="","",IF(J53="DNS",0,IF(J53="DQ",0,IF(J53="DNF",1,IF(AND(ISNUMBER(J53),J53&gt;59),1,_xlfn.XLOOKUP(J53,tbl_points[Place],tbl_points[Points],""))))))</f>
        <v>75</v>
      </c>
      <c r="M53" s="3" t="str">
        <f>IF(L53="","",IF(L53="DNS",0,IF(L53="DQ",0,IF(L53="DNF",1,IF(AND(ISNUMBER(L53),L53&gt;59),1,_xlfn.XLOOKUP(L53,tbl_points[Place],tbl_points[Points],""))))))</f>
        <v/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75</v>
      </c>
    </row>
    <row r="54" spans="1:22" hidden="1" x14ac:dyDescent="0.4">
      <c r="A54" t="s">
        <v>199</v>
      </c>
      <c r="B54" t="s">
        <v>20</v>
      </c>
      <c r="C54" t="s">
        <v>1</v>
      </c>
      <c r="D54" s="3">
        <v>12040</v>
      </c>
      <c r="E54" s="3" t="s">
        <v>426</v>
      </c>
      <c r="G54" s="3" t="s">
        <v>406</v>
      </c>
      <c r="H54" s="3">
        <v>3</v>
      </c>
      <c r="I54" s="3">
        <f>IF(H54="","",IF(H54="DNS",0,IF(H54="DQ",0,IF(H54="DNF",1,IF(AND(ISNUMBER(H54),H54&gt;59),1,_xlfn.XLOOKUP(H54,tbl_points[Place],tbl_points[Points],""))))))</f>
        <v>90</v>
      </c>
      <c r="J54" s="3">
        <v>7</v>
      </c>
      <c r="K54" s="3">
        <f>IF(J54="","",IF(J54="DNS",0,IF(J54="DQ",0,IF(J54="DNF",1,IF(AND(ISNUMBER(J54),J54&gt;59),1,_xlfn.XLOOKUP(J54,tbl_points[Place],tbl_points[Points],""))))))</f>
        <v>70</v>
      </c>
      <c r="M54" s="3" t="str">
        <f>IF(L54="","",IF(L54="DNS",0,IF(L54="DQ",0,IF(L54="DNF",1,IF(AND(ISNUMBER(L54),L54&gt;59),1,_xlfn.XLOOKUP(L54,tbl_points[Place],tbl_points[Points],""))))))</f>
        <v/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54" s="3">
        <f>tbl_individual[[#This Row],[Total]]</f>
        <v>160</v>
      </c>
    </row>
    <row r="55" spans="1:22" hidden="1" x14ac:dyDescent="0.4">
      <c r="A55" t="s">
        <v>276</v>
      </c>
      <c r="B55" t="s">
        <v>23</v>
      </c>
      <c r="C55" t="s">
        <v>1</v>
      </c>
      <c r="D55" s="3">
        <v>12069</v>
      </c>
      <c r="E55" s="3" t="s">
        <v>426</v>
      </c>
      <c r="G55" s="3" t="s">
        <v>406</v>
      </c>
      <c r="H55" s="3">
        <v>2</v>
      </c>
      <c r="I55" s="3">
        <f>IF(H55="","",IF(H55="DNS",0,IF(H55="DQ",0,IF(H55="DNF",1,IF(AND(ISNUMBER(H55),H55&gt;59),1,_xlfn.XLOOKUP(H55,tbl_points[Place],tbl_points[Points],""))))))</f>
        <v>95</v>
      </c>
      <c r="J55" s="3">
        <v>8</v>
      </c>
      <c r="K55" s="3">
        <f>IF(J55="","",IF(J55="DNS",0,IF(J55="DQ",0,IF(J55="DNF",1,IF(AND(ISNUMBER(J55),J55&gt;59),1,_xlfn.XLOOKUP(J55,tbl_points[Place],tbl_points[Points],""))))))</f>
        <v>65</v>
      </c>
      <c r="M55" s="3" t="str">
        <f>IF(L55="","",IF(L55="DNS",0,IF(L55="DQ",0,IF(L55="DNF",1,IF(AND(ISNUMBER(L55),L55&gt;59),1,_xlfn.XLOOKUP(L55,tbl_points[Place],tbl_points[Points],""))))))</f>
        <v/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55" s="3">
        <f>tbl_individual[[#This Row],[Total]]</f>
        <v>160</v>
      </c>
    </row>
    <row r="56" spans="1:22" hidden="1" x14ac:dyDescent="0.4">
      <c r="A56" t="s">
        <v>444</v>
      </c>
      <c r="B56" t="s">
        <v>25</v>
      </c>
      <c r="C56" t="s">
        <v>1</v>
      </c>
      <c r="D56" s="3">
        <v>12105</v>
      </c>
      <c r="E56" s="3" t="s">
        <v>426</v>
      </c>
      <c r="F56" s="17" t="s">
        <v>443</v>
      </c>
      <c r="H56" s="3" t="s">
        <v>413</v>
      </c>
      <c r="I56" s="18">
        <f>IF(H56="","",IF(H56="DNS",0,IF(H56="DQ",0,IF(H56="DNF",1,IF(AND(ISNUMBER(H56),H56&gt;59),1,_xlfn.XLOOKUP(H56,tbl_points[Place],tbl_points[Points],""))))))</f>
        <v>0</v>
      </c>
      <c r="J56" s="3">
        <v>9</v>
      </c>
      <c r="K56" s="18">
        <f>IF(J56="","",IF(J56="DNS",0,IF(J56="DQ",0,IF(J56="DNF",1,IF(AND(ISNUMBER(J56),J56&gt;59),1,_xlfn.XLOOKUP(J56,tbl_points[Place],tbl_points[Points],""))))))</f>
        <v>60</v>
      </c>
      <c r="L56" s="18"/>
      <c r="M56" s="18" t="str">
        <f>IF(L56="","",IF(L56="DNS",0,IF(L56="DQ",0,IF(L56="DNF",1,IF(AND(ISNUMBER(L56),L56&gt;59),1,_xlfn.XLOOKUP(L56,tbl_points[Place],tbl_points[Points],""))))))</f>
        <v/>
      </c>
      <c r="N56" s="18"/>
      <c r="O56" s="18" t="str">
        <f>IF(N56="","",IF(N56="DNS",0,IF(N56="DQ",0,IF(N56="DNF",1,IF(AND(ISNUMBER(N56),N56&gt;59),1,_xlfn.XLOOKUP(N56,tbl_points[Place],tbl_points[Points],""))))))</f>
        <v/>
      </c>
      <c r="P56" s="18"/>
      <c r="Q56" s="18" t="str">
        <f>IF(P56="","",IF(P56="DNS",0,IF(P56="DQ",0,IF(P56="DNF",1,IF(AND(ISNUMBER(P56),P56&gt;59),1,_xlfn.XLOOKUP(P56,tbl_points[Place],tbl_points[Points],""))))))</f>
        <v/>
      </c>
      <c r="R56" s="18"/>
      <c r="S56" s="18" t="str">
        <f>IF(R56="","",IF(R56="DNS",0,IF(R56="DQ",0,IF(R56="DNF",1,IF(AND(ISNUMBER(R56),R56&gt;59),1,_xlfn.XLOOKUP(R56,tbl_points[Place],tbl_points[Points],""))))))</f>
        <v/>
      </c>
      <c r="T56" s="18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56" s="18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18">
        <f>tbl_individual[[#This Row],[Total]]</f>
        <v>60</v>
      </c>
    </row>
    <row r="57" spans="1:22" hidden="1" x14ac:dyDescent="0.4">
      <c r="A57" t="s">
        <v>345</v>
      </c>
      <c r="B57" t="s">
        <v>28</v>
      </c>
      <c r="C57" t="s">
        <v>1</v>
      </c>
      <c r="D57" s="3">
        <v>12090</v>
      </c>
      <c r="E57" s="3" t="s">
        <v>426</v>
      </c>
      <c r="G57" s="3" t="s">
        <v>406</v>
      </c>
      <c r="H57" s="3">
        <v>10</v>
      </c>
      <c r="I57" s="3">
        <f>IF(H57="","",IF(H57="DNS",0,IF(H57="DQ",0,IF(H57="DNF",1,IF(AND(ISNUMBER(H57),H57&gt;59),1,_xlfn.XLOOKUP(H57,tbl_points[Place],tbl_points[Points],""))))))</f>
        <v>55</v>
      </c>
      <c r="J57" s="3">
        <v>10</v>
      </c>
      <c r="K57" s="3">
        <f>IF(J57="","",IF(J57="DNS",0,IF(J57="DQ",0,IF(J57="DNF",1,IF(AND(ISNUMBER(J57),J57&gt;59),1,_xlfn.XLOOKUP(J57,tbl_points[Place],tbl_points[Points],""))))))</f>
        <v>55</v>
      </c>
      <c r="M57" s="3" t="str">
        <f>IF(L57="","",IF(L57="DNS",0,IF(L57="DQ",0,IF(L57="DNF",1,IF(AND(ISNUMBER(L57),L57&gt;59),1,_xlfn.XLOOKUP(L57,tbl_points[Place],tbl_points[Points],""))))))</f>
        <v/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57" s="3">
        <f>tbl_individual[[#This Row],[Total]]</f>
        <v>110</v>
      </c>
    </row>
    <row r="58" spans="1:22" x14ac:dyDescent="0.4">
      <c r="A58" t="s">
        <v>446</v>
      </c>
      <c r="B58" t="s">
        <v>17</v>
      </c>
      <c r="C58" t="s">
        <v>7</v>
      </c>
      <c r="D58" s="3">
        <v>841</v>
      </c>
      <c r="E58" s="3" t="s">
        <v>426</v>
      </c>
      <c r="F58" s="17" t="s">
        <v>447</v>
      </c>
      <c r="H58" s="3" t="s">
        <v>413</v>
      </c>
      <c r="I58" s="18">
        <f>IF(H58="","",IF(H58="DNS",0,IF(H58="DQ",0,IF(H58="DNF",1,IF(AND(ISNUMBER(H58),H58&gt;59),1,_xlfn.XLOOKUP(H58,tbl_points[Place],tbl_points[Points],""))))))</f>
        <v>0</v>
      </c>
      <c r="J58" s="3">
        <v>11</v>
      </c>
      <c r="K58" s="18">
        <f>IF(J58="","",IF(J58="DNS",0,IF(J58="DQ",0,IF(J58="DNF",1,IF(AND(ISNUMBER(J58),J58&gt;59),1,_xlfn.XLOOKUP(J58,tbl_points[Place],tbl_points[Points],""))))))</f>
        <v>53</v>
      </c>
      <c r="L58" s="18"/>
      <c r="M58" s="18" t="str">
        <f>IF(L58="","",IF(L58="DNS",0,IF(L58="DQ",0,IF(L58="DNF",1,IF(AND(ISNUMBER(L58),L58&gt;59),1,_xlfn.XLOOKUP(L58,tbl_points[Place],tbl_points[Points],""))))))</f>
        <v/>
      </c>
      <c r="N58" s="18"/>
      <c r="O58" s="18" t="str">
        <f>IF(N58="","",IF(N58="DNS",0,IF(N58="DQ",0,IF(N58="DNF",1,IF(AND(ISNUMBER(N58),N58&gt;59),1,_xlfn.XLOOKUP(N58,tbl_points[Place],tbl_points[Points],""))))))</f>
        <v/>
      </c>
      <c r="P58" s="18"/>
      <c r="Q58" s="18" t="str">
        <f>IF(P58="","",IF(P58="DNS",0,IF(P58="DQ",0,IF(P58="DNF",1,IF(AND(ISNUMBER(P58),P58&gt;59),1,_xlfn.XLOOKUP(P58,tbl_points[Place],tbl_points[Points],""))))))</f>
        <v/>
      </c>
      <c r="R58" s="18"/>
      <c r="S58" s="18" t="str">
        <f>IF(R58="","",IF(R58="DNS",0,IF(R58="DQ",0,IF(R58="DNF",1,IF(AND(ISNUMBER(R58),R58&gt;59),1,_xlfn.XLOOKUP(R58,tbl_points[Place],tbl_points[Points],""))))))</f>
        <v/>
      </c>
      <c r="T58" s="18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58" s="18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8" s="18">
        <f>tbl_individual[[#This Row],[Total]]</f>
        <v>53</v>
      </c>
    </row>
    <row r="59" spans="1:22" x14ac:dyDescent="0.4">
      <c r="A59" t="s">
        <v>245</v>
      </c>
      <c r="B59" t="s">
        <v>23</v>
      </c>
      <c r="C59" t="s">
        <v>7</v>
      </c>
      <c r="D59" s="3">
        <v>817</v>
      </c>
      <c r="E59" s="3" t="s">
        <v>426</v>
      </c>
      <c r="G59" s="3" t="s">
        <v>406</v>
      </c>
      <c r="H59" s="3">
        <v>14</v>
      </c>
      <c r="I59" s="3">
        <f>IF(H59="","",IF(H59="DNS",0,IF(H59="DQ",0,IF(H59="DNF",1,IF(AND(ISNUMBER(H59),H59&gt;59),1,_xlfn.XLOOKUP(H59,tbl_points[Place],tbl_points[Points],""))))))</f>
        <v>47</v>
      </c>
      <c r="J59" s="3">
        <v>12</v>
      </c>
      <c r="K59" s="3">
        <f>IF(J59="","",IF(J59="DNS",0,IF(J59="DQ",0,IF(J59="DNF",1,IF(AND(ISNUMBER(J59),J59&gt;59),1,_xlfn.XLOOKUP(J59,tbl_points[Place],tbl_points[Points],""))))))</f>
        <v>51</v>
      </c>
      <c r="M59" s="3" t="str">
        <f>IF(L59="","",IF(L59="DNS",0,IF(L59="DQ",0,IF(L59="DNF",1,IF(AND(ISNUMBER(L59),L59&gt;59),1,_xlfn.XLOOKUP(L59,tbl_points[Place],tbl_points[Points],""))))))</f>
        <v/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59" s="3">
        <f>tbl_individual[[#This Row],[Total]]</f>
        <v>98</v>
      </c>
    </row>
    <row r="60" spans="1:22" hidden="1" x14ac:dyDescent="0.4">
      <c r="A60" t="s">
        <v>417</v>
      </c>
      <c r="B60" t="s">
        <v>14</v>
      </c>
      <c r="C60" t="s">
        <v>3</v>
      </c>
      <c r="D60" s="3">
        <v>10206</v>
      </c>
      <c r="E60" s="3" t="s">
        <v>426</v>
      </c>
      <c r="G60" s="3" t="s">
        <v>406</v>
      </c>
      <c r="H60" s="3">
        <v>26</v>
      </c>
      <c r="I60" s="3">
        <f>IF(H60="","",IF(H60="DNS",0,IF(H60="DQ",0,IF(H60="DNF",1,IF(AND(ISNUMBER(H60),H60&gt;59),1,_xlfn.XLOOKUP(H60,tbl_points[Place],tbl_points[Points],""))))))</f>
        <v>34</v>
      </c>
      <c r="J60" s="3" t="s">
        <v>413</v>
      </c>
      <c r="K60" s="3">
        <f>IF(J60="","",IF(J60="DNS",0,IF(J60="DQ",0,IF(J60="DNF",1,IF(AND(ISNUMBER(J60),J60&gt;59),1,_xlfn.XLOOKUP(J60,tbl_points[Place],tbl_points[Points],""))))))</f>
        <v>0</v>
      </c>
      <c r="M60" s="3" t="str">
        <f>IF(L60="","",IF(L60="DNS",0,IF(L60="DQ",0,IF(L60="DNF",1,IF(AND(ISNUMBER(L60),L60&gt;59),1,_xlfn.XLOOKUP(L60,tbl_points[Place],tbl_points[Points],""))))))</f>
        <v/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0" s="3">
        <f>tbl_individual[[#This Row],[Total]]</f>
        <v>34</v>
      </c>
    </row>
    <row r="61" spans="1:22" hidden="1" x14ac:dyDescent="0.4">
      <c r="A61" t="s">
        <v>431</v>
      </c>
      <c r="B61" t="s">
        <v>14</v>
      </c>
      <c r="C61" t="s">
        <v>3</v>
      </c>
      <c r="D61" s="3">
        <v>10207</v>
      </c>
      <c r="E61" s="3" t="s">
        <v>426</v>
      </c>
      <c r="G61" s="3" t="s">
        <v>406</v>
      </c>
      <c r="H61" s="3" t="s">
        <v>413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413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hidden="1" x14ac:dyDescent="0.4">
      <c r="A62" t="s">
        <v>432</v>
      </c>
      <c r="B62" t="s">
        <v>29</v>
      </c>
      <c r="C62" t="s">
        <v>3</v>
      </c>
      <c r="D62" s="3">
        <v>10208</v>
      </c>
      <c r="E62" s="3" t="s">
        <v>426</v>
      </c>
      <c r="F62" s="17" t="s">
        <v>443</v>
      </c>
      <c r="G62" s="3" t="s">
        <v>406</v>
      </c>
      <c r="H62" s="3" t="s">
        <v>413</v>
      </c>
      <c r="I62" s="3">
        <f>IF(H62="","",IF(H62="DNS",0,IF(H62="DQ",0,IF(H62="DNF",1,IF(AND(ISNUMBER(H62),H62&gt;59),1,_xlfn.XLOOKUP(H62,tbl_points[Place],tbl_points[Points],""))))))</f>
        <v>0</v>
      </c>
      <c r="J62" s="3" t="s">
        <v>413</v>
      </c>
      <c r="K62" s="3">
        <f>IF(J62="","",IF(J62="DNS",0,IF(J62="DQ",0,IF(J62="DNF",1,IF(AND(ISNUMBER(J62),J62&gt;59),1,_xlfn.XLOOKUP(J62,tbl_points[Place],tbl_points[Points],""))))))</f>
        <v>0</v>
      </c>
      <c r="M62" s="3" t="str">
        <f>IF(L62="","",IF(L62="DNS",0,IF(L62="DQ",0,IF(L62="DNF",1,IF(AND(ISNUMBER(L62),L62&gt;59),1,_xlfn.XLOOKUP(L62,tbl_points[Place],tbl_points[Points],""))))))</f>
        <v/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2" s="3">
        <f>tbl_individual[[#This Row],[Total]]</f>
        <v>0</v>
      </c>
    </row>
    <row r="63" spans="1:22" hidden="1" x14ac:dyDescent="0.4">
      <c r="A63" t="s">
        <v>220</v>
      </c>
      <c r="B63" t="s">
        <v>21</v>
      </c>
      <c r="C63" t="s">
        <v>3</v>
      </c>
      <c r="D63" s="3">
        <v>10178</v>
      </c>
      <c r="E63" s="3" t="s">
        <v>426</v>
      </c>
      <c r="G63" s="3" t="s">
        <v>406</v>
      </c>
      <c r="H63" s="3">
        <v>6</v>
      </c>
      <c r="I63" s="3">
        <f>IF(H63="","",IF(H63="DNS",0,IF(H63="DQ",0,IF(H63="DNF",1,IF(AND(ISNUMBER(H63),H63&gt;59),1,_xlfn.XLOOKUP(H63,tbl_points[Place],tbl_points[Points],""))))))</f>
        <v>75</v>
      </c>
      <c r="J63" s="3" t="s">
        <v>412</v>
      </c>
      <c r="K63" s="3">
        <f>IF(J63="","",IF(J63="DNS",0,IF(J63="DQ",0,IF(J63="DNF",1,IF(AND(ISNUMBER(J63),J63&gt;59),1,_xlfn.XLOOKUP(J63,tbl_points[Place],tbl_points[Points],""))))))</f>
        <v>1</v>
      </c>
      <c r="M63" s="3" t="str">
        <f>IF(L63="","",IF(L63="DNS",0,IF(L63="DQ",0,IF(L63="DNF",1,IF(AND(ISNUMBER(L63),L63&gt;59),1,_xlfn.XLOOKUP(L63,tbl_points[Place],tbl_points[Points],""))))))</f>
        <v/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63" s="3">
        <f>tbl_individual[[#This Row],[Total]]</f>
        <v>76</v>
      </c>
    </row>
    <row r="64" spans="1:22" hidden="1" x14ac:dyDescent="0.4">
      <c r="A64" t="s">
        <v>253</v>
      </c>
      <c r="B64" t="s">
        <v>23</v>
      </c>
      <c r="C64" t="s">
        <v>5</v>
      </c>
      <c r="D64" s="3">
        <v>928</v>
      </c>
      <c r="E64" s="3" t="s">
        <v>426</v>
      </c>
      <c r="G64" s="3" t="s">
        <v>406</v>
      </c>
      <c r="H64" s="3" t="s">
        <v>413</v>
      </c>
      <c r="I64" s="3">
        <f>IF(H64="","",IF(H64="DNS",0,IF(H64="DQ",0,IF(H64="DNF",1,IF(AND(ISNUMBER(H64),H64&gt;59),1,_xlfn.XLOOKUP(H64,tbl_points[Place],tbl_points[Points],""))))))</f>
        <v>0</v>
      </c>
      <c r="J64" s="3">
        <v>13</v>
      </c>
      <c r="K64" s="3">
        <f>IF(J64="","",IF(J64="DNS",0,IF(J64="DQ",0,IF(J64="DNF",1,IF(AND(ISNUMBER(J64),J64&gt;59),1,_xlfn.XLOOKUP(J64,tbl_points[Place],tbl_points[Points],""))))))</f>
        <v>49</v>
      </c>
      <c r="M64" s="3" t="str">
        <f>IF(L64="","",IF(L64="DNS",0,IF(L64="DQ",0,IF(L64="DNF",1,IF(AND(ISNUMBER(L64),L64&gt;59),1,_xlfn.XLOOKUP(L64,tbl_points[Place],tbl_points[Points],""))))))</f>
        <v/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49</v>
      </c>
    </row>
    <row r="65" spans="1:22" hidden="1" x14ac:dyDescent="0.4">
      <c r="A65" t="s">
        <v>162</v>
      </c>
      <c r="B65" t="s">
        <v>17</v>
      </c>
      <c r="C65" t="s">
        <v>6</v>
      </c>
      <c r="D65" s="3">
        <v>936</v>
      </c>
      <c r="E65" s="3" t="s">
        <v>426</v>
      </c>
      <c r="G65" s="3" t="s">
        <v>406</v>
      </c>
      <c r="H65" s="3">
        <v>4</v>
      </c>
      <c r="I65" s="3">
        <f>IF(H65="","",IF(H65="DNS",0,IF(H65="DQ",0,IF(H65="DNF",1,IF(AND(ISNUMBER(H65),H65&gt;59),1,_xlfn.XLOOKUP(H65,tbl_points[Place],tbl_points[Points],""))))))</f>
        <v>85</v>
      </c>
      <c r="J65" s="3">
        <v>6</v>
      </c>
      <c r="K65" s="3">
        <f>IF(J65="","",IF(J65="DNS",0,IF(J65="DQ",0,IF(J65="DNF",1,IF(AND(ISNUMBER(J65),J65&gt;59),1,_xlfn.XLOOKUP(J65,tbl_points[Place],tbl_points[Points],""))))))</f>
        <v>75</v>
      </c>
      <c r="M65" s="3" t="str">
        <f>IF(L65="","",IF(L65="DNS",0,IF(L65="DQ",0,IF(L65="DNF",1,IF(AND(ISNUMBER(L65),L65&gt;59),1,_xlfn.XLOOKUP(L65,tbl_points[Place],tbl_points[Points],""))))))</f>
        <v/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65" s="3">
        <f>tbl_individual[[#This Row],[Total]]</f>
        <v>160</v>
      </c>
    </row>
    <row r="66" spans="1:22" hidden="1" x14ac:dyDescent="0.4">
      <c r="A66" t="s">
        <v>226</v>
      </c>
      <c r="B66" t="s">
        <v>21</v>
      </c>
      <c r="C66" t="s">
        <v>1</v>
      </c>
      <c r="D66" s="3">
        <v>12052</v>
      </c>
      <c r="E66" s="3" t="s">
        <v>426</v>
      </c>
      <c r="G66" s="3" t="s">
        <v>406</v>
      </c>
      <c r="H66" s="3">
        <v>19</v>
      </c>
      <c r="I66" s="3">
        <f>IF(H66="","",IF(H66="DNS",0,IF(H66="DQ",0,IF(H66="DNF",1,IF(AND(ISNUMBER(H66),H66&gt;59),1,_xlfn.XLOOKUP(H66,tbl_points[Place],tbl_points[Points],""))))))</f>
        <v>41</v>
      </c>
      <c r="J66" s="3">
        <v>11</v>
      </c>
      <c r="K66" s="3">
        <f>IF(J66="","",IF(J66="DNS",0,IF(J66="DQ",0,IF(J66="DNF",1,IF(AND(ISNUMBER(J66),J66&gt;59),1,_xlfn.XLOOKUP(J66,tbl_points[Place],tbl_points[Points],""))))))</f>
        <v>53</v>
      </c>
      <c r="M66" s="3" t="str">
        <f>IF(L66="","",IF(L66="DNS",0,IF(L66="DQ",0,IF(L66="DNF",1,IF(AND(ISNUMBER(L66),L66&gt;59),1,_xlfn.XLOOKUP(L66,tbl_points[Place],tbl_points[Points],""))))))</f>
        <v/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66" s="3">
        <f>tbl_individual[[#This Row],[Total]]</f>
        <v>94</v>
      </c>
    </row>
    <row r="67" spans="1:22" hidden="1" x14ac:dyDescent="0.4">
      <c r="A67" t="s">
        <v>197</v>
      </c>
      <c r="B67" t="s">
        <v>20</v>
      </c>
      <c r="C67" t="s">
        <v>1</v>
      </c>
      <c r="D67" s="3">
        <v>12038</v>
      </c>
      <c r="E67" s="3" t="s">
        <v>426</v>
      </c>
      <c r="G67" s="3" t="s">
        <v>406</v>
      </c>
      <c r="H67" s="3">
        <v>18</v>
      </c>
      <c r="I67" s="3">
        <f>IF(H67="","",IF(H67="DNS",0,IF(H67="DQ",0,IF(H67="DNF",1,IF(AND(ISNUMBER(H67),H67&gt;59),1,_xlfn.XLOOKUP(H67,tbl_points[Place],tbl_points[Points],""))))))</f>
        <v>42</v>
      </c>
      <c r="J67" s="3">
        <v>12</v>
      </c>
      <c r="K67" s="3">
        <f>IF(J67="","",IF(J67="DNS",0,IF(J67="DQ",0,IF(J67="DNF",1,IF(AND(ISNUMBER(J67),J67&gt;59),1,_xlfn.XLOOKUP(J67,tbl_points[Place],tbl_points[Points],""))))))</f>
        <v>51</v>
      </c>
      <c r="M67" s="3" t="str">
        <f>IF(L67="","",IF(L67="DNS",0,IF(L67="DQ",0,IF(L67="DNF",1,IF(AND(ISNUMBER(L67),L67&gt;59),1,_xlfn.XLOOKUP(L67,tbl_points[Place],tbl_points[Points],""))))))</f>
        <v/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67" s="3">
        <f>tbl_individual[[#This Row],[Total]]</f>
        <v>93</v>
      </c>
    </row>
    <row r="68" spans="1:22" x14ac:dyDescent="0.4">
      <c r="A68" t="s">
        <v>350</v>
      </c>
      <c r="B68" t="s">
        <v>29</v>
      </c>
      <c r="C68" t="s">
        <v>7</v>
      </c>
      <c r="D68" s="3">
        <v>831</v>
      </c>
      <c r="E68" s="3" t="s">
        <v>426</v>
      </c>
      <c r="G68" s="3" t="s">
        <v>406</v>
      </c>
      <c r="H68" s="3">
        <v>6</v>
      </c>
      <c r="I68" s="3">
        <f>IF(H68="","",IF(H68="DNS",0,IF(H68="DQ",0,IF(H68="DNF",1,IF(AND(ISNUMBER(H68),H68&gt;59),1,_xlfn.XLOOKUP(H68,tbl_points[Place],tbl_points[Points],""))))))</f>
        <v>75</v>
      </c>
      <c r="J68" s="3">
        <v>13</v>
      </c>
      <c r="K68" s="3">
        <f>IF(J68="","",IF(J68="DNS",0,IF(J68="DQ",0,IF(J68="DNF",1,IF(AND(ISNUMBER(J68),J68&gt;59),1,_xlfn.XLOOKUP(J68,tbl_points[Place],tbl_points[Points],""))))))</f>
        <v>49</v>
      </c>
      <c r="M68" s="3" t="str">
        <f>IF(L68="","",IF(L68="DNS",0,IF(L68="DQ",0,IF(L68="DNF",1,IF(AND(ISNUMBER(L68),L68&gt;59),1,_xlfn.XLOOKUP(L68,tbl_points[Place],tbl_points[Points],""))))))</f>
        <v/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68" s="3">
        <f>tbl_individual[[#This Row],[Total]]</f>
        <v>124</v>
      </c>
    </row>
    <row r="69" spans="1:22" x14ac:dyDescent="0.4">
      <c r="A69" t="s">
        <v>357</v>
      </c>
      <c r="B69" t="s">
        <v>30</v>
      </c>
      <c r="C69" t="s">
        <v>7</v>
      </c>
      <c r="D69" s="3">
        <v>835</v>
      </c>
      <c r="E69" s="3" t="s">
        <v>426</v>
      </c>
      <c r="G69" s="3" t="s">
        <v>406</v>
      </c>
      <c r="H69" s="3" t="s">
        <v>413</v>
      </c>
      <c r="I69" s="3">
        <f>IF(H69="","",IF(H69="DNS",0,IF(H69="DQ",0,IF(H69="DNF",1,IF(AND(ISNUMBER(H69),H69&gt;59),1,_xlfn.XLOOKUP(H69,tbl_points[Place],tbl_points[Points],""))))))</f>
        <v>0</v>
      </c>
      <c r="J69" s="3">
        <v>14</v>
      </c>
      <c r="K69" s="3">
        <f>IF(J69="","",IF(J69="DNS",0,IF(J69="DQ",0,IF(J69="DNF",1,IF(AND(ISNUMBER(J69),J69&gt;59),1,_xlfn.XLOOKUP(J69,tbl_points[Place],tbl_points[Points],""))))))</f>
        <v>47</v>
      </c>
      <c r="M69" s="3" t="str">
        <f>IF(L69="","",IF(L69="DNS",0,IF(L69="DQ",0,IF(L69="DNF",1,IF(AND(ISNUMBER(L69),L69&gt;59),1,_xlfn.XLOOKUP(L69,tbl_points[Place],tbl_points[Points],""))))))</f>
        <v/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9" s="3">
        <f>tbl_individual[[#This Row],[Total]]</f>
        <v>47</v>
      </c>
    </row>
    <row r="70" spans="1:22" hidden="1" x14ac:dyDescent="0.4">
      <c r="A70" t="s">
        <v>408</v>
      </c>
      <c r="B70" t="s">
        <v>20</v>
      </c>
      <c r="C70" t="s">
        <v>3</v>
      </c>
      <c r="D70" s="3">
        <v>10203</v>
      </c>
      <c r="E70" s="3" t="s">
        <v>426</v>
      </c>
      <c r="G70" s="3" t="s">
        <v>406</v>
      </c>
      <c r="H70" s="3">
        <v>39</v>
      </c>
      <c r="I70" s="3">
        <f>IF(H70="","",IF(H70="DNS",0,IF(H70="DQ",0,IF(H70="DNF",1,IF(AND(ISNUMBER(H70),H70&gt;59),1,_xlfn.XLOOKUP(H70,tbl_points[Place],tbl_points[Points],""))))))</f>
        <v>21</v>
      </c>
      <c r="J70" s="3">
        <v>47</v>
      </c>
      <c r="K70" s="3">
        <f>IF(J70="","",IF(J70="DNS",0,IF(J70="DQ",0,IF(J70="DNF",1,IF(AND(ISNUMBER(J70),J70&gt;59),1,_xlfn.XLOOKUP(J70,tbl_points[Place],tbl_points[Points],""))))))</f>
        <v>13</v>
      </c>
      <c r="M70" s="3" t="str">
        <f>IF(L70="","",IF(L70="DNS",0,IF(L70="DQ",0,IF(L70="DNF",1,IF(AND(ISNUMBER(L70),L70&gt;59),1,_xlfn.XLOOKUP(L70,tbl_points[Place],tbl_points[Points],""))))))</f>
        <v/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70" s="3">
        <f>tbl_individual[[#This Row],[Total]]</f>
        <v>34</v>
      </c>
    </row>
    <row r="71" spans="1:22" hidden="1" x14ac:dyDescent="0.4">
      <c r="A71" t="s">
        <v>92</v>
      </c>
      <c r="B71" t="s">
        <v>10</v>
      </c>
      <c r="C71" t="s">
        <v>3</v>
      </c>
      <c r="D71" s="3">
        <v>10151</v>
      </c>
      <c r="E71" s="3" t="s">
        <v>426</v>
      </c>
      <c r="G71" s="3" t="s">
        <v>406</v>
      </c>
      <c r="H71" s="3">
        <v>40</v>
      </c>
      <c r="I71" s="3">
        <f>IF(H71="","",IF(H71="DNS",0,IF(H71="DQ",0,IF(H71="DNF",1,IF(AND(ISNUMBER(H71),H71&gt;59),1,_xlfn.XLOOKUP(H71,tbl_points[Place],tbl_points[Points],""))))))</f>
        <v>20</v>
      </c>
      <c r="J71" s="3">
        <v>46</v>
      </c>
      <c r="K71" s="3">
        <f>IF(J71="","",IF(J71="DNS",0,IF(J71="DQ",0,IF(J71="DNF",1,IF(AND(ISNUMBER(J71),J71&gt;59),1,_xlfn.XLOOKUP(J71,tbl_points[Place],tbl_points[Points],""))))))</f>
        <v>14</v>
      </c>
      <c r="M71" s="3" t="str">
        <f>IF(L71="","",IF(L71="DNS",0,IF(L71="DQ",0,IF(L71="DNF",1,IF(AND(ISNUMBER(L71),L71&gt;59),1,_xlfn.XLOOKUP(L71,tbl_points[Place],tbl_points[Points],""))))))</f>
        <v/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71" s="3">
        <f>tbl_individual[[#This Row],[Total]]</f>
        <v>34</v>
      </c>
    </row>
    <row r="72" spans="1:22" hidden="1" x14ac:dyDescent="0.4">
      <c r="A72" t="s">
        <v>125</v>
      </c>
      <c r="B72" t="s">
        <v>13</v>
      </c>
      <c r="C72" t="s">
        <v>1</v>
      </c>
      <c r="D72" s="3">
        <v>12103</v>
      </c>
      <c r="E72" s="3" t="s">
        <v>426</v>
      </c>
      <c r="G72" s="3" t="s">
        <v>406</v>
      </c>
      <c r="H72" s="3">
        <v>1</v>
      </c>
      <c r="I72" s="3">
        <f>IF(H72="","",IF(H72="DNS",0,IF(H72="DQ",0,IF(H72="DNF",1,IF(AND(ISNUMBER(H72),H72&gt;59),1,_xlfn.XLOOKUP(H72,tbl_points[Place],tbl_points[Points],""))))))</f>
        <v>100</v>
      </c>
      <c r="J72" s="3">
        <v>13</v>
      </c>
      <c r="K72" s="3">
        <f>IF(J72="","",IF(J72="DNS",0,IF(J72="DQ",0,IF(J72="DNF",1,IF(AND(ISNUMBER(J72),J72&gt;59),1,_xlfn.XLOOKUP(J72,tbl_points[Place],tbl_points[Points],""))))))</f>
        <v>49</v>
      </c>
      <c r="M72" s="3" t="str">
        <f>IF(L72="","",IF(L72="DNS",0,IF(L72="DQ",0,IF(L72="DNF",1,IF(AND(ISNUMBER(L72),L72&gt;59),1,_xlfn.XLOOKUP(L72,tbl_points[Place],tbl_points[Points],""))))))</f>
        <v/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72" s="3">
        <f>tbl_individual[[#This Row],[Total]]</f>
        <v>149</v>
      </c>
    </row>
    <row r="73" spans="1:22" hidden="1" x14ac:dyDescent="0.4">
      <c r="A73" t="s">
        <v>388</v>
      </c>
      <c r="B73" t="s">
        <v>31</v>
      </c>
      <c r="C73" t="s">
        <v>1</v>
      </c>
      <c r="D73" s="3">
        <v>12101</v>
      </c>
      <c r="E73" s="3" t="s">
        <v>426</v>
      </c>
      <c r="G73" s="3" t="s">
        <v>406</v>
      </c>
      <c r="H73" s="3" t="s">
        <v>413</v>
      </c>
      <c r="I73" s="3">
        <f>IF(H73="","",IF(H73="DNS",0,IF(H73="DQ",0,IF(H73="DNF",1,IF(AND(ISNUMBER(H73),H73&gt;59),1,_xlfn.XLOOKUP(H73,tbl_points[Place],tbl_points[Points],""))))))</f>
        <v>0</v>
      </c>
      <c r="J73" s="3">
        <v>14</v>
      </c>
      <c r="K73" s="3">
        <f>IF(J73="","",IF(J73="DNS",0,IF(J73="DQ",0,IF(J73="DNF",1,IF(AND(ISNUMBER(J73),J73&gt;59),1,_xlfn.XLOOKUP(J73,tbl_points[Place],tbl_points[Points],""))))))</f>
        <v>47</v>
      </c>
      <c r="M73" s="3" t="str">
        <f>IF(L73="","",IF(L73="DNS",0,IF(L73="DQ",0,IF(L73="DNF",1,IF(AND(ISNUMBER(L73),L73&gt;59),1,_xlfn.XLOOKUP(L73,tbl_points[Place],tbl_points[Points],""))))))</f>
        <v/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3" s="3">
        <f>tbl_individual[[#This Row],[Total]]</f>
        <v>47</v>
      </c>
    </row>
    <row r="74" spans="1:22" hidden="1" x14ac:dyDescent="0.4">
      <c r="A74" t="s">
        <v>127</v>
      </c>
      <c r="B74" t="s">
        <v>13</v>
      </c>
      <c r="C74" t="s">
        <v>1</v>
      </c>
      <c r="D74" s="3">
        <v>12024</v>
      </c>
      <c r="E74" s="3" t="s">
        <v>426</v>
      </c>
      <c r="G74" s="3" t="s">
        <v>406</v>
      </c>
      <c r="H74" s="3" t="s">
        <v>413</v>
      </c>
      <c r="I74" s="3">
        <f>IF(H74="","",IF(H74="DNS",0,IF(H74="DQ",0,IF(H74="DNF",1,IF(AND(ISNUMBER(H74),H74&gt;59),1,_xlfn.XLOOKUP(H74,tbl_points[Place],tbl_points[Points],""))))))</f>
        <v>0</v>
      </c>
      <c r="J74" s="3">
        <v>15</v>
      </c>
      <c r="K74" s="3">
        <f>IF(J74="","",IF(J74="DNS",0,IF(J74="DQ",0,IF(J74="DNF",1,IF(AND(ISNUMBER(J74),J74&gt;59),1,_xlfn.XLOOKUP(J74,tbl_points[Place],tbl_points[Points],""))))))</f>
        <v>45</v>
      </c>
      <c r="M74" s="3" t="str">
        <f>IF(L74="","",IF(L74="DNS",0,IF(L74="DQ",0,IF(L74="DNF",1,IF(AND(ISNUMBER(L74),L74&gt;59),1,_xlfn.XLOOKUP(L74,tbl_points[Place],tbl_points[Points],""))))))</f>
        <v/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4" s="3">
        <f>tbl_individual[[#This Row],[Total]]</f>
        <v>45</v>
      </c>
    </row>
    <row r="75" spans="1:22" hidden="1" x14ac:dyDescent="0.4">
      <c r="A75" t="s">
        <v>200</v>
      </c>
      <c r="B75" t="s">
        <v>20</v>
      </c>
      <c r="C75" t="s">
        <v>1</v>
      </c>
      <c r="D75" s="3">
        <v>12041</v>
      </c>
      <c r="E75" s="3" t="s">
        <v>426</v>
      </c>
      <c r="G75" s="3" t="s">
        <v>406</v>
      </c>
      <c r="H75" s="3" t="s">
        <v>413</v>
      </c>
      <c r="I75" s="3">
        <f>IF(H75="","",IF(H75="DNS",0,IF(H75="DQ",0,IF(H75="DNF",1,IF(AND(ISNUMBER(H75),H75&gt;59),1,_xlfn.XLOOKUP(H75,tbl_points[Place],tbl_points[Points],""))))))</f>
        <v>0</v>
      </c>
      <c r="J75" s="3">
        <v>16</v>
      </c>
      <c r="K75" s="3">
        <f>IF(J75="","",IF(J75="DNS",0,IF(J75="DQ",0,IF(J75="DNF",1,IF(AND(ISNUMBER(J75),J75&gt;59),1,_xlfn.XLOOKUP(J75,tbl_points[Place],tbl_points[Points],""))))))</f>
        <v>44</v>
      </c>
      <c r="M75" s="3" t="str">
        <f>IF(L75="","",IF(L75="DNS",0,IF(L75="DQ",0,IF(L75="DNF",1,IF(AND(ISNUMBER(L75),L75&gt;59),1,_xlfn.XLOOKUP(L75,tbl_points[Place],tbl_points[Points],""))))))</f>
        <v/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5" s="3">
        <f>tbl_individual[[#This Row],[Total]]</f>
        <v>44</v>
      </c>
    </row>
    <row r="76" spans="1:22" hidden="1" x14ac:dyDescent="0.4">
      <c r="A76" t="s">
        <v>136</v>
      </c>
      <c r="B76" t="s">
        <v>13</v>
      </c>
      <c r="C76" t="s">
        <v>2</v>
      </c>
      <c r="D76" s="3">
        <v>1232</v>
      </c>
      <c r="E76" s="3" t="s">
        <v>426</v>
      </c>
      <c r="G76" s="3" t="s">
        <v>406</v>
      </c>
      <c r="H76" s="3" t="s">
        <v>413</v>
      </c>
      <c r="I76" s="3">
        <f>IF(H76="","",IF(H76="DNS",0,IF(H76="DQ",0,IF(H76="DNF",1,IF(AND(ISNUMBER(H76),H76&gt;59),1,_xlfn.XLOOKUP(H76,tbl_points[Place],tbl_points[Points],""))))))</f>
        <v>0</v>
      </c>
      <c r="J76" s="3">
        <v>1</v>
      </c>
      <c r="K76" s="3">
        <f>IF(J76="","",IF(J76="DNS",0,IF(J76="DQ",0,IF(J76="DNF",1,IF(AND(ISNUMBER(J76),J76&gt;59),1,_xlfn.XLOOKUP(J76,tbl_points[Place],tbl_points[Points],""))))))</f>
        <v>100</v>
      </c>
      <c r="M76" s="3" t="str">
        <f>IF(L76="","",IF(L76="DNS",0,IF(L76="DQ",0,IF(L76="DNF",1,IF(AND(ISNUMBER(L76),L76&gt;59),1,_xlfn.XLOOKUP(L76,tbl_points[Place],tbl_points[Points],""))))))</f>
        <v/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6" s="3">
        <f>tbl_individual[[#This Row],[Total]]</f>
        <v>100</v>
      </c>
    </row>
    <row r="77" spans="1:22" x14ac:dyDescent="0.4">
      <c r="A77" t="s">
        <v>280</v>
      </c>
      <c r="B77" t="s">
        <v>24</v>
      </c>
      <c r="C77" t="s">
        <v>7</v>
      </c>
      <c r="D77" s="3">
        <v>819</v>
      </c>
      <c r="E77" s="3" t="s">
        <v>426</v>
      </c>
      <c r="G77" s="3" t="s">
        <v>406</v>
      </c>
      <c r="H77" s="3">
        <v>28</v>
      </c>
      <c r="I77" s="3">
        <f>IF(H77="","",IF(H77="DNS",0,IF(H77="DQ",0,IF(H77="DNF",1,IF(AND(ISNUMBER(H77),H77&gt;59),1,_xlfn.XLOOKUP(H77,tbl_points[Place],tbl_points[Points],""))))))</f>
        <v>32</v>
      </c>
      <c r="J77" s="3">
        <v>15</v>
      </c>
      <c r="K77" s="3">
        <f>IF(J77="","",IF(J77="DNS",0,IF(J77="DQ",0,IF(J77="DNF",1,IF(AND(ISNUMBER(J77),J77&gt;59),1,_xlfn.XLOOKUP(J77,tbl_points[Place],tbl_points[Points],""))))))</f>
        <v>45</v>
      </c>
      <c r="M77" s="3" t="str">
        <f>IF(L77="","",IF(L77="DNS",0,IF(L77="DQ",0,IF(L77="DNF",1,IF(AND(ISNUMBER(L77),L77&gt;59),1,_xlfn.XLOOKUP(L77,tbl_points[Place],tbl_points[Points],""))))))</f>
        <v/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77" s="3">
        <f>tbl_individual[[#This Row],[Total]]</f>
        <v>77</v>
      </c>
    </row>
    <row r="78" spans="1:22" x14ac:dyDescent="0.4">
      <c r="A78" t="s">
        <v>355</v>
      </c>
      <c r="B78" t="s">
        <v>30</v>
      </c>
      <c r="C78" t="s">
        <v>7</v>
      </c>
      <c r="D78" s="3">
        <v>833</v>
      </c>
      <c r="E78" s="3" t="s">
        <v>426</v>
      </c>
      <c r="G78" s="3" t="s">
        <v>406</v>
      </c>
      <c r="H78" s="3">
        <v>15</v>
      </c>
      <c r="I78" s="3">
        <f>IF(H78="","",IF(H78="DNS",0,IF(H78="DQ",0,IF(H78="DNF",1,IF(AND(ISNUMBER(H78),H78&gt;59),1,_xlfn.XLOOKUP(H78,tbl_points[Place],tbl_points[Points],""))))))</f>
        <v>45</v>
      </c>
      <c r="J78" s="3">
        <v>16</v>
      </c>
      <c r="K78" s="3">
        <f>IF(J78="","",IF(J78="DNS",0,IF(J78="DQ",0,IF(J78="DNF",1,IF(AND(ISNUMBER(J78),J78&gt;59),1,_xlfn.XLOOKUP(J78,tbl_points[Place],tbl_points[Points],""))))))</f>
        <v>44</v>
      </c>
      <c r="M78" s="3" t="str">
        <f>IF(L78="","",IF(L78="DNS",0,IF(L78="DQ",0,IF(L78="DNF",1,IF(AND(ISNUMBER(L78),L78&gt;59),1,_xlfn.XLOOKUP(L78,tbl_points[Place],tbl_points[Points],""))))))</f>
        <v/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78" s="3">
        <f>tbl_individual[[#This Row],[Total]]</f>
        <v>89</v>
      </c>
    </row>
    <row r="79" spans="1:22" hidden="1" x14ac:dyDescent="0.4">
      <c r="A79" t="s">
        <v>374</v>
      </c>
      <c r="B79" t="s">
        <v>30</v>
      </c>
      <c r="C79" t="s">
        <v>3</v>
      </c>
      <c r="D79" s="3">
        <v>10201</v>
      </c>
      <c r="E79" s="3" t="s">
        <v>426</v>
      </c>
      <c r="G79" s="3" t="s">
        <v>406</v>
      </c>
      <c r="H79" s="3" t="s">
        <v>413</v>
      </c>
      <c r="I79" s="3">
        <f>IF(H79="","",IF(H79="DNS",0,IF(H79="DQ",0,IF(H79="DNF",1,IF(AND(ISNUMBER(H79),H79&gt;59),1,_xlfn.XLOOKUP(H79,tbl_points[Place],tbl_points[Points],""))))))</f>
        <v>0</v>
      </c>
      <c r="J79" s="3">
        <v>45</v>
      </c>
      <c r="K79" s="3">
        <f>IF(J79="","",IF(J79="DNS",0,IF(J79="DQ",0,IF(J79="DNF",1,IF(AND(ISNUMBER(J79),J79&gt;59),1,_xlfn.XLOOKUP(J79,tbl_points[Place],tbl_points[Points],""))))))</f>
        <v>15</v>
      </c>
      <c r="M79" s="3" t="str">
        <f>IF(L79="","",IF(L79="DNS",0,IF(L79="DQ",0,IF(L79="DNF",1,IF(AND(ISNUMBER(L79),L79&gt;59),1,_xlfn.XLOOKUP(L79,tbl_points[Place],tbl_points[Points],""))))))</f>
        <v/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9" s="3">
        <f>tbl_individual[[#This Row],[Total]]</f>
        <v>15</v>
      </c>
    </row>
    <row r="80" spans="1:22" hidden="1" x14ac:dyDescent="0.4">
      <c r="A80" t="s">
        <v>188</v>
      </c>
      <c r="B80" t="s">
        <v>20</v>
      </c>
      <c r="C80" t="s">
        <v>5</v>
      </c>
      <c r="D80" s="3">
        <v>921</v>
      </c>
      <c r="E80" s="3" t="s">
        <v>426</v>
      </c>
      <c r="G80" s="3" t="s">
        <v>406</v>
      </c>
      <c r="H80" s="3">
        <v>25</v>
      </c>
      <c r="I80" s="3">
        <f>IF(H80="","",IF(H80="DNS",0,IF(H80="DQ",0,IF(H80="DNF",1,IF(AND(ISNUMBER(H80),H80&gt;59),1,_xlfn.XLOOKUP(H80,tbl_points[Place],tbl_points[Points],""))))))</f>
        <v>35</v>
      </c>
      <c r="J80" s="3">
        <v>14</v>
      </c>
      <c r="K80" s="3">
        <f>IF(J80="","",IF(J80="DNS",0,IF(J80="DQ",0,IF(J80="DNF",1,IF(AND(ISNUMBER(J80),J80&gt;59),1,_xlfn.XLOOKUP(J80,tbl_points[Place],tbl_points[Points],""))))))</f>
        <v>47</v>
      </c>
      <c r="M80" s="3" t="str">
        <f>IF(L80="","",IF(L80="DNS",0,IF(L80="DQ",0,IF(L80="DNF",1,IF(AND(ISNUMBER(L80),L80&gt;59),1,_xlfn.XLOOKUP(L80,tbl_points[Place],tbl_points[Points],""))))))</f>
        <v/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80" s="3">
        <f>tbl_individual[[#This Row],[Total]]</f>
        <v>82</v>
      </c>
    </row>
    <row r="81" spans="1:22" hidden="1" x14ac:dyDescent="0.4">
      <c r="A81" t="s">
        <v>337</v>
      </c>
      <c r="B81" t="s">
        <v>28</v>
      </c>
      <c r="C81" t="s">
        <v>5</v>
      </c>
      <c r="D81" s="3">
        <v>947</v>
      </c>
      <c r="E81" s="3" t="s">
        <v>426</v>
      </c>
      <c r="G81" s="3" t="s">
        <v>406</v>
      </c>
      <c r="H81" s="3">
        <v>23</v>
      </c>
      <c r="I81" s="3">
        <f>IF(H81="","",IF(H81="DNS",0,IF(H81="DQ",0,IF(H81="DNF",1,IF(AND(ISNUMBER(H81),H81&gt;59),1,_xlfn.XLOOKUP(H81,tbl_points[Place],tbl_points[Points],""))))))</f>
        <v>37</v>
      </c>
      <c r="J81" s="3">
        <v>15</v>
      </c>
      <c r="K81" s="3">
        <f>IF(J81="","",IF(J81="DNS",0,IF(J81="DQ",0,IF(J81="DNF",1,IF(AND(ISNUMBER(J81),J81&gt;59),1,_xlfn.XLOOKUP(J81,tbl_points[Place],tbl_points[Points],""))))))</f>
        <v>45</v>
      </c>
      <c r="M81" s="3" t="str">
        <f>IF(L81="","",IF(L81="DNS",0,IF(L81="DQ",0,IF(L81="DNF",1,IF(AND(ISNUMBER(L81),L81&gt;59),1,_xlfn.XLOOKUP(L81,tbl_points[Place],tbl_points[Points],""))))))</f>
        <v/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81" s="3">
        <f>tbl_individual[[#This Row],[Total]]</f>
        <v>82</v>
      </c>
    </row>
    <row r="82" spans="1:22" hidden="1" x14ac:dyDescent="0.4">
      <c r="A82" t="s">
        <v>277</v>
      </c>
      <c r="B82" t="s">
        <v>23</v>
      </c>
      <c r="C82" t="s">
        <v>1</v>
      </c>
      <c r="D82" s="3">
        <v>12070</v>
      </c>
      <c r="E82" s="3" t="s">
        <v>426</v>
      </c>
      <c r="G82" s="3" t="s">
        <v>406</v>
      </c>
      <c r="H82" s="3">
        <v>11</v>
      </c>
      <c r="I82" s="3">
        <f>IF(H82="","",IF(H82="DNS",0,IF(H82="DQ",0,IF(H82="DNF",1,IF(AND(ISNUMBER(H82),H82&gt;59),1,_xlfn.XLOOKUP(H82,tbl_points[Place],tbl_points[Points],""))))))</f>
        <v>53</v>
      </c>
      <c r="J82" s="3">
        <v>17</v>
      </c>
      <c r="K82" s="3">
        <f>IF(J82="","",IF(J82="DNS",0,IF(J82="DQ",0,IF(J82="DNF",1,IF(AND(ISNUMBER(J82),J82&gt;59),1,_xlfn.XLOOKUP(J82,tbl_points[Place],tbl_points[Points],""))))))</f>
        <v>43</v>
      </c>
      <c r="M82" s="3" t="str">
        <f>IF(L82="","",IF(L82="DNS",0,IF(L82="DQ",0,IF(L82="DNF",1,IF(AND(ISNUMBER(L82),L82&gt;59),1,_xlfn.XLOOKUP(L82,tbl_points[Place],tbl_points[Points],""))))))</f>
        <v/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82" s="3">
        <f>tbl_individual[[#This Row],[Total]]</f>
        <v>96</v>
      </c>
    </row>
    <row r="83" spans="1:22" hidden="1" x14ac:dyDescent="0.4">
      <c r="A83" t="s">
        <v>268</v>
      </c>
      <c r="B83" t="s">
        <v>23</v>
      </c>
      <c r="C83" t="s">
        <v>1</v>
      </c>
      <c r="D83" s="3">
        <v>12061</v>
      </c>
      <c r="E83" s="3" t="s">
        <v>426</v>
      </c>
      <c r="G83" s="3" t="s">
        <v>406</v>
      </c>
      <c r="H83" s="3" t="s">
        <v>413</v>
      </c>
      <c r="I83" s="3">
        <f>IF(H83="","",IF(H83="DNS",0,IF(H83="DQ",0,IF(H83="DNF",1,IF(AND(ISNUMBER(H83),H83&gt;59),1,_xlfn.XLOOKUP(H83,tbl_points[Place],tbl_points[Points],""))))))</f>
        <v>0</v>
      </c>
      <c r="J83" s="3">
        <v>18</v>
      </c>
      <c r="K83" s="3">
        <f>IF(J83="","",IF(J83="DNS",0,IF(J83="DQ",0,IF(J83="DNF",1,IF(AND(ISNUMBER(J83),J83&gt;59),1,_xlfn.XLOOKUP(J83,tbl_points[Place],tbl_points[Points],""))))))</f>
        <v>42</v>
      </c>
      <c r="M83" s="3" t="str">
        <f>IF(L83="","",IF(L83="DNS",0,IF(L83="DQ",0,IF(L83="DNF",1,IF(AND(ISNUMBER(L83),L83&gt;59),1,_xlfn.XLOOKUP(L83,tbl_points[Place],tbl_points[Points],""))))))</f>
        <v/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3" s="3">
        <f>tbl_individual[[#This Row],[Total]]</f>
        <v>42</v>
      </c>
    </row>
    <row r="84" spans="1:22" hidden="1" x14ac:dyDescent="0.4">
      <c r="A84" t="s">
        <v>327</v>
      </c>
      <c r="B84" t="s">
        <v>27</v>
      </c>
      <c r="C84" t="s">
        <v>1</v>
      </c>
      <c r="D84" s="3">
        <v>12085</v>
      </c>
      <c r="E84" s="3" t="s">
        <v>426</v>
      </c>
      <c r="G84" s="3" t="s">
        <v>406</v>
      </c>
      <c r="H84" s="3" t="s">
        <v>413</v>
      </c>
      <c r="I84" s="3">
        <f>IF(H84="","",IF(H84="DNS",0,IF(H84="DQ",0,IF(H84="DNF",1,IF(AND(ISNUMBER(H84),H84&gt;59),1,_xlfn.XLOOKUP(H84,tbl_points[Place],tbl_points[Points],""))))))</f>
        <v>0</v>
      </c>
      <c r="J84" s="3">
        <v>19</v>
      </c>
      <c r="K84" s="3">
        <f>IF(J84="","",IF(J84="DNS",0,IF(J84="DQ",0,IF(J84="DNF",1,IF(AND(ISNUMBER(J84),J84&gt;59),1,_xlfn.XLOOKUP(J84,tbl_points[Place],tbl_points[Points],""))))))</f>
        <v>41</v>
      </c>
      <c r="M84" s="3" t="str">
        <f>IF(L84="","",IF(L84="DNS",0,IF(L84="DQ",0,IF(L84="DNF",1,IF(AND(ISNUMBER(L84),L84&gt;59),1,_xlfn.XLOOKUP(L84,tbl_points[Place],tbl_points[Points],""))))))</f>
        <v/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41</v>
      </c>
    </row>
    <row r="85" spans="1:22" hidden="1" x14ac:dyDescent="0.4">
      <c r="A85" t="s">
        <v>344</v>
      </c>
      <c r="B85" t="s">
        <v>28</v>
      </c>
      <c r="C85" t="s">
        <v>1</v>
      </c>
      <c r="D85" s="3">
        <v>12089</v>
      </c>
      <c r="E85" s="3" t="s">
        <v>426</v>
      </c>
      <c r="G85" s="3" t="s">
        <v>406</v>
      </c>
      <c r="H85" s="3" t="s">
        <v>413</v>
      </c>
      <c r="I85" s="3">
        <f>IF(H85="","",IF(H85="DNS",0,IF(H85="DQ",0,IF(H85="DNF",1,IF(AND(ISNUMBER(H85),H85&gt;59),1,_xlfn.XLOOKUP(H85,tbl_points[Place],tbl_points[Points],""))))))</f>
        <v>0</v>
      </c>
      <c r="J85" s="3">
        <v>20</v>
      </c>
      <c r="K85" s="3">
        <f>IF(J85="","",IF(J85="DNS",0,IF(J85="DQ",0,IF(J85="DNF",1,IF(AND(ISNUMBER(J85),J85&gt;59),1,_xlfn.XLOOKUP(J85,tbl_points[Place],tbl_points[Points],""))))))</f>
        <v>40</v>
      </c>
      <c r="M85" s="3" t="str">
        <f>IF(L85="","",IF(L85="DNS",0,IF(L85="DQ",0,IF(L85="DNF",1,IF(AND(ISNUMBER(L85),L85&gt;59),1,_xlfn.XLOOKUP(L85,tbl_points[Place],tbl_points[Points],""))))))</f>
        <v/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40</v>
      </c>
    </row>
    <row r="86" spans="1:22" hidden="1" x14ac:dyDescent="0.4">
      <c r="A86" t="s">
        <v>380</v>
      </c>
      <c r="B86" t="s">
        <v>30</v>
      </c>
      <c r="C86" t="s">
        <v>1</v>
      </c>
      <c r="D86" s="3">
        <v>12099</v>
      </c>
      <c r="E86" s="3" t="s">
        <v>426</v>
      </c>
      <c r="G86" s="3" t="s">
        <v>406</v>
      </c>
      <c r="H86" s="3">
        <v>15</v>
      </c>
      <c r="I86" s="3">
        <f>IF(H86="","",IF(H86="DNS",0,IF(H86="DQ",0,IF(H86="DNF",1,IF(AND(ISNUMBER(H86),H86&gt;59),1,_xlfn.XLOOKUP(H86,tbl_points[Place],tbl_points[Points],""))))))</f>
        <v>45</v>
      </c>
      <c r="J86" s="3">
        <v>21</v>
      </c>
      <c r="K86" s="3">
        <f>IF(J86="","",IF(J86="DNS",0,IF(J86="DQ",0,IF(J86="DNF",1,IF(AND(ISNUMBER(J86),J86&gt;59),1,_xlfn.XLOOKUP(J86,tbl_points[Place],tbl_points[Points],""))))))</f>
        <v>39</v>
      </c>
      <c r="M86" s="3" t="str">
        <f>IF(L86="","",IF(L86="DNS",0,IF(L86="DQ",0,IF(L86="DNF",1,IF(AND(ISNUMBER(L86),L86&gt;59),1,_xlfn.XLOOKUP(L86,tbl_points[Place],tbl_points[Points],""))))))</f>
        <v/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86" s="3">
        <f>tbl_individual[[#This Row],[Total]]</f>
        <v>84</v>
      </c>
    </row>
    <row r="87" spans="1:22" hidden="1" x14ac:dyDescent="0.4">
      <c r="A87" t="s">
        <v>379</v>
      </c>
      <c r="B87" t="s">
        <v>30</v>
      </c>
      <c r="C87" t="s">
        <v>1</v>
      </c>
      <c r="D87" s="3">
        <v>12098</v>
      </c>
      <c r="E87" s="3" t="s">
        <v>426</v>
      </c>
      <c r="G87" s="3" t="s">
        <v>406</v>
      </c>
      <c r="H87" s="3">
        <v>20</v>
      </c>
      <c r="I87" s="3">
        <f>IF(H87="","",IF(H87="DNS",0,IF(H87="DQ",0,IF(H87="DNF",1,IF(AND(ISNUMBER(H87),H87&gt;59),1,_xlfn.XLOOKUP(H87,tbl_points[Place],tbl_points[Points],""))))))</f>
        <v>40</v>
      </c>
      <c r="J87" s="3">
        <v>22</v>
      </c>
      <c r="K87" s="3">
        <f>IF(J87="","",IF(J87="DNS",0,IF(J87="DQ",0,IF(J87="DNF",1,IF(AND(ISNUMBER(J87),J87&gt;59),1,_xlfn.XLOOKUP(J87,tbl_points[Place],tbl_points[Points],""))))))</f>
        <v>38</v>
      </c>
      <c r="M87" s="3" t="str">
        <f>IF(L87="","",IF(L87="DNS",0,IF(L87="DQ",0,IF(L87="DNF",1,IF(AND(ISNUMBER(L87),L87&gt;59),1,_xlfn.XLOOKUP(L87,tbl_points[Place],tbl_points[Points],""))))))</f>
        <v/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87" s="3">
        <f>tbl_individual[[#This Row],[Total]]</f>
        <v>78</v>
      </c>
    </row>
    <row r="88" spans="1:22" hidden="1" x14ac:dyDescent="0.4">
      <c r="A88" t="s">
        <v>223</v>
      </c>
      <c r="B88" t="s">
        <v>21</v>
      </c>
      <c r="C88" t="s">
        <v>1</v>
      </c>
      <c r="D88" s="3">
        <v>12049</v>
      </c>
      <c r="E88" s="3" t="s">
        <v>426</v>
      </c>
      <c r="G88" s="3" t="s">
        <v>406</v>
      </c>
      <c r="H88" s="3">
        <v>8</v>
      </c>
      <c r="I88" s="3">
        <f>IF(H88="","",IF(H88="DNS",0,IF(H88="DQ",0,IF(H88="DNF",1,IF(AND(ISNUMBER(H88),H88&gt;59),1,_xlfn.XLOOKUP(H88,tbl_points[Place],tbl_points[Points],""))))))</f>
        <v>65</v>
      </c>
      <c r="J88" s="3">
        <v>23</v>
      </c>
      <c r="K88" s="3">
        <f>IF(J88="","",IF(J88="DNS",0,IF(J88="DQ",0,IF(J88="DNF",1,IF(AND(ISNUMBER(J88),J88&gt;59),1,_xlfn.XLOOKUP(J88,tbl_points[Place],tbl_points[Points],""))))))</f>
        <v>37</v>
      </c>
      <c r="M88" s="3" t="str">
        <f>IF(L88="","",IF(L88="DNS",0,IF(L88="DQ",0,IF(L88="DNF",1,IF(AND(ISNUMBER(L88),L88&gt;59),1,_xlfn.XLOOKUP(L88,tbl_points[Place],tbl_points[Points],""))))))</f>
        <v/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88" s="3">
        <f>tbl_individual[[#This Row],[Total]]</f>
        <v>102</v>
      </c>
    </row>
    <row r="89" spans="1:22" hidden="1" x14ac:dyDescent="0.4">
      <c r="A89" t="s">
        <v>326</v>
      </c>
      <c r="B89" t="s">
        <v>27</v>
      </c>
      <c r="C89" t="s">
        <v>1</v>
      </c>
      <c r="D89" s="3">
        <v>12084</v>
      </c>
      <c r="E89" s="3" t="s">
        <v>426</v>
      </c>
      <c r="G89" s="3" t="s">
        <v>406</v>
      </c>
      <c r="H89" s="3">
        <v>26</v>
      </c>
      <c r="I89" s="3">
        <f>IF(H89="","",IF(H89="DNS",0,IF(H89="DQ",0,IF(H89="DNF",1,IF(AND(ISNUMBER(H89),H89&gt;59),1,_xlfn.XLOOKUP(H89,tbl_points[Place],tbl_points[Points],""))))))</f>
        <v>34</v>
      </c>
      <c r="J89" s="3">
        <v>24</v>
      </c>
      <c r="K89" s="3">
        <f>IF(J89="","",IF(J89="DNS",0,IF(J89="DQ",0,IF(J89="DNF",1,IF(AND(ISNUMBER(J89),J89&gt;59),1,_xlfn.XLOOKUP(J89,tbl_points[Place],tbl_points[Points],""))))))</f>
        <v>36</v>
      </c>
      <c r="M89" s="3" t="str">
        <f>IF(L89="","",IF(L89="DNS",0,IF(L89="DQ",0,IF(L89="DNF",1,IF(AND(ISNUMBER(L89),L89&gt;59),1,_xlfn.XLOOKUP(L89,tbl_points[Place],tbl_points[Points],""))))))</f>
        <v/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89" s="3">
        <f>tbl_individual[[#This Row],[Total]]</f>
        <v>70</v>
      </c>
    </row>
    <row r="90" spans="1:22" hidden="1" x14ac:dyDescent="0.4">
      <c r="A90" t="s">
        <v>222</v>
      </c>
      <c r="B90" t="s">
        <v>21</v>
      </c>
      <c r="C90" t="s">
        <v>2</v>
      </c>
      <c r="D90" s="3">
        <v>1238</v>
      </c>
      <c r="E90" s="3" t="s">
        <v>426</v>
      </c>
      <c r="G90" s="3" t="s">
        <v>406</v>
      </c>
      <c r="H90" s="3" t="s">
        <v>413</v>
      </c>
      <c r="I90" s="3">
        <f>IF(H90="","",IF(H90="DNS",0,IF(H90="DQ",0,IF(H90="DNF",1,IF(AND(ISNUMBER(H90),H90&gt;59),1,_xlfn.XLOOKUP(H90,tbl_points[Place],tbl_points[Points],""))))))</f>
        <v>0</v>
      </c>
      <c r="J90" s="3">
        <v>2</v>
      </c>
      <c r="K90" s="3">
        <f>IF(J90="","",IF(J90="DNS",0,IF(J90="DQ",0,IF(J90="DNF",1,IF(AND(ISNUMBER(J90),J90&gt;59),1,_xlfn.XLOOKUP(J90,tbl_points[Place],tbl_points[Points],""))))))</f>
        <v>95</v>
      </c>
      <c r="M90" s="3" t="str">
        <f>IF(L90="","",IF(L90="DNS",0,IF(L90="DQ",0,IF(L90="DNF",1,IF(AND(ISNUMBER(L90),L90&gt;59),1,_xlfn.XLOOKUP(L90,tbl_points[Place],tbl_points[Points],""))))))</f>
        <v/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95</v>
      </c>
    </row>
    <row r="91" spans="1:22" hidden="1" x14ac:dyDescent="0.4">
      <c r="A91" t="s">
        <v>267</v>
      </c>
      <c r="B91" t="s">
        <v>23</v>
      </c>
      <c r="C91" t="s">
        <v>2</v>
      </c>
      <c r="D91" s="3">
        <v>1242</v>
      </c>
      <c r="E91" s="3" t="s">
        <v>426</v>
      </c>
      <c r="G91" s="3" t="s">
        <v>410</v>
      </c>
      <c r="H91" s="3">
        <v>9</v>
      </c>
      <c r="I91" s="3">
        <f>IF(H91="","",IF(H91="DNS",0,IF(H91="DQ",0,IF(H91="DNF",1,IF(AND(ISNUMBER(H91),H91&gt;59),1,_xlfn.XLOOKUP(H91,tbl_points[Place],tbl_points[Points],""))))))</f>
        <v>60</v>
      </c>
      <c r="J91" s="3">
        <v>3</v>
      </c>
      <c r="K91" s="3">
        <f>IF(J91="","",IF(J91="DNS",0,IF(J91="DQ",0,IF(J91="DNF",1,IF(AND(ISNUMBER(J91),J91&gt;59),1,_xlfn.XLOOKUP(J91,tbl_points[Place],tbl_points[Points],""))))))</f>
        <v>90</v>
      </c>
      <c r="M91" s="3" t="str">
        <f>IF(L91="","",IF(L91="DNS",0,IF(L91="DQ",0,IF(L91="DNF",1,IF(AND(ISNUMBER(L91),L91&gt;59),1,_xlfn.XLOOKUP(L91,tbl_points[Place],tbl_points[Points],""))))))</f>
        <v/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91" s="3">
        <f>tbl_individual[[#This Row],[Total]]</f>
        <v>150</v>
      </c>
    </row>
    <row r="92" spans="1:22" hidden="1" x14ac:dyDescent="0.4">
      <c r="A92" t="s">
        <v>390</v>
      </c>
      <c r="B92" t="s">
        <v>31</v>
      </c>
      <c r="C92" t="s">
        <v>2</v>
      </c>
      <c r="D92" s="3">
        <v>1248</v>
      </c>
      <c r="E92" s="3" t="s">
        <v>426</v>
      </c>
      <c r="G92" s="3" t="s">
        <v>406</v>
      </c>
      <c r="H92" s="3">
        <v>1</v>
      </c>
      <c r="I92" s="3">
        <f>IF(H92="","",IF(H92="DNS",0,IF(H92="DQ",0,IF(H92="DNF",1,IF(AND(ISNUMBER(H92),H92&gt;59),1,_xlfn.XLOOKUP(H92,tbl_points[Place],tbl_points[Points],""))))))</f>
        <v>100</v>
      </c>
      <c r="J92" s="3">
        <v>4</v>
      </c>
      <c r="K92" s="3">
        <f>IF(J92="","",IF(J92="DNS",0,IF(J92="DQ",0,IF(J92="DNF",1,IF(AND(ISNUMBER(J92),J92&gt;59),1,_xlfn.XLOOKUP(J92,tbl_points[Place],tbl_points[Points],""))))))</f>
        <v>85</v>
      </c>
      <c r="M92" s="3" t="str">
        <f>IF(L92="","",IF(L92="DNS",0,IF(L92="DQ",0,IF(L92="DNF",1,IF(AND(ISNUMBER(L92),L92&gt;59),1,_xlfn.XLOOKUP(L92,tbl_points[Place],tbl_points[Points],""))))))</f>
        <v/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92" s="3">
        <f>tbl_individual[[#This Row],[Total]]</f>
        <v>185</v>
      </c>
    </row>
    <row r="93" spans="1:22" hidden="1" x14ac:dyDescent="0.4">
      <c r="A93" t="s">
        <v>120</v>
      </c>
      <c r="B93" t="s">
        <v>12</v>
      </c>
      <c r="C93" t="s">
        <v>2</v>
      </c>
      <c r="D93" s="3">
        <v>1227</v>
      </c>
      <c r="E93" s="3" t="s">
        <v>426</v>
      </c>
      <c r="G93" s="3" t="s">
        <v>406</v>
      </c>
      <c r="H93" s="3">
        <v>3</v>
      </c>
      <c r="I93" s="3">
        <f>IF(H93="","",IF(H93="DNS",0,IF(H93="DQ",0,IF(H93="DNF",1,IF(AND(ISNUMBER(H93),H93&gt;59),1,_xlfn.XLOOKUP(H93,tbl_points[Place],tbl_points[Points],""))))))</f>
        <v>90</v>
      </c>
      <c r="J93" s="3">
        <v>5</v>
      </c>
      <c r="K93" s="3">
        <f>IF(J93="","",IF(J93="DNS",0,IF(J93="DQ",0,IF(J93="DNF",1,IF(AND(ISNUMBER(J93),J93&gt;59),1,_xlfn.XLOOKUP(J93,tbl_points[Place],tbl_points[Points],""))))))</f>
        <v>80</v>
      </c>
      <c r="M93" s="3" t="str">
        <f>IF(L93="","",IF(L93="DNS",0,IF(L93="DQ",0,IF(L93="DNF",1,IF(AND(ISNUMBER(L93),L93&gt;59),1,_xlfn.XLOOKUP(L93,tbl_points[Place],tbl_points[Points],""))))))</f>
        <v/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93" s="3">
        <f>tbl_individual[[#This Row],[Total]]</f>
        <v>170</v>
      </c>
    </row>
    <row r="94" spans="1:22" x14ac:dyDescent="0.4">
      <c r="A94" t="s">
        <v>313</v>
      </c>
      <c r="B94" t="s">
        <v>27</v>
      </c>
      <c r="C94" t="s">
        <v>7</v>
      </c>
      <c r="D94" s="3">
        <v>825</v>
      </c>
      <c r="E94" s="3" t="s">
        <v>426</v>
      </c>
      <c r="G94" s="3" t="s">
        <v>406</v>
      </c>
      <c r="H94" s="3">
        <v>13</v>
      </c>
      <c r="I94" s="3">
        <f>IF(H94="","",IF(H94="DNS",0,IF(H94="DQ",0,IF(H94="DNF",1,IF(AND(ISNUMBER(H94),H94&gt;59),1,_xlfn.XLOOKUP(H94,tbl_points[Place],tbl_points[Points],""))))))</f>
        <v>49</v>
      </c>
      <c r="J94" s="3">
        <v>17</v>
      </c>
      <c r="K94" s="3">
        <f>IF(J94="","",IF(J94="DNS",0,IF(J94="DQ",0,IF(J94="DNF",1,IF(AND(ISNUMBER(J94),J94&gt;59),1,_xlfn.XLOOKUP(J94,tbl_points[Place],tbl_points[Points],""))))))</f>
        <v>43</v>
      </c>
      <c r="M94" s="3" t="str">
        <f>IF(L94="","",IF(L94="DNS",0,IF(L94="DQ",0,IF(L94="DNF",1,IF(AND(ISNUMBER(L94),L94&gt;59),1,_xlfn.XLOOKUP(L94,tbl_points[Place],tbl_points[Points],""))))))</f>
        <v/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94" s="3">
        <f>tbl_individual[[#This Row],[Total]]</f>
        <v>92</v>
      </c>
    </row>
    <row r="95" spans="1:22" hidden="1" x14ac:dyDescent="0.4">
      <c r="A95" t="s">
        <v>281</v>
      </c>
      <c r="B95" t="s">
        <v>24</v>
      </c>
      <c r="C95" t="s">
        <v>3</v>
      </c>
      <c r="D95" s="3">
        <v>10187</v>
      </c>
      <c r="E95" s="3" t="s">
        <v>426</v>
      </c>
      <c r="G95" s="3" t="s">
        <v>406</v>
      </c>
      <c r="H95" s="3">
        <v>36</v>
      </c>
      <c r="I95" s="3">
        <f>IF(H95="","",IF(H95="DNS",0,IF(H95="DQ",0,IF(H95="DNF",1,IF(AND(ISNUMBER(H95),H95&gt;59),1,_xlfn.XLOOKUP(H95,tbl_points[Place],tbl_points[Points],""))))))</f>
        <v>24</v>
      </c>
      <c r="J95" s="3">
        <v>44</v>
      </c>
      <c r="K95" s="3">
        <f>IF(J95="","",IF(J95="DNS",0,IF(J95="DQ",0,IF(J95="DNF",1,IF(AND(ISNUMBER(J95),J95&gt;59),1,_xlfn.XLOOKUP(J95,tbl_points[Place],tbl_points[Points],""))))))</f>
        <v>16</v>
      </c>
      <c r="M95" s="3" t="str">
        <f>IF(L95="","",IF(L95="DNS",0,IF(L95="DQ",0,IF(L95="DNF",1,IF(AND(ISNUMBER(L95),L95&gt;59),1,_xlfn.XLOOKUP(L95,tbl_points[Place],tbl_points[Points],""))))))</f>
        <v/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95" s="3">
        <f>tbl_individual[[#This Row],[Total]]</f>
        <v>40</v>
      </c>
    </row>
    <row r="96" spans="1:22" hidden="1" x14ac:dyDescent="0.4">
      <c r="A96" t="s">
        <v>84</v>
      </c>
      <c r="B96" t="s">
        <v>10</v>
      </c>
      <c r="C96" t="s">
        <v>3</v>
      </c>
      <c r="D96" s="3">
        <v>10110</v>
      </c>
      <c r="E96" s="3" t="s">
        <v>426</v>
      </c>
      <c r="G96" s="3" t="s">
        <v>406</v>
      </c>
      <c r="H96" s="3">
        <v>38</v>
      </c>
      <c r="I96" s="3">
        <f>IF(H96="","",IF(H96="DNS",0,IF(H96="DQ",0,IF(H96="DNF",1,IF(AND(ISNUMBER(H96),H96&gt;59),1,_xlfn.XLOOKUP(H96,tbl_points[Place],tbl_points[Points],""))))))</f>
        <v>22</v>
      </c>
      <c r="J96" s="3">
        <v>43</v>
      </c>
      <c r="K96" s="3">
        <f>IF(J96="","",IF(J96="DNS",0,IF(J96="DQ",0,IF(J96="DNF",1,IF(AND(ISNUMBER(J96),J96&gt;59),1,_xlfn.XLOOKUP(J96,tbl_points[Place],tbl_points[Points],""))))))</f>
        <v>17</v>
      </c>
      <c r="M96" s="3" t="str">
        <f>IF(L96="","",IF(L96="DNS",0,IF(L96="DQ",0,IF(L96="DNF",1,IF(AND(ISNUMBER(L96),L96&gt;59),1,_xlfn.XLOOKUP(L96,tbl_points[Place],tbl_points[Points],""))))))</f>
        <v/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96" s="3">
        <f>tbl_individual[[#This Row],[Total]]</f>
        <v>39</v>
      </c>
    </row>
    <row r="97" spans="1:22" hidden="1" x14ac:dyDescent="0.4">
      <c r="A97" t="s">
        <v>74</v>
      </c>
      <c r="B97" t="s">
        <v>10</v>
      </c>
      <c r="C97" t="s">
        <v>5</v>
      </c>
      <c r="D97" s="3">
        <v>907</v>
      </c>
      <c r="E97" s="3" t="s">
        <v>426</v>
      </c>
      <c r="G97" s="3" t="s">
        <v>410</v>
      </c>
      <c r="H97" s="3">
        <v>27</v>
      </c>
      <c r="I97" s="3">
        <f>IF(H97="","",IF(H97="DNS",0,IF(H97="DQ",0,IF(H97="DNF",1,IF(AND(ISNUMBER(H97),H97&gt;59),1,_xlfn.XLOOKUP(H97,tbl_points[Place],tbl_points[Points],""))))))</f>
        <v>33</v>
      </c>
      <c r="J97" s="3">
        <v>16</v>
      </c>
      <c r="K97" s="3">
        <f>IF(J97="","",IF(J97="DNS",0,IF(J97="DQ",0,IF(J97="DNF",1,IF(AND(ISNUMBER(J97),J97&gt;59),1,_xlfn.XLOOKUP(J97,tbl_points[Place],tbl_points[Points],""))))))</f>
        <v>44</v>
      </c>
      <c r="M97" s="3" t="str">
        <f>IF(L97="","",IF(L97="DNS",0,IF(L97="DQ",0,IF(L97="DNF",1,IF(AND(ISNUMBER(L97),L97&gt;59),1,_xlfn.XLOOKUP(L97,tbl_points[Place],tbl_points[Points],""))))))</f>
        <v/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97" s="3">
        <f>tbl_individual[[#This Row],[Total]]</f>
        <v>77</v>
      </c>
    </row>
    <row r="98" spans="1:22" hidden="1" x14ac:dyDescent="0.4">
      <c r="A98" t="s">
        <v>378</v>
      </c>
      <c r="B98" t="s">
        <v>30</v>
      </c>
      <c r="C98" t="s">
        <v>1</v>
      </c>
      <c r="D98" s="3">
        <v>12097</v>
      </c>
      <c r="E98" s="3" t="s">
        <v>426</v>
      </c>
      <c r="G98" s="3" t="s">
        <v>406</v>
      </c>
      <c r="H98" s="3" t="s">
        <v>413</v>
      </c>
      <c r="I98" s="3">
        <f>IF(H98="","",IF(H98="DNS",0,IF(H98="DQ",0,IF(H98="DNF",1,IF(AND(ISNUMBER(H98),H98&gt;59),1,_xlfn.XLOOKUP(H98,tbl_points[Place],tbl_points[Points],""))))))</f>
        <v>0</v>
      </c>
      <c r="J98" s="3">
        <v>25</v>
      </c>
      <c r="K98" s="3">
        <f>IF(J98="","",IF(J98="DNS",0,IF(J98="DQ",0,IF(J98="DNF",1,IF(AND(ISNUMBER(J98),J98&gt;59),1,_xlfn.XLOOKUP(J98,tbl_points[Place],tbl_points[Points],""))))))</f>
        <v>35</v>
      </c>
      <c r="M98" s="3" t="str">
        <f>IF(L98="","",IF(L98="DNS",0,IF(L98="DQ",0,IF(L98="DNF",1,IF(AND(ISNUMBER(L98),L98&gt;59),1,_xlfn.XLOOKUP(L98,tbl_points[Place],tbl_points[Points],""))))))</f>
        <v/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</f>
        <v>35</v>
      </c>
    </row>
    <row r="99" spans="1:22" x14ac:dyDescent="0.4">
      <c r="A99" t="s">
        <v>183</v>
      </c>
      <c r="B99" t="s">
        <v>20</v>
      </c>
      <c r="C99" t="s">
        <v>7</v>
      </c>
      <c r="D99" s="3">
        <v>810</v>
      </c>
      <c r="E99" s="3" t="s">
        <v>426</v>
      </c>
      <c r="G99" s="3" t="s">
        <v>406</v>
      </c>
      <c r="H99" s="3">
        <v>17</v>
      </c>
      <c r="I99" s="3">
        <f>IF(H99="","",IF(H99="DNS",0,IF(H99="DQ",0,IF(H99="DNF",1,IF(AND(ISNUMBER(H99),H99&gt;59),1,_xlfn.XLOOKUP(H99,tbl_points[Place],tbl_points[Points],""))))))</f>
        <v>43</v>
      </c>
      <c r="J99" s="3">
        <v>18</v>
      </c>
      <c r="K99" s="3">
        <f>IF(J99="","",IF(J99="DNS",0,IF(J99="DQ",0,IF(J99="DNF",1,IF(AND(ISNUMBER(J99),J99&gt;59),1,_xlfn.XLOOKUP(J99,tbl_points[Place],tbl_points[Points],""))))))</f>
        <v>42</v>
      </c>
      <c r="M99" s="3" t="str">
        <f>IF(L99="","",IF(L99="DNS",0,IF(L99="DQ",0,IF(L99="DNF",1,IF(AND(ISNUMBER(L99),L99&gt;59),1,_xlfn.XLOOKUP(L99,tbl_points[Place],tbl_points[Points],""))))))</f>
        <v/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99" s="3">
        <f>tbl_individual[[#This Row],[Total]]</f>
        <v>85</v>
      </c>
    </row>
    <row r="100" spans="1:22" x14ac:dyDescent="0.4">
      <c r="A100" t="s">
        <v>142</v>
      </c>
      <c r="B100" t="s">
        <v>15</v>
      </c>
      <c r="C100" t="s">
        <v>7</v>
      </c>
      <c r="D100" s="3">
        <v>8198</v>
      </c>
      <c r="E100" s="3" t="s">
        <v>426</v>
      </c>
      <c r="G100" s="3" t="s">
        <v>406</v>
      </c>
      <c r="H100" s="3">
        <v>3</v>
      </c>
      <c r="I100" s="3">
        <f>IF(H100="","",IF(H100="DNS",0,IF(H100="DQ",0,IF(H100="DNF",1,IF(AND(ISNUMBER(H100),H100&gt;59),1,_xlfn.XLOOKUP(H100,tbl_points[Place],tbl_points[Points],""))))))</f>
        <v>90</v>
      </c>
      <c r="J100" s="3">
        <v>19</v>
      </c>
      <c r="K100" s="3">
        <f>IF(J100="","",IF(J100="DNS",0,IF(J100="DQ",0,IF(J100="DNF",1,IF(AND(ISNUMBER(J100),J100&gt;59),1,_xlfn.XLOOKUP(J100,tbl_points[Place],tbl_points[Points],""))))))</f>
        <v>41</v>
      </c>
      <c r="M100" s="3" t="str">
        <f>IF(L100="","",IF(L100="DNS",0,IF(L100="DQ",0,IF(L100="DNF",1,IF(AND(ISNUMBER(L100),L100&gt;59),1,_xlfn.XLOOKUP(L100,tbl_points[Place],tbl_points[Points],""))))))</f>
        <v/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00" s="3">
        <f>tbl_individual[[#This Row],[Total]]</f>
        <v>131</v>
      </c>
    </row>
    <row r="101" spans="1:22" x14ac:dyDescent="0.4">
      <c r="A101" t="s">
        <v>122</v>
      </c>
      <c r="B101" t="s">
        <v>13</v>
      </c>
      <c r="C101" t="s">
        <v>7</v>
      </c>
      <c r="D101" s="3">
        <v>8194</v>
      </c>
      <c r="E101" s="3" t="s">
        <v>426</v>
      </c>
      <c r="G101" s="3" t="s">
        <v>406</v>
      </c>
      <c r="H101" s="3" t="s">
        <v>413</v>
      </c>
      <c r="I101" s="3">
        <f>IF(H101="","",IF(H101="DNS",0,IF(H101="DQ",0,IF(H101="DNF",1,IF(AND(ISNUMBER(H101),H101&gt;59),1,_xlfn.XLOOKUP(H101,tbl_points[Place],tbl_points[Points],""))))))</f>
        <v>0</v>
      </c>
      <c r="J101" s="3">
        <v>20</v>
      </c>
      <c r="K101" s="3">
        <f>IF(J101="","",IF(J101="DNS",0,IF(J101="DQ",0,IF(J101="DNF",1,IF(AND(ISNUMBER(J101),J101&gt;59),1,_xlfn.XLOOKUP(J101,tbl_points[Place],tbl_points[Points],""))))))</f>
        <v>40</v>
      </c>
      <c r="M101" s="3" t="str">
        <f>IF(L101="","",IF(L101="DNS",0,IF(L101="DQ",0,IF(L101="DNF",1,IF(AND(ISNUMBER(L101),L101&gt;59),1,_xlfn.XLOOKUP(L101,tbl_points[Place],tbl_points[Points],""))))))</f>
        <v/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1" s="3">
        <f>tbl_individual[[#This Row],[Total]]</f>
        <v>40</v>
      </c>
    </row>
    <row r="102" spans="1:22" x14ac:dyDescent="0.4">
      <c r="A102" t="s">
        <v>333</v>
      </c>
      <c r="B102" t="s">
        <v>28</v>
      </c>
      <c r="C102" t="s">
        <v>7</v>
      </c>
      <c r="D102" s="3">
        <v>829</v>
      </c>
      <c r="E102" s="3" t="s">
        <v>426</v>
      </c>
      <c r="G102" s="3" t="s">
        <v>406</v>
      </c>
      <c r="H102" s="3">
        <v>21</v>
      </c>
      <c r="I102" s="3">
        <f>IF(H102="","",IF(H102="DNS",0,IF(H102="DQ",0,IF(H102="DNF",1,IF(AND(ISNUMBER(H102),H102&gt;59),1,_xlfn.XLOOKUP(H102,tbl_points[Place],tbl_points[Points],""))))))</f>
        <v>39</v>
      </c>
      <c r="J102" s="3">
        <v>21</v>
      </c>
      <c r="K102" s="3">
        <f>IF(J102="","",IF(J102="DNS",0,IF(J102="DQ",0,IF(J102="DNF",1,IF(AND(ISNUMBER(J102),J102&gt;59),1,_xlfn.XLOOKUP(J102,tbl_points[Place],tbl_points[Points],""))))))</f>
        <v>39</v>
      </c>
      <c r="M102" s="3" t="str">
        <f>IF(L102="","",IF(L102="DNS",0,IF(L102="DQ",0,IF(L102="DNF",1,IF(AND(ISNUMBER(L102),L102&gt;59),1,_xlfn.XLOOKUP(L102,tbl_points[Place],tbl_points[Points],""))))))</f>
        <v/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102" s="3">
        <f>tbl_individual[[#This Row],[Total]]</f>
        <v>78</v>
      </c>
    </row>
    <row r="103" spans="1:22" hidden="1" x14ac:dyDescent="0.4">
      <c r="A103" t="s">
        <v>407</v>
      </c>
      <c r="B103" t="s">
        <v>15</v>
      </c>
      <c r="C103" t="s">
        <v>7</v>
      </c>
      <c r="D103" s="3">
        <v>8009</v>
      </c>
      <c r="E103" s="3" t="s">
        <v>427</v>
      </c>
      <c r="F103" s="17" t="s">
        <v>437</v>
      </c>
      <c r="G103" s="3" t="s">
        <v>410</v>
      </c>
      <c r="H103" s="3">
        <v>9</v>
      </c>
      <c r="I103" s="3">
        <f>IF(H103="","",IF(H103="DNS",0,IF(H103="DQ",0,IF(H103="DNF",1,IF(AND(ISNUMBER(H103),H103&gt;59),1,_xlfn.XLOOKUP(H103,tbl_points[Place],tbl_points[Points],""))))))</f>
        <v>60</v>
      </c>
      <c r="K103" s="3" t="str">
        <f>IF(J103="","",IF(J103="DNS",0,IF(J103="DQ",0,IF(J103="DNF",1,IF(AND(ISNUMBER(J103),J103&gt;59),1,_xlfn.XLOOKUP(J103,tbl_points[Place],tbl_points[Points],""))))))</f>
        <v/>
      </c>
      <c r="M103" s="3" t="str">
        <f>IF(L103="","",IF(L103="DNS",0,IF(L103="DQ",0,IF(L103="DNF",1,IF(AND(ISNUMBER(L103),L103&gt;59),1,_xlfn.XLOOKUP(L103,tbl_points[Place],tbl_points[Points],""))))))</f>
        <v/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03" s="3">
        <f>tbl_individual[[#This Row],[Total]]</f>
        <v>60</v>
      </c>
    </row>
    <row r="104" spans="1:22" x14ac:dyDescent="0.4">
      <c r="A104" t="s">
        <v>57</v>
      </c>
      <c r="B104" t="s">
        <v>10</v>
      </c>
      <c r="C104" t="s">
        <v>7</v>
      </c>
      <c r="D104" s="3">
        <v>8147</v>
      </c>
      <c r="E104" s="3" t="s">
        <v>426</v>
      </c>
      <c r="G104" s="3" t="s">
        <v>406</v>
      </c>
      <c r="H104" s="3">
        <v>23</v>
      </c>
      <c r="I104" s="3">
        <f>IF(H104="","",IF(H104="DNS",0,IF(H104="DQ",0,IF(H104="DNF",1,IF(AND(ISNUMBER(H104),H104&gt;59),1,_xlfn.XLOOKUP(H104,tbl_points[Place],tbl_points[Points],""))))))</f>
        <v>37</v>
      </c>
      <c r="J104" s="3">
        <v>22</v>
      </c>
      <c r="K104" s="3">
        <f>IF(J104="","",IF(J104="DNS",0,IF(J104="DQ",0,IF(J104="DNF",1,IF(AND(ISNUMBER(J104),J104&gt;59),1,_xlfn.XLOOKUP(J104,tbl_points[Place],tbl_points[Points],""))))))</f>
        <v>38</v>
      </c>
      <c r="M104" s="3" t="str">
        <f>IF(L104="","",IF(L104="DNS",0,IF(L104="DQ",0,IF(L104="DNF",1,IF(AND(ISNUMBER(L104),L104&gt;59),1,_xlfn.XLOOKUP(L104,tbl_points[Place],tbl_points[Points],""))))))</f>
        <v/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04" s="3">
        <f>tbl_individual[[#This Row],[Total]]</f>
        <v>75</v>
      </c>
    </row>
    <row r="105" spans="1:22" x14ac:dyDescent="0.4">
      <c r="A105" t="s">
        <v>312</v>
      </c>
      <c r="B105" t="s">
        <v>27</v>
      </c>
      <c r="C105" t="s">
        <v>7</v>
      </c>
      <c r="D105" s="3">
        <v>824</v>
      </c>
      <c r="E105" s="3" t="s">
        <v>426</v>
      </c>
      <c r="G105" s="3" t="s">
        <v>406</v>
      </c>
      <c r="H105" s="3">
        <v>10</v>
      </c>
      <c r="I105" s="3">
        <f>IF(H105="","",IF(H105="DNS",0,IF(H105="DQ",0,IF(H105="DNF",1,IF(AND(ISNUMBER(H105),H105&gt;59),1,_xlfn.XLOOKUP(H105,tbl_points[Place],tbl_points[Points],""))))))</f>
        <v>55</v>
      </c>
      <c r="J105" s="3">
        <v>23</v>
      </c>
      <c r="K105" s="3">
        <f>IF(J105="","",IF(J105="DNS",0,IF(J105="DQ",0,IF(J105="DNF",1,IF(AND(ISNUMBER(J105),J105&gt;59),1,_xlfn.XLOOKUP(J105,tbl_points[Place],tbl_points[Points],""))))))</f>
        <v>37</v>
      </c>
      <c r="M105" s="3" t="str">
        <f>IF(L105="","",IF(L105="DNS",0,IF(L105="DQ",0,IF(L105="DNF",1,IF(AND(ISNUMBER(L105),L105&gt;59),1,_xlfn.XLOOKUP(L105,tbl_points[Place],tbl_points[Points],""))))))</f>
        <v/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05" s="3">
        <f>tbl_individual[[#This Row],[Total]]</f>
        <v>92</v>
      </c>
    </row>
    <row r="106" spans="1:22" x14ac:dyDescent="0.4">
      <c r="A106" t="s">
        <v>236</v>
      </c>
      <c r="B106" t="s">
        <v>22</v>
      </c>
      <c r="C106" t="s">
        <v>7</v>
      </c>
      <c r="D106" s="3">
        <v>814</v>
      </c>
      <c r="E106" s="3" t="s">
        <v>426</v>
      </c>
      <c r="G106" s="3" t="s">
        <v>406</v>
      </c>
      <c r="H106" s="3">
        <v>18</v>
      </c>
      <c r="I106" s="3">
        <f>IF(H106="","",IF(H106="DNS",0,IF(H106="DQ",0,IF(H106="DNF",1,IF(AND(ISNUMBER(H106),H106&gt;59),1,_xlfn.XLOOKUP(H106,tbl_points[Place],tbl_points[Points],""))))))</f>
        <v>42</v>
      </c>
      <c r="J106" s="3">
        <v>24</v>
      </c>
      <c r="K106" s="3">
        <f>IF(J106="","",IF(J106="DNS",0,IF(J106="DQ",0,IF(J106="DNF",1,IF(AND(ISNUMBER(J106),J106&gt;59),1,_xlfn.XLOOKUP(J106,tbl_points[Place],tbl_points[Points],""))))))</f>
        <v>36</v>
      </c>
      <c r="M106" s="3" t="str">
        <f>IF(L106="","",IF(L106="DNS",0,IF(L106="DQ",0,IF(L106="DNF",1,IF(AND(ISNUMBER(L106),L106&gt;59),1,_xlfn.XLOOKUP(L106,tbl_points[Place],tbl_points[Points],""))))))</f>
        <v/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06" s="3">
        <f>tbl_individual[[#This Row],[Total]]</f>
        <v>78</v>
      </c>
    </row>
    <row r="107" spans="1:22" hidden="1" x14ac:dyDescent="0.4">
      <c r="A107" s="11" t="s">
        <v>146</v>
      </c>
      <c r="B107" s="11" t="s">
        <v>15</v>
      </c>
      <c r="C107" s="11" t="s">
        <v>7</v>
      </c>
      <c r="E107" s="3" t="s">
        <v>427</v>
      </c>
      <c r="F107" s="17" t="s">
        <v>436</v>
      </c>
      <c r="I107" s="3" t="str">
        <f>IF(H107="","",IF(H107="DNS",0,IF(H107="DQ",0,IF(H107="DNF",1,IF(AND(ISNUMBER(H107),H107&gt;59),1,_xlfn.XLOOKUP(H107,tbl_points[Place],tbl_points[Points],""))))))</f>
        <v/>
      </c>
      <c r="K107" s="3" t="str">
        <f>IF(J107="","",IF(J107="DNS",0,IF(J107="DQ",0,IF(J107="DNF",1,IF(AND(ISNUMBER(J107),J107&gt;59),1,_xlfn.XLOOKUP(J107,tbl_points[Place],tbl_points[Points],""))))))</f>
        <v/>
      </c>
      <c r="M107" s="3" t="str">
        <f>IF(L107="","",IF(L107="DNS",0,IF(L107="DQ",0,IF(L107="DNF",1,IF(AND(ISNUMBER(L107),L107&gt;59),1,_xlfn.XLOOKUP(L107,tbl_points[Place],tbl_points[Points],""))))))</f>
        <v/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0</v>
      </c>
    </row>
    <row r="108" spans="1:22" hidden="1" x14ac:dyDescent="0.4">
      <c r="A108" t="s">
        <v>147</v>
      </c>
      <c r="B108" t="s">
        <v>15</v>
      </c>
      <c r="C108" t="s">
        <v>8</v>
      </c>
      <c r="D108" s="3">
        <v>825</v>
      </c>
      <c r="E108" s="3" t="s">
        <v>426</v>
      </c>
      <c r="G108" s="3" t="s">
        <v>406</v>
      </c>
      <c r="H108" s="3">
        <v>5</v>
      </c>
      <c r="I108" s="3">
        <f>IF(H108="","",IF(H108="DNS",0,IF(H108="DQ",0,IF(H108="DNF",1,IF(AND(ISNUMBER(H108),H108&gt;59),1,_xlfn.XLOOKUP(H108,tbl_points[Place],tbl_points[Points],""))))))</f>
        <v>80</v>
      </c>
      <c r="J108" s="3">
        <v>2</v>
      </c>
      <c r="K108" s="3">
        <f>IF(J108="","",IF(J108="DNS",0,IF(J108="DQ",0,IF(J108="DNF",1,IF(AND(ISNUMBER(J108),J108&gt;59),1,_xlfn.XLOOKUP(J108,tbl_points[Place],tbl_points[Points],""))))))</f>
        <v>95</v>
      </c>
      <c r="M108" s="3" t="str">
        <f>IF(L108="","",IF(L108="DNS",0,IF(L108="DQ",0,IF(L108="DNF",1,IF(AND(ISNUMBER(L108),L108&gt;59),1,_xlfn.XLOOKUP(L108,tbl_points[Place],tbl_points[Points],""))))))</f>
        <v/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08" s="3">
        <f>tbl_individual[[#This Row],[Total]]</f>
        <v>175</v>
      </c>
    </row>
    <row r="109" spans="1:22" hidden="1" x14ac:dyDescent="0.4">
      <c r="A109" t="s">
        <v>148</v>
      </c>
      <c r="B109" t="s">
        <v>15</v>
      </c>
      <c r="C109" t="s">
        <v>8</v>
      </c>
      <c r="D109" s="3">
        <v>854</v>
      </c>
      <c r="E109" s="3" t="s">
        <v>426</v>
      </c>
      <c r="G109" s="3" t="s">
        <v>406</v>
      </c>
      <c r="H109" s="3">
        <v>6</v>
      </c>
      <c r="I109" s="3">
        <f>IF(H109="","",IF(H109="DNS",0,IF(H109="DQ",0,IF(H109="DNF",1,IF(AND(ISNUMBER(H109),H109&gt;59),1,_xlfn.XLOOKUP(H109,tbl_points[Place],tbl_points[Points],""))))))</f>
        <v>75</v>
      </c>
      <c r="J109" s="3" t="s">
        <v>413</v>
      </c>
      <c r="K109" s="3">
        <f>IF(J109="","",IF(J109="DNS",0,IF(J109="DQ",0,IF(J109="DNF",1,IF(AND(ISNUMBER(J109),J109&gt;59),1,_xlfn.XLOOKUP(J109,tbl_points[Place],tbl_points[Points],""))))))</f>
        <v>0</v>
      </c>
      <c r="M109" s="3" t="str">
        <f>IF(L109="","",IF(L109="DNS",0,IF(L109="DQ",0,IF(L109="DNF",1,IF(AND(ISNUMBER(L109),L109&gt;59),1,_xlfn.XLOOKUP(L109,tbl_points[Place],tbl_points[Points],""))))))</f>
        <v/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75</v>
      </c>
    </row>
    <row r="110" spans="1:22" hidden="1" x14ac:dyDescent="0.4">
      <c r="A110" t="s">
        <v>191</v>
      </c>
      <c r="B110" t="s">
        <v>20</v>
      </c>
      <c r="C110" t="s">
        <v>3</v>
      </c>
      <c r="D110" s="3">
        <v>10166</v>
      </c>
      <c r="E110" s="3" t="s">
        <v>426</v>
      </c>
      <c r="G110" s="3" t="s">
        <v>406</v>
      </c>
      <c r="H110" s="3">
        <v>34</v>
      </c>
      <c r="I110" s="3">
        <f>IF(H110="","",IF(H110="DNS",0,IF(H110="DQ",0,IF(H110="DNF",1,IF(AND(ISNUMBER(H110),H110&gt;59),1,_xlfn.XLOOKUP(H110,tbl_points[Place],tbl_points[Points],""))))))</f>
        <v>26</v>
      </c>
      <c r="J110" s="3">
        <v>42</v>
      </c>
      <c r="K110" s="3">
        <f>IF(J110="","",IF(J110="DNS",0,IF(J110="DQ",0,IF(J110="DNF",1,IF(AND(ISNUMBER(J110),J110&gt;59),1,_xlfn.XLOOKUP(J110,tbl_points[Place],tbl_points[Points],""))))))</f>
        <v>18</v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110" s="3">
        <f>tbl_individual[[#This Row],[Total]]</f>
        <v>44</v>
      </c>
    </row>
    <row r="111" spans="1:22" hidden="1" x14ac:dyDescent="0.4">
      <c r="A111" t="s">
        <v>65</v>
      </c>
      <c r="B111" t="s">
        <v>10</v>
      </c>
      <c r="C111" t="s">
        <v>6</v>
      </c>
      <c r="D111" s="3">
        <v>9471</v>
      </c>
      <c r="E111" s="3" t="s">
        <v>426</v>
      </c>
      <c r="G111" s="3" t="s">
        <v>406</v>
      </c>
      <c r="H111" s="3">
        <v>11</v>
      </c>
      <c r="I111" s="3">
        <f>IF(H111="","",IF(H111="DNS",0,IF(H111="DQ",0,IF(H111="DNF",1,IF(AND(ISNUMBER(H111),H111&gt;59),1,_xlfn.XLOOKUP(H111,tbl_points[Place],tbl_points[Points],""))))))</f>
        <v>53</v>
      </c>
      <c r="J111" s="3">
        <v>7</v>
      </c>
      <c r="K111" s="3">
        <f>IF(J111="","",IF(J111="DNS",0,IF(J111="DQ",0,IF(J111="DNF",1,IF(AND(ISNUMBER(J111),J111&gt;59),1,_xlfn.XLOOKUP(J111,tbl_points[Place],tbl_points[Points],""))))))</f>
        <v>70</v>
      </c>
      <c r="M111" s="3" t="str">
        <f>IF(L111="","",IF(L111="DNS",0,IF(L111="DQ",0,IF(L111="DNF",1,IF(AND(ISNUMBER(L111),L111&gt;59),1,_xlfn.XLOOKUP(L111,tbl_points[Place],tbl_points[Points],""))))))</f>
        <v/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11" s="3">
        <f>tbl_individual[[#This Row],[Total]]</f>
        <v>123</v>
      </c>
    </row>
    <row r="112" spans="1:22" hidden="1" x14ac:dyDescent="0.4">
      <c r="A112" t="s">
        <v>133</v>
      </c>
      <c r="B112" t="s">
        <v>13</v>
      </c>
      <c r="C112" t="s">
        <v>1</v>
      </c>
      <c r="D112" s="3">
        <v>12030</v>
      </c>
      <c r="E112" s="3" t="s">
        <v>426</v>
      </c>
      <c r="G112" s="3" t="s">
        <v>406</v>
      </c>
      <c r="H112" s="3">
        <v>6</v>
      </c>
      <c r="I112" s="3">
        <f>IF(H112="","",IF(H112="DNS",0,IF(H112="DQ",0,IF(H112="DNF",1,IF(AND(ISNUMBER(H112),H112&gt;59),1,_xlfn.XLOOKUP(H112,tbl_points[Place],tbl_points[Points],""))))))</f>
        <v>75</v>
      </c>
      <c r="J112" s="3">
        <v>26</v>
      </c>
      <c r="K112" s="3">
        <f>IF(J112="","",IF(J112="DNS",0,IF(J112="DQ",0,IF(J112="DNF",1,IF(AND(ISNUMBER(J112),J112&gt;59),1,_xlfn.XLOOKUP(J112,tbl_points[Place],tbl_points[Points],""))))))</f>
        <v>34</v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109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12" s="3">
        <f>tbl_individual[[#This Row],[Total]]</f>
        <v>109</v>
      </c>
    </row>
    <row r="113" spans="1:22" hidden="1" x14ac:dyDescent="0.4">
      <c r="A113" t="s">
        <v>347</v>
      </c>
      <c r="B113" t="s">
        <v>28</v>
      </c>
      <c r="C113" t="s">
        <v>1</v>
      </c>
      <c r="D113" s="3">
        <v>12092</v>
      </c>
      <c r="E113" s="3" t="s">
        <v>426</v>
      </c>
      <c r="G113" s="3" t="s">
        <v>406</v>
      </c>
      <c r="H113" s="3">
        <v>33</v>
      </c>
      <c r="I113" s="3">
        <f>IF(H113="","",IF(H113="DNS",0,IF(H113="DQ",0,IF(H113="DNF",1,IF(AND(ISNUMBER(H113),H113&gt;59),1,_xlfn.XLOOKUP(H113,tbl_points[Place],tbl_points[Points],""))))))</f>
        <v>27</v>
      </c>
      <c r="J113" s="3">
        <v>27</v>
      </c>
      <c r="K113" s="3">
        <f>IF(J113="","",IF(J113="DNS",0,IF(J113="DQ",0,IF(J113="DNF",1,IF(AND(ISNUMBER(J113),J113&gt;59),1,_xlfn.XLOOKUP(J113,tbl_points[Place],tbl_points[Points],""))))))</f>
        <v>33</v>
      </c>
      <c r="M113" s="3" t="str">
        <f>IF(L113="","",IF(L113="DNS",0,IF(L113="DQ",0,IF(L113="DNF",1,IF(AND(ISNUMBER(L113),L113&gt;59),1,_xlfn.XLOOKUP(L113,tbl_points[Place],tbl_points[Points],""))))))</f>
        <v/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13" s="3">
        <f>tbl_individual[[#This Row],[Total]]</f>
        <v>60</v>
      </c>
    </row>
    <row r="114" spans="1:22" x14ac:dyDescent="0.4">
      <c r="A114" t="s">
        <v>145</v>
      </c>
      <c r="B114" t="s">
        <v>15</v>
      </c>
      <c r="C114" t="s">
        <v>7</v>
      </c>
      <c r="D114" s="3">
        <v>801</v>
      </c>
      <c r="E114" s="3" t="s">
        <v>426</v>
      </c>
      <c r="G114" s="3" t="s">
        <v>406</v>
      </c>
      <c r="H114" s="3" t="s">
        <v>413</v>
      </c>
      <c r="I114" s="3">
        <f>IF(H114="","",IF(H114="DNS",0,IF(H114="DQ",0,IF(H114="DNF",1,IF(AND(ISNUMBER(H114),H114&gt;59),1,_xlfn.XLOOKUP(H114,tbl_points[Place],tbl_points[Points],""))))))</f>
        <v>0</v>
      </c>
      <c r="J114" s="3">
        <v>25</v>
      </c>
      <c r="K114" s="3">
        <f>IF(J114="","",IF(J114="DNS",0,IF(J114="DQ",0,IF(J114="DNF",1,IF(AND(ISNUMBER(J114),J114&gt;59),1,_xlfn.XLOOKUP(J114,tbl_points[Place],tbl_points[Points],""))))))</f>
        <v>35</v>
      </c>
      <c r="M114" s="3" t="str">
        <f>IF(L114="","",IF(L114="DNS",0,IF(L114="DQ",0,IF(L114="DNF",1,IF(AND(ISNUMBER(L114),L114&gt;59),1,_xlfn.XLOOKUP(L114,tbl_points[Place],tbl_points[Points],""))))))</f>
        <v/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35</v>
      </c>
    </row>
    <row r="115" spans="1:22" x14ac:dyDescent="0.4">
      <c r="A115" t="s">
        <v>185</v>
      </c>
      <c r="B115" t="s">
        <v>20</v>
      </c>
      <c r="C115" t="s">
        <v>7</v>
      </c>
      <c r="D115" s="3">
        <v>812</v>
      </c>
      <c r="E115" s="3" t="s">
        <v>426</v>
      </c>
      <c r="G115" s="3" t="s">
        <v>406</v>
      </c>
      <c r="H115" s="3">
        <v>31</v>
      </c>
      <c r="I115" s="3">
        <f>IF(H115="","",IF(H115="DNS",0,IF(H115="DQ",0,IF(H115="DNF",1,IF(AND(ISNUMBER(H115),H115&gt;59),1,_xlfn.XLOOKUP(H115,tbl_points[Place],tbl_points[Points],""))))))</f>
        <v>29</v>
      </c>
      <c r="J115" s="3">
        <v>26</v>
      </c>
      <c r="K115" s="3">
        <f>IF(J115="","",IF(J115="DNS",0,IF(J115="DQ",0,IF(J115="DNF",1,IF(AND(ISNUMBER(J115),J115&gt;59),1,_xlfn.XLOOKUP(J115,tbl_points[Place],tbl_points[Points],""))))))</f>
        <v>34</v>
      </c>
      <c r="M115" s="3" t="str">
        <f>IF(L115="","",IF(L115="DNS",0,IF(L115="DQ",0,IF(L115="DNF",1,IF(AND(ISNUMBER(L115),L115&gt;59),1,_xlfn.XLOOKUP(L115,tbl_points[Place],tbl_points[Points],""))))))</f>
        <v/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15" s="3">
        <f>tbl_individual[[#This Row],[Total]]</f>
        <v>63</v>
      </c>
    </row>
    <row r="116" spans="1:22" hidden="1" x14ac:dyDescent="0.4">
      <c r="A116" t="s">
        <v>69</v>
      </c>
      <c r="B116" t="s">
        <v>10</v>
      </c>
      <c r="C116" t="s">
        <v>5</v>
      </c>
      <c r="D116" s="3">
        <v>902</v>
      </c>
      <c r="E116" s="3" t="s">
        <v>426</v>
      </c>
      <c r="G116" s="3" t="s">
        <v>406</v>
      </c>
      <c r="H116" s="3">
        <v>12</v>
      </c>
      <c r="I116" s="3">
        <f>IF(H116="","",IF(H116="DNS",0,IF(H116="DQ",0,IF(H116="DNF",1,IF(AND(ISNUMBER(H116),H116&gt;59),1,_xlfn.XLOOKUP(H116,tbl_points[Place],tbl_points[Points],""))))))</f>
        <v>51</v>
      </c>
      <c r="J116" s="3">
        <v>17</v>
      </c>
      <c r="K116" s="3">
        <f>IF(J116="","",IF(J116="DNS",0,IF(J116="DQ",0,IF(J116="DNF",1,IF(AND(ISNUMBER(J116),J116&gt;59),1,_xlfn.XLOOKUP(J116,tbl_points[Place],tbl_points[Points],""))))))</f>
        <v>43</v>
      </c>
      <c r="M116" s="3" t="str">
        <f>IF(L116="","",IF(L116="DNS",0,IF(L116="DQ",0,IF(L116="DNF",1,IF(AND(ISNUMBER(L116),L116&gt;59),1,_xlfn.XLOOKUP(L116,tbl_points[Place],tbl_points[Points],""))))))</f>
        <v/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16" s="3">
        <f>tbl_individual[[#This Row],[Total]]</f>
        <v>94</v>
      </c>
    </row>
    <row r="117" spans="1:22" hidden="1" x14ac:dyDescent="0.4">
      <c r="A117" t="s">
        <v>155</v>
      </c>
      <c r="B117" t="s">
        <v>16</v>
      </c>
      <c r="C117" t="s">
        <v>5</v>
      </c>
      <c r="D117" s="3">
        <v>914</v>
      </c>
      <c r="E117" s="3" t="s">
        <v>426</v>
      </c>
      <c r="G117" s="3" t="s">
        <v>406</v>
      </c>
      <c r="H117" s="3">
        <v>26</v>
      </c>
      <c r="I117" s="3">
        <f>IF(H117="","",IF(H117="DNS",0,IF(H117="DQ",0,IF(H117="DNF",1,IF(AND(ISNUMBER(H117),H117&gt;59),1,_xlfn.XLOOKUP(H117,tbl_points[Place],tbl_points[Points],""))))))</f>
        <v>34</v>
      </c>
      <c r="J117" s="3">
        <v>18</v>
      </c>
      <c r="K117" s="3">
        <f>IF(J117="","",IF(J117="DNS",0,IF(J117="DQ",0,IF(J117="DNF",1,IF(AND(ISNUMBER(J117),J117&gt;59),1,_xlfn.XLOOKUP(J117,tbl_points[Place],tbl_points[Points],""))))))</f>
        <v>42</v>
      </c>
      <c r="M117" s="3" t="str">
        <f>IF(L117="","",IF(L117="DNS",0,IF(L117="DQ",0,IF(L117="DNF",1,IF(AND(ISNUMBER(L117),L117&gt;59),1,_xlfn.XLOOKUP(L117,tbl_points[Place],tbl_points[Points],""))))))</f>
        <v/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17" s="3">
        <f>tbl_individual[[#This Row],[Total]]</f>
        <v>76</v>
      </c>
    </row>
    <row r="118" spans="1:22" hidden="1" x14ac:dyDescent="0.4">
      <c r="A118" t="s">
        <v>338</v>
      </c>
      <c r="B118" t="s">
        <v>28</v>
      </c>
      <c r="C118" t="s">
        <v>5</v>
      </c>
      <c r="D118" s="3">
        <v>948</v>
      </c>
      <c r="E118" s="3" t="s">
        <v>426</v>
      </c>
      <c r="G118" s="3" t="s">
        <v>406</v>
      </c>
      <c r="H118" s="3">
        <v>24</v>
      </c>
      <c r="I118" s="3">
        <f>IF(H118="","",IF(H118="DNS",0,IF(H118="DQ",0,IF(H118="DNF",1,IF(AND(ISNUMBER(H118),H118&gt;59),1,_xlfn.XLOOKUP(H118,tbl_points[Place],tbl_points[Points],""))))))</f>
        <v>36</v>
      </c>
      <c r="J118" s="3">
        <v>19</v>
      </c>
      <c r="K118" s="3">
        <f>IF(J118="","",IF(J118="DNS",0,IF(J118="DQ",0,IF(J118="DNF",1,IF(AND(ISNUMBER(J118),J118&gt;59),1,_xlfn.XLOOKUP(J118,tbl_points[Place],tbl_points[Points],""))))))</f>
        <v>41</v>
      </c>
      <c r="M118" s="3" t="str">
        <f>IF(L118="","",IF(L118="DNS",0,IF(L118="DQ",0,IF(L118="DNF",1,IF(AND(ISNUMBER(L118),L118&gt;59),1,_xlfn.XLOOKUP(L118,tbl_points[Place],tbl_points[Points],""))))))</f>
        <v/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18" s="3">
        <f>tbl_individual[[#This Row],[Total]]</f>
        <v>77</v>
      </c>
    </row>
    <row r="119" spans="1:22" hidden="1" x14ac:dyDescent="0.4">
      <c r="A119" t="s">
        <v>292</v>
      </c>
      <c r="B119" t="s">
        <v>25</v>
      </c>
      <c r="C119" t="s">
        <v>5</v>
      </c>
      <c r="D119" s="3">
        <v>935</v>
      </c>
      <c r="E119" s="3" t="s">
        <v>426</v>
      </c>
      <c r="G119" s="3" t="s">
        <v>406</v>
      </c>
      <c r="H119" s="3">
        <v>22</v>
      </c>
      <c r="I119" s="3">
        <f>IF(H119="","",IF(H119="DNS",0,IF(H119="DQ",0,IF(H119="DNF",1,IF(AND(ISNUMBER(H119),H119&gt;59),1,_xlfn.XLOOKUP(H119,tbl_points[Place],tbl_points[Points],""))))))</f>
        <v>38</v>
      </c>
      <c r="J119" s="3">
        <v>20</v>
      </c>
      <c r="K119" s="3">
        <f>IF(J119="","",IF(J119="DNS",0,IF(J119="DQ",0,IF(J119="DNF",1,IF(AND(ISNUMBER(J119),J119&gt;59),1,_xlfn.XLOOKUP(J119,tbl_points[Place],tbl_points[Points],""))))))</f>
        <v>40</v>
      </c>
      <c r="M119" s="3" t="str">
        <f>IF(L119="","",IF(L119="DNS",0,IF(L119="DQ",0,IF(L119="DNF",1,IF(AND(ISNUMBER(L119),L119&gt;59),1,_xlfn.XLOOKUP(L119,tbl_points[Place],tbl_points[Points],""))))))</f>
        <v/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119" s="3">
        <f>tbl_individual[[#This Row],[Total]]</f>
        <v>78</v>
      </c>
    </row>
    <row r="120" spans="1:22" hidden="1" x14ac:dyDescent="0.4">
      <c r="A120" t="s">
        <v>66</v>
      </c>
      <c r="B120" t="s">
        <v>10</v>
      </c>
      <c r="C120" t="s">
        <v>6</v>
      </c>
      <c r="D120" s="3">
        <v>9481</v>
      </c>
      <c r="E120" s="3" t="s">
        <v>426</v>
      </c>
      <c r="G120" s="3" t="s">
        <v>406</v>
      </c>
      <c r="H120" s="3">
        <v>9</v>
      </c>
      <c r="I120" s="3">
        <f>IF(H120="","",IF(H120="DNS",0,IF(H120="DQ",0,IF(H120="DNF",1,IF(AND(ISNUMBER(H120),H120&gt;59),1,_xlfn.XLOOKUP(H120,tbl_points[Place],tbl_points[Points],""))))))</f>
        <v>60</v>
      </c>
      <c r="J120" s="3">
        <v>8</v>
      </c>
      <c r="K120" s="3">
        <f>IF(J120="","",IF(J120="DNS",0,IF(J120="DQ",0,IF(J120="DNF",1,IF(AND(ISNUMBER(J120),J120&gt;59),1,_xlfn.XLOOKUP(J120,tbl_points[Place],tbl_points[Points],""))))))</f>
        <v>65</v>
      </c>
      <c r="M120" s="3" t="str">
        <f>IF(L120="","",IF(L120="DNS",0,IF(L120="DQ",0,IF(L120="DNF",1,IF(AND(ISNUMBER(L120),L120&gt;59),1,_xlfn.XLOOKUP(L120,tbl_points[Place],tbl_points[Points],""))))))</f>
        <v/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20" s="3">
        <f>tbl_individual[[#This Row],[Total]]</f>
        <v>125</v>
      </c>
    </row>
    <row r="121" spans="1:22" hidden="1" x14ac:dyDescent="0.4">
      <c r="A121" t="s">
        <v>203</v>
      </c>
      <c r="B121" t="s">
        <v>20</v>
      </c>
      <c r="C121" t="s">
        <v>1</v>
      </c>
      <c r="D121" s="3">
        <v>12044</v>
      </c>
      <c r="E121" s="3" t="s">
        <v>426</v>
      </c>
      <c r="G121" s="3" t="s">
        <v>406</v>
      </c>
      <c r="H121" s="3">
        <v>9</v>
      </c>
      <c r="I121" s="3">
        <f>IF(H121="","",IF(H121="DNS",0,IF(H121="DQ",0,IF(H121="DNF",1,IF(AND(ISNUMBER(H121),H121&gt;59),1,_xlfn.XLOOKUP(H121,tbl_points[Place],tbl_points[Points],""))))))</f>
        <v>60</v>
      </c>
      <c r="J121" s="3">
        <v>28</v>
      </c>
      <c r="K121" s="3">
        <f>IF(J121="","",IF(J121="DNS",0,IF(J121="DQ",0,IF(J121="DNF",1,IF(AND(ISNUMBER(J121),J121&gt;59),1,_xlfn.XLOOKUP(J121,tbl_points[Place],tbl_points[Points],""))))))</f>
        <v>32</v>
      </c>
      <c r="M121" s="3" t="str">
        <f>IF(L121="","",IF(L121="DNS",0,IF(L121="DQ",0,IF(L121="DNF",1,IF(AND(ISNUMBER(L121),L121&gt;59),1,_xlfn.XLOOKUP(L121,tbl_points[Place],tbl_points[Points],""))))))</f>
        <v/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21" s="3">
        <f>tbl_individual[[#This Row],[Total]]</f>
        <v>92</v>
      </c>
    </row>
    <row r="122" spans="1:22" hidden="1" x14ac:dyDescent="0.4">
      <c r="A122" t="s">
        <v>272</v>
      </c>
      <c r="B122" t="s">
        <v>23</v>
      </c>
      <c r="C122" t="s">
        <v>1</v>
      </c>
      <c r="D122" s="3">
        <v>12065</v>
      </c>
      <c r="E122" s="3" t="s">
        <v>426</v>
      </c>
      <c r="G122" s="3" t="s">
        <v>406</v>
      </c>
      <c r="H122" s="3">
        <v>29</v>
      </c>
      <c r="I122" s="3">
        <f>IF(H122="","",IF(H122="DNS",0,IF(H122="DQ",0,IF(H122="DNF",1,IF(AND(ISNUMBER(H122),H122&gt;59),1,_xlfn.XLOOKUP(H122,tbl_points[Place],tbl_points[Points],""))))))</f>
        <v>31</v>
      </c>
      <c r="J122" s="3">
        <v>29</v>
      </c>
      <c r="K122" s="3">
        <f>IF(J122="","",IF(J122="DNS",0,IF(J122="DQ",0,IF(J122="DNF",1,IF(AND(ISNUMBER(J122),J122&gt;59),1,_xlfn.XLOOKUP(J122,tbl_points[Place],tbl_points[Points],""))))))</f>
        <v>31</v>
      </c>
      <c r="M122" s="3" t="str">
        <f>IF(L122="","",IF(L122="DNS",0,IF(L122="DQ",0,IF(L122="DNF",1,IF(AND(ISNUMBER(L122),L122&gt;59),1,_xlfn.XLOOKUP(L122,tbl_points[Place],tbl_points[Points],""))))))</f>
        <v/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22" s="3">
        <f>tbl_individual[[#This Row],[Total]]</f>
        <v>62</v>
      </c>
    </row>
    <row r="123" spans="1:22" x14ac:dyDescent="0.4">
      <c r="A123" t="s">
        <v>422</v>
      </c>
      <c r="B123" t="s">
        <v>15</v>
      </c>
      <c r="C123" t="s">
        <v>7</v>
      </c>
      <c r="D123" s="3">
        <v>802</v>
      </c>
      <c r="E123" s="3" t="s">
        <v>426</v>
      </c>
      <c r="G123" s="3" t="s">
        <v>410</v>
      </c>
      <c r="H123" s="3" t="s">
        <v>413</v>
      </c>
      <c r="I123" s="3">
        <f>IF(H123="","",IF(H123="DNS",0,IF(H123="DQ",0,IF(H123="DNF",1,IF(AND(ISNUMBER(H123),H123&gt;59),1,_xlfn.XLOOKUP(H123,tbl_points[Place],tbl_points[Points],""))))))</f>
        <v>0</v>
      </c>
      <c r="J123" s="3">
        <v>27</v>
      </c>
      <c r="K123" s="3">
        <f>IF(J123="","",IF(J123="DNS",0,IF(J123="DQ",0,IF(J123="DNF",1,IF(AND(ISNUMBER(J123),J123&gt;59),1,_xlfn.XLOOKUP(J123,tbl_points[Place],tbl_points[Points],""))))))</f>
        <v>33</v>
      </c>
      <c r="M123" s="3" t="str">
        <f>IF(L123="","",IF(L123="DNS",0,IF(L123="DQ",0,IF(L123="DNF",1,IF(AND(ISNUMBER(L123),L123&gt;59),1,_xlfn.XLOOKUP(L123,tbl_points[Place],tbl_points[Points],""))))))</f>
        <v/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3" s="3">
        <f>tbl_individual[[#This Row],[Total]]</f>
        <v>33</v>
      </c>
    </row>
    <row r="124" spans="1:22" x14ac:dyDescent="0.4">
      <c r="A124" t="s">
        <v>302</v>
      </c>
      <c r="B124" t="s">
        <v>26</v>
      </c>
      <c r="C124" t="s">
        <v>7</v>
      </c>
      <c r="D124" s="3">
        <v>821</v>
      </c>
      <c r="E124" s="3" t="s">
        <v>426</v>
      </c>
      <c r="G124" s="3" t="s">
        <v>406</v>
      </c>
      <c r="H124" s="3">
        <v>24</v>
      </c>
      <c r="I124" s="3">
        <f>IF(H124="","",IF(H124="DNS",0,IF(H124="DQ",0,IF(H124="DNF",1,IF(AND(ISNUMBER(H124),H124&gt;59),1,_xlfn.XLOOKUP(H124,tbl_points[Place],tbl_points[Points],""))))))</f>
        <v>36</v>
      </c>
      <c r="J124" s="3">
        <v>28</v>
      </c>
      <c r="K124" s="3">
        <f>IF(J124="","",IF(J124="DNS",0,IF(J124="DQ",0,IF(J124="DNF",1,IF(AND(ISNUMBER(J124),J124&gt;59),1,_xlfn.XLOOKUP(J124,tbl_points[Place],tbl_points[Points],""))))))</f>
        <v>32</v>
      </c>
      <c r="M124" s="3" t="str">
        <f>IF(L124="","",IF(L124="DNS",0,IF(L124="DQ",0,IF(L124="DNF",1,IF(AND(ISNUMBER(L124),L124&gt;59),1,_xlfn.XLOOKUP(L124,tbl_points[Place],tbl_points[Points],""))))))</f>
        <v/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24" s="3">
        <f>tbl_individual[[#This Row],[Total]]</f>
        <v>68</v>
      </c>
    </row>
    <row r="125" spans="1:22" x14ac:dyDescent="0.4">
      <c r="A125" t="s">
        <v>144</v>
      </c>
      <c r="B125" t="s">
        <v>15</v>
      </c>
      <c r="C125" t="s">
        <v>7</v>
      </c>
      <c r="D125" s="3">
        <v>800</v>
      </c>
      <c r="E125" s="3" t="s">
        <v>426</v>
      </c>
      <c r="G125" s="3" t="s">
        <v>406</v>
      </c>
      <c r="H125" s="3">
        <v>26</v>
      </c>
      <c r="I125" s="3">
        <f>IF(H125="","",IF(H125="DNS",0,IF(H125="DQ",0,IF(H125="DNF",1,IF(AND(ISNUMBER(H125),H125&gt;59),1,_xlfn.XLOOKUP(H125,tbl_points[Place],tbl_points[Points],""))))))</f>
        <v>34</v>
      </c>
      <c r="J125" s="3">
        <v>29</v>
      </c>
      <c r="K125" s="3">
        <f>IF(J125="","",IF(J125="DNS",0,IF(J125="DQ",0,IF(J125="DNF",1,IF(AND(ISNUMBER(J125),J125&gt;59),1,_xlfn.XLOOKUP(J125,tbl_points[Place],tbl_points[Points],""))))))</f>
        <v>31</v>
      </c>
      <c r="M125" s="3" t="str">
        <f>IF(L125="","",IF(L125="DNS",0,IF(L125="DQ",0,IF(L125="DNF",1,IF(AND(ISNUMBER(L125),L125&gt;59),1,_xlfn.XLOOKUP(L125,tbl_points[Place],tbl_points[Points],""))))))</f>
        <v/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25" s="3">
        <f>tbl_individual[[#This Row],[Total]]</f>
        <v>65</v>
      </c>
    </row>
    <row r="126" spans="1:22" hidden="1" x14ac:dyDescent="0.4">
      <c r="A126" t="s">
        <v>124</v>
      </c>
      <c r="B126" t="s">
        <v>13</v>
      </c>
      <c r="C126" t="s">
        <v>5</v>
      </c>
      <c r="D126" s="3">
        <v>913</v>
      </c>
      <c r="E126" s="3" t="s">
        <v>426</v>
      </c>
      <c r="G126" s="3" t="s">
        <v>406</v>
      </c>
      <c r="H126" s="3">
        <v>33</v>
      </c>
      <c r="I126" s="3">
        <f>IF(H126="","",IF(H126="DNS",0,IF(H126="DQ",0,IF(H126="DNF",1,IF(AND(ISNUMBER(H126),H126&gt;59),1,_xlfn.XLOOKUP(H126,tbl_points[Place],tbl_points[Points],""))))))</f>
        <v>27</v>
      </c>
      <c r="J126" s="3">
        <v>21</v>
      </c>
      <c r="K126" s="3">
        <f>IF(J126="","",IF(J126="DNS",0,IF(J126="DQ",0,IF(J126="DNF",1,IF(AND(ISNUMBER(J126),J126&gt;59),1,_xlfn.XLOOKUP(J126,tbl_points[Place],tbl_points[Points],""))))))</f>
        <v>39</v>
      </c>
      <c r="M126" s="3" t="str">
        <f>IF(L126="","",IF(L126="DNS",0,IF(L126="DQ",0,IF(L126="DNF",1,IF(AND(ISNUMBER(L126),L126&gt;59),1,_xlfn.XLOOKUP(L126,tbl_points[Place],tbl_points[Points],""))))))</f>
        <v/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26" s="3">
        <f>tbl_individual[[#This Row],[Total]]</f>
        <v>66</v>
      </c>
    </row>
    <row r="127" spans="1:22" hidden="1" x14ac:dyDescent="0.4">
      <c r="A127" t="s">
        <v>187</v>
      </c>
      <c r="B127" t="s">
        <v>20</v>
      </c>
      <c r="C127" t="s">
        <v>5</v>
      </c>
      <c r="D127" s="3">
        <v>920</v>
      </c>
      <c r="E127" s="3" t="s">
        <v>426</v>
      </c>
      <c r="G127" s="3" t="s">
        <v>406</v>
      </c>
      <c r="H127" s="3" t="s">
        <v>413</v>
      </c>
      <c r="I127" s="3">
        <f>IF(H127="","",IF(H127="DNS",0,IF(H127="DQ",0,IF(H127="DNF",1,IF(AND(ISNUMBER(H127),H127&gt;59),1,_xlfn.XLOOKUP(H127,tbl_points[Place],tbl_points[Points],""))))))</f>
        <v>0</v>
      </c>
      <c r="J127" s="3">
        <v>22</v>
      </c>
      <c r="K127" s="3">
        <f>IF(J127="","",IF(J127="DNS",0,IF(J127="DQ",0,IF(J127="DNF",1,IF(AND(ISNUMBER(J127),J127&gt;59),1,_xlfn.XLOOKUP(J127,tbl_points[Place],tbl_points[Points],""))))))</f>
        <v>38</v>
      </c>
      <c r="M127" s="3" t="str">
        <f>IF(L127="","",IF(L127="DNS",0,IF(L127="DQ",0,IF(L127="DNF",1,IF(AND(ISNUMBER(L127),L127&gt;59),1,_xlfn.XLOOKUP(L127,tbl_points[Place],tbl_points[Points],""))))))</f>
        <v/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7" s="3">
        <f>tbl_individual[[#This Row],[Total]]</f>
        <v>38</v>
      </c>
    </row>
    <row r="128" spans="1:22" hidden="1" x14ac:dyDescent="0.4">
      <c r="A128" t="s">
        <v>249</v>
      </c>
      <c r="B128" t="s">
        <v>23</v>
      </c>
      <c r="C128" t="s">
        <v>5</v>
      </c>
      <c r="D128" s="3">
        <v>924</v>
      </c>
      <c r="E128" s="3" t="s">
        <v>426</v>
      </c>
      <c r="G128" s="3" t="s">
        <v>406</v>
      </c>
      <c r="H128" s="3">
        <v>10</v>
      </c>
      <c r="I128" s="3">
        <f>IF(H128="","",IF(H128="DNS",0,IF(H128="DQ",0,IF(H128="DNF",1,IF(AND(ISNUMBER(H128),H128&gt;59),1,_xlfn.XLOOKUP(H128,tbl_points[Place],tbl_points[Points],""))))))</f>
        <v>55</v>
      </c>
      <c r="J128" s="3">
        <v>23</v>
      </c>
      <c r="K128" s="3">
        <f>IF(J128="","",IF(J128="DNS",0,IF(J128="DQ",0,IF(J128="DNF",1,IF(AND(ISNUMBER(J128),J128&gt;59),1,_xlfn.XLOOKUP(J128,tbl_points[Place],tbl_points[Points],""))))))</f>
        <v>37</v>
      </c>
      <c r="M128" s="3" t="str">
        <f>IF(L128="","",IF(L128="DNS",0,IF(L128="DQ",0,IF(L128="DNF",1,IF(AND(ISNUMBER(L128),L128&gt;59),1,_xlfn.XLOOKUP(L128,tbl_points[Place],tbl_points[Points],""))))))</f>
        <v/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28" s="3">
        <f>tbl_individual[[#This Row],[Total]]</f>
        <v>92</v>
      </c>
    </row>
    <row r="129" spans="1:22" hidden="1" x14ac:dyDescent="0.4">
      <c r="A129" t="s">
        <v>294</v>
      </c>
      <c r="B129" t="s">
        <v>25</v>
      </c>
      <c r="C129" t="s">
        <v>5</v>
      </c>
      <c r="D129" s="3">
        <v>937</v>
      </c>
      <c r="E129" s="3" t="s">
        <v>426</v>
      </c>
      <c r="G129" s="3" t="s">
        <v>406</v>
      </c>
      <c r="H129" s="3">
        <v>30</v>
      </c>
      <c r="I129" s="3">
        <f>IF(H129="","",IF(H129="DNS",0,IF(H129="DQ",0,IF(H129="DNF",1,IF(AND(ISNUMBER(H129),H129&gt;59),1,_xlfn.XLOOKUP(H129,tbl_points[Place],tbl_points[Points],""))))))</f>
        <v>30</v>
      </c>
      <c r="J129" s="3">
        <v>24</v>
      </c>
      <c r="K129" s="3">
        <f>IF(J129="","",IF(J129="DNS",0,IF(J129="DQ",0,IF(J129="DNF",1,IF(AND(ISNUMBER(J129),J129&gt;59),1,_xlfn.XLOOKUP(J129,tbl_points[Place],tbl_points[Points],""))))))</f>
        <v>36</v>
      </c>
      <c r="M129" s="3" t="str">
        <f>IF(L129="","",IF(L129="DNS",0,IF(L129="DQ",0,IF(L129="DNF",1,IF(AND(ISNUMBER(L129),L129&gt;59),1,_xlfn.XLOOKUP(L129,tbl_points[Place],tbl_points[Points],""))))))</f>
        <v/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129" s="3">
        <f>tbl_individual[[#This Row],[Total]]</f>
        <v>66</v>
      </c>
    </row>
    <row r="130" spans="1:22" hidden="1" x14ac:dyDescent="0.4">
      <c r="A130" t="s">
        <v>296</v>
      </c>
      <c r="B130" t="s">
        <v>25</v>
      </c>
      <c r="C130" t="s">
        <v>6</v>
      </c>
      <c r="D130" s="3">
        <v>9300</v>
      </c>
      <c r="E130" s="3" t="s">
        <v>426</v>
      </c>
      <c r="G130" s="3" t="s">
        <v>406</v>
      </c>
      <c r="H130" s="3">
        <v>3</v>
      </c>
      <c r="I130" s="3">
        <f>IF(H130="","",IF(H130="DNS",0,IF(H130="DQ",0,IF(H130="DNF",1,IF(AND(ISNUMBER(H130),H130&gt;59),1,_xlfn.XLOOKUP(H130,tbl_points[Place],tbl_points[Points],""))))))</f>
        <v>90</v>
      </c>
      <c r="J130" s="3">
        <v>9</v>
      </c>
      <c r="K130" s="3">
        <f>IF(J130="","",IF(J130="DNS",0,IF(J130="DQ",0,IF(J130="DNF",1,IF(AND(ISNUMBER(J130),J130&gt;59),1,_xlfn.XLOOKUP(J130,tbl_points[Place],tbl_points[Points],""))))))</f>
        <v>60</v>
      </c>
      <c r="M130" s="3" t="str">
        <f>IF(L130="","",IF(L130="DNS",0,IF(L130="DQ",0,IF(L130="DNF",1,IF(AND(ISNUMBER(L130),L130&gt;59),1,_xlfn.XLOOKUP(L130,tbl_points[Place],tbl_points[Points],""))))))</f>
        <v/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0" s="3">
        <f>tbl_individual[[#This Row],[Total]]</f>
        <v>150</v>
      </c>
    </row>
    <row r="131" spans="1:22" hidden="1" x14ac:dyDescent="0.4">
      <c r="A131" t="s">
        <v>64</v>
      </c>
      <c r="B131" t="s">
        <v>10</v>
      </c>
      <c r="C131" t="s">
        <v>6</v>
      </c>
      <c r="D131" s="3">
        <v>9451</v>
      </c>
      <c r="E131" s="3" t="s">
        <v>426</v>
      </c>
      <c r="G131" s="3" t="s">
        <v>406</v>
      </c>
      <c r="H131" s="3">
        <v>6</v>
      </c>
      <c r="I131" s="3">
        <f>IF(H131="","",IF(H131="DNS",0,IF(H131="DQ",0,IF(H131="DNF",1,IF(AND(ISNUMBER(H131),H131&gt;59),1,_xlfn.XLOOKUP(H131,tbl_points[Place],tbl_points[Points],""))))))</f>
        <v>75</v>
      </c>
      <c r="J131" s="3">
        <v>10</v>
      </c>
      <c r="K131" s="3">
        <f>IF(J131="","",IF(J131="DNS",0,IF(J131="DQ",0,IF(J131="DNF",1,IF(AND(ISNUMBER(J131),J131&gt;59),1,_xlfn.XLOOKUP(J131,tbl_points[Place],tbl_points[Points],""))))))</f>
        <v>55</v>
      </c>
      <c r="M131" s="3" t="str">
        <f>IF(L131="","",IF(L131="DNS",0,IF(L131="DQ",0,IF(L131="DNF",1,IF(AND(ISNUMBER(L131),L131&gt;59),1,_xlfn.XLOOKUP(L131,tbl_points[Place],tbl_points[Points],""))))))</f>
        <v/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130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31" s="3">
        <f>tbl_individual[[#This Row],[Total]]</f>
        <v>130</v>
      </c>
    </row>
    <row r="132" spans="1:22" hidden="1" x14ac:dyDescent="0.4">
      <c r="A132" t="s">
        <v>363</v>
      </c>
      <c r="B132" t="s">
        <v>30</v>
      </c>
      <c r="C132" t="s">
        <v>6</v>
      </c>
      <c r="D132" s="3">
        <v>935</v>
      </c>
      <c r="E132" s="3" t="s">
        <v>426</v>
      </c>
      <c r="G132" s="3" t="s">
        <v>406</v>
      </c>
      <c r="H132" s="3">
        <v>2</v>
      </c>
      <c r="I132" s="3">
        <f>IF(H132="","",IF(H132="DNS",0,IF(H132="DQ",0,IF(H132="DNF",1,IF(AND(ISNUMBER(H132),H132&gt;59),1,_xlfn.XLOOKUP(H132,tbl_points[Place],tbl_points[Points],""))))))</f>
        <v>95</v>
      </c>
      <c r="J132" s="3">
        <v>11</v>
      </c>
      <c r="K132" s="3">
        <f>IF(J132="","",IF(J132="DNS",0,IF(J132="DQ",0,IF(J132="DNF",1,IF(AND(ISNUMBER(J132),J132&gt;59),1,_xlfn.XLOOKUP(J132,tbl_points[Place],tbl_points[Points],""))))))</f>
        <v>53</v>
      </c>
      <c r="M132" s="3" t="str">
        <f>IF(L132="","",IF(L132="DNS",0,IF(L132="DQ",0,IF(L132="DNF",1,IF(AND(ISNUMBER(L132),L132&gt;59),1,_xlfn.XLOOKUP(L132,tbl_points[Place],tbl_points[Points],""))))))</f>
        <v/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32" s="3">
        <f>tbl_individual[[#This Row],[Total]]</f>
        <v>148</v>
      </c>
    </row>
    <row r="133" spans="1:22" x14ac:dyDescent="0.4">
      <c r="A133" t="s">
        <v>121</v>
      </c>
      <c r="B133" t="s">
        <v>13</v>
      </c>
      <c r="C133" t="s">
        <v>7</v>
      </c>
      <c r="D133" s="3">
        <v>8193</v>
      </c>
      <c r="E133" s="3" t="s">
        <v>426</v>
      </c>
      <c r="G133" s="3" t="s">
        <v>406</v>
      </c>
      <c r="H133" s="3" t="s">
        <v>413</v>
      </c>
      <c r="I133" s="3">
        <f>IF(H133="","",IF(H133="DNS",0,IF(H133="DQ",0,IF(H133="DNF",1,IF(AND(ISNUMBER(H133),H133&gt;59),1,_xlfn.XLOOKUP(H133,tbl_points[Place],tbl_points[Points],""))))))</f>
        <v>0</v>
      </c>
      <c r="J133" s="3">
        <v>30</v>
      </c>
      <c r="K133" s="3">
        <f>IF(J133="","",IF(J133="DNS",0,IF(J133="DQ",0,IF(J133="DNF",1,IF(AND(ISNUMBER(J133),J133&gt;59),1,_xlfn.XLOOKUP(J133,tbl_points[Place],tbl_points[Points],""))))))</f>
        <v>30</v>
      </c>
      <c r="M133" s="3" t="str">
        <f>IF(L133="","",IF(L133="DNS",0,IF(L133="DQ",0,IF(L133="DNF",1,IF(AND(ISNUMBER(L133),L133&gt;59),1,_xlfn.XLOOKUP(L133,tbl_points[Place],tbl_points[Points],""))))))</f>
        <v/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30</v>
      </c>
    </row>
    <row r="134" spans="1:22" x14ac:dyDescent="0.4">
      <c r="A134" t="s">
        <v>153</v>
      </c>
      <c r="B134" t="s">
        <v>16</v>
      </c>
      <c r="C134" t="s">
        <v>7</v>
      </c>
      <c r="D134" s="3">
        <v>803</v>
      </c>
      <c r="E134" s="3" t="s">
        <v>426</v>
      </c>
      <c r="G134" s="3" t="s">
        <v>406</v>
      </c>
      <c r="H134" s="3" t="s">
        <v>413</v>
      </c>
      <c r="I134" s="3">
        <f>IF(H134="","",IF(H134="DNS",0,IF(H134="DQ",0,IF(H134="DNF",1,IF(AND(ISNUMBER(H134),H134&gt;59),1,_xlfn.XLOOKUP(H134,tbl_points[Place],tbl_points[Points],""))))))</f>
        <v>0</v>
      </c>
      <c r="J134" s="3">
        <v>31</v>
      </c>
      <c r="K134" s="3">
        <f>IF(J134="","",IF(J134="DNS",0,IF(J134="DQ",0,IF(J134="DNF",1,IF(AND(ISNUMBER(J134),J134&gt;59),1,_xlfn.XLOOKUP(J134,tbl_points[Place],tbl_points[Points],""))))))</f>
        <v>29</v>
      </c>
      <c r="M134" s="3" t="str">
        <f>IF(L134="","",IF(L134="DNS",0,IF(L134="DQ",0,IF(L134="DNF",1,IF(AND(ISNUMBER(L134),L134&gt;59),1,_xlfn.XLOOKUP(L134,tbl_points[Place],tbl_points[Points],""))))))</f>
        <v/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29</v>
      </c>
    </row>
    <row r="135" spans="1:22" x14ac:dyDescent="0.4">
      <c r="A135" t="s">
        <v>54</v>
      </c>
      <c r="B135" t="s">
        <v>10</v>
      </c>
      <c r="C135" t="s">
        <v>7</v>
      </c>
      <c r="D135" s="3">
        <v>8049</v>
      </c>
      <c r="E135" s="3" t="s">
        <v>426</v>
      </c>
      <c r="G135" s="3" t="s">
        <v>406</v>
      </c>
      <c r="H135" s="3">
        <v>25</v>
      </c>
      <c r="I135" s="3">
        <f>IF(H135="","",IF(H135="DNS",0,IF(H135="DQ",0,IF(H135="DNF",1,IF(AND(ISNUMBER(H135),H135&gt;59),1,_xlfn.XLOOKUP(H135,tbl_points[Place],tbl_points[Points],""))))))</f>
        <v>35</v>
      </c>
      <c r="J135" s="3">
        <v>32</v>
      </c>
      <c r="K135" s="3">
        <f>IF(J135="","",IF(J135="DNS",0,IF(J135="DQ",0,IF(J135="DNF",1,IF(AND(ISNUMBER(J135),J135&gt;59),1,_xlfn.XLOOKUP(J135,tbl_points[Place],tbl_points[Points],""))))))</f>
        <v>28</v>
      </c>
      <c r="M135" s="3" t="str">
        <f>IF(L135="","",IF(L135="DNS",0,IF(L135="DQ",0,IF(L135="DNF",1,IF(AND(ISNUMBER(L135),L135&gt;59),1,_xlfn.XLOOKUP(L135,tbl_points[Place],tbl_points[Points],""))))))</f>
        <v/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35" s="3">
        <f>tbl_individual[[#This Row],[Total]]</f>
        <v>63</v>
      </c>
    </row>
    <row r="136" spans="1:22" x14ac:dyDescent="0.4">
      <c r="A136" t="s">
        <v>243</v>
      </c>
      <c r="B136" t="s">
        <v>23</v>
      </c>
      <c r="C136" t="s">
        <v>7</v>
      </c>
      <c r="D136" s="3">
        <v>815</v>
      </c>
      <c r="E136" s="3" t="s">
        <v>426</v>
      </c>
      <c r="G136" s="3" t="s">
        <v>406</v>
      </c>
      <c r="H136" s="3">
        <v>19</v>
      </c>
      <c r="I136" s="3">
        <f>IF(H136="","",IF(H136="DNS",0,IF(H136="DQ",0,IF(H136="DNF",1,IF(AND(ISNUMBER(H136),H136&gt;59),1,_xlfn.XLOOKUP(H136,tbl_points[Place],tbl_points[Points],""))))))</f>
        <v>41</v>
      </c>
      <c r="J136" s="3">
        <v>33</v>
      </c>
      <c r="K136" s="3">
        <f>IF(J136="","",IF(J136="DNS",0,IF(J136="DQ",0,IF(J136="DNF",1,IF(AND(ISNUMBER(J136),J136&gt;59),1,_xlfn.XLOOKUP(J136,tbl_points[Place],tbl_points[Points],""))))))</f>
        <v>27</v>
      </c>
      <c r="M136" s="3" t="str">
        <f>IF(L136="","",IF(L136="DNS",0,IF(L136="DQ",0,IF(L136="DNF",1,IF(AND(ISNUMBER(L136),L136&gt;59),1,_xlfn.XLOOKUP(L136,tbl_points[Place],tbl_points[Points],""))))))</f>
        <v/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36" s="3">
        <f>tbl_individual[[#This Row],[Total]]</f>
        <v>68</v>
      </c>
    </row>
    <row r="137" spans="1:22" hidden="1" x14ac:dyDescent="0.4">
      <c r="A137" t="s">
        <v>174</v>
      </c>
      <c r="B137" t="s">
        <v>18</v>
      </c>
      <c r="C137" t="s">
        <v>8</v>
      </c>
      <c r="D137" s="3">
        <v>868</v>
      </c>
      <c r="E137" s="3" t="s">
        <v>426</v>
      </c>
      <c r="G137" s="3" t="s">
        <v>406</v>
      </c>
      <c r="H137" s="3" t="s">
        <v>413</v>
      </c>
      <c r="I137" s="3">
        <f>IF(H137="","",IF(H137="DNS",0,IF(H137="DQ",0,IF(H137="DNF",1,IF(AND(ISNUMBER(H137),H137&gt;59),1,_xlfn.XLOOKUP(H137,tbl_points[Place],tbl_points[Points],""))))))</f>
        <v>0</v>
      </c>
      <c r="J137" s="3" t="s">
        <v>413</v>
      </c>
      <c r="K137" s="3">
        <f>IF(J137="","",IF(J137="DNS",0,IF(J137="DQ",0,IF(J137="DNF",1,IF(AND(ISNUMBER(J137),J137&gt;59),1,_xlfn.XLOOKUP(J137,tbl_points[Place],tbl_points[Points],""))))))</f>
        <v>0</v>
      </c>
      <c r="M137" s="3" t="str">
        <f>IF(L137="","",IF(L137="DNS",0,IF(L137="DQ",0,IF(L137="DNF",1,IF(AND(ISNUMBER(L137),L137&gt;59),1,_xlfn.XLOOKUP(L137,tbl_points[Place],tbl_points[Points],""))))))</f>
        <v/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0</v>
      </c>
    </row>
    <row r="138" spans="1:22" hidden="1" x14ac:dyDescent="0.4">
      <c r="A138" t="s">
        <v>297</v>
      </c>
      <c r="B138" t="s">
        <v>25</v>
      </c>
      <c r="C138" t="s">
        <v>4</v>
      </c>
      <c r="D138" s="3">
        <v>1031</v>
      </c>
      <c r="E138" s="3" t="s">
        <v>426</v>
      </c>
      <c r="G138" s="3" t="s">
        <v>406</v>
      </c>
      <c r="H138" s="3">
        <v>1</v>
      </c>
      <c r="I138" s="3">
        <f>IF(H138="","",IF(H138="DNS",0,IF(H138="DQ",0,IF(H138="DNF",1,IF(AND(ISNUMBER(H138),H138&gt;59),1,_xlfn.XLOOKUP(H138,tbl_points[Place],tbl_points[Points],""))))))</f>
        <v>100</v>
      </c>
      <c r="J138" s="3">
        <v>3</v>
      </c>
      <c r="K138" s="3">
        <f>IF(J138="","",IF(J138="DNS",0,IF(J138="DQ",0,IF(J138="DNF",1,IF(AND(ISNUMBER(J138),J138&gt;59),1,_xlfn.XLOOKUP(J138,tbl_points[Place],tbl_points[Points],""))))))</f>
        <v>90</v>
      </c>
      <c r="M138" s="3" t="str">
        <f>IF(L138="","",IF(L138="DNS",0,IF(L138="DQ",0,IF(L138="DNF",1,IF(AND(ISNUMBER(L138),L138&gt;59),1,_xlfn.XLOOKUP(L138,tbl_points[Place],tbl_points[Points],""))))))</f>
        <v/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38" s="3">
        <f>tbl_individual[[#This Row],[Total]]</f>
        <v>190</v>
      </c>
    </row>
    <row r="139" spans="1:22" hidden="1" x14ac:dyDescent="0.4">
      <c r="A139" t="s">
        <v>115</v>
      </c>
      <c r="B139" t="s">
        <v>12</v>
      </c>
      <c r="C139" t="s">
        <v>3</v>
      </c>
      <c r="D139" s="3">
        <v>10157</v>
      </c>
      <c r="E139" s="3" t="s">
        <v>426</v>
      </c>
      <c r="G139" s="3" t="s">
        <v>406</v>
      </c>
      <c r="H139" s="3">
        <v>28</v>
      </c>
      <c r="I139" s="3">
        <f>IF(H139="","",IF(H139="DNS",0,IF(H139="DQ",0,IF(H139="DNF",1,IF(AND(ISNUMBER(H139),H139&gt;59),1,_xlfn.XLOOKUP(H139,tbl_points[Place],tbl_points[Points],""))))))</f>
        <v>32</v>
      </c>
      <c r="J139" s="3">
        <v>41</v>
      </c>
      <c r="K139" s="3">
        <f>IF(J139="","",IF(J139="DNS",0,IF(J139="DQ",0,IF(J139="DNF",1,IF(AND(ISNUMBER(J139),J139&gt;59),1,_xlfn.XLOOKUP(J139,tbl_points[Place],tbl_points[Points],""))))))</f>
        <v>19</v>
      </c>
      <c r="M139" s="3" t="str">
        <f>IF(L139="","",IF(L139="DNS",0,IF(L139="DQ",0,IF(L139="DNF",1,IF(AND(ISNUMBER(L139),L139&gt;59),1,_xlfn.XLOOKUP(L139,tbl_points[Place],tbl_points[Points],""))))))</f>
        <v/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139" s="3">
        <f>tbl_individual[[#This Row],[Total]]</f>
        <v>51</v>
      </c>
    </row>
    <row r="140" spans="1:22" hidden="1" x14ac:dyDescent="0.4">
      <c r="A140" t="s">
        <v>368</v>
      </c>
      <c r="B140" t="s">
        <v>30</v>
      </c>
      <c r="C140" t="s">
        <v>3</v>
      </c>
      <c r="D140" s="3">
        <v>10194</v>
      </c>
      <c r="E140" s="3" t="s">
        <v>426</v>
      </c>
      <c r="G140" s="3" t="s">
        <v>406</v>
      </c>
      <c r="H140" s="3">
        <v>7</v>
      </c>
      <c r="I140" s="3">
        <f>IF(H140="","",IF(H140="DNS",0,IF(H140="DQ",0,IF(H140="DNF",1,IF(AND(ISNUMBER(H140),H140&gt;59),1,_xlfn.XLOOKUP(H140,tbl_points[Place],tbl_points[Points],""))))))</f>
        <v>70</v>
      </c>
      <c r="J140" s="3">
        <v>40</v>
      </c>
      <c r="K140" s="3">
        <f>IF(J140="","",IF(J140="DNS",0,IF(J140="DQ",0,IF(J140="DNF",1,IF(AND(ISNUMBER(J140),J140&gt;59),1,_xlfn.XLOOKUP(J140,tbl_points[Place],tbl_points[Points],""))))))</f>
        <v>20</v>
      </c>
      <c r="M140" s="3" t="str">
        <f>IF(L140="","",IF(L140="DNS",0,IF(L140="DQ",0,IF(L140="DNF",1,IF(AND(ISNUMBER(L140),L140&gt;59),1,_xlfn.XLOOKUP(L140,tbl_points[Place],tbl_points[Points],""))))))</f>
        <v/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40" s="3">
        <f>tbl_individual[[#This Row],[Total]]</f>
        <v>90</v>
      </c>
    </row>
    <row r="141" spans="1:22" hidden="1" x14ac:dyDescent="0.4">
      <c r="A141" t="s">
        <v>193</v>
      </c>
      <c r="B141" t="s">
        <v>20</v>
      </c>
      <c r="C141" t="s">
        <v>3</v>
      </c>
      <c r="D141" s="3">
        <v>10168</v>
      </c>
      <c r="E141" s="3" t="s">
        <v>426</v>
      </c>
      <c r="G141" s="3" t="s">
        <v>406</v>
      </c>
      <c r="H141" s="3">
        <v>32</v>
      </c>
      <c r="I141" s="3">
        <f>IF(H141="","",IF(H141="DNS",0,IF(H141="DQ",0,IF(H141="DNF",1,IF(AND(ISNUMBER(H141),H141&gt;59),1,_xlfn.XLOOKUP(H141,tbl_points[Place],tbl_points[Points],""))))))</f>
        <v>28</v>
      </c>
      <c r="J141" s="3">
        <v>39</v>
      </c>
      <c r="K141" s="3">
        <f>IF(J141="","",IF(J141="DNS",0,IF(J141="DQ",0,IF(J141="DNF",1,IF(AND(ISNUMBER(J141),J141&gt;59),1,_xlfn.XLOOKUP(J141,tbl_points[Place],tbl_points[Points],""))))))</f>
        <v>21</v>
      </c>
      <c r="M141" s="3" t="str">
        <f>IF(L141="","",IF(L141="DNS",0,IF(L141="DQ",0,IF(L141="DNF",1,IF(AND(ISNUMBER(L141),L141&gt;59),1,_xlfn.XLOOKUP(L141,tbl_points[Place],tbl_points[Points],""))))))</f>
        <v/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141" s="3">
        <f>tbl_individual[[#This Row],[Total]]</f>
        <v>49</v>
      </c>
    </row>
    <row r="142" spans="1:22" hidden="1" x14ac:dyDescent="0.4">
      <c r="A142" t="s">
        <v>77</v>
      </c>
      <c r="B142" t="s">
        <v>10</v>
      </c>
      <c r="C142" t="s">
        <v>5</v>
      </c>
      <c r="D142" s="3">
        <v>910</v>
      </c>
      <c r="E142" s="3" t="s">
        <v>426</v>
      </c>
      <c r="G142" s="3" t="s">
        <v>406</v>
      </c>
      <c r="H142" s="3">
        <v>35</v>
      </c>
      <c r="I142" s="3">
        <f>IF(H142="","",IF(H142="DNS",0,IF(H142="DQ",0,IF(H142="DNF",1,IF(AND(ISNUMBER(H142),H142&gt;59),1,_xlfn.XLOOKUP(H142,tbl_points[Place],tbl_points[Points],""))))))</f>
        <v>25</v>
      </c>
      <c r="J142" s="3">
        <v>25</v>
      </c>
      <c r="K142" s="3">
        <f>IF(J142="","",IF(J142="DNS",0,IF(J142="DQ",0,IF(J142="DNF",1,IF(AND(ISNUMBER(J142),J142&gt;59),1,_xlfn.XLOOKUP(J142,tbl_points[Place],tbl_points[Points],""))))))</f>
        <v>35</v>
      </c>
      <c r="M142" s="3" t="str">
        <f>IF(L142="","",IF(L142="DNS",0,IF(L142="DQ",0,IF(L142="DNF",1,IF(AND(ISNUMBER(L142),L142&gt;59),1,_xlfn.XLOOKUP(L142,tbl_points[Place],tbl_points[Points],""))))))</f>
        <v/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42" s="3">
        <f>tbl_individual[[#This Row],[Total]]</f>
        <v>60</v>
      </c>
    </row>
    <row r="143" spans="1:22" hidden="1" x14ac:dyDescent="0.4">
      <c r="A143" t="s">
        <v>283</v>
      </c>
      <c r="B143" t="s">
        <v>24</v>
      </c>
      <c r="C143" t="s">
        <v>1</v>
      </c>
      <c r="D143" s="3">
        <v>12073</v>
      </c>
      <c r="E143" s="3" t="s">
        <v>426</v>
      </c>
      <c r="G143" s="3" t="s">
        <v>406</v>
      </c>
      <c r="H143" s="3" t="s">
        <v>413</v>
      </c>
      <c r="I143" s="3">
        <f>IF(H143="","",IF(H143="DNS",0,IF(H143="DQ",0,IF(H143="DNF",1,IF(AND(ISNUMBER(H143),H143&gt;59),1,_xlfn.XLOOKUP(H143,tbl_points[Place],tbl_points[Points],""))))))</f>
        <v>0</v>
      </c>
      <c r="J143" s="3">
        <v>30</v>
      </c>
      <c r="K143" s="3">
        <f>IF(J143="","",IF(J143="DNS",0,IF(J143="DQ",0,IF(J143="DNF",1,IF(AND(ISNUMBER(J143),J143&gt;59),1,_xlfn.XLOOKUP(J143,tbl_points[Place],tbl_points[Points],""))))))</f>
        <v>30</v>
      </c>
      <c r="M143" s="3" t="str">
        <f>IF(L143="","",IF(L143="DNS",0,IF(L143="DQ",0,IF(L143="DNF",1,IF(AND(ISNUMBER(L143),L143&gt;59),1,_xlfn.XLOOKUP(L143,tbl_points[Place],tbl_points[Points],""))))))</f>
        <v/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3" s="3">
        <f>tbl_individual[[#This Row],[Total]]</f>
        <v>30</v>
      </c>
    </row>
    <row r="144" spans="1:22" hidden="1" x14ac:dyDescent="0.4">
      <c r="A144" t="s">
        <v>224</v>
      </c>
      <c r="B144" t="s">
        <v>21</v>
      </c>
      <c r="C144" t="s">
        <v>1</v>
      </c>
      <c r="D144" s="3">
        <v>12050</v>
      </c>
      <c r="E144" s="3" t="s">
        <v>426</v>
      </c>
      <c r="G144" s="3" t="s">
        <v>406</v>
      </c>
      <c r="H144" s="3">
        <v>30</v>
      </c>
      <c r="I144" s="3">
        <f>IF(H144="","",IF(H144="DNS",0,IF(H144="DQ",0,IF(H144="DNF",1,IF(AND(ISNUMBER(H144),H144&gt;59),1,_xlfn.XLOOKUP(H144,tbl_points[Place],tbl_points[Points],""))))))</f>
        <v>30</v>
      </c>
      <c r="J144" s="3">
        <v>31</v>
      </c>
      <c r="K144" s="3">
        <f>IF(J144="","",IF(J144="DNS",0,IF(J144="DQ",0,IF(J144="DNF",1,IF(AND(ISNUMBER(J144),J144&gt;59),1,_xlfn.XLOOKUP(J144,tbl_points[Place],tbl_points[Points],""))))))</f>
        <v>29</v>
      </c>
      <c r="M144" s="3" t="str">
        <f>IF(L144="","",IF(L144="DNS",0,IF(L144="DQ",0,IF(L144="DNF",1,IF(AND(ISNUMBER(L144),L144&gt;59),1,_xlfn.XLOOKUP(L144,tbl_points[Place],tbl_points[Points],""))))))</f>
        <v/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44" s="3">
        <f>tbl_individual[[#This Row],[Total]]</f>
        <v>59</v>
      </c>
    </row>
    <row r="145" spans="1:22" x14ac:dyDescent="0.4">
      <c r="A145" t="s">
        <v>445</v>
      </c>
      <c r="B145" t="s">
        <v>10</v>
      </c>
      <c r="C145" t="s">
        <v>7</v>
      </c>
      <c r="D145" s="3">
        <v>8185</v>
      </c>
      <c r="E145" s="3" t="s">
        <v>426</v>
      </c>
      <c r="G145" s="3" t="s">
        <v>406</v>
      </c>
      <c r="H145" s="3" t="s">
        <v>412</v>
      </c>
      <c r="I145" s="3">
        <f>IF(H145="","",IF(H145="DNS",0,IF(H145="DQ",0,IF(H145="DNF",1,IF(AND(ISNUMBER(H145),H145&gt;59),1,_xlfn.XLOOKUP(H145,tbl_points[Place],tbl_points[Points],""))))))</f>
        <v>1</v>
      </c>
      <c r="J145" s="3">
        <v>34</v>
      </c>
      <c r="K145" s="3">
        <f>IF(J145="","",IF(J145="DNS",0,IF(J145="DQ",0,IF(J145="DNF",1,IF(AND(ISNUMBER(J145),J145&gt;59),1,_xlfn.XLOOKUP(J145,tbl_points[Place],tbl_points[Points],""))))))</f>
        <v>26</v>
      </c>
      <c r="M145" s="3" t="str">
        <f>IF(L145="","",IF(L145="DNS",0,IF(L145="DQ",0,IF(L145="DNF",1,IF(AND(ISNUMBER(L145),L145&gt;59),1,_xlfn.XLOOKUP(L145,tbl_points[Place],tbl_points[Points],""))))))</f>
        <v/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45" s="3">
        <f>tbl_individual[[#This Row],[Total]]</f>
        <v>27</v>
      </c>
    </row>
    <row r="146" spans="1:22" x14ac:dyDescent="0.4">
      <c r="A146" t="s">
        <v>112</v>
      </c>
      <c r="B146" t="s">
        <v>12</v>
      </c>
      <c r="C146" t="s">
        <v>7</v>
      </c>
      <c r="D146" s="3">
        <v>8191</v>
      </c>
      <c r="E146" s="3" t="s">
        <v>426</v>
      </c>
      <c r="G146" s="3" t="s">
        <v>406</v>
      </c>
      <c r="H146" s="3">
        <v>22</v>
      </c>
      <c r="I146" s="3">
        <f>IF(H146="","",IF(H146="DNS",0,IF(H146="DQ",0,IF(H146="DNF",1,IF(AND(ISNUMBER(H146),H146&gt;59),1,_xlfn.XLOOKUP(H146,tbl_points[Place],tbl_points[Points],""))))))</f>
        <v>38</v>
      </c>
      <c r="J146" s="3">
        <v>35</v>
      </c>
      <c r="K146" s="3">
        <f>IF(J146="","",IF(J146="DNS",0,IF(J146="DQ",0,IF(J146="DNF",1,IF(AND(ISNUMBER(J146),J146&gt;59),1,_xlfn.XLOOKUP(J146,tbl_points[Place],tbl_points[Points],""))))))</f>
        <v>25</v>
      </c>
      <c r="M146" s="3" t="str">
        <f>IF(L146="","",IF(L146="DNS",0,IF(L146="DQ",0,IF(L146="DNF",1,IF(AND(ISNUMBER(L146),L146&gt;59),1,_xlfn.XLOOKUP(L146,tbl_points[Place],tbl_points[Points],""))))))</f>
        <v/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46" s="3">
        <f>tbl_individual[[#This Row],[Total]]</f>
        <v>63</v>
      </c>
    </row>
    <row r="147" spans="1:22" x14ac:dyDescent="0.4">
      <c r="A147" t="s">
        <v>55</v>
      </c>
      <c r="B147" t="s">
        <v>10</v>
      </c>
      <c r="C147" t="s">
        <v>7</v>
      </c>
      <c r="D147" s="3">
        <v>8086</v>
      </c>
      <c r="E147" s="3" t="s">
        <v>426</v>
      </c>
      <c r="G147" s="3" t="s">
        <v>406</v>
      </c>
      <c r="H147" s="3" t="s">
        <v>413</v>
      </c>
      <c r="I147" s="3">
        <f>IF(H147="","",IF(H147="DNS",0,IF(H147="DQ",0,IF(H147="DNF",1,IF(AND(ISNUMBER(H147),H147&gt;59),1,_xlfn.XLOOKUP(H147,tbl_points[Place],tbl_points[Points],""))))))</f>
        <v>0</v>
      </c>
      <c r="J147" s="3">
        <v>36</v>
      </c>
      <c r="K147" s="3">
        <f>IF(J147="","",IF(J147="DNS",0,IF(J147="DQ",0,IF(J147="DNF",1,IF(AND(ISNUMBER(J147),J147&gt;59),1,_xlfn.XLOOKUP(J147,tbl_points[Place],tbl_points[Points],""))))))</f>
        <v>24</v>
      </c>
      <c r="M147" s="3" t="str">
        <f>IF(L147="","",IF(L147="DNS",0,IF(L147="DQ",0,IF(L147="DNF",1,IF(AND(ISNUMBER(L147),L147&gt;59),1,_xlfn.XLOOKUP(L147,tbl_points[Place],tbl_points[Points],""))))))</f>
        <v/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24</v>
      </c>
    </row>
    <row r="148" spans="1:22" hidden="1" x14ac:dyDescent="0.4">
      <c r="A148" t="s">
        <v>184</v>
      </c>
      <c r="B148" t="s">
        <v>20</v>
      </c>
      <c r="C148" t="s">
        <v>7</v>
      </c>
      <c r="E148" s="3" t="s">
        <v>438</v>
      </c>
      <c r="F148" s="17" t="s">
        <v>440</v>
      </c>
      <c r="H148" s="3" t="s">
        <v>413</v>
      </c>
      <c r="I148" s="3">
        <f>IF(H148="","",IF(H148="DNS",0,IF(H148="DQ",0,IF(H148="DNF",1,IF(AND(ISNUMBER(H148),H148&gt;59),1,_xlfn.XLOOKUP(H148,tbl_points[Place],tbl_points[Points],""))))))</f>
        <v>0</v>
      </c>
      <c r="K148" s="3" t="str">
        <f>IF(J148="","",IF(J148="DNS",0,IF(J148="DQ",0,IF(J148="DNF",1,IF(AND(ISNUMBER(J148),J148&gt;59),1,_xlfn.XLOOKUP(J148,tbl_points[Place],tbl_points[Points],""))))))</f>
        <v/>
      </c>
      <c r="M148" s="3" t="str">
        <f>IF(L148="","",IF(L148="DNS",0,IF(L148="DQ",0,IF(L148="DNF",1,IF(AND(ISNUMBER(L148),L148&gt;59),1,_xlfn.XLOOKUP(L148,tbl_points[Place],tbl_points[Points],""))))))</f>
        <v/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0</v>
      </c>
    </row>
    <row r="149" spans="1:22" x14ac:dyDescent="0.4">
      <c r="A149" t="s">
        <v>304</v>
      </c>
      <c r="B149" t="s">
        <v>26</v>
      </c>
      <c r="C149" t="s">
        <v>7</v>
      </c>
      <c r="D149" s="3">
        <v>823</v>
      </c>
      <c r="E149" s="3" t="s">
        <v>426</v>
      </c>
      <c r="G149" s="3" t="s">
        <v>406</v>
      </c>
      <c r="H149" s="3">
        <v>12</v>
      </c>
      <c r="I149" s="3">
        <f>IF(H149="","",IF(H149="DNS",0,IF(H149="DQ",0,IF(H149="DNF",1,IF(AND(ISNUMBER(H149),H149&gt;59),1,_xlfn.XLOOKUP(H149,tbl_points[Place],tbl_points[Points],""))))))</f>
        <v>51</v>
      </c>
      <c r="J149" s="3">
        <v>37</v>
      </c>
      <c r="K149" s="3">
        <f>IF(J149="","",IF(J149="DNS",0,IF(J149="DQ",0,IF(J149="DNF",1,IF(AND(ISNUMBER(J149),J149&gt;59),1,_xlfn.XLOOKUP(J149,tbl_points[Place],tbl_points[Points],""))))))</f>
        <v>23</v>
      </c>
      <c r="M149" s="3" t="str">
        <f>IF(L149="","",IF(L149="DNS",0,IF(L149="DQ",0,IF(L149="DNF",1,IF(AND(ISNUMBER(L149),L149&gt;59),1,_xlfn.XLOOKUP(L149,tbl_points[Place],tbl_points[Points],""))))))</f>
        <v/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49" s="3">
        <f>tbl_individual[[#This Row],[Total]]</f>
        <v>74</v>
      </c>
    </row>
    <row r="150" spans="1:22" hidden="1" x14ac:dyDescent="0.4">
      <c r="A150" t="s">
        <v>108</v>
      </c>
      <c r="B150" t="s">
        <v>11</v>
      </c>
      <c r="C150" t="s">
        <v>3</v>
      </c>
      <c r="D150" s="3">
        <v>10154</v>
      </c>
      <c r="E150" s="3" t="s">
        <v>426</v>
      </c>
      <c r="G150" s="3" t="s">
        <v>406</v>
      </c>
      <c r="H150" s="3">
        <v>33</v>
      </c>
      <c r="I150" s="3">
        <f>IF(H150="","",IF(H150="DNS",0,IF(H150="DQ",0,IF(H150="DNF",1,IF(AND(ISNUMBER(H150),H150&gt;59),1,_xlfn.XLOOKUP(H150,tbl_points[Place],tbl_points[Points],""))))))</f>
        <v>27</v>
      </c>
      <c r="J150" s="3">
        <v>38</v>
      </c>
      <c r="K150" s="3">
        <f>IF(J150="","",IF(J150="DNS",0,IF(J150="DQ",0,IF(J150="DNF",1,IF(AND(ISNUMBER(J150),J150&gt;59),1,_xlfn.XLOOKUP(J150,tbl_points[Place],tbl_points[Points],""))))))</f>
        <v>22</v>
      </c>
      <c r="M150" s="3" t="str">
        <f>IF(L150="","",IF(L150="DNS",0,IF(L150="DQ",0,IF(L150="DNF",1,IF(AND(ISNUMBER(L150),L150&gt;59),1,_xlfn.XLOOKUP(L150,tbl_points[Place],tbl_points[Points],""))))))</f>
        <v/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150" s="3">
        <f>tbl_individual[[#This Row],[Total]]</f>
        <v>49</v>
      </c>
    </row>
    <row r="151" spans="1:22" hidden="1" x14ac:dyDescent="0.4">
      <c r="A151" t="s">
        <v>109</v>
      </c>
      <c r="B151" t="s">
        <v>11</v>
      </c>
      <c r="C151" t="s">
        <v>3</v>
      </c>
      <c r="D151" s="3">
        <v>10155</v>
      </c>
      <c r="E151" s="3" t="s">
        <v>426</v>
      </c>
      <c r="G151" s="3" t="s">
        <v>406</v>
      </c>
      <c r="H151" s="3">
        <v>41</v>
      </c>
      <c r="I151" s="3">
        <f>IF(H151="","",IF(H151="DNS",0,IF(H151="DQ",0,IF(H151="DNF",1,IF(AND(ISNUMBER(H151),H151&gt;59),1,_xlfn.XLOOKUP(H151,tbl_points[Place],tbl_points[Points],""))))))</f>
        <v>19</v>
      </c>
      <c r="J151" s="3">
        <v>37</v>
      </c>
      <c r="K151" s="3">
        <f>IF(J151="","",IF(J151="DNS",0,IF(J151="DQ",0,IF(J151="DNF",1,IF(AND(ISNUMBER(J151),J151&gt;59),1,_xlfn.XLOOKUP(J151,tbl_points[Place],tbl_points[Points],""))))))</f>
        <v>23</v>
      </c>
      <c r="M151" s="3" t="str">
        <f>IF(L151="","",IF(L151="DNS",0,IF(L151="DQ",0,IF(L151="DNF",1,IF(AND(ISNUMBER(L151),L151&gt;59),1,_xlfn.XLOOKUP(L151,tbl_points[Place],tbl_points[Points],""))))))</f>
        <v/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151" s="3">
        <f>tbl_individual[[#This Row],[Total]]</f>
        <v>42</v>
      </c>
    </row>
    <row r="152" spans="1:22" hidden="1" x14ac:dyDescent="0.4">
      <c r="A152" t="s">
        <v>219</v>
      </c>
      <c r="B152" t="s">
        <v>21</v>
      </c>
      <c r="C152" t="s">
        <v>3</v>
      </c>
      <c r="D152" s="3">
        <v>10177</v>
      </c>
      <c r="E152" s="3" t="s">
        <v>426</v>
      </c>
      <c r="G152" s="3" t="s">
        <v>406</v>
      </c>
      <c r="H152" s="3">
        <v>31</v>
      </c>
      <c r="I152" s="3">
        <f>IF(H152="","",IF(H152="DNS",0,IF(H152="DQ",0,IF(H152="DNF",1,IF(AND(ISNUMBER(H152),H152&gt;59),1,_xlfn.XLOOKUP(H152,tbl_points[Place],tbl_points[Points],""))))))</f>
        <v>29</v>
      </c>
      <c r="J152" s="3">
        <v>36</v>
      </c>
      <c r="K152" s="3">
        <f>IF(J152="","",IF(J152="DNS",0,IF(J152="DQ",0,IF(J152="DNF",1,IF(AND(ISNUMBER(J152),J152&gt;59),1,_xlfn.XLOOKUP(J152,tbl_points[Place],tbl_points[Points],""))))))</f>
        <v>24</v>
      </c>
      <c r="M152" s="3" t="str">
        <f>IF(L152="","",IF(L152="DNS",0,IF(L152="DQ",0,IF(L152="DNF",1,IF(AND(ISNUMBER(L152),L152&gt;59),1,_xlfn.XLOOKUP(L152,tbl_points[Place],tbl_points[Points],""))))))</f>
        <v/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52" s="3">
        <f>tbl_individual[[#This Row],[Total]]</f>
        <v>53</v>
      </c>
    </row>
    <row r="153" spans="1:22" hidden="1" x14ac:dyDescent="0.4">
      <c r="A153" t="s">
        <v>371</v>
      </c>
      <c r="B153" t="s">
        <v>30</v>
      </c>
      <c r="C153" t="s">
        <v>3</v>
      </c>
      <c r="D153" s="3">
        <v>10197</v>
      </c>
      <c r="E153" s="3" t="s">
        <v>426</v>
      </c>
      <c r="G153" s="3" t="s">
        <v>406</v>
      </c>
      <c r="H153" s="3" t="s">
        <v>412</v>
      </c>
      <c r="I153" s="3">
        <f>IF(H153="","",IF(H153="DNS",0,IF(H153="DQ",0,IF(H153="DNF",1,IF(AND(ISNUMBER(H153),H153&gt;59),1,_xlfn.XLOOKUP(H153,tbl_points[Place],tbl_points[Points],""))))))</f>
        <v>1</v>
      </c>
      <c r="J153" s="3">
        <v>35</v>
      </c>
      <c r="K153" s="3">
        <f>IF(J153="","",IF(J153="DNS",0,IF(J153="DQ",0,IF(J153="DNF",1,IF(AND(ISNUMBER(J153),J153&gt;59),1,_xlfn.XLOOKUP(J153,tbl_points[Place],tbl_points[Points],""))))))</f>
        <v>25</v>
      </c>
      <c r="M153" s="3" t="str">
        <f>IF(L153="","",IF(L153="DNS",0,IF(L153="DQ",0,IF(L153="DNF",1,IF(AND(ISNUMBER(L153),L153&gt;59),1,_xlfn.XLOOKUP(L153,tbl_points[Place],tbl_points[Points],""))))))</f>
        <v/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53" s="3">
        <f>tbl_individual[[#This Row],[Total]]</f>
        <v>26</v>
      </c>
    </row>
    <row r="154" spans="1:22" hidden="1" x14ac:dyDescent="0.4">
      <c r="A154" t="s">
        <v>214</v>
      </c>
      <c r="B154" t="s">
        <v>21</v>
      </c>
      <c r="C154" t="s">
        <v>3</v>
      </c>
      <c r="D154" s="3">
        <v>10172</v>
      </c>
      <c r="E154" s="3" t="s">
        <v>426</v>
      </c>
      <c r="G154" s="3" t="s">
        <v>406</v>
      </c>
      <c r="H154" s="3" t="s">
        <v>412</v>
      </c>
      <c r="I154" s="3">
        <f>IF(H154="","",IF(H154="DNS",0,IF(H154="DQ",0,IF(H154="DNF",1,IF(AND(ISNUMBER(H154),H154&gt;59),1,_xlfn.XLOOKUP(H154,tbl_points[Place],tbl_points[Points],""))))))</f>
        <v>1</v>
      </c>
      <c r="J154" s="3">
        <v>34</v>
      </c>
      <c r="K154" s="3">
        <f>IF(J154="","",IF(J154="DNS",0,IF(J154="DQ",0,IF(J154="DNF",1,IF(AND(ISNUMBER(J154),J154&gt;59),1,_xlfn.XLOOKUP(J154,tbl_points[Place],tbl_points[Points],""))))))</f>
        <v>26</v>
      </c>
      <c r="M154" s="3" t="str">
        <f>IF(L154="","",IF(L154="DNS",0,IF(L154="DQ",0,IF(L154="DNF",1,IF(AND(ISNUMBER(L154),L154&gt;59),1,_xlfn.XLOOKUP(L154,tbl_points[Place],tbl_points[Points],""))))))</f>
        <v/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54" s="3">
        <f>tbl_individual[[#This Row],[Total]]</f>
        <v>27</v>
      </c>
    </row>
    <row r="155" spans="1:22" hidden="1" x14ac:dyDescent="0.4">
      <c r="A155" t="s">
        <v>114</v>
      </c>
      <c r="B155" t="s">
        <v>12</v>
      </c>
      <c r="C155" t="s">
        <v>3</v>
      </c>
      <c r="D155" s="3">
        <v>10156</v>
      </c>
      <c r="E155" s="3" t="s">
        <v>426</v>
      </c>
      <c r="G155" s="3" t="s">
        <v>406</v>
      </c>
      <c r="H155" s="3">
        <v>27</v>
      </c>
      <c r="I155" s="3">
        <f>IF(H155="","",IF(H155="DNS",0,IF(H155="DQ",0,IF(H155="DNF",1,IF(AND(ISNUMBER(H155),H155&gt;59),1,_xlfn.XLOOKUP(H155,tbl_points[Place],tbl_points[Points],""))))))</f>
        <v>33</v>
      </c>
      <c r="J155" s="3">
        <v>33</v>
      </c>
      <c r="K155" s="3">
        <f>IF(J155="","",IF(J155="DNS",0,IF(J155="DQ",0,IF(J155="DNF",1,IF(AND(ISNUMBER(J155),J155&gt;59),1,_xlfn.XLOOKUP(J155,tbl_points[Place],tbl_points[Points],""))))))</f>
        <v>27</v>
      </c>
      <c r="M155" s="3" t="str">
        <f>IF(L155="","",IF(L155="DNS",0,IF(L155="DQ",0,IF(L155="DNF",1,IF(AND(ISNUMBER(L155),L155&gt;59),1,_xlfn.XLOOKUP(L155,tbl_points[Place],tbl_points[Points],""))))))</f>
        <v/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55" s="3">
        <f>tbl_individual[[#This Row],[Total]]</f>
        <v>60</v>
      </c>
    </row>
    <row r="156" spans="1:22" hidden="1" x14ac:dyDescent="0.4">
      <c r="A156" t="s">
        <v>195</v>
      </c>
      <c r="B156" t="s">
        <v>20</v>
      </c>
      <c r="C156" t="s">
        <v>3</v>
      </c>
      <c r="D156" s="3">
        <v>10170</v>
      </c>
      <c r="E156" s="3" t="s">
        <v>426</v>
      </c>
      <c r="G156" s="3" t="s">
        <v>406</v>
      </c>
      <c r="H156" s="3" t="s">
        <v>413</v>
      </c>
      <c r="I156" s="3">
        <f>IF(H156="","",IF(H156="DNS",0,IF(H156="DQ",0,IF(H156="DNF",1,IF(AND(ISNUMBER(H156),H156&gt;59),1,_xlfn.XLOOKUP(H156,tbl_points[Place],tbl_points[Points],""))))))</f>
        <v>0</v>
      </c>
      <c r="J156" s="3">
        <v>32</v>
      </c>
      <c r="K156" s="3">
        <f>IF(J156="","",IF(J156="DNS",0,IF(J156="DQ",0,IF(J156="DNF",1,IF(AND(ISNUMBER(J156),J156&gt;59),1,_xlfn.XLOOKUP(J156,tbl_points[Place],tbl_points[Points],""))))))</f>
        <v>28</v>
      </c>
      <c r="M156" s="3" t="str">
        <f>IF(L156="","",IF(L156="DNS",0,IF(L156="DQ",0,IF(L156="DNF",1,IF(AND(ISNUMBER(L156),L156&gt;59),1,_xlfn.XLOOKUP(L156,tbl_points[Place],tbl_points[Points],""))))))</f>
        <v/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28</v>
      </c>
    </row>
    <row r="157" spans="1:22" hidden="1" x14ac:dyDescent="0.4">
      <c r="A157" t="s">
        <v>373</v>
      </c>
      <c r="B157" t="s">
        <v>30</v>
      </c>
      <c r="C157" t="s">
        <v>3</v>
      </c>
      <c r="D157" s="3">
        <v>10200</v>
      </c>
      <c r="E157" s="3" t="s">
        <v>426</v>
      </c>
      <c r="G157" s="3" t="s">
        <v>406</v>
      </c>
      <c r="H157" s="3" t="s">
        <v>413</v>
      </c>
      <c r="I157" s="3">
        <f>IF(H157="","",IF(H157="DNS",0,IF(H157="DQ",0,IF(H157="DNF",1,IF(AND(ISNUMBER(H157),H157&gt;59),1,_xlfn.XLOOKUP(H157,tbl_points[Place],tbl_points[Points],""))))))</f>
        <v>0</v>
      </c>
      <c r="J157" s="3">
        <v>31</v>
      </c>
      <c r="K157" s="3">
        <f>IF(J157="","",IF(J157="DNS",0,IF(J157="DQ",0,IF(J157="DNF",1,IF(AND(ISNUMBER(J157),J157&gt;59),1,_xlfn.XLOOKUP(J157,tbl_points[Place],tbl_points[Points],""))))))</f>
        <v>29</v>
      </c>
      <c r="M157" s="3" t="str">
        <f>IF(L157="","",IF(L157="DNS",0,IF(L157="DQ",0,IF(L157="DNF",1,IF(AND(ISNUMBER(L157),L157&gt;59),1,_xlfn.XLOOKUP(L157,tbl_points[Place],tbl_points[Points],""))))))</f>
        <v/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29</v>
      </c>
    </row>
    <row r="158" spans="1:22" hidden="1" x14ac:dyDescent="0.4">
      <c r="A158" t="s">
        <v>306</v>
      </c>
      <c r="B158" t="s">
        <v>26</v>
      </c>
      <c r="C158" t="s">
        <v>5</v>
      </c>
      <c r="D158" s="3">
        <v>940</v>
      </c>
      <c r="E158" s="3" t="s">
        <v>426</v>
      </c>
      <c r="G158" s="3" t="s">
        <v>406</v>
      </c>
      <c r="H158" s="3">
        <v>37</v>
      </c>
      <c r="I158" s="3">
        <f>IF(H158="","",IF(H158="DNS",0,IF(H158="DQ",0,IF(H158="DNF",1,IF(AND(ISNUMBER(H158),H158&gt;59),1,_xlfn.XLOOKUP(H158,tbl_points[Place],tbl_points[Points],""))))))</f>
        <v>23</v>
      </c>
      <c r="J158" s="3">
        <v>26</v>
      </c>
      <c r="K158" s="3">
        <f>IF(J158="","",IF(J158="DNS",0,IF(J158="DQ",0,IF(J158="DNF",1,IF(AND(ISNUMBER(J158),J158&gt;59),1,_xlfn.XLOOKUP(J158,tbl_points[Place],tbl_points[Points],""))))))</f>
        <v>34</v>
      </c>
      <c r="M158" s="3" t="str">
        <f>IF(L158="","",IF(L158="DNS",0,IF(L158="DQ",0,IF(L158="DNF",1,IF(AND(ISNUMBER(L158),L158&gt;59),1,_xlfn.XLOOKUP(L158,tbl_points[Place],tbl_points[Points],""))))))</f>
        <v/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58" s="3">
        <f>tbl_individual[[#This Row],[Total]]</f>
        <v>57</v>
      </c>
    </row>
    <row r="159" spans="1:22" hidden="1" x14ac:dyDescent="0.4">
      <c r="A159" t="s">
        <v>288</v>
      </c>
      <c r="B159" t="s">
        <v>25</v>
      </c>
      <c r="C159" t="s">
        <v>5</v>
      </c>
      <c r="D159" s="3">
        <v>931</v>
      </c>
      <c r="E159" s="3" t="s">
        <v>426</v>
      </c>
      <c r="G159" s="3" t="s">
        <v>406</v>
      </c>
      <c r="H159" s="3" t="s">
        <v>413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27</v>
      </c>
      <c r="K159" s="3">
        <f>IF(J159="","",IF(J159="DNS",0,IF(J159="DQ",0,IF(J159="DNF",1,IF(AND(ISNUMBER(J159),J159&gt;59),1,_xlfn.XLOOKUP(J159,tbl_points[Place],tbl_points[Points],""))))))</f>
        <v>33</v>
      </c>
      <c r="M159" s="3" t="str">
        <f>IF(L159="","",IF(L159="DNS",0,IF(L159="DQ",0,IF(L159="DNF",1,IF(AND(ISNUMBER(L159),L159&gt;59),1,_xlfn.XLOOKUP(L159,tbl_points[Place],tbl_points[Points],""))))))</f>
        <v/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33</v>
      </c>
    </row>
    <row r="160" spans="1:22" hidden="1" x14ac:dyDescent="0.4">
      <c r="A160" t="s">
        <v>335</v>
      </c>
      <c r="B160" t="s">
        <v>28</v>
      </c>
      <c r="C160" t="s">
        <v>5</v>
      </c>
      <c r="D160" s="3">
        <v>945</v>
      </c>
      <c r="E160" s="3" t="s">
        <v>426</v>
      </c>
      <c r="G160" s="3" t="s">
        <v>406</v>
      </c>
      <c r="H160" s="3" t="s">
        <v>413</v>
      </c>
      <c r="I160" s="3">
        <f>IF(H160="","",IF(H160="DNS",0,IF(H160="DQ",0,IF(H160="DNF",1,IF(AND(ISNUMBER(H160),H160&gt;59),1,_xlfn.XLOOKUP(H160,tbl_points[Place],tbl_points[Points],""))))))</f>
        <v>0</v>
      </c>
      <c r="J160" s="3">
        <v>28</v>
      </c>
      <c r="K160" s="3">
        <f>IF(J160="","",IF(J160="DNS",0,IF(J160="DQ",0,IF(J160="DNF",1,IF(AND(ISNUMBER(J160),J160&gt;59),1,_xlfn.XLOOKUP(J160,tbl_points[Place],tbl_points[Points],""))))))</f>
        <v>32</v>
      </c>
      <c r="M160" s="3" t="str">
        <f>IF(L160="","",IF(L160="DNS",0,IF(L160="DQ",0,IF(L160="DNF",1,IF(AND(ISNUMBER(L160),L160&gt;59),1,_xlfn.XLOOKUP(L160,tbl_points[Place],tbl_points[Points],""))))))</f>
        <v/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0" s="3">
        <f>tbl_individual[[#This Row],[Total]]</f>
        <v>32</v>
      </c>
    </row>
    <row r="161" spans="1:22" hidden="1" x14ac:dyDescent="0.4">
      <c r="A161" t="s">
        <v>289</v>
      </c>
      <c r="B161" t="s">
        <v>25</v>
      </c>
      <c r="C161" t="s">
        <v>5</v>
      </c>
      <c r="D161" s="3">
        <v>932</v>
      </c>
      <c r="E161" s="3" t="s">
        <v>426</v>
      </c>
      <c r="G161" s="3" t="s">
        <v>406</v>
      </c>
      <c r="H161" s="3">
        <v>36</v>
      </c>
      <c r="I161" s="3">
        <f>IF(H161="","",IF(H161="DNS",0,IF(H161="DQ",0,IF(H161="DNF",1,IF(AND(ISNUMBER(H161),H161&gt;59),1,_xlfn.XLOOKUP(H161,tbl_points[Place],tbl_points[Points],""))))))</f>
        <v>24</v>
      </c>
      <c r="J161" s="3">
        <v>29</v>
      </c>
      <c r="K161" s="3">
        <f>IF(J161="","",IF(J161="DNS",0,IF(J161="DQ",0,IF(J161="DNF",1,IF(AND(ISNUMBER(J161),J161&gt;59),1,_xlfn.XLOOKUP(J161,tbl_points[Place],tbl_points[Points],""))))))</f>
        <v>31</v>
      </c>
      <c r="M161" s="3" t="str">
        <f>IF(L161="","",IF(L161="DNS",0,IF(L161="DQ",0,IF(L161="DNF",1,IF(AND(ISNUMBER(L161),L161&gt;59),1,_xlfn.XLOOKUP(L161,tbl_points[Place],tbl_points[Points],""))))))</f>
        <v/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61" s="3">
        <f>tbl_individual[[#This Row],[Total]]</f>
        <v>55</v>
      </c>
    </row>
    <row r="162" spans="1:22" hidden="1" x14ac:dyDescent="0.4">
      <c r="A162" t="s">
        <v>97</v>
      </c>
      <c r="B162" t="s">
        <v>10</v>
      </c>
      <c r="C162" t="s">
        <v>1</v>
      </c>
      <c r="D162" s="3">
        <v>12013</v>
      </c>
      <c r="E162" s="3" t="s">
        <v>426</v>
      </c>
      <c r="G162" s="3" t="s">
        <v>406</v>
      </c>
      <c r="H162" s="3">
        <v>41</v>
      </c>
      <c r="I162" s="3">
        <f>IF(H162="","",IF(H162="DNS",0,IF(H162="DQ",0,IF(H162="DNF",1,IF(AND(ISNUMBER(H162),H162&gt;59),1,_xlfn.XLOOKUP(H162,tbl_points[Place],tbl_points[Points],""))))))</f>
        <v>19</v>
      </c>
      <c r="J162" s="3">
        <v>32</v>
      </c>
      <c r="K162" s="3">
        <f>IF(J162="","",IF(J162="DNS",0,IF(J162="DQ",0,IF(J162="DNF",1,IF(AND(ISNUMBER(J162),J162&gt;59),1,_xlfn.XLOOKUP(J162,tbl_points[Place],tbl_points[Points],""))))))</f>
        <v>28</v>
      </c>
      <c r="M162" s="3" t="str">
        <f>IF(L162="","",IF(L162="DNS",0,IF(L162="DQ",0,IF(L162="DNF",1,IF(AND(ISNUMBER(L162),L162&gt;59),1,_xlfn.XLOOKUP(L162,tbl_points[Place],tbl_points[Points],""))))))</f>
        <v/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162" s="3">
        <f>tbl_individual[[#This Row],[Total]]</f>
        <v>47</v>
      </c>
    </row>
    <row r="163" spans="1:22" hidden="1" x14ac:dyDescent="0.4">
      <c r="A163" t="s">
        <v>278</v>
      </c>
      <c r="B163" t="s">
        <v>23</v>
      </c>
      <c r="C163" t="s">
        <v>1</v>
      </c>
      <c r="D163" s="3">
        <v>12071</v>
      </c>
      <c r="E163" s="3" t="s">
        <v>426</v>
      </c>
      <c r="G163" s="3" t="s">
        <v>406</v>
      </c>
      <c r="H163" s="3" t="s">
        <v>413</v>
      </c>
      <c r="I163" s="3">
        <f>IF(H163="","",IF(H163="DNS",0,IF(H163="DQ",0,IF(H163="DNF",1,IF(AND(ISNUMBER(H163),H163&gt;59),1,_xlfn.XLOOKUP(H163,tbl_points[Place],tbl_points[Points],""))))))</f>
        <v>0</v>
      </c>
      <c r="J163" s="3">
        <v>33</v>
      </c>
      <c r="K163" s="3">
        <f>IF(J163="","",IF(J163="DNS",0,IF(J163="DQ",0,IF(J163="DNF",1,IF(AND(ISNUMBER(J163),J163&gt;59),1,_xlfn.XLOOKUP(J163,tbl_points[Place],tbl_points[Points],""))))))</f>
        <v>27</v>
      </c>
      <c r="M163" s="3" t="str">
        <f>IF(L163="","",IF(L163="DNS",0,IF(L163="DQ",0,IF(L163="DNF",1,IF(AND(ISNUMBER(L163),L163&gt;59),1,_xlfn.XLOOKUP(L163,tbl_points[Place],tbl_points[Points],""))))))</f>
        <v/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27</v>
      </c>
    </row>
    <row r="164" spans="1:22" hidden="1" x14ac:dyDescent="0.4">
      <c r="A164" t="s">
        <v>324</v>
      </c>
      <c r="B164" t="s">
        <v>27</v>
      </c>
      <c r="C164" t="s">
        <v>1</v>
      </c>
      <c r="D164" s="3">
        <v>12082</v>
      </c>
      <c r="E164" s="3" t="s">
        <v>426</v>
      </c>
      <c r="G164" s="3" t="s">
        <v>406</v>
      </c>
      <c r="H164" s="3">
        <v>38</v>
      </c>
      <c r="I164" s="3">
        <f>IF(H164="","",IF(H164="DNS",0,IF(H164="DQ",0,IF(H164="DNF",1,IF(AND(ISNUMBER(H164),H164&gt;59),1,_xlfn.XLOOKUP(H164,tbl_points[Place],tbl_points[Points],""))))))</f>
        <v>22</v>
      </c>
      <c r="J164" s="3">
        <v>34</v>
      </c>
      <c r="K164" s="3">
        <f>IF(J164="","",IF(J164="DNS",0,IF(J164="DQ",0,IF(J164="DNF",1,IF(AND(ISNUMBER(J164),J164&gt;59),1,_xlfn.XLOOKUP(J164,tbl_points[Place],tbl_points[Points],""))))))</f>
        <v>26</v>
      </c>
      <c r="M164" s="3" t="str">
        <f>IF(L164="","",IF(L164="DNS",0,IF(L164="DQ",0,IF(L164="DNF",1,IF(AND(ISNUMBER(L164),L164&gt;59),1,_xlfn.XLOOKUP(L164,tbl_points[Place],tbl_points[Points],""))))))</f>
        <v/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164" s="3">
        <f>tbl_individual[[#This Row],[Total]]</f>
        <v>48</v>
      </c>
    </row>
    <row r="165" spans="1:22" hidden="1" x14ac:dyDescent="0.4">
      <c r="A165" t="s">
        <v>349</v>
      </c>
      <c r="B165" t="s">
        <v>28</v>
      </c>
      <c r="C165" t="s">
        <v>1</v>
      </c>
      <c r="D165" s="3">
        <v>12094</v>
      </c>
      <c r="E165" s="3" t="s">
        <v>426</v>
      </c>
      <c r="G165" s="3" t="s">
        <v>406</v>
      </c>
      <c r="H165" s="3">
        <v>21</v>
      </c>
      <c r="I165" s="3">
        <f>IF(H165="","",IF(H165="DNS",0,IF(H165="DQ",0,IF(H165="DNF",1,IF(AND(ISNUMBER(H165),H165&gt;59),1,_xlfn.XLOOKUP(H165,tbl_points[Place],tbl_points[Points],""))))))</f>
        <v>39</v>
      </c>
      <c r="J165" s="3">
        <v>35</v>
      </c>
      <c r="K165" s="3">
        <f>IF(J165="","",IF(J165="DNS",0,IF(J165="DQ",0,IF(J165="DNF",1,IF(AND(ISNUMBER(J165),J165&gt;59),1,_xlfn.XLOOKUP(J165,tbl_points[Place],tbl_points[Points],""))))))</f>
        <v>25</v>
      </c>
      <c r="M165" s="3" t="str">
        <f>IF(L165="","",IF(L165="DNS",0,IF(L165="DQ",0,IF(L165="DNF",1,IF(AND(ISNUMBER(L165),L165&gt;59),1,_xlfn.XLOOKUP(L165,tbl_points[Place],tbl_points[Points],""))))))</f>
        <v/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65" s="3">
        <f>tbl_individual[[#This Row],[Total]]</f>
        <v>64</v>
      </c>
    </row>
    <row r="166" spans="1:22" hidden="1" x14ac:dyDescent="0.4">
      <c r="A166" t="s">
        <v>322</v>
      </c>
      <c r="B166" t="s">
        <v>27</v>
      </c>
      <c r="C166" t="s">
        <v>1</v>
      </c>
      <c r="D166" s="3">
        <v>12080</v>
      </c>
      <c r="E166" s="3" t="s">
        <v>426</v>
      </c>
      <c r="G166" s="3" t="s">
        <v>406</v>
      </c>
      <c r="H166" s="3">
        <v>32</v>
      </c>
      <c r="I166" s="3">
        <f>IF(H166="","",IF(H166="DNS",0,IF(H166="DQ",0,IF(H166="DNF",1,IF(AND(ISNUMBER(H166),H166&gt;59),1,_xlfn.XLOOKUP(H166,tbl_points[Place],tbl_points[Points],""))))))</f>
        <v>28</v>
      </c>
      <c r="J166" s="3">
        <v>36</v>
      </c>
      <c r="K166" s="3">
        <f>IF(J166="","",IF(J166="DNS",0,IF(J166="DQ",0,IF(J166="DNF",1,IF(AND(ISNUMBER(J166),J166&gt;59),1,_xlfn.XLOOKUP(J166,tbl_points[Place],tbl_points[Points],""))))))</f>
        <v>24</v>
      </c>
      <c r="M166" s="3" t="str">
        <f>IF(L166="","",IF(L166="DNS",0,IF(L166="DQ",0,IF(L166="DNF",1,IF(AND(ISNUMBER(L166),L166&gt;59),1,_xlfn.XLOOKUP(L166,tbl_points[Place],tbl_points[Points],""))))))</f>
        <v/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66" s="3">
        <f>tbl_individual[[#This Row],[Total]]</f>
        <v>52</v>
      </c>
    </row>
    <row r="167" spans="1:22" hidden="1" x14ac:dyDescent="0.4">
      <c r="A167" t="s">
        <v>207</v>
      </c>
      <c r="B167" t="s">
        <v>20</v>
      </c>
      <c r="C167" t="s">
        <v>1</v>
      </c>
      <c r="D167" s="3">
        <v>12048</v>
      </c>
      <c r="E167" s="3" t="s">
        <v>426</v>
      </c>
      <c r="G167" s="3" t="s">
        <v>406</v>
      </c>
      <c r="H167" s="3">
        <v>35</v>
      </c>
      <c r="I167" s="3">
        <f>IF(H167="","",IF(H167="DNS",0,IF(H167="DQ",0,IF(H167="DNF",1,IF(AND(ISNUMBER(H167),H167&gt;59),1,_xlfn.XLOOKUP(H167,tbl_points[Place],tbl_points[Points],""))))))</f>
        <v>25</v>
      </c>
      <c r="J167" s="3">
        <v>37</v>
      </c>
      <c r="K167" s="3">
        <f>IF(J167="","",IF(J167="DNS",0,IF(J167="DQ",0,IF(J167="DNF",1,IF(AND(ISNUMBER(J167),J167&gt;59),1,_xlfn.XLOOKUP(J167,tbl_points[Place],tbl_points[Points],""))))))</f>
        <v>23</v>
      </c>
      <c r="M167" s="3" t="str">
        <f>IF(L167="","",IF(L167="DNS",0,IF(L167="DQ",0,IF(L167="DNF",1,IF(AND(ISNUMBER(L167),L167&gt;59),1,_xlfn.XLOOKUP(L167,tbl_points[Place],tbl_points[Points],""))))))</f>
        <v/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67" s="3">
        <f>tbl_individual[[#This Row],[Total]]</f>
        <v>48</v>
      </c>
    </row>
    <row r="168" spans="1:22" hidden="1" x14ac:dyDescent="0.4">
      <c r="A168" t="s">
        <v>269</v>
      </c>
      <c r="B168" t="s">
        <v>23</v>
      </c>
      <c r="C168" t="s">
        <v>1</v>
      </c>
      <c r="D168" s="3">
        <v>12062</v>
      </c>
      <c r="E168" s="3" t="s">
        <v>426</v>
      </c>
      <c r="G168" s="3" t="s">
        <v>406</v>
      </c>
      <c r="H168" s="3" t="s">
        <v>413</v>
      </c>
      <c r="I168" s="3">
        <f>IF(H168="","",IF(H168="DNS",0,IF(H168="DQ",0,IF(H168="DNF",1,IF(AND(ISNUMBER(H168),H168&gt;59),1,_xlfn.XLOOKUP(H168,tbl_points[Place],tbl_points[Points],""))))))</f>
        <v>0</v>
      </c>
      <c r="J168" s="3">
        <v>38</v>
      </c>
      <c r="K168" s="3">
        <f>IF(J168="","",IF(J168="DNS",0,IF(J168="DQ",0,IF(J168="DNF",1,IF(AND(ISNUMBER(J168),J168&gt;59),1,_xlfn.XLOOKUP(J168,tbl_points[Place],tbl_points[Points],""))))))</f>
        <v>22</v>
      </c>
      <c r="M168" s="3" t="str">
        <f>IF(L168="","",IF(L168="DNS",0,IF(L168="DQ",0,IF(L168="DNF",1,IF(AND(ISNUMBER(L168),L168&gt;59),1,_xlfn.XLOOKUP(L168,tbl_points[Place],tbl_points[Points],""))))))</f>
        <v/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</f>
        <v>22</v>
      </c>
    </row>
    <row r="169" spans="1:22" hidden="1" x14ac:dyDescent="0.4">
      <c r="A169" t="s">
        <v>274</v>
      </c>
      <c r="B169" t="s">
        <v>23</v>
      </c>
      <c r="C169" t="s">
        <v>1</v>
      </c>
      <c r="D169" s="3">
        <v>12067</v>
      </c>
      <c r="E169" s="3" t="s">
        <v>426</v>
      </c>
      <c r="G169" s="3" t="s">
        <v>406</v>
      </c>
      <c r="H169" s="3">
        <v>37</v>
      </c>
      <c r="I169" s="3">
        <f>IF(H169="","",IF(H169="DNS",0,IF(H169="DQ",0,IF(H169="DNF",1,IF(AND(ISNUMBER(H169),H169&gt;59),1,_xlfn.XLOOKUP(H169,tbl_points[Place],tbl_points[Points],""))))))</f>
        <v>23</v>
      </c>
      <c r="J169" s="3">
        <v>39</v>
      </c>
      <c r="K169" s="3">
        <f>IF(J169="","",IF(J169="DNS",0,IF(J169="DQ",0,IF(J169="DNF",1,IF(AND(ISNUMBER(J169),J169&gt;59),1,_xlfn.XLOOKUP(J169,tbl_points[Place],tbl_points[Points],""))))))</f>
        <v>21</v>
      </c>
      <c r="M169" s="3" t="str">
        <f>IF(L169="","",IF(L169="DNS",0,IF(L169="DQ",0,IF(L169="DNF",1,IF(AND(ISNUMBER(L169),L169&gt;59),1,_xlfn.XLOOKUP(L169,tbl_points[Place],tbl_points[Points],""))))))</f>
        <v/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169" s="3">
        <f>tbl_individual[[#This Row],[Total]]</f>
        <v>44</v>
      </c>
    </row>
    <row r="170" spans="1:22" hidden="1" x14ac:dyDescent="0.4">
      <c r="A170" t="s">
        <v>225</v>
      </c>
      <c r="B170" t="s">
        <v>21</v>
      </c>
      <c r="C170" t="s">
        <v>1</v>
      </c>
      <c r="D170" s="3">
        <v>12051</v>
      </c>
      <c r="E170" s="3" t="s">
        <v>426</v>
      </c>
      <c r="G170" s="3" t="s">
        <v>406</v>
      </c>
      <c r="H170" s="3">
        <v>28</v>
      </c>
      <c r="I170" s="3">
        <f>IF(H170="","",IF(H170="DNS",0,IF(H170="DQ",0,IF(H170="DNF",1,IF(AND(ISNUMBER(H170),H170&gt;59),1,_xlfn.XLOOKUP(H170,tbl_points[Place],tbl_points[Points],""))))))</f>
        <v>32</v>
      </c>
      <c r="J170" s="3">
        <v>40</v>
      </c>
      <c r="K170" s="3">
        <f>IF(J170="","",IF(J170="DNS",0,IF(J170="DQ",0,IF(J170="DNF",1,IF(AND(ISNUMBER(J170),J170&gt;59),1,_xlfn.XLOOKUP(J170,tbl_points[Place],tbl_points[Points],""))))))</f>
        <v>20</v>
      </c>
      <c r="M170" s="3" t="str">
        <f>IF(L170="","",IF(L170="DNS",0,IF(L170="DQ",0,IF(L170="DNF",1,IF(AND(ISNUMBER(L170),L170&gt;59),1,_xlfn.XLOOKUP(L170,tbl_points[Place],tbl_points[Points],""))))))</f>
        <v/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70" s="3">
        <f>tbl_individual[[#This Row],[Total]]</f>
        <v>52</v>
      </c>
    </row>
    <row r="171" spans="1:22" hidden="1" x14ac:dyDescent="0.4">
      <c r="A171" t="s">
        <v>130</v>
      </c>
      <c r="B171" t="s">
        <v>13</v>
      </c>
      <c r="C171" t="s">
        <v>1</v>
      </c>
      <c r="D171" s="3">
        <v>12027</v>
      </c>
      <c r="E171" s="3" t="s">
        <v>426</v>
      </c>
      <c r="G171" s="3" t="s">
        <v>406</v>
      </c>
      <c r="H171" s="3">
        <v>43</v>
      </c>
      <c r="I171" s="3">
        <f>IF(H171="","",IF(H171="DNS",0,IF(H171="DQ",0,IF(H171="DNF",1,IF(AND(ISNUMBER(H171),H171&gt;59),1,_xlfn.XLOOKUP(H171,tbl_points[Place],tbl_points[Points],""))))))</f>
        <v>17</v>
      </c>
      <c r="J171" s="3">
        <v>41</v>
      </c>
      <c r="K171" s="3">
        <f>IF(J171="","",IF(J171="DNS",0,IF(J171="DQ",0,IF(J171="DNF",1,IF(AND(ISNUMBER(J171),J171&gt;59),1,_xlfn.XLOOKUP(J171,tbl_points[Place],tbl_points[Points],""))))))</f>
        <v>19</v>
      </c>
      <c r="M171" s="3" t="str">
        <f>IF(L171="","",IF(L171="DNS",0,IF(L171="DQ",0,IF(L171="DNF",1,IF(AND(ISNUMBER(L171),L171&gt;59),1,_xlfn.XLOOKUP(L171,tbl_points[Place],tbl_points[Points],""))))))</f>
        <v/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71" s="3">
        <f>tbl_individual[[#This Row],[Total]]</f>
        <v>36</v>
      </c>
    </row>
    <row r="172" spans="1:22" hidden="1" x14ac:dyDescent="0.4">
      <c r="A172" t="s">
        <v>270</v>
      </c>
      <c r="B172" t="s">
        <v>23</v>
      </c>
      <c r="C172" t="s">
        <v>1</v>
      </c>
      <c r="D172" s="3">
        <v>12063</v>
      </c>
      <c r="E172" s="3" t="s">
        <v>426</v>
      </c>
      <c r="G172" s="3" t="s">
        <v>406</v>
      </c>
      <c r="H172" s="3">
        <v>36</v>
      </c>
      <c r="I172" s="3">
        <f>IF(H172="","",IF(H172="DNS",0,IF(H172="DQ",0,IF(H172="DNF",1,IF(AND(ISNUMBER(H172),H172&gt;59),1,_xlfn.XLOOKUP(H172,tbl_points[Place],tbl_points[Points],""))))))</f>
        <v>24</v>
      </c>
      <c r="J172" s="3">
        <v>42</v>
      </c>
      <c r="K172" s="3">
        <f>IF(J172="","",IF(J172="DNS",0,IF(J172="DQ",0,IF(J172="DNF",1,IF(AND(ISNUMBER(J172),J172&gt;59),1,_xlfn.XLOOKUP(J172,tbl_points[Place],tbl_points[Points],""))))))</f>
        <v>18</v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172" s="3">
        <f>tbl_individual[[#This Row],[Total]]</f>
        <v>42</v>
      </c>
    </row>
    <row r="173" spans="1:22" hidden="1" x14ac:dyDescent="0.4">
      <c r="A173" t="s">
        <v>210</v>
      </c>
      <c r="B173" t="s">
        <v>20</v>
      </c>
      <c r="C173" t="s">
        <v>2</v>
      </c>
      <c r="D173" s="3">
        <v>1236</v>
      </c>
      <c r="E173" s="3" t="s">
        <v>426</v>
      </c>
      <c r="G173" s="3" t="s">
        <v>406</v>
      </c>
      <c r="H173" s="3">
        <v>7</v>
      </c>
      <c r="I173" s="3">
        <f>IF(H173="","",IF(H173="DNS",0,IF(H173="DQ",0,IF(H173="DNF",1,IF(AND(ISNUMBER(H173),H173&gt;59),1,_xlfn.XLOOKUP(H173,tbl_points[Place],tbl_points[Points],""))))))</f>
        <v>70</v>
      </c>
      <c r="J173" s="3">
        <v>6</v>
      </c>
      <c r="K173" s="3">
        <f>IF(J173="","",IF(J173="DNS",0,IF(J173="DQ",0,IF(J173="DNF",1,IF(AND(ISNUMBER(J173),J173&gt;59),1,_xlfn.XLOOKUP(J173,tbl_points[Place],tbl_points[Points],""))))))</f>
        <v>75</v>
      </c>
      <c r="M173" s="3" t="str">
        <f>IF(L173="","",IF(L173="DNS",0,IF(L173="DQ",0,IF(L173="DNF",1,IF(AND(ISNUMBER(L173),L173&gt;59),1,_xlfn.XLOOKUP(L173,tbl_points[Place],tbl_points[Points],""))))))</f>
        <v/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73" s="3">
        <f>tbl_individual[[#This Row],[Total]]</f>
        <v>145</v>
      </c>
    </row>
    <row r="174" spans="1:22" hidden="1" x14ac:dyDescent="0.4">
      <c r="A174" t="s">
        <v>341</v>
      </c>
      <c r="B174" t="s">
        <v>28</v>
      </c>
      <c r="C174" t="s">
        <v>2</v>
      </c>
      <c r="D174" s="3">
        <v>1244</v>
      </c>
      <c r="E174" s="3" t="s">
        <v>426</v>
      </c>
      <c r="G174" s="3" t="s">
        <v>410</v>
      </c>
      <c r="H174" s="3" t="s">
        <v>413</v>
      </c>
      <c r="I174" s="3">
        <f>IF(H174="","",IF(H174="DNS",0,IF(H174="DQ",0,IF(H174="DNF",1,IF(AND(ISNUMBER(H174),H174&gt;59),1,_xlfn.XLOOKUP(H174,tbl_points[Place],tbl_points[Points],""))))))</f>
        <v>0</v>
      </c>
      <c r="J174" s="3">
        <v>7</v>
      </c>
      <c r="K174" s="3">
        <f>IF(J174="","",IF(J174="DNS",0,IF(J174="DQ",0,IF(J174="DNF",1,IF(AND(ISNUMBER(J174),J174&gt;59),1,_xlfn.XLOOKUP(J174,tbl_points[Place],tbl_points[Points],""))))))</f>
        <v>70</v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70</v>
      </c>
    </row>
    <row r="175" spans="1:22" hidden="1" x14ac:dyDescent="0.4">
      <c r="A175" t="s">
        <v>265</v>
      </c>
      <c r="B175" t="s">
        <v>23</v>
      </c>
      <c r="C175" t="s">
        <v>2</v>
      </c>
      <c r="D175" s="3">
        <v>1240</v>
      </c>
      <c r="E175" s="3" t="s">
        <v>426</v>
      </c>
      <c r="G175" s="3" t="s">
        <v>410</v>
      </c>
      <c r="H175" s="3">
        <v>10</v>
      </c>
      <c r="I175" s="3">
        <f>IF(H175="","",IF(H175="DNS",0,IF(H175="DQ",0,IF(H175="DNF",1,IF(AND(ISNUMBER(H175),H175&gt;59),1,_xlfn.XLOOKUP(H175,tbl_points[Place],tbl_points[Points],""))))))</f>
        <v>55</v>
      </c>
      <c r="J175" s="3">
        <v>8</v>
      </c>
      <c r="K175" s="3">
        <f>IF(J175="","",IF(J175="DNS",0,IF(J175="DQ",0,IF(J175="DNF",1,IF(AND(ISNUMBER(J175),J175&gt;59),1,_xlfn.XLOOKUP(J175,tbl_points[Place],tbl_points[Points],""))))))</f>
        <v>65</v>
      </c>
      <c r="M175" s="3" t="str">
        <f>IF(L175="","",IF(L175="DNS",0,IF(L175="DQ",0,IF(L175="DNF",1,IF(AND(ISNUMBER(L175),L175&gt;59),1,_xlfn.XLOOKUP(L175,tbl_points[Place],tbl_points[Points],""))))))</f>
        <v/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5" s="3">
        <f>tbl_individual[[#This Row],[Total]]</f>
        <v>120</v>
      </c>
    </row>
    <row r="176" spans="1:22" hidden="1" x14ac:dyDescent="0.4">
      <c r="A176" t="s">
        <v>238</v>
      </c>
      <c r="B176" t="s">
        <v>22</v>
      </c>
      <c r="C176" t="s">
        <v>3</v>
      </c>
      <c r="D176" s="3">
        <v>10179</v>
      </c>
      <c r="E176" s="3" t="s">
        <v>426</v>
      </c>
      <c r="G176" s="3" t="s">
        <v>406</v>
      </c>
      <c r="H176" s="3" t="s">
        <v>412</v>
      </c>
      <c r="I176" s="3">
        <f>IF(H176="","",IF(H176="DNS",0,IF(H176="DQ",0,IF(H176="DNF",1,IF(AND(ISNUMBER(H176),H176&gt;59),1,_xlfn.XLOOKUP(H176,tbl_points[Place],tbl_points[Points],""))))))</f>
        <v>1</v>
      </c>
      <c r="J176" s="3">
        <v>30</v>
      </c>
      <c r="K176" s="3">
        <f>IF(J176="","",IF(J176="DNS",0,IF(J176="DQ",0,IF(J176="DNF",1,IF(AND(ISNUMBER(J176),J176&gt;59),1,_xlfn.XLOOKUP(J176,tbl_points[Place],tbl_points[Points],""))))))</f>
        <v>30</v>
      </c>
      <c r="M176" s="3" t="str">
        <f>IF(L176="","",IF(L176="DNS",0,IF(L176="DQ",0,IF(L176="DNF",1,IF(AND(ISNUMBER(L176),L176&gt;59),1,_xlfn.XLOOKUP(L176,tbl_points[Place],tbl_points[Points],""))))))</f>
        <v/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76" s="3">
        <f>tbl_individual[[#This Row],[Total]]</f>
        <v>31</v>
      </c>
    </row>
    <row r="177" spans="1:22" hidden="1" x14ac:dyDescent="0.4">
      <c r="A177" t="s">
        <v>298</v>
      </c>
      <c r="B177" t="s">
        <v>25</v>
      </c>
      <c r="C177" t="s">
        <v>3</v>
      </c>
      <c r="D177" s="3">
        <v>10188</v>
      </c>
      <c r="E177" s="3" t="s">
        <v>426</v>
      </c>
      <c r="G177" s="3" t="s">
        <v>406</v>
      </c>
      <c r="H177" s="3">
        <v>24</v>
      </c>
      <c r="I177" s="3">
        <f>IF(H177="","",IF(H177="DNS",0,IF(H177="DQ",0,IF(H177="DNF",1,IF(AND(ISNUMBER(H177),H177&gt;59),1,_xlfn.XLOOKUP(H177,tbl_points[Place],tbl_points[Points],""))))))</f>
        <v>36</v>
      </c>
      <c r="J177" s="3">
        <v>29</v>
      </c>
      <c r="K177" s="3">
        <f>IF(J177="","",IF(J177="DNS",0,IF(J177="DQ",0,IF(J177="DNF",1,IF(AND(ISNUMBER(J177),J177&gt;59),1,_xlfn.XLOOKUP(J177,tbl_points[Place],tbl_points[Points],""))))))</f>
        <v>31</v>
      </c>
      <c r="M177" s="3" t="str">
        <f>IF(L177="","",IF(L177="DNS",0,IF(L177="DQ",0,IF(L177="DNF",1,IF(AND(ISNUMBER(L177),L177&gt;59),1,_xlfn.XLOOKUP(L177,tbl_points[Place],tbl_points[Points],""))))))</f>
        <v/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77" s="3">
        <f>tbl_individual[[#This Row],[Total]]</f>
        <v>67</v>
      </c>
    </row>
    <row r="178" spans="1:22" hidden="1" x14ac:dyDescent="0.4">
      <c r="A178" t="s">
        <v>126</v>
      </c>
      <c r="B178" t="s">
        <v>13</v>
      </c>
      <c r="C178" t="s">
        <v>3</v>
      </c>
      <c r="D178" s="3">
        <v>10159</v>
      </c>
      <c r="E178" s="3" t="s">
        <v>426</v>
      </c>
      <c r="G178" s="3" t="s">
        <v>406</v>
      </c>
      <c r="H178" s="3">
        <v>18</v>
      </c>
      <c r="I178" s="3">
        <f>IF(H178="","",IF(H178="DNS",0,IF(H178="DQ",0,IF(H178="DNF",1,IF(AND(ISNUMBER(H178),H178&gt;59),1,_xlfn.XLOOKUP(H178,tbl_points[Place],tbl_points[Points],""))))))</f>
        <v>42</v>
      </c>
      <c r="J178" s="3">
        <v>28</v>
      </c>
      <c r="K178" s="3">
        <f>IF(J178="","",IF(J178="DNS",0,IF(J178="DQ",0,IF(J178="DNF",1,IF(AND(ISNUMBER(J178),J178&gt;59),1,_xlfn.XLOOKUP(J178,tbl_points[Place],tbl_points[Points],""))))))</f>
        <v>32</v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78" s="3">
        <f>tbl_individual[[#This Row],[Total]]</f>
        <v>74</v>
      </c>
    </row>
    <row r="179" spans="1:22" hidden="1" x14ac:dyDescent="0.4">
      <c r="A179" t="s">
        <v>299</v>
      </c>
      <c r="B179" t="s">
        <v>25</v>
      </c>
      <c r="C179" t="s">
        <v>3</v>
      </c>
      <c r="D179" s="3">
        <v>10189</v>
      </c>
      <c r="E179" s="3" t="s">
        <v>426</v>
      </c>
      <c r="G179" s="3" t="s">
        <v>406</v>
      </c>
      <c r="H179" s="3">
        <v>14</v>
      </c>
      <c r="I179" s="3">
        <f>IF(H179="","",IF(H179="DNS",0,IF(H179="DQ",0,IF(H179="DNF",1,IF(AND(ISNUMBER(H179),H179&gt;59),1,_xlfn.XLOOKUP(H179,tbl_points[Place],tbl_points[Points],""))))))</f>
        <v>47</v>
      </c>
      <c r="J179" s="3">
        <v>27</v>
      </c>
      <c r="K179" s="3">
        <f>IF(J179="","",IF(J179="DNS",0,IF(J179="DQ",0,IF(J179="DNF",1,IF(AND(ISNUMBER(J179),J179&gt;59),1,_xlfn.XLOOKUP(J179,tbl_points[Place],tbl_points[Points],""))))))</f>
        <v>33</v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179" s="3">
        <f>tbl_individual[[#This Row],[Total]]</f>
        <v>80</v>
      </c>
    </row>
    <row r="180" spans="1:22" hidden="1" x14ac:dyDescent="0.4">
      <c r="A180" t="s">
        <v>367</v>
      </c>
      <c r="B180" t="s">
        <v>30</v>
      </c>
      <c r="C180" t="s">
        <v>3</v>
      </c>
      <c r="D180" s="3">
        <v>10193</v>
      </c>
      <c r="E180" s="3" t="s">
        <v>426</v>
      </c>
      <c r="G180" s="3" t="s">
        <v>406</v>
      </c>
      <c r="H180" s="3">
        <v>11</v>
      </c>
      <c r="I180" s="3">
        <f>IF(H180="","",IF(H180="DNS",0,IF(H180="DQ",0,IF(H180="DNF",1,IF(AND(ISNUMBER(H180),H180&gt;59),1,_xlfn.XLOOKUP(H180,tbl_points[Place],tbl_points[Points],""))))))</f>
        <v>53</v>
      </c>
      <c r="J180" s="3">
        <v>26</v>
      </c>
      <c r="K180" s="3">
        <f>IF(J180="","",IF(J180="DNS",0,IF(J180="DQ",0,IF(J180="DNF",1,IF(AND(ISNUMBER(J180),J180&gt;59),1,_xlfn.XLOOKUP(J180,tbl_points[Place],tbl_points[Points],""))))))</f>
        <v>34</v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80" s="3">
        <f>tbl_individual[[#This Row],[Total]]</f>
        <v>87</v>
      </c>
    </row>
    <row r="181" spans="1:22" hidden="1" x14ac:dyDescent="0.4">
      <c r="A181" t="s">
        <v>370</v>
      </c>
      <c r="B181" t="s">
        <v>30</v>
      </c>
      <c r="C181" t="s">
        <v>3</v>
      </c>
      <c r="D181" s="3">
        <v>10196</v>
      </c>
      <c r="E181" s="3" t="s">
        <v>426</v>
      </c>
      <c r="G181" s="3" t="s">
        <v>406</v>
      </c>
      <c r="H181" s="3">
        <v>25</v>
      </c>
      <c r="I181" s="3">
        <f>IF(H181="","",IF(H181="DNS",0,IF(H181="DQ",0,IF(H181="DNF",1,IF(AND(ISNUMBER(H181),H181&gt;59),1,_xlfn.XLOOKUP(H181,tbl_points[Place],tbl_points[Points],""))))))</f>
        <v>35</v>
      </c>
      <c r="J181" s="3">
        <v>25</v>
      </c>
      <c r="K181" s="3">
        <f>IF(J181="","",IF(J181="DNS",0,IF(J181="DQ",0,IF(J181="DNF",1,IF(AND(ISNUMBER(J181),J181&gt;59),1,_xlfn.XLOOKUP(J181,tbl_points[Place],tbl_points[Points],""))))))</f>
        <v>35</v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181" s="3">
        <f>tbl_individual[[#This Row],[Total]]</f>
        <v>70</v>
      </c>
    </row>
    <row r="182" spans="1:22" hidden="1" x14ac:dyDescent="0.4">
      <c r="A182" t="s">
        <v>177</v>
      </c>
      <c r="B182" t="s">
        <v>19</v>
      </c>
      <c r="C182" t="s">
        <v>3</v>
      </c>
      <c r="D182" s="3">
        <v>10162</v>
      </c>
      <c r="E182" s="3" t="s">
        <v>426</v>
      </c>
      <c r="G182" s="3" t="s">
        <v>410</v>
      </c>
      <c r="H182" s="3" t="s">
        <v>413</v>
      </c>
      <c r="I182" s="3">
        <f>IF(H182="","",IF(H182="DNS",0,IF(H182="DQ",0,IF(H182="DNF",1,IF(AND(ISNUMBER(H182),H182&gt;59),1,_xlfn.XLOOKUP(H182,tbl_points[Place],tbl_points[Points],""))))))</f>
        <v>0</v>
      </c>
      <c r="J182" s="3">
        <v>24</v>
      </c>
      <c r="K182" s="3">
        <f>IF(J182="","",IF(J182="DNS",0,IF(J182="DQ",0,IF(J182="DNF",1,IF(AND(ISNUMBER(J182),J182&gt;59),1,_xlfn.XLOOKUP(J182,tbl_points[Place],tbl_points[Points],""))))))</f>
        <v>36</v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36</v>
      </c>
    </row>
    <row r="183" spans="1:22" hidden="1" x14ac:dyDescent="0.4">
      <c r="A183" t="s">
        <v>175</v>
      </c>
      <c r="B183" t="s">
        <v>18</v>
      </c>
      <c r="C183" t="s">
        <v>4</v>
      </c>
      <c r="D183" s="3">
        <v>1032</v>
      </c>
      <c r="E183" s="3" t="s">
        <v>426</v>
      </c>
      <c r="G183" s="3" t="s">
        <v>406</v>
      </c>
      <c r="H183" s="3" t="s">
        <v>413</v>
      </c>
      <c r="I183" s="3">
        <f>IF(H183="","",IF(H183="DNS",0,IF(H183="DQ",0,IF(H183="DNF",1,IF(AND(ISNUMBER(H183),H183&gt;59),1,_xlfn.XLOOKUP(H183,tbl_points[Place],tbl_points[Points],""))))))</f>
        <v>0</v>
      </c>
      <c r="J183" s="3" t="s">
        <v>413</v>
      </c>
      <c r="K183" s="3">
        <f>IF(J183="","",IF(J183="DNS",0,IF(J183="DQ",0,IF(J183="DNF",1,IF(AND(ISNUMBER(J183),J183&gt;59),1,_xlfn.XLOOKUP(J183,tbl_points[Place],tbl_points[Points],""))))))</f>
        <v>0</v>
      </c>
      <c r="M183" s="3" t="str">
        <f>IF(L183="","",IF(L183="DNS",0,IF(L183="DQ",0,IF(L183="DNF",1,IF(AND(ISNUMBER(L183),L183&gt;59),1,_xlfn.XLOOKUP(L183,tbl_points[Place],tbl_points[Points],""))))))</f>
        <v/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0</v>
      </c>
    </row>
    <row r="184" spans="1:22" hidden="1" x14ac:dyDescent="0.4">
      <c r="A184" t="s">
        <v>211</v>
      </c>
      <c r="B184" t="s">
        <v>21</v>
      </c>
      <c r="C184" t="s">
        <v>4</v>
      </c>
      <c r="D184" s="3">
        <v>1033</v>
      </c>
      <c r="E184" s="3" t="s">
        <v>426</v>
      </c>
      <c r="G184" s="3" t="s">
        <v>406</v>
      </c>
      <c r="H184" s="3">
        <v>3</v>
      </c>
      <c r="I184" s="3">
        <f>IF(H184="","",IF(H184="DNS",0,IF(H184="DQ",0,IF(H184="DNF",1,IF(AND(ISNUMBER(H184),H184&gt;59),1,_xlfn.XLOOKUP(H184,tbl_points[Place],tbl_points[Points],""))))))</f>
        <v>90</v>
      </c>
      <c r="J184" s="3">
        <v>11</v>
      </c>
      <c r="K184" s="3">
        <f>IF(J184="","",IF(J184="DNS",0,IF(J184="DQ",0,IF(J184="DNF",1,IF(AND(ISNUMBER(J184),J184&gt;59),1,_xlfn.XLOOKUP(J184,tbl_points[Place],tbl_points[Points],""))))))</f>
        <v>53</v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4" s="3">
        <f>tbl_individual[[#This Row],[Total]]</f>
        <v>143</v>
      </c>
    </row>
    <row r="185" spans="1:22" hidden="1" x14ac:dyDescent="0.4">
      <c r="A185" t="s">
        <v>212</v>
      </c>
      <c r="B185" t="s">
        <v>21</v>
      </c>
      <c r="C185" t="s">
        <v>4</v>
      </c>
      <c r="D185" s="3">
        <v>1034</v>
      </c>
      <c r="E185" s="3" t="s">
        <v>426</v>
      </c>
      <c r="G185" s="3" t="s">
        <v>406</v>
      </c>
      <c r="H185" s="3">
        <v>2</v>
      </c>
      <c r="I185" s="3">
        <f>IF(H185="","",IF(H185="DNS",0,IF(H185="DQ",0,IF(H185="DNF",1,IF(AND(ISNUMBER(H185),H185&gt;59),1,_xlfn.XLOOKUP(H185,tbl_points[Place],tbl_points[Points],""))))))</f>
        <v>95</v>
      </c>
      <c r="J185" s="3" t="s">
        <v>413</v>
      </c>
      <c r="K185" s="3">
        <f>IF(J185="","",IF(J185="DNS",0,IF(J185="DQ",0,IF(J185="DNF",1,IF(AND(ISNUMBER(J185),J185&gt;59),1,_xlfn.XLOOKUP(J185,tbl_points[Place],tbl_points[Points],""))))))</f>
        <v>0</v>
      </c>
      <c r="M185" s="3" t="str">
        <f>IF(L185="","",IF(L185="DNS",0,IF(L185="DQ",0,IF(L185="DNF",1,IF(AND(ISNUMBER(L185),L185&gt;59),1,_xlfn.XLOOKUP(L185,tbl_points[Place],tbl_points[Points],""))))))</f>
        <v/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95</v>
      </c>
    </row>
    <row r="186" spans="1:22" hidden="1" x14ac:dyDescent="0.4">
      <c r="A186" t="s">
        <v>346</v>
      </c>
      <c r="B186" t="s">
        <v>28</v>
      </c>
      <c r="C186" t="s">
        <v>1</v>
      </c>
      <c r="D186" s="3">
        <v>12091</v>
      </c>
      <c r="E186" s="3" t="s">
        <v>426</v>
      </c>
      <c r="G186" s="3" t="s">
        <v>406</v>
      </c>
      <c r="H186" s="3" t="s">
        <v>413</v>
      </c>
      <c r="I186" s="3">
        <f>IF(H186="","",IF(H186="DNS",0,IF(H186="DQ",0,IF(H186="DNF",1,IF(AND(ISNUMBER(H186),H186&gt;59),1,_xlfn.XLOOKUP(H186,tbl_points[Place],tbl_points[Points],""))))))</f>
        <v>0</v>
      </c>
      <c r="J186" s="3">
        <v>43</v>
      </c>
      <c r="K186" s="3">
        <f>IF(J186="","",IF(J186="DNS",0,IF(J186="DQ",0,IF(J186="DNF",1,IF(AND(ISNUMBER(J186),J186&gt;59),1,_xlfn.XLOOKUP(J186,tbl_points[Place],tbl_points[Points],""))))))</f>
        <v>17</v>
      </c>
      <c r="M186" s="3" t="str">
        <f>IF(L186="","",IF(L186="DNS",0,IF(L186="DQ",0,IF(L186="DNF",1,IF(AND(ISNUMBER(L186),L186&gt;59),1,_xlfn.XLOOKUP(L186,tbl_points[Place],tbl_points[Points],""))))))</f>
        <v/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6" s="3">
        <f>tbl_individual[[#This Row],[Total]]</f>
        <v>17</v>
      </c>
    </row>
    <row r="187" spans="1:22" hidden="1" x14ac:dyDescent="0.4">
      <c r="A187" t="s">
        <v>96</v>
      </c>
      <c r="B187" t="s">
        <v>10</v>
      </c>
      <c r="C187" t="s">
        <v>1</v>
      </c>
      <c r="D187" s="3">
        <v>12012</v>
      </c>
      <c r="E187" s="3" t="s">
        <v>426</v>
      </c>
      <c r="G187" s="3" t="s">
        <v>406</v>
      </c>
      <c r="H187" s="3" t="s">
        <v>413</v>
      </c>
      <c r="I187" s="3">
        <f>IF(H187="","",IF(H187="DNS",0,IF(H187="DQ",0,IF(H187="DNF",1,IF(AND(ISNUMBER(H187),H187&gt;59),1,_xlfn.XLOOKUP(H187,tbl_points[Place],tbl_points[Points],""))))))</f>
        <v>0</v>
      </c>
      <c r="J187" s="3">
        <v>44</v>
      </c>
      <c r="K187" s="3">
        <f>IF(J187="","",IF(J187="DNS",0,IF(J187="DQ",0,IF(J187="DNF",1,IF(AND(ISNUMBER(J187),J187&gt;59),1,_xlfn.XLOOKUP(J187,tbl_points[Place],tbl_points[Points],""))))))</f>
        <v>16</v>
      </c>
      <c r="M187" s="3" t="str">
        <f>IF(L187="","",IF(L187="DNS",0,IF(L187="DQ",0,IF(L187="DNF",1,IF(AND(ISNUMBER(L187),L187&gt;59),1,_xlfn.XLOOKUP(L187,tbl_points[Place],tbl_points[Points],""))))))</f>
        <v/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7" s="3">
        <f>tbl_individual[[#This Row],[Total]]</f>
        <v>16</v>
      </c>
    </row>
    <row r="188" spans="1:22" hidden="1" x14ac:dyDescent="0.4">
      <c r="A188" t="s">
        <v>229</v>
      </c>
      <c r="B188" t="s">
        <v>21</v>
      </c>
      <c r="C188" t="s">
        <v>1</v>
      </c>
      <c r="D188" s="3">
        <v>12055</v>
      </c>
      <c r="E188" s="3" t="s">
        <v>426</v>
      </c>
      <c r="G188" s="3" t="s">
        <v>406</v>
      </c>
      <c r="H188" s="3" t="s">
        <v>413</v>
      </c>
      <c r="I188" s="3">
        <f>IF(H188="","",IF(H188="DNS",0,IF(H188="DQ",0,IF(H188="DNF",1,IF(AND(ISNUMBER(H188),H188&gt;59),1,_xlfn.XLOOKUP(H188,tbl_points[Place],tbl_points[Points],""))))))</f>
        <v>0</v>
      </c>
      <c r="J188" s="3">
        <v>45</v>
      </c>
      <c r="K188" s="3">
        <f>IF(J188="","",IF(J188="DNS",0,IF(J188="DQ",0,IF(J188="DNF",1,IF(AND(ISNUMBER(J188),J188&gt;59),1,_xlfn.XLOOKUP(J188,tbl_points[Place],tbl_points[Points],""))))))</f>
        <v>15</v>
      </c>
      <c r="M188" s="3" t="str">
        <f>IF(L188="","",IF(L188="DNS",0,IF(L188="DQ",0,IF(L188="DNF",1,IF(AND(ISNUMBER(L188),L188&gt;59),1,_xlfn.XLOOKUP(L188,tbl_points[Place],tbl_points[Points],""))))))</f>
        <v/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</f>
        <v>15</v>
      </c>
    </row>
    <row r="189" spans="1:22" hidden="1" x14ac:dyDescent="0.4">
      <c r="A189" t="s">
        <v>160</v>
      </c>
      <c r="B189" t="s">
        <v>16</v>
      </c>
      <c r="C189" t="s">
        <v>1</v>
      </c>
      <c r="D189" s="3">
        <v>12034</v>
      </c>
      <c r="E189" s="3" t="s">
        <v>426</v>
      </c>
      <c r="G189" s="3" t="s">
        <v>406</v>
      </c>
      <c r="H189" s="3" t="s">
        <v>413</v>
      </c>
      <c r="I189" s="3">
        <f>IF(H189="","",IF(H189="DNS",0,IF(H189="DQ",0,IF(H189="DNF",1,IF(AND(ISNUMBER(H189),H189&gt;59),1,_xlfn.XLOOKUP(H189,tbl_points[Place],tbl_points[Points],""))))))</f>
        <v>0</v>
      </c>
      <c r="J189" s="3">
        <v>46</v>
      </c>
      <c r="K189" s="3">
        <f>IF(J189="","",IF(J189="DNS",0,IF(J189="DQ",0,IF(J189="DNF",1,IF(AND(ISNUMBER(J189),J189&gt;59),1,_xlfn.XLOOKUP(J189,tbl_points[Place],tbl_points[Points],""))))))</f>
        <v>14</v>
      </c>
      <c r="M189" s="3" t="str">
        <f>IF(L189="","",IF(L189="DNS",0,IF(L189="DQ",0,IF(L189="DNF",1,IF(AND(ISNUMBER(L189),L189&gt;59),1,_xlfn.XLOOKUP(L189,tbl_points[Place],tbl_points[Points],""))))))</f>
        <v/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14</v>
      </c>
    </row>
    <row r="190" spans="1:22" hidden="1" x14ac:dyDescent="0.4">
      <c r="A190" t="s">
        <v>234</v>
      </c>
      <c r="B190" t="s">
        <v>21</v>
      </c>
      <c r="C190" t="s">
        <v>1</v>
      </c>
      <c r="D190" s="3">
        <v>12060</v>
      </c>
      <c r="E190" s="3" t="s">
        <v>426</v>
      </c>
      <c r="G190" s="3" t="s">
        <v>406</v>
      </c>
      <c r="H190" s="3">
        <v>16</v>
      </c>
      <c r="I190" s="3">
        <f>IF(H190="","",IF(H190="DNS",0,IF(H190="DQ",0,IF(H190="DNF",1,IF(AND(ISNUMBER(H190),H190&gt;59),1,_xlfn.XLOOKUP(H190,tbl_points[Place],tbl_points[Points],""))))))</f>
        <v>44</v>
      </c>
      <c r="J190" s="3">
        <v>47</v>
      </c>
      <c r="K190" s="3">
        <f>IF(J190="","",IF(J190="DNS",0,IF(J190="DQ",0,IF(J190="DNF",1,IF(AND(ISNUMBER(J190),J190&gt;59),1,_xlfn.XLOOKUP(J190,tbl_points[Place],tbl_points[Points],""))))))</f>
        <v>13</v>
      </c>
      <c r="M190" s="3" t="str">
        <f>IF(L190="","",IF(L190="DNS",0,IF(L190="DQ",0,IF(L190="DNF",1,IF(AND(ISNUMBER(L190),L190&gt;59),1,_xlfn.XLOOKUP(L190,tbl_points[Place],tbl_points[Points],""))))))</f>
        <v/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90" s="3">
        <f>tbl_individual[[#This Row],[Total]]</f>
        <v>57</v>
      </c>
    </row>
    <row r="191" spans="1:22" hidden="1" x14ac:dyDescent="0.4">
      <c r="A191" t="s">
        <v>328</v>
      </c>
      <c r="B191" t="s">
        <v>27</v>
      </c>
      <c r="C191" t="s">
        <v>1</v>
      </c>
      <c r="D191" s="3">
        <v>12086</v>
      </c>
      <c r="E191" s="3" t="s">
        <v>426</v>
      </c>
      <c r="G191" s="3" t="s">
        <v>406</v>
      </c>
      <c r="H191" s="3" t="s">
        <v>413</v>
      </c>
      <c r="I191" s="3">
        <f>IF(H191="","",IF(H191="DNS",0,IF(H191="DQ",0,IF(H191="DNF",1,IF(AND(ISNUMBER(H191),H191&gt;59),1,_xlfn.XLOOKUP(H191,tbl_points[Place],tbl_points[Points],""))))))</f>
        <v>0</v>
      </c>
      <c r="J191" s="3">
        <v>48</v>
      </c>
      <c r="K191" s="3">
        <f>IF(J191="","",IF(J191="DNS",0,IF(J191="DQ",0,IF(J191="DNF",1,IF(AND(ISNUMBER(J191),J191&gt;59),1,_xlfn.XLOOKUP(J191,tbl_points[Place],tbl_points[Points],""))))))</f>
        <v>12</v>
      </c>
      <c r="M191" s="3" t="str">
        <f>IF(L191="","",IF(L191="DNS",0,IF(L191="DQ",0,IF(L191="DNF",1,IF(AND(ISNUMBER(L191),L191&gt;59),1,_xlfn.XLOOKUP(L191,tbl_points[Place],tbl_points[Points],""))))))</f>
        <v/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12</v>
      </c>
    </row>
    <row r="192" spans="1:22" hidden="1" x14ac:dyDescent="0.4">
      <c r="A192" t="s">
        <v>231</v>
      </c>
      <c r="B192" t="s">
        <v>21</v>
      </c>
      <c r="C192" t="s">
        <v>1</v>
      </c>
      <c r="D192" s="3">
        <v>12057</v>
      </c>
      <c r="E192" s="3" t="s">
        <v>426</v>
      </c>
      <c r="G192" s="3" t="s">
        <v>406</v>
      </c>
      <c r="H192" s="3">
        <v>48</v>
      </c>
      <c r="I192" s="3">
        <f>IF(H192="","",IF(H192="DNS",0,IF(H192="DQ",0,IF(H192="DNF",1,IF(AND(ISNUMBER(H192),H192&gt;59),1,_xlfn.XLOOKUP(H192,tbl_points[Place],tbl_points[Points],""))))))</f>
        <v>12</v>
      </c>
      <c r="J192" s="3">
        <v>49</v>
      </c>
      <c r="K192" s="3">
        <f>IF(J192="","",IF(J192="DNS",0,IF(J192="DQ",0,IF(J192="DNF",1,IF(AND(ISNUMBER(J192),J192&gt;59),1,_xlfn.XLOOKUP(J192,tbl_points[Place],tbl_points[Points],""))))))</f>
        <v>11</v>
      </c>
      <c r="M192" s="3" t="str">
        <f>IF(L192="","",IF(L192="DNS",0,IF(L192="DQ",0,IF(L192="DNF",1,IF(AND(ISNUMBER(L192),L192&gt;59),1,_xlfn.XLOOKUP(L192,tbl_points[Place],tbl_points[Points],""))))))</f>
        <v/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V192" s="3">
        <f>tbl_individual[[#This Row],[Total]]</f>
        <v>23</v>
      </c>
    </row>
    <row r="193" spans="1:22" hidden="1" x14ac:dyDescent="0.4">
      <c r="A193" t="s">
        <v>311</v>
      </c>
      <c r="B193" t="s">
        <v>26</v>
      </c>
      <c r="C193" t="s">
        <v>1</v>
      </c>
      <c r="D193" s="3">
        <v>12079</v>
      </c>
      <c r="E193" s="3" t="s">
        <v>426</v>
      </c>
      <c r="G193" s="3" t="s">
        <v>406</v>
      </c>
      <c r="H193" s="3" t="s">
        <v>413</v>
      </c>
      <c r="I193" s="3">
        <f>IF(H193="","",IF(H193="DNS",0,IF(H193="DQ",0,IF(H193="DNF",1,IF(AND(ISNUMBER(H193),H193&gt;59),1,_xlfn.XLOOKUP(H193,tbl_points[Place],tbl_points[Points],""))))))</f>
        <v>0</v>
      </c>
      <c r="J193" s="3">
        <v>50</v>
      </c>
      <c r="K193" s="3">
        <f>IF(J193="","",IF(J193="DNS",0,IF(J193="DQ",0,IF(J193="DNF",1,IF(AND(ISNUMBER(J193),J193&gt;59),1,_xlfn.XLOOKUP(J193,tbl_points[Place],tbl_points[Points],""))))))</f>
        <v>10</v>
      </c>
      <c r="M193" s="3" t="str">
        <f>IF(L193="","",IF(L193="DNS",0,IF(L193="DQ",0,IF(L193="DNF",1,IF(AND(ISNUMBER(L193),L193&gt;59),1,_xlfn.XLOOKUP(L193,tbl_points[Place],tbl_points[Points],""))))))</f>
        <v/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10</v>
      </c>
    </row>
    <row r="194" spans="1:22" hidden="1" x14ac:dyDescent="0.4">
      <c r="A194" t="s">
        <v>230</v>
      </c>
      <c r="B194" t="s">
        <v>21</v>
      </c>
      <c r="C194" t="s">
        <v>1</v>
      </c>
      <c r="D194" s="3">
        <v>12056</v>
      </c>
      <c r="E194" s="3" t="s">
        <v>426</v>
      </c>
      <c r="G194" s="3" t="s">
        <v>406</v>
      </c>
      <c r="H194" s="3" t="s">
        <v>413</v>
      </c>
      <c r="I194" s="3">
        <f>IF(H194="","",IF(H194="DNS",0,IF(H194="DQ",0,IF(H194="DNF",1,IF(AND(ISNUMBER(H194),H194&gt;59),1,_xlfn.XLOOKUP(H194,tbl_points[Place],tbl_points[Points],""))))))</f>
        <v>0</v>
      </c>
      <c r="J194" s="3">
        <v>51</v>
      </c>
      <c r="K194" s="3">
        <f>IF(J194="","",IF(J194="DNS",0,IF(J194="DQ",0,IF(J194="DNF",1,IF(AND(ISNUMBER(J194),J194&gt;59),1,_xlfn.XLOOKUP(J194,tbl_points[Place],tbl_points[Points],""))))))</f>
        <v>9</v>
      </c>
      <c r="M194" s="3" t="str">
        <f>IF(L194="","",IF(L194="DNS",0,IF(L194="DQ",0,IF(L194="DNF",1,IF(AND(ISNUMBER(L194),L194&gt;59),1,_xlfn.XLOOKUP(L194,tbl_points[Place],tbl_points[Points],""))))))</f>
        <v/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</f>
        <v>9</v>
      </c>
    </row>
    <row r="195" spans="1:22" hidden="1" x14ac:dyDescent="0.4">
      <c r="A195" t="s">
        <v>354</v>
      </c>
      <c r="B195" t="s">
        <v>29</v>
      </c>
      <c r="C195" t="s">
        <v>1</v>
      </c>
      <c r="D195" s="3">
        <v>12095</v>
      </c>
      <c r="E195" s="3" t="s">
        <v>426</v>
      </c>
      <c r="G195" s="3" t="s">
        <v>406</v>
      </c>
      <c r="H195" s="3" t="s">
        <v>413</v>
      </c>
      <c r="I195" s="3">
        <f>IF(H195="","",IF(H195="DNS",0,IF(H195="DQ",0,IF(H195="DNF",1,IF(AND(ISNUMBER(H195),H195&gt;59),1,_xlfn.XLOOKUP(H195,tbl_points[Place],tbl_points[Points],""))))))</f>
        <v>0</v>
      </c>
      <c r="J195" s="3">
        <v>52</v>
      </c>
      <c r="K195" s="3">
        <f>IF(J195="","",IF(J195="DNS",0,IF(J195="DQ",0,IF(J195="DNF",1,IF(AND(ISNUMBER(J195),J195&gt;59),1,_xlfn.XLOOKUP(J195,tbl_points[Place],tbl_points[Points],""))))))</f>
        <v>8</v>
      </c>
      <c r="M195" s="3" t="str">
        <f>IF(L195="","",IF(L195="DNS",0,IF(L195="DQ",0,IF(L195="DNF",1,IF(AND(ISNUMBER(L195),L195&gt;59),1,_xlfn.XLOOKUP(L195,tbl_points[Place],tbl_points[Points],""))))))</f>
        <v/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8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5" s="3">
        <f>tbl_individual[[#This Row],[Total]]</f>
        <v>8</v>
      </c>
    </row>
    <row r="196" spans="1:22" hidden="1" x14ac:dyDescent="0.4">
      <c r="A196" t="s">
        <v>198</v>
      </c>
      <c r="B196" t="s">
        <v>20</v>
      </c>
      <c r="C196" t="s">
        <v>1</v>
      </c>
      <c r="D196" s="3">
        <v>12039</v>
      </c>
      <c r="E196" s="3" t="s">
        <v>426</v>
      </c>
      <c r="G196" s="3" t="s">
        <v>406</v>
      </c>
      <c r="H196" s="3">
        <v>22</v>
      </c>
      <c r="I196" s="3">
        <f>IF(H196="","",IF(H196="DNS",0,IF(H196="DQ",0,IF(H196="DNF",1,IF(AND(ISNUMBER(H196),H196&gt;59),1,_xlfn.XLOOKUP(H196,tbl_points[Place],tbl_points[Points],""))))))</f>
        <v>38</v>
      </c>
      <c r="J196" s="3">
        <v>53</v>
      </c>
      <c r="K196" s="3">
        <f>IF(J196="","",IF(J196="DNS",0,IF(J196="DQ",0,IF(J196="DNF",1,IF(AND(ISNUMBER(J196),J196&gt;59),1,_xlfn.XLOOKUP(J196,tbl_points[Place],tbl_points[Points],""))))))</f>
        <v>7</v>
      </c>
      <c r="M196" s="3" t="str">
        <f>IF(L196="","",IF(L196="DNS",0,IF(L196="DQ",0,IF(L196="DNF",1,IF(AND(ISNUMBER(L196),L196&gt;59),1,_xlfn.XLOOKUP(L196,tbl_points[Place],tbl_points[Points],""))))))</f>
        <v/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7</v>
      </c>
      <c r="V196" s="3">
        <f>tbl_individual[[#This Row],[Total]]</f>
        <v>45</v>
      </c>
    </row>
    <row r="197" spans="1:22" hidden="1" x14ac:dyDescent="0.4">
      <c r="A197" t="s">
        <v>309</v>
      </c>
      <c r="B197" t="s">
        <v>26</v>
      </c>
      <c r="C197" t="s">
        <v>1</v>
      </c>
      <c r="D197" s="3">
        <v>12077</v>
      </c>
      <c r="E197" s="3" t="s">
        <v>426</v>
      </c>
      <c r="G197" s="3" t="s">
        <v>406</v>
      </c>
      <c r="H197" s="3">
        <v>12</v>
      </c>
      <c r="I197" s="3">
        <f>IF(H197="","",IF(H197="DNS",0,IF(H197="DQ",0,IF(H197="DNF",1,IF(AND(ISNUMBER(H197),H197&gt;59),1,_xlfn.XLOOKUP(H197,tbl_points[Place],tbl_points[Points],""))))))</f>
        <v>51</v>
      </c>
      <c r="J197" s="3">
        <v>54</v>
      </c>
      <c r="K197" s="3">
        <f>IF(J197="","",IF(J197="DNS",0,IF(J197="DQ",0,IF(J197="DNF",1,IF(AND(ISNUMBER(J197),J197&gt;59),1,_xlfn.XLOOKUP(J197,tbl_points[Place],tbl_points[Points],""))))))</f>
        <v>6</v>
      </c>
      <c r="M197" s="3" t="str">
        <f>IF(L197="","",IF(L197="DNS",0,IF(L197="DQ",0,IF(L197="DNF",1,IF(AND(ISNUMBER(L197),L197&gt;59),1,_xlfn.XLOOKUP(L197,tbl_points[Place],tbl_points[Points],""))))))</f>
        <v/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197" s="3">
        <f>tbl_individual[[#This Row],[Total]]</f>
        <v>57</v>
      </c>
    </row>
    <row r="198" spans="1:22" hidden="1" x14ac:dyDescent="0.4">
      <c r="A198" t="s">
        <v>209</v>
      </c>
      <c r="B198" t="s">
        <v>20</v>
      </c>
      <c r="C198" t="s">
        <v>2</v>
      </c>
      <c r="D198" s="3">
        <v>1235</v>
      </c>
      <c r="E198" s="3" t="s">
        <v>426</v>
      </c>
      <c r="G198" s="3" t="s">
        <v>406</v>
      </c>
      <c r="H198" s="3">
        <v>2</v>
      </c>
      <c r="I198" s="3">
        <f>IF(H198="","",IF(H198="DNS",0,IF(H198="DQ",0,IF(H198="DNF",1,IF(AND(ISNUMBER(H198),H198&gt;59),1,_xlfn.XLOOKUP(H198,tbl_points[Place],tbl_points[Points],""))))))</f>
        <v>95</v>
      </c>
      <c r="J198" s="3">
        <v>9</v>
      </c>
      <c r="K198" s="3">
        <f>IF(J198="","",IF(J198="DNS",0,IF(J198="DQ",0,IF(J198="DNF",1,IF(AND(ISNUMBER(J198),J198&gt;59),1,_xlfn.XLOOKUP(J198,tbl_points[Place],tbl_points[Points],""))))))</f>
        <v>60</v>
      </c>
      <c r="M198" s="3" t="str">
        <f>IF(L198="","",IF(L198="DNS",0,IF(L198="DQ",0,IF(L198="DNF",1,IF(AND(ISNUMBER(L198),L198&gt;59),1,_xlfn.XLOOKUP(L198,tbl_points[Place],tbl_points[Points],""))))))</f>
        <v/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98" s="3">
        <f>tbl_individual[[#This Row],[Total]]</f>
        <v>155</v>
      </c>
    </row>
    <row r="199" spans="1:22" hidden="1" x14ac:dyDescent="0.4">
      <c r="A199" t="s">
        <v>391</v>
      </c>
      <c r="B199" t="s">
        <v>31</v>
      </c>
      <c r="C199" t="s">
        <v>2</v>
      </c>
      <c r="D199" s="3">
        <v>1249</v>
      </c>
      <c r="E199" s="3" t="s">
        <v>426</v>
      </c>
      <c r="G199" s="3" t="s">
        <v>406</v>
      </c>
      <c r="H199" s="3">
        <v>6</v>
      </c>
      <c r="I199" s="3">
        <f>IF(H199="","",IF(H199="DNS",0,IF(H199="DQ",0,IF(H199="DNF",1,IF(AND(ISNUMBER(H199),H199&gt;59),1,_xlfn.XLOOKUP(H199,tbl_points[Place],tbl_points[Points],""))))))</f>
        <v>75</v>
      </c>
      <c r="J199" s="3">
        <v>10</v>
      </c>
      <c r="K199" s="3">
        <f>IF(J199="","",IF(J199="DNS",0,IF(J199="DQ",0,IF(J199="DNF",1,IF(AND(ISNUMBER(J199),J199&gt;59),1,_xlfn.XLOOKUP(J199,tbl_points[Place],tbl_points[Points],""))))))</f>
        <v>55</v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130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99" s="3">
        <f>tbl_individual[[#This Row],[Total]]</f>
        <v>130</v>
      </c>
    </row>
    <row r="200" spans="1:22" x14ac:dyDescent="0.4">
      <c r="A200" t="s">
        <v>102</v>
      </c>
      <c r="B200" t="s">
        <v>11</v>
      </c>
      <c r="C200" t="s">
        <v>7</v>
      </c>
      <c r="D200" s="3">
        <v>8189</v>
      </c>
      <c r="E200" s="3" t="s">
        <v>426</v>
      </c>
      <c r="G200" s="3" t="s">
        <v>406</v>
      </c>
      <c r="H200" s="3">
        <v>33</v>
      </c>
      <c r="I200" s="3">
        <f>IF(H200="","",IF(H200="DNS",0,IF(H200="DQ",0,IF(H200="DNF",1,IF(AND(ISNUMBER(H200),H200&gt;59),1,_xlfn.XLOOKUP(H200,tbl_points[Place],tbl_points[Points],""))))))</f>
        <v>27</v>
      </c>
      <c r="J200" s="3">
        <v>38</v>
      </c>
      <c r="K200" s="3">
        <f>IF(J200="","",IF(J200="DNS",0,IF(J200="DQ",0,IF(J200="DNF",1,IF(AND(ISNUMBER(J200),J200&gt;59),1,_xlfn.XLOOKUP(J200,tbl_points[Place],tbl_points[Points],""))))))</f>
        <v>22</v>
      </c>
      <c r="M200" s="3" t="str">
        <f>IF(L200="","",IF(L200="DNS",0,IF(L200="DQ",0,IF(L200="DNF",1,IF(AND(ISNUMBER(L200),L200&gt;59),1,_xlfn.XLOOKUP(L200,tbl_points[Place],tbl_points[Points],""))))))</f>
        <v/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00" s="3">
        <f>tbl_individual[[#This Row],[Total]]</f>
        <v>49</v>
      </c>
    </row>
    <row r="201" spans="1:22" x14ac:dyDescent="0.4">
      <c r="A201" t="s">
        <v>435</v>
      </c>
      <c r="B201" t="s">
        <v>15</v>
      </c>
      <c r="C201" t="s">
        <v>7</v>
      </c>
      <c r="D201" s="3">
        <v>840</v>
      </c>
      <c r="E201" s="3" t="s">
        <v>426</v>
      </c>
      <c r="F201" s="17" t="s">
        <v>443</v>
      </c>
      <c r="G201" s="3" t="s">
        <v>406</v>
      </c>
      <c r="H201" s="3" t="s">
        <v>413</v>
      </c>
      <c r="I201" s="3">
        <f>IF(H201="","",IF(H201="DNS",0,IF(H201="DQ",0,IF(H201="DNF",1,IF(AND(ISNUMBER(H201),H201&gt;59),1,_xlfn.XLOOKUP(H201,tbl_points[Place],tbl_points[Points],""))))))</f>
        <v>0</v>
      </c>
      <c r="J201" s="3">
        <v>39</v>
      </c>
      <c r="K201" s="3">
        <f>IF(J201="","",IF(J201="DNS",0,IF(J201="DQ",0,IF(J201="DNF",1,IF(AND(ISNUMBER(J201),J201&gt;59),1,_xlfn.XLOOKUP(J201,tbl_points[Place],tbl_points[Points],""))))))</f>
        <v>21</v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1" s="3">
        <f>tbl_individual[[#This Row],[Total]]</f>
        <v>21</v>
      </c>
    </row>
    <row r="202" spans="1:22" hidden="1" x14ac:dyDescent="0.4">
      <c r="A202" t="s">
        <v>418</v>
      </c>
      <c r="B202" t="s">
        <v>10</v>
      </c>
      <c r="C202" t="s">
        <v>3</v>
      </c>
      <c r="D202" s="3">
        <v>10161</v>
      </c>
      <c r="E202" s="3" t="s">
        <v>426</v>
      </c>
      <c r="G202" s="3" t="s">
        <v>406</v>
      </c>
      <c r="H202" s="3">
        <v>16</v>
      </c>
      <c r="I202" s="3">
        <f>IF(H202="","",IF(H202="DNS",0,IF(H202="DQ",0,IF(H202="DNF",1,IF(AND(ISNUMBER(H202),H202&gt;59),1,_xlfn.XLOOKUP(H202,tbl_points[Place],tbl_points[Points],""))))))</f>
        <v>44</v>
      </c>
      <c r="J202" s="3">
        <v>23</v>
      </c>
      <c r="K202" s="3">
        <f>IF(J202="","",IF(J202="DNS",0,IF(J202="DQ",0,IF(J202="DNF",1,IF(AND(ISNUMBER(J202),J202&gt;59),1,_xlfn.XLOOKUP(J202,tbl_points[Place],tbl_points[Points],""))))))</f>
        <v>37</v>
      </c>
      <c r="M202" s="3" t="str">
        <f>IF(L202="","",IF(L202="DNS",0,IF(L202="DQ",0,IF(L202="DNF",1,IF(AND(ISNUMBER(L202),L202&gt;59),1,_xlfn.XLOOKUP(L202,tbl_points[Place],tbl_points[Points],""))))))</f>
        <v/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81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02" s="3">
        <f>tbl_individual[[#This Row],[Total]]</f>
        <v>81</v>
      </c>
    </row>
    <row r="203" spans="1:22" hidden="1" x14ac:dyDescent="0.4">
      <c r="A203" t="s">
        <v>88</v>
      </c>
      <c r="B203" t="s">
        <v>10</v>
      </c>
      <c r="C203" t="s">
        <v>3</v>
      </c>
      <c r="D203" s="3">
        <v>10117</v>
      </c>
      <c r="E203" s="3" t="s">
        <v>426</v>
      </c>
      <c r="G203" s="3" t="s">
        <v>406</v>
      </c>
      <c r="H203" s="3">
        <v>13</v>
      </c>
      <c r="I203" s="3">
        <f>IF(H203="","",IF(H203="DNS",0,IF(H203="DQ",0,IF(H203="DNF",1,IF(AND(ISNUMBER(H203),H203&gt;59),1,_xlfn.XLOOKUP(H203,tbl_points[Place],tbl_points[Points],""))))))</f>
        <v>49</v>
      </c>
      <c r="J203" s="3">
        <v>21</v>
      </c>
      <c r="K203" s="3">
        <f>IF(J203="","",IF(J203="DNS",0,IF(J203="DQ",0,IF(J203="DNF",1,IF(AND(ISNUMBER(J203),J203&gt;59),1,_xlfn.XLOOKUP(J203,tbl_points[Place],tbl_points[Points],""))))))</f>
        <v>39</v>
      </c>
      <c r="M203" s="3" t="str">
        <f>IF(L203="","",IF(L203="DNS",0,IF(L203="DQ",0,IF(L203="DNF",1,IF(AND(ISNUMBER(L203),L203&gt;59),1,_xlfn.XLOOKUP(L203,tbl_points[Place],tbl_points[Points],""))))))</f>
        <v/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03" s="3">
        <f>tbl_individual[[#This Row],[Total]]</f>
        <v>88</v>
      </c>
    </row>
    <row r="204" spans="1:22" hidden="1" x14ac:dyDescent="0.4">
      <c r="A204" t="s">
        <v>339</v>
      </c>
      <c r="B204" t="s">
        <v>28</v>
      </c>
      <c r="C204" t="s">
        <v>5</v>
      </c>
      <c r="D204" s="3">
        <v>949</v>
      </c>
      <c r="E204" s="3" t="s">
        <v>426</v>
      </c>
      <c r="G204" s="3" t="s">
        <v>406</v>
      </c>
      <c r="H204" s="3">
        <v>34</v>
      </c>
      <c r="I204" s="3">
        <f>IF(H204="","",IF(H204="DNS",0,IF(H204="DQ",0,IF(H204="DNF",1,IF(AND(ISNUMBER(H204),H204&gt;59),1,_xlfn.XLOOKUP(H204,tbl_points[Place],tbl_points[Points],""))))))</f>
        <v>26</v>
      </c>
      <c r="J204" s="3">
        <v>30</v>
      </c>
      <c r="K204" s="3">
        <f>IF(J204="","",IF(J204="DNS",0,IF(J204="DQ",0,IF(J204="DNF",1,IF(AND(ISNUMBER(J204),J204&gt;59),1,_xlfn.XLOOKUP(J204,tbl_points[Place],tbl_points[Points],""))))))</f>
        <v>30</v>
      </c>
      <c r="M204" s="3" t="str">
        <f>IF(L204="","",IF(L204="DNS",0,IF(L204="DQ",0,IF(L204="DNF",1,IF(AND(ISNUMBER(L204),L204&gt;59),1,_xlfn.XLOOKUP(L204,tbl_points[Place],tbl_points[Points],""))))))</f>
        <v/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204" s="3">
        <f>tbl_individual[[#This Row],[Total]]</f>
        <v>56</v>
      </c>
    </row>
    <row r="205" spans="1:22" x14ac:dyDescent="0.4">
      <c r="A205" t="s">
        <v>448</v>
      </c>
      <c r="B205" t="s">
        <v>25</v>
      </c>
      <c r="C205" t="s">
        <v>7</v>
      </c>
      <c r="D205" s="3">
        <v>842</v>
      </c>
      <c r="E205" s="3" t="s">
        <v>426</v>
      </c>
      <c r="F205" s="17" t="s">
        <v>447</v>
      </c>
      <c r="H205" s="3" t="s">
        <v>413</v>
      </c>
      <c r="I205" s="18">
        <f>IF(H205="","",IF(H205="DNS",0,IF(H205="DQ",0,IF(H205="DNF",1,IF(AND(ISNUMBER(H205),H205&gt;59),1,_xlfn.XLOOKUP(H205,tbl_points[Place],tbl_points[Points],""))))))</f>
        <v>0</v>
      </c>
      <c r="J205" s="3">
        <v>40</v>
      </c>
      <c r="K205" s="18">
        <f>IF(J205="","",IF(J205="DNS",0,IF(J205="DQ",0,IF(J205="DNF",1,IF(AND(ISNUMBER(J205),J205&gt;59),1,_xlfn.XLOOKUP(J205,tbl_points[Place],tbl_points[Points],""))))))</f>
        <v>20</v>
      </c>
      <c r="L205" s="18"/>
      <c r="M205" s="18" t="str">
        <f>IF(L205="","",IF(L205="DNS",0,IF(L205="DQ",0,IF(L205="DNF",1,IF(AND(ISNUMBER(L205),L205&gt;59),1,_xlfn.XLOOKUP(L205,tbl_points[Place],tbl_points[Points],""))))))</f>
        <v/>
      </c>
      <c r="N205" s="18"/>
      <c r="O205" s="18" t="str">
        <f>IF(N205="","",IF(N205="DNS",0,IF(N205="DQ",0,IF(N205="DNF",1,IF(AND(ISNUMBER(N205),N205&gt;59),1,_xlfn.XLOOKUP(N205,tbl_points[Place],tbl_points[Points],""))))))</f>
        <v/>
      </c>
      <c r="P205" s="18"/>
      <c r="Q205" s="18" t="str">
        <f>IF(P205="","",IF(P205="DNS",0,IF(P205="DQ",0,IF(P205="DNF",1,IF(AND(ISNUMBER(P205),P205&gt;59),1,_xlfn.XLOOKUP(P205,tbl_points[Place],tbl_points[Points],""))))))</f>
        <v/>
      </c>
      <c r="R205" s="18"/>
      <c r="S205" s="18" t="str">
        <f>IF(R205="","",IF(R205="DNS",0,IF(R205="DQ",0,IF(R205="DNF",1,IF(AND(ISNUMBER(R205),R205&gt;59),1,_xlfn.XLOOKUP(R205,tbl_points[Place],tbl_points[Points],""))))))</f>
        <v/>
      </c>
      <c r="T205" s="18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205" s="18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5" s="18">
        <f>tbl_individual[[#This Row],[Total]]</f>
        <v>20</v>
      </c>
    </row>
    <row r="206" spans="1:22" x14ac:dyDescent="0.4">
      <c r="A206" t="s">
        <v>60</v>
      </c>
      <c r="B206" t="s">
        <v>10</v>
      </c>
      <c r="C206" t="s">
        <v>7</v>
      </c>
      <c r="D206" s="3">
        <v>8181</v>
      </c>
      <c r="E206" s="3" t="s">
        <v>426</v>
      </c>
      <c r="G206" s="3" t="s">
        <v>406</v>
      </c>
      <c r="H206" s="3" t="s">
        <v>413</v>
      </c>
      <c r="I206" s="3">
        <f>IF(H206="","",IF(H206="DNS",0,IF(H206="DQ",0,IF(H206="DNF",1,IF(AND(ISNUMBER(H206),H206&gt;59),1,_xlfn.XLOOKUP(H206,tbl_points[Place],tbl_points[Points],""))))))</f>
        <v>0</v>
      </c>
      <c r="J206" s="3">
        <v>41</v>
      </c>
      <c r="K206" s="3">
        <f>IF(J206="","",IF(J206="DNS",0,IF(J206="DQ",0,IF(J206="DNF",1,IF(AND(ISNUMBER(J206),J206&gt;59),1,_xlfn.XLOOKUP(J206,tbl_points[Place],tbl_points[Points],""))))))</f>
        <v>19</v>
      </c>
      <c r="M206" s="3" t="str">
        <f>IF(L206="","",IF(L206="DNS",0,IF(L206="DQ",0,IF(L206="DNF",1,IF(AND(ISNUMBER(L206),L206&gt;59),1,_xlfn.XLOOKUP(L206,tbl_points[Place],tbl_points[Points],""))))))</f>
        <v/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6" s="3">
        <f>tbl_individual[[#This Row],[Total]]</f>
        <v>19</v>
      </c>
    </row>
    <row r="207" spans="1:22" x14ac:dyDescent="0.4">
      <c r="A207" t="s">
        <v>303</v>
      </c>
      <c r="B207" t="s">
        <v>26</v>
      </c>
      <c r="C207" t="s">
        <v>7</v>
      </c>
      <c r="D207" s="3">
        <v>822</v>
      </c>
      <c r="E207" s="3" t="s">
        <v>426</v>
      </c>
      <c r="G207" s="3" t="s">
        <v>406</v>
      </c>
      <c r="H207" s="3">
        <v>27</v>
      </c>
      <c r="I207" s="3">
        <f>IF(H207="","",IF(H207="DNS",0,IF(H207="DQ",0,IF(H207="DNF",1,IF(AND(ISNUMBER(H207),H207&gt;59),1,_xlfn.XLOOKUP(H207,tbl_points[Place],tbl_points[Points],""))))))</f>
        <v>33</v>
      </c>
      <c r="J207" s="3">
        <v>42</v>
      </c>
      <c r="K207" s="3">
        <f>IF(J207="","",IF(J207="DNS",0,IF(J207="DQ",0,IF(J207="DNF",1,IF(AND(ISNUMBER(J207),J207&gt;59),1,_xlfn.XLOOKUP(J207,tbl_points[Place],tbl_points[Points],""))))))</f>
        <v>18</v>
      </c>
      <c r="M207" s="3" t="str">
        <f>IF(L207="","",IF(L207="DNS",0,IF(L207="DQ",0,IF(L207="DNF",1,IF(AND(ISNUMBER(L207),L207&gt;59),1,_xlfn.XLOOKUP(L207,tbl_points[Place],tbl_points[Points],""))))))</f>
        <v/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07" s="3">
        <f>tbl_individual[[#This Row],[Total]]</f>
        <v>51</v>
      </c>
    </row>
    <row r="208" spans="1:22" hidden="1" x14ac:dyDescent="0.4">
      <c r="A208" t="s">
        <v>240</v>
      </c>
      <c r="B208" t="s">
        <v>23</v>
      </c>
      <c r="C208" t="s">
        <v>8</v>
      </c>
      <c r="D208" s="3">
        <v>862</v>
      </c>
      <c r="E208" s="3" t="s">
        <v>426</v>
      </c>
      <c r="G208" s="3" t="s">
        <v>410</v>
      </c>
      <c r="H208" s="3">
        <v>2</v>
      </c>
      <c r="I208" s="3">
        <f>IF(H208="","",IF(H208="DNS",0,IF(H208="DQ",0,IF(H208="DNF",1,IF(AND(ISNUMBER(H208),H208&gt;59),1,_xlfn.XLOOKUP(H208,tbl_points[Place],tbl_points[Points],""))))))</f>
        <v>95</v>
      </c>
      <c r="J208" s="3" t="s">
        <v>413</v>
      </c>
      <c r="K208" s="3">
        <f>IF(J208="","",IF(J208="DNS",0,IF(J208="DQ",0,IF(J208="DNF",1,IF(AND(ISNUMBER(J208),J208&gt;59),1,_xlfn.XLOOKUP(J208,tbl_points[Place],tbl_points[Points],""))))))</f>
        <v>0</v>
      </c>
      <c r="M208" s="3" t="str">
        <f>IF(L208="","",IF(L208="DNS",0,IF(L208="DQ",0,IF(L208="DNF",1,IF(AND(ISNUMBER(L208),L208&gt;59),1,_xlfn.XLOOKUP(L208,tbl_points[Place],tbl_points[Points],""))))))</f>
        <v/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95</v>
      </c>
    </row>
    <row r="209" spans="1:22" hidden="1" x14ac:dyDescent="0.4">
      <c r="A209" t="s">
        <v>241</v>
      </c>
      <c r="B209" t="s">
        <v>23</v>
      </c>
      <c r="C209" t="s">
        <v>8</v>
      </c>
      <c r="D209" s="3">
        <v>863</v>
      </c>
      <c r="E209" s="3" t="s">
        <v>426</v>
      </c>
      <c r="G209" s="3" t="s">
        <v>410</v>
      </c>
      <c r="H209" s="3">
        <v>4</v>
      </c>
      <c r="I209" s="3">
        <f>IF(H209="","",IF(H209="DNS",0,IF(H209="DQ",0,IF(H209="DNF",1,IF(AND(ISNUMBER(H209),H209&gt;59),1,_xlfn.XLOOKUP(H209,tbl_points[Place],tbl_points[Points],""))))))</f>
        <v>85</v>
      </c>
      <c r="J209" s="3" t="s">
        <v>413</v>
      </c>
      <c r="K209" s="3">
        <f>IF(J209="","",IF(J209="DNS",0,IF(J209="DQ",0,IF(J209="DNF",1,IF(AND(ISNUMBER(J209),J209&gt;59),1,_xlfn.XLOOKUP(J209,tbl_points[Place],tbl_points[Points],""))))))</f>
        <v>0</v>
      </c>
      <c r="M209" s="3" t="str">
        <f>IF(L209="","",IF(L209="DNS",0,IF(L209="DQ",0,IF(L209="DNF",1,IF(AND(ISNUMBER(L209),L209&gt;59),1,_xlfn.XLOOKUP(L209,tbl_points[Place],tbl_points[Points],""))))))</f>
        <v/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85</v>
      </c>
    </row>
    <row r="210" spans="1:22" hidden="1" x14ac:dyDescent="0.4">
      <c r="A210" t="s">
        <v>242</v>
      </c>
      <c r="B210" t="s">
        <v>23</v>
      </c>
      <c r="C210" t="s">
        <v>8</v>
      </c>
      <c r="D210" s="3">
        <v>864</v>
      </c>
      <c r="E210" s="3" t="s">
        <v>426</v>
      </c>
      <c r="G210" s="3" t="s">
        <v>410</v>
      </c>
      <c r="H210" s="3" t="s">
        <v>413</v>
      </c>
      <c r="I210" s="3">
        <f>IF(H210="","",IF(H210="DNS",0,IF(H210="DQ",0,IF(H210="DNF",1,IF(AND(ISNUMBER(H210),H210&gt;59),1,_xlfn.XLOOKUP(H210,tbl_points[Place],tbl_points[Points],""))))))</f>
        <v>0</v>
      </c>
      <c r="J210" s="3" t="s">
        <v>413</v>
      </c>
      <c r="K210" s="3">
        <f>IF(J210="","",IF(J210="DNS",0,IF(J210="DQ",0,IF(J210="DNF",1,IF(AND(ISNUMBER(J210),J210&gt;59),1,_xlfn.XLOOKUP(J210,tbl_points[Place],tbl_points[Points],""))))))</f>
        <v>0</v>
      </c>
      <c r="M210" s="3" t="str">
        <f>IF(L210="","",IF(L210="DNS",0,IF(L210="DQ",0,IF(L210="DNF",1,IF(AND(ISNUMBER(L210),L210&gt;59),1,_xlfn.XLOOKUP(L210,tbl_points[Place],tbl_points[Points],""))))))</f>
        <v/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0</v>
      </c>
    </row>
    <row r="211" spans="1:22" hidden="1" x14ac:dyDescent="0.4">
      <c r="A211" t="s">
        <v>106</v>
      </c>
      <c r="B211" t="s">
        <v>11</v>
      </c>
      <c r="C211" t="s">
        <v>3</v>
      </c>
      <c r="D211" s="3">
        <v>10152</v>
      </c>
      <c r="E211" s="3" t="s">
        <v>426</v>
      </c>
      <c r="G211" s="3" t="s">
        <v>406</v>
      </c>
      <c r="H211" s="3" t="s">
        <v>413</v>
      </c>
      <c r="I211" s="3">
        <f>IF(H211="","",IF(H211="DNS",0,IF(H211="DQ",0,IF(H211="DNF",1,IF(AND(ISNUMBER(H211),H211&gt;59),1,_xlfn.XLOOKUP(H211,tbl_points[Place],tbl_points[Points],""))))))</f>
        <v>0</v>
      </c>
      <c r="J211" s="3">
        <v>21</v>
      </c>
      <c r="K211" s="3">
        <f>IF(J211="","",IF(J211="DNS",0,IF(J211="DQ",0,IF(J211="DNF",1,IF(AND(ISNUMBER(J211),J211&gt;59),1,_xlfn.XLOOKUP(J211,tbl_points[Place],tbl_points[Points],""))))))</f>
        <v>39</v>
      </c>
      <c r="M211" s="3" t="str">
        <f>IF(L211="","",IF(L211="DNS",0,IF(L211="DQ",0,IF(L211="DNF",1,IF(AND(ISNUMBER(L211),L211&gt;59),1,_xlfn.XLOOKUP(L211,tbl_points[Place],tbl_points[Points],""))))))</f>
        <v/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1" s="3">
        <f>tbl_individual[[#This Row],[Total]]</f>
        <v>39</v>
      </c>
    </row>
    <row r="212" spans="1:22" hidden="1" x14ac:dyDescent="0.4">
      <c r="A212" t="s">
        <v>85</v>
      </c>
      <c r="B212" t="s">
        <v>10</v>
      </c>
      <c r="C212" t="s">
        <v>3</v>
      </c>
      <c r="D212" s="3">
        <v>10111</v>
      </c>
      <c r="E212" s="3" t="s">
        <v>426</v>
      </c>
      <c r="G212" s="3" t="s">
        <v>406</v>
      </c>
      <c r="H212" s="3">
        <v>12</v>
      </c>
      <c r="I212" s="3">
        <f>IF(H212="","",IF(H212="DNS",0,IF(H212="DQ",0,IF(H212="DNF",1,IF(AND(ISNUMBER(H212),H212&gt;59),1,_xlfn.XLOOKUP(H212,tbl_points[Place],tbl_points[Points],""))))))</f>
        <v>51</v>
      </c>
      <c r="J212" s="3">
        <v>20</v>
      </c>
      <c r="K212" s="3">
        <f>IF(J212="","",IF(J212="DNS",0,IF(J212="DQ",0,IF(J212="DNF",1,IF(AND(ISNUMBER(J212),J212&gt;59),1,_xlfn.XLOOKUP(J212,tbl_points[Place],tbl_points[Points],""))))))</f>
        <v>40</v>
      </c>
      <c r="M212" s="3" t="str">
        <f>IF(L212="","",IF(L212="DNS",0,IF(L212="DQ",0,IF(L212="DNF",1,IF(AND(ISNUMBER(L212),L212&gt;59),1,_xlfn.XLOOKUP(L212,tbl_points[Place],tbl_points[Points],""))))))</f>
        <v/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12" s="3">
        <f>tbl_individual[[#This Row],[Total]]</f>
        <v>91</v>
      </c>
    </row>
    <row r="213" spans="1:22" hidden="1" x14ac:dyDescent="0.4">
      <c r="A213" t="s">
        <v>107</v>
      </c>
      <c r="B213" t="s">
        <v>11</v>
      </c>
      <c r="C213" t="s">
        <v>3</v>
      </c>
      <c r="D213" s="3">
        <v>10153</v>
      </c>
      <c r="E213" s="3" t="s">
        <v>426</v>
      </c>
      <c r="G213" s="3" t="s">
        <v>406</v>
      </c>
      <c r="H213" s="3" t="s">
        <v>413</v>
      </c>
      <c r="I213" s="3">
        <f>IF(H213="","",IF(H213="DNS",0,IF(H213="DQ",0,IF(H213="DNF",1,IF(AND(ISNUMBER(H213),H213&gt;59),1,_xlfn.XLOOKUP(H213,tbl_points[Place],tbl_points[Points],""))))))</f>
        <v>0</v>
      </c>
      <c r="J213" s="3">
        <v>19</v>
      </c>
      <c r="K213" s="3">
        <f>IF(J213="","",IF(J213="DNS",0,IF(J213="DQ",0,IF(J213="DNF",1,IF(AND(ISNUMBER(J213),J213&gt;59),1,_xlfn.XLOOKUP(J213,tbl_points[Place],tbl_points[Points],""))))))</f>
        <v>41</v>
      </c>
      <c r="M213" s="3" t="str">
        <f>IF(L213="","",IF(L213="DNS",0,IF(L213="DQ",0,IF(L213="DNF",1,IF(AND(ISNUMBER(L213),L213&gt;59),1,_xlfn.XLOOKUP(L213,tbl_points[Place],tbl_points[Points],""))))))</f>
        <v/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3" s="3">
        <f>tbl_individual[[#This Row],[Total]]</f>
        <v>41</v>
      </c>
    </row>
    <row r="214" spans="1:22" hidden="1" x14ac:dyDescent="0.4">
      <c r="A214" t="s">
        <v>86</v>
      </c>
      <c r="B214" t="s">
        <v>10</v>
      </c>
      <c r="C214" t="s">
        <v>3</v>
      </c>
      <c r="D214" s="3">
        <v>10114</v>
      </c>
      <c r="E214" s="3" t="s">
        <v>426</v>
      </c>
      <c r="G214" s="3" t="s">
        <v>406</v>
      </c>
      <c r="H214" s="3">
        <v>29</v>
      </c>
      <c r="I214" s="3">
        <f>IF(H214="","",IF(H214="DNS",0,IF(H214="DQ",0,IF(H214="DNF",1,IF(AND(ISNUMBER(H214),H214&gt;59),1,_xlfn.XLOOKUP(H214,tbl_points[Place],tbl_points[Points],""))))))</f>
        <v>31</v>
      </c>
      <c r="J214" s="3">
        <v>18</v>
      </c>
      <c r="K214" s="3">
        <f>IF(J214="","",IF(J214="DNS",0,IF(J214="DQ",0,IF(J214="DNF",1,IF(AND(ISNUMBER(J214),J214&gt;59),1,_xlfn.XLOOKUP(J214,tbl_points[Place],tbl_points[Points],""))))))</f>
        <v>42</v>
      </c>
      <c r="M214" s="3" t="str">
        <f>IF(L214="","",IF(L214="DNS",0,IF(L214="DQ",0,IF(L214="DNF",1,IF(AND(ISNUMBER(L214),L214&gt;59),1,_xlfn.XLOOKUP(L214,tbl_points[Place],tbl_points[Points],""))))))</f>
        <v/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73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14" s="3">
        <f>tbl_individual[[#This Row],[Total]]</f>
        <v>73</v>
      </c>
    </row>
    <row r="215" spans="1:22" hidden="1" x14ac:dyDescent="0.4">
      <c r="A215" t="s">
        <v>196</v>
      </c>
      <c r="B215" t="s">
        <v>20</v>
      </c>
      <c r="C215" t="s">
        <v>3</v>
      </c>
      <c r="D215" s="3">
        <v>10171</v>
      </c>
      <c r="E215" s="3" t="s">
        <v>426</v>
      </c>
      <c r="G215" s="3" t="s">
        <v>406</v>
      </c>
      <c r="H215" s="3">
        <v>2</v>
      </c>
      <c r="I215" s="3">
        <f>IF(H215="","",IF(H215="DNS",0,IF(H215="DQ",0,IF(H215="DNF",1,IF(AND(ISNUMBER(H215),H215&gt;59),1,_xlfn.XLOOKUP(H215,tbl_points[Place],tbl_points[Points],""))))))</f>
        <v>95</v>
      </c>
      <c r="J215" s="3">
        <v>17</v>
      </c>
      <c r="K215" s="3">
        <f>IF(J215="","",IF(J215="DNS",0,IF(J215="DQ",0,IF(J215="DNF",1,IF(AND(ISNUMBER(J215),J215&gt;59),1,_xlfn.XLOOKUP(J215,tbl_points[Place],tbl_points[Points],""))))))</f>
        <v>43</v>
      </c>
      <c r="M215" s="3" t="str">
        <f>IF(L215="","",IF(L215="DNS",0,IF(L215="DQ",0,IF(L215="DNF",1,IF(AND(ISNUMBER(L215),L215&gt;59),1,_xlfn.XLOOKUP(L215,tbl_points[Place],tbl_points[Points],""))))))</f>
        <v/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15" s="3">
        <f>tbl_individual[[#This Row],[Total]]</f>
        <v>138</v>
      </c>
    </row>
    <row r="216" spans="1:22" hidden="1" x14ac:dyDescent="0.4">
      <c r="A216" t="s">
        <v>218</v>
      </c>
      <c r="B216" t="s">
        <v>21</v>
      </c>
      <c r="C216" t="s">
        <v>3</v>
      </c>
      <c r="D216" s="3">
        <v>10176</v>
      </c>
      <c r="E216" s="3" t="s">
        <v>426</v>
      </c>
      <c r="G216" s="3" t="s">
        <v>406</v>
      </c>
      <c r="H216" s="3">
        <v>35</v>
      </c>
      <c r="I216" s="3">
        <f>IF(H216="","",IF(H216="DNS",0,IF(H216="DQ",0,IF(H216="DNF",1,IF(AND(ISNUMBER(H216),H216&gt;59),1,_xlfn.XLOOKUP(H216,tbl_points[Place],tbl_points[Points],""))))))</f>
        <v>25</v>
      </c>
      <c r="J216" s="3">
        <v>16</v>
      </c>
      <c r="K216" s="3">
        <f>IF(J216="","",IF(J216="DNS",0,IF(J216="DQ",0,IF(J216="DNF",1,IF(AND(ISNUMBER(J216),J216&gt;59),1,_xlfn.XLOOKUP(J216,tbl_points[Place],tbl_points[Points],""))))))</f>
        <v>44</v>
      </c>
      <c r="M216" s="3" t="str">
        <f>IF(L216="","",IF(L216="DNS",0,IF(L216="DQ",0,IF(L216="DNF",1,IF(AND(ISNUMBER(L216),L216&gt;59),1,_xlfn.XLOOKUP(L216,tbl_points[Place],tbl_points[Points],""))))))</f>
        <v/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16" s="3">
        <f>tbl_individual[[#This Row],[Total]]</f>
        <v>69</v>
      </c>
    </row>
    <row r="217" spans="1:22" hidden="1" x14ac:dyDescent="0.4">
      <c r="A217" t="s">
        <v>213</v>
      </c>
      <c r="B217" t="s">
        <v>21</v>
      </c>
      <c r="C217" t="s">
        <v>4</v>
      </c>
      <c r="D217" s="3">
        <v>1035</v>
      </c>
      <c r="E217" s="3" t="s">
        <v>426</v>
      </c>
      <c r="G217" s="3" t="s">
        <v>406</v>
      </c>
      <c r="H217" s="3" t="s">
        <v>413</v>
      </c>
      <c r="I217" s="3">
        <f>IF(H217="","",IF(H217="DNS",0,IF(H217="DQ",0,IF(H217="DNF",1,IF(AND(ISNUMBER(H217),H217&gt;59),1,_xlfn.XLOOKUP(H217,tbl_points[Place],tbl_points[Points],""))))))</f>
        <v>0</v>
      </c>
      <c r="J217" s="3">
        <v>1</v>
      </c>
      <c r="K217" s="3">
        <f>IF(J217="","",IF(J217="DNS",0,IF(J217="DQ",0,IF(J217="DNF",1,IF(AND(ISNUMBER(J217),J217&gt;59),1,_xlfn.XLOOKUP(J217,tbl_points[Place],tbl_points[Points],""))))))</f>
        <v>100</v>
      </c>
      <c r="M217" s="3" t="str">
        <f>IF(L217="","",IF(L217="DNS",0,IF(L217="DQ",0,IF(L217="DNF",1,IF(AND(ISNUMBER(L217),L217&gt;59),1,_xlfn.XLOOKUP(L217,tbl_points[Place],tbl_points[Points],""))))))</f>
        <v/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7" s="3">
        <f>tbl_individual[[#This Row],[Total]]</f>
        <v>100</v>
      </c>
    </row>
    <row r="218" spans="1:22" hidden="1" x14ac:dyDescent="0.4">
      <c r="A218" t="s">
        <v>254</v>
      </c>
      <c r="B218" t="s">
        <v>23</v>
      </c>
      <c r="C218" t="s">
        <v>4</v>
      </c>
      <c r="D218" s="3">
        <v>1036</v>
      </c>
      <c r="E218" s="3" t="s">
        <v>426</v>
      </c>
      <c r="G218" s="3" t="s">
        <v>406</v>
      </c>
      <c r="H218" s="3">
        <v>7</v>
      </c>
      <c r="I218" s="3">
        <f>IF(H218="","",IF(H218="DNS",0,IF(H218="DQ",0,IF(H218="DNF",1,IF(AND(ISNUMBER(H218),H218&gt;59),1,_xlfn.XLOOKUP(H218,tbl_points[Place],tbl_points[Points],""))))))</f>
        <v>70</v>
      </c>
      <c r="J218" s="3">
        <v>2</v>
      </c>
      <c r="K218" s="3">
        <f>IF(J218="","",IF(J218="DNS",0,IF(J218="DQ",0,IF(J218="DNF",1,IF(AND(ISNUMBER(J218),J218&gt;59),1,_xlfn.XLOOKUP(J218,tbl_points[Place],tbl_points[Points],""))))))</f>
        <v>95</v>
      </c>
      <c r="M218" s="3" t="str">
        <f>IF(L218="","",IF(L218="DNS",0,IF(L218="DQ",0,IF(L218="DNF",1,IF(AND(ISNUMBER(L218),L218&gt;59),1,_xlfn.XLOOKUP(L218,tbl_points[Place],tbl_points[Points],""))))))</f>
        <v/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18" s="3">
        <f>tbl_individual[[#This Row],[Total]]</f>
        <v>165</v>
      </c>
    </row>
    <row r="219" spans="1:22" hidden="1" x14ac:dyDescent="0.4">
      <c r="A219" t="s">
        <v>255</v>
      </c>
      <c r="B219" t="s">
        <v>23</v>
      </c>
      <c r="C219" t="s">
        <v>4</v>
      </c>
      <c r="D219" s="3">
        <v>1037</v>
      </c>
      <c r="E219" s="3" t="s">
        <v>426</v>
      </c>
      <c r="G219" s="3" t="s">
        <v>410</v>
      </c>
      <c r="H219" s="3">
        <v>6</v>
      </c>
      <c r="I219" s="3">
        <f>IF(H219="","",IF(H219="DNS",0,IF(H219="DQ",0,IF(H219="DNF",1,IF(AND(ISNUMBER(H219),H219&gt;59),1,_xlfn.XLOOKUP(H219,tbl_points[Place],tbl_points[Points],""))))))</f>
        <v>75</v>
      </c>
      <c r="J219" s="3" t="s">
        <v>413</v>
      </c>
      <c r="K219" s="3">
        <f>IF(J219="","",IF(J219="DNS",0,IF(J219="DQ",0,IF(J219="DNF",1,IF(AND(ISNUMBER(J219),J219&gt;59),1,_xlfn.XLOOKUP(J219,tbl_points[Place],tbl_points[Points],""))))))</f>
        <v>0</v>
      </c>
      <c r="M219" s="3" t="str">
        <f>IF(L219="","",IF(L219="DNS",0,IF(L219="DQ",0,IF(L219="DNF",1,IF(AND(ISNUMBER(L219),L219&gt;59),1,_xlfn.XLOOKUP(L219,tbl_points[Place],tbl_points[Points],""))))))</f>
        <v/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75</v>
      </c>
    </row>
    <row r="220" spans="1:22" hidden="1" x14ac:dyDescent="0.4">
      <c r="A220" t="s">
        <v>256</v>
      </c>
      <c r="B220" t="s">
        <v>23</v>
      </c>
      <c r="C220" t="s">
        <v>4</v>
      </c>
      <c r="D220" s="3">
        <v>1038</v>
      </c>
      <c r="E220" s="3" t="s">
        <v>426</v>
      </c>
      <c r="G220" s="3" t="s">
        <v>406</v>
      </c>
      <c r="H220" s="3" t="s">
        <v>413</v>
      </c>
      <c r="I220" s="3">
        <f>IF(H220="","",IF(H220="DNS",0,IF(H220="DQ",0,IF(H220="DNF",1,IF(AND(ISNUMBER(H220),H220&gt;59),1,_xlfn.XLOOKUP(H220,tbl_points[Place],tbl_points[Points],""))))))</f>
        <v>0</v>
      </c>
      <c r="J220" s="3">
        <v>14</v>
      </c>
      <c r="K220" s="3">
        <f>IF(J220="","",IF(J220="DNS",0,IF(J220="DQ",0,IF(J220="DNF",1,IF(AND(ISNUMBER(J220),J220&gt;59),1,_xlfn.XLOOKUP(J220,tbl_points[Place],tbl_points[Points],""))))))</f>
        <v>47</v>
      </c>
      <c r="M220" s="3" t="str">
        <f>IF(L220="","",IF(L220="DNS",0,IF(L220="DQ",0,IF(L220="DNF",1,IF(AND(ISNUMBER(L220),L220&gt;59),1,_xlfn.XLOOKUP(L220,tbl_points[Place],tbl_points[Points],""))))))</f>
        <v/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47</v>
      </c>
    </row>
    <row r="221" spans="1:22" hidden="1" x14ac:dyDescent="0.4">
      <c r="A221" t="s">
        <v>286</v>
      </c>
      <c r="B221" t="s">
        <v>25</v>
      </c>
      <c r="C221" t="s">
        <v>5</v>
      </c>
      <c r="D221" s="3">
        <v>929</v>
      </c>
      <c r="E221" s="3" t="s">
        <v>426</v>
      </c>
      <c r="G221" s="3" t="s">
        <v>406</v>
      </c>
      <c r="H221" s="3" t="s">
        <v>413</v>
      </c>
      <c r="I221" s="3">
        <f>IF(H221="","",IF(H221="DNS",0,IF(H221="DQ",0,IF(H221="DNF",1,IF(AND(ISNUMBER(H221),H221&gt;59),1,_xlfn.XLOOKUP(H221,tbl_points[Place],tbl_points[Points],""))))))</f>
        <v>0</v>
      </c>
      <c r="J221" s="3">
        <v>31</v>
      </c>
      <c r="K221" s="3">
        <f>IF(J221="","",IF(J221="DNS",0,IF(J221="DQ",0,IF(J221="DNF",1,IF(AND(ISNUMBER(J221),J221&gt;59),1,_xlfn.XLOOKUP(J221,tbl_points[Place],tbl_points[Points],""))))))</f>
        <v>29</v>
      </c>
      <c r="M221" s="3" t="str">
        <f>IF(L221="","",IF(L221="DNS",0,IF(L221="DQ",0,IF(L221="DNF",1,IF(AND(ISNUMBER(L221),L221&gt;59),1,_xlfn.XLOOKUP(L221,tbl_points[Place],tbl_points[Points],""))))))</f>
        <v/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29</v>
      </c>
    </row>
    <row r="222" spans="1:22" hidden="1" x14ac:dyDescent="0.4">
      <c r="A222" t="s">
        <v>305</v>
      </c>
      <c r="B222" t="s">
        <v>26</v>
      </c>
      <c r="C222" t="s">
        <v>5</v>
      </c>
      <c r="D222" s="3">
        <v>939</v>
      </c>
      <c r="E222" s="3" t="s">
        <v>426</v>
      </c>
      <c r="G222" s="3" t="s">
        <v>406</v>
      </c>
      <c r="H222" s="3" t="s">
        <v>413</v>
      </c>
      <c r="I222" s="3">
        <f>IF(H222="","",IF(H222="DNS",0,IF(H222="DQ",0,IF(H222="DNF",1,IF(AND(ISNUMBER(H222),H222&gt;59),1,_xlfn.XLOOKUP(H222,tbl_points[Place],tbl_points[Points],""))))))</f>
        <v>0</v>
      </c>
      <c r="J222" s="3">
        <v>32</v>
      </c>
      <c r="K222" s="3">
        <f>IF(J222="","",IF(J222="DNS",0,IF(J222="DQ",0,IF(J222="DNF",1,IF(AND(ISNUMBER(J222),J222&gt;59),1,_xlfn.XLOOKUP(J222,tbl_points[Place],tbl_points[Points],""))))))</f>
        <v>28</v>
      </c>
      <c r="M222" s="3" t="str">
        <f>IF(L222="","",IF(L222="DNS",0,IF(L222="DQ",0,IF(L222="DNF",1,IF(AND(ISNUMBER(L222),L222&gt;59),1,_xlfn.XLOOKUP(L222,tbl_points[Place],tbl_points[Points],""))))))</f>
        <v/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</f>
        <v>28</v>
      </c>
    </row>
    <row r="223" spans="1:22" hidden="1" x14ac:dyDescent="0.4">
      <c r="A223" t="s">
        <v>414</v>
      </c>
      <c r="B223" t="s">
        <v>25</v>
      </c>
      <c r="C223" t="s">
        <v>5</v>
      </c>
      <c r="D223" s="3">
        <v>958</v>
      </c>
      <c r="E223" s="3" t="s">
        <v>426</v>
      </c>
      <c r="G223" s="3" t="s">
        <v>406</v>
      </c>
      <c r="H223" s="3" t="s">
        <v>412</v>
      </c>
      <c r="I223" s="3">
        <f>IF(H223="","",IF(H223="DNS",0,IF(H223="DQ",0,IF(H223="DNF",1,IF(AND(ISNUMBER(H223),H223&gt;59),1,_xlfn.XLOOKUP(H223,tbl_points[Place],tbl_points[Points],""))))))</f>
        <v>1</v>
      </c>
      <c r="J223" s="3">
        <v>34</v>
      </c>
      <c r="K223" s="3">
        <f>IF(J223="","",IF(J223="DNS",0,IF(J223="DQ",0,IF(J223="DNF",1,IF(AND(ISNUMBER(J223),J223&gt;59),1,_xlfn.XLOOKUP(J223,tbl_points[Place],tbl_points[Points],""))))))</f>
        <v>26</v>
      </c>
      <c r="M223" s="3" t="str">
        <f>IF(L223="","",IF(L223="DNS",0,IF(L223="DQ",0,IF(L223="DNF",1,IF(AND(ISNUMBER(L223),L223&gt;59),1,_xlfn.XLOOKUP(L223,tbl_points[Place],tbl_points[Points],""))))))</f>
        <v/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23" s="3">
        <f>tbl_individual[[#This Row],[Total]]</f>
        <v>27</v>
      </c>
    </row>
    <row r="224" spans="1:22" hidden="1" x14ac:dyDescent="0.4">
      <c r="A224" t="s">
        <v>73</v>
      </c>
      <c r="B224" t="s">
        <v>10</v>
      </c>
      <c r="C224" t="s">
        <v>5</v>
      </c>
      <c r="D224" s="3">
        <v>906</v>
      </c>
      <c r="E224" s="3" t="s">
        <v>426</v>
      </c>
      <c r="G224" s="3" t="s">
        <v>406</v>
      </c>
      <c r="H224" s="3">
        <v>29</v>
      </c>
      <c r="I224" s="3">
        <f>IF(H224="","",IF(H224="DNS",0,IF(H224="DQ",0,IF(H224="DNF",1,IF(AND(ISNUMBER(H224),H224&gt;59),1,_xlfn.XLOOKUP(H224,tbl_points[Place],tbl_points[Points],""))))))</f>
        <v>31</v>
      </c>
      <c r="J224" s="3">
        <v>35</v>
      </c>
      <c r="K224" s="3">
        <f>IF(J224="","",IF(J224="DNS",0,IF(J224="DQ",0,IF(J224="DNF",1,IF(AND(ISNUMBER(J224),J224&gt;59),1,_xlfn.XLOOKUP(J224,tbl_points[Place],tbl_points[Points],""))))))</f>
        <v>25</v>
      </c>
      <c r="M224" s="3" t="str">
        <f>IF(L224="","",IF(L224="DNS",0,IF(L224="DQ",0,IF(L224="DNF",1,IF(AND(ISNUMBER(L224),L224&gt;59),1,_xlfn.XLOOKUP(L224,tbl_points[Place],tbl_points[Points],""))))))</f>
        <v/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24" s="3">
        <f>tbl_individual[[#This Row],[Total]]</f>
        <v>56</v>
      </c>
    </row>
    <row r="225" spans="1:22" hidden="1" x14ac:dyDescent="0.4">
      <c r="A225" t="s">
        <v>385</v>
      </c>
      <c r="B225" t="s">
        <v>31</v>
      </c>
      <c r="C225" t="s">
        <v>5</v>
      </c>
      <c r="D225" s="3">
        <v>954</v>
      </c>
      <c r="E225" s="3" t="s">
        <v>426</v>
      </c>
      <c r="G225" s="3" t="s">
        <v>406</v>
      </c>
      <c r="H225" s="3">
        <v>39</v>
      </c>
      <c r="I225" s="3">
        <f>IF(H225="","",IF(H225="DNS",0,IF(H225="DQ",0,IF(H225="DNF",1,IF(AND(ISNUMBER(H225),H225&gt;59),1,_xlfn.XLOOKUP(H225,tbl_points[Place],tbl_points[Points],""))))))</f>
        <v>21</v>
      </c>
      <c r="J225" s="3">
        <v>36</v>
      </c>
      <c r="K225" s="3">
        <f>IF(J225="","",IF(J225="DNS",0,IF(J225="DQ",0,IF(J225="DNF",1,IF(AND(ISNUMBER(J225),J225&gt;59),1,_xlfn.XLOOKUP(J225,tbl_points[Place],tbl_points[Points],""))))))</f>
        <v>24</v>
      </c>
      <c r="M225" s="3" t="str">
        <f>IF(L225="","",IF(L225="DNS",0,IF(L225="DQ",0,IF(L225="DNF",1,IF(AND(ISNUMBER(L225),L225&gt;59),1,_xlfn.XLOOKUP(L225,tbl_points[Place],tbl_points[Points],""))))))</f>
        <v/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25" s="3">
        <f>tbl_individual[[#This Row],[Total]]</f>
        <v>45</v>
      </c>
    </row>
    <row r="226" spans="1:22" hidden="1" x14ac:dyDescent="0.4">
      <c r="A226" t="s">
        <v>62</v>
      </c>
      <c r="B226" t="s">
        <v>10</v>
      </c>
      <c r="C226" t="s">
        <v>6</v>
      </c>
      <c r="D226" s="3">
        <v>918</v>
      </c>
      <c r="E226" s="3" t="s">
        <v>426</v>
      </c>
      <c r="G226" s="3" t="s">
        <v>406</v>
      </c>
      <c r="H226" s="3">
        <v>13</v>
      </c>
      <c r="I226" s="3">
        <f>IF(H226="","",IF(H226="DNS",0,IF(H226="DQ",0,IF(H226="DNF",1,IF(AND(ISNUMBER(H226),H226&gt;59),1,_xlfn.XLOOKUP(H226,tbl_points[Place],tbl_points[Points],""))))))</f>
        <v>49</v>
      </c>
      <c r="J226" s="3">
        <v>12</v>
      </c>
      <c r="K226" s="3">
        <f>IF(J226="","",IF(J226="DNS",0,IF(J226="DQ",0,IF(J226="DNF",1,IF(AND(ISNUMBER(J226),J226&gt;59),1,_xlfn.XLOOKUP(J226,tbl_points[Place],tbl_points[Points],""))))))</f>
        <v>51</v>
      </c>
      <c r="M226" s="3" t="str">
        <f>IF(L226="","",IF(L226="DNS",0,IF(L226="DQ",0,IF(L226="DNF",1,IF(AND(ISNUMBER(L226),L226&gt;59),1,_xlfn.XLOOKUP(L226,tbl_points[Place],tbl_points[Points],""))))))</f>
        <v/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26" s="3">
        <f>tbl_individual[[#This Row],[Total]]</f>
        <v>100</v>
      </c>
    </row>
    <row r="227" spans="1:22" hidden="1" x14ac:dyDescent="0.4">
      <c r="A227" t="s">
        <v>63</v>
      </c>
      <c r="B227" t="s">
        <v>10</v>
      </c>
      <c r="C227" t="s">
        <v>6</v>
      </c>
      <c r="D227" s="3">
        <v>9421</v>
      </c>
      <c r="E227" s="3" t="s">
        <v>426</v>
      </c>
      <c r="G227" s="3" t="s">
        <v>406</v>
      </c>
      <c r="H227" s="3">
        <v>14</v>
      </c>
      <c r="I227" s="3">
        <f>IF(H227="","",IF(H227="DNS",0,IF(H227="DQ",0,IF(H227="DNF",1,IF(AND(ISNUMBER(H227),H227&gt;59),1,_xlfn.XLOOKUP(H227,tbl_points[Place],tbl_points[Points],""))))))</f>
        <v>47</v>
      </c>
      <c r="J227" s="3">
        <v>13</v>
      </c>
      <c r="K227" s="3">
        <f>IF(J227="","",IF(J227="DNS",0,IF(J227="DQ",0,IF(J227="DNF",1,IF(AND(ISNUMBER(J227),J227&gt;59),1,_xlfn.XLOOKUP(J227,tbl_points[Place],tbl_points[Points],""))))))</f>
        <v>49</v>
      </c>
      <c r="M227" s="3" t="str">
        <f>IF(L227="","",IF(L227="DNS",0,IF(L227="DQ",0,IF(L227="DNF",1,IF(AND(ISNUMBER(L227),L227&gt;59),1,_xlfn.XLOOKUP(L227,tbl_points[Place],tbl_points[Points],""))))))</f>
        <v/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27" s="3">
        <f>tbl_individual[[#This Row],[Total]]</f>
        <v>96</v>
      </c>
    </row>
    <row r="228" spans="1:22" hidden="1" x14ac:dyDescent="0.4">
      <c r="A228" t="s">
        <v>149</v>
      </c>
      <c r="B228" t="s">
        <v>15</v>
      </c>
      <c r="C228" t="s">
        <v>6</v>
      </c>
      <c r="D228" s="3">
        <v>9491</v>
      </c>
      <c r="E228" s="3" t="s">
        <v>426</v>
      </c>
      <c r="G228" s="3" t="s">
        <v>406</v>
      </c>
      <c r="H228" s="3">
        <v>8</v>
      </c>
      <c r="I228" s="3">
        <f>IF(H228="","",IF(H228="DNS",0,IF(H228="DQ",0,IF(H228="DNF",1,IF(AND(ISNUMBER(H228),H228&gt;59),1,_xlfn.XLOOKUP(H228,tbl_points[Place],tbl_points[Points],""))))))</f>
        <v>65</v>
      </c>
      <c r="J228" s="3">
        <v>14</v>
      </c>
      <c r="K228" s="3">
        <f>IF(J228="","",IF(J228="DNS",0,IF(J228="DQ",0,IF(J228="DNF",1,IF(AND(ISNUMBER(J228),J228&gt;59),1,_xlfn.XLOOKUP(J228,tbl_points[Place],tbl_points[Points],""))))))</f>
        <v>47</v>
      </c>
      <c r="M228" s="3" t="str">
        <f>IF(L228="","",IF(L228="DNS",0,IF(L228="DQ",0,IF(L228="DNF",1,IF(AND(ISNUMBER(L228),L228&gt;59),1,_xlfn.XLOOKUP(L228,tbl_points[Place],tbl_points[Points],""))))))</f>
        <v/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28" s="3">
        <f>tbl_individual[[#This Row],[Total]]</f>
        <v>112</v>
      </c>
    </row>
    <row r="229" spans="1:22" hidden="1" x14ac:dyDescent="0.4">
      <c r="A229" t="s">
        <v>131</v>
      </c>
      <c r="B229" t="s">
        <v>13</v>
      </c>
      <c r="C229" t="s">
        <v>1</v>
      </c>
      <c r="D229" s="3">
        <v>12028</v>
      </c>
      <c r="E229" s="3" t="s">
        <v>426</v>
      </c>
      <c r="G229" s="3" t="s">
        <v>406</v>
      </c>
      <c r="H229" s="3">
        <v>42</v>
      </c>
      <c r="I229" s="3">
        <f>IF(H229="","",IF(H229="DNS",0,IF(H229="DQ",0,IF(H229="DNF",1,IF(AND(ISNUMBER(H229),H229&gt;59),1,_xlfn.XLOOKUP(H229,tbl_points[Place],tbl_points[Points],""))))))</f>
        <v>18</v>
      </c>
      <c r="J229" s="3">
        <v>55</v>
      </c>
      <c r="K229" s="3">
        <f>IF(J229="","",IF(J229="DNS",0,IF(J229="DQ",0,IF(J229="DNF",1,IF(AND(ISNUMBER(J229),J229&gt;59),1,_xlfn.XLOOKUP(J229,tbl_points[Place],tbl_points[Points],""))))))</f>
        <v>5</v>
      </c>
      <c r="M229" s="3" t="str">
        <f>IF(L229="","",IF(L229="DNS",0,IF(L229="DQ",0,IF(L229="DNF",1,IF(AND(ISNUMBER(L229),L229&gt;59),1,_xlfn.XLOOKUP(L229,tbl_points[Place],tbl_points[Points],""))))))</f>
        <v/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29" s="3">
        <f>tbl_individual[[#This Row],[Total]]</f>
        <v>23</v>
      </c>
    </row>
    <row r="230" spans="1:22" hidden="1" x14ac:dyDescent="0.4">
      <c r="A230" t="s">
        <v>129</v>
      </c>
      <c r="B230" t="s">
        <v>13</v>
      </c>
      <c r="C230" t="s">
        <v>1</v>
      </c>
      <c r="D230" s="3">
        <v>12026</v>
      </c>
      <c r="E230" s="3" t="s">
        <v>426</v>
      </c>
      <c r="G230" s="3" t="s">
        <v>406</v>
      </c>
      <c r="H230" s="3">
        <v>27</v>
      </c>
      <c r="I230" s="3">
        <f>IF(H230="","",IF(H230="DNS",0,IF(H230="DQ",0,IF(H230="DNF",1,IF(AND(ISNUMBER(H230),H230&gt;59),1,_xlfn.XLOOKUP(H230,tbl_points[Place],tbl_points[Points],""))))))</f>
        <v>33</v>
      </c>
      <c r="J230" s="3">
        <v>56</v>
      </c>
      <c r="K230" s="3">
        <f>IF(J230="","",IF(J230="DNS",0,IF(J230="DQ",0,IF(J230="DNF",1,IF(AND(ISNUMBER(J230),J230&gt;59),1,_xlfn.XLOOKUP(J230,tbl_points[Place],tbl_points[Points],""))))))</f>
        <v>4</v>
      </c>
      <c r="M230" s="3" t="str">
        <f>IF(L230="","",IF(L230="DNS",0,IF(L230="DQ",0,IF(L230="DNF",1,IF(AND(ISNUMBER(L230),L230&gt;59),1,_xlfn.XLOOKUP(L230,tbl_points[Place],tbl_points[Points],""))))))</f>
        <v/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4</v>
      </c>
      <c r="V230" s="3">
        <f>tbl_individual[[#This Row],[Total]]</f>
        <v>37</v>
      </c>
    </row>
    <row r="231" spans="1:22" hidden="1" x14ac:dyDescent="0.4">
      <c r="A231" t="s">
        <v>93</v>
      </c>
      <c r="B231" t="s">
        <v>10</v>
      </c>
      <c r="C231" t="s">
        <v>1</v>
      </c>
      <c r="D231" s="3">
        <v>12001</v>
      </c>
      <c r="E231" s="3" t="s">
        <v>426</v>
      </c>
      <c r="G231" s="3" t="s">
        <v>410</v>
      </c>
      <c r="H231" s="3" t="s">
        <v>413</v>
      </c>
      <c r="I231" s="3">
        <f>IF(H231="","",IF(H231="DNS",0,IF(H231="DQ",0,IF(H231="DNF",1,IF(AND(ISNUMBER(H231),H231&gt;59),1,_xlfn.XLOOKUP(H231,tbl_points[Place],tbl_points[Points],""))))))</f>
        <v>0</v>
      </c>
      <c r="J231" s="3">
        <v>57</v>
      </c>
      <c r="K231" s="3">
        <f>IF(J231="","",IF(J231="DNS",0,IF(J231="DQ",0,IF(J231="DNF",1,IF(AND(ISNUMBER(J231),J231&gt;59),1,_xlfn.XLOOKUP(J231,tbl_points[Place],tbl_points[Points],""))))))</f>
        <v>3</v>
      </c>
      <c r="M231" s="3" t="str">
        <f>IF(L231="","",IF(L231="DNS",0,IF(L231="DQ",0,IF(L231="DNF",1,IF(AND(ISNUMBER(L231),L231&gt;59),1,_xlfn.XLOOKUP(L231,tbl_points[Place],tbl_points[Points],""))))))</f>
        <v/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3</v>
      </c>
    </row>
    <row r="232" spans="1:22" hidden="1" x14ac:dyDescent="0.4">
      <c r="A232" t="s">
        <v>308</v>
      </c>
      <c r="B232" t="s">
        <v>26</v>
      </c>
      <c r="C232" t="s">
        <v>1</v>
      </c>
      <c r="D232" s="3">
        <v>12076</v>
      </c>
      <c r="E232" s="3" t="s">
        <v>426</v>
      </c>
      <c r="G232" s="3" t="s">
        <v>406</v>
      </c>
      <c r="H232" s="3" t="s">
        <v>413</v>
      </c>
      <c r="I232" s="3">
        <f>IF(H232="","",IF(H232="DNS",0,IF(H232="DQ",0,IF(H232="DNF",1,IF(AND(ISNUMBER(H232),H232&gt;59),1,_xlfn.XLOOKUP(H232,tbl_points[Place],tbl_points[Points],""))))))</f>
        <v>0</v>
      </c>
      <c r="J232" s="3">
        <v>58</v>
      </c>
      <c r="K232" s="3">
        <f>IF(J232="","",IF(J232="DNS",0,IF(J232="DQ",0,IF(J232="DNF",1,IF(AND(ISNUMBER(J232),J232&gt;59),1,_xlfn.XLOOKUP(J232,tbl_points[Place],tbl_points[Points],""))))))</f>
        <v>2</v>
      </c>
      <c r="M232" s="3" t="str">
        <f>IF(L232="","",IF(L232="DNS",0,IF(L232="DQ",0,IF(L232="DNF",1,IF(AND(ISNUMBER(L232),L232&gt;59),1,_xlfn.XLOOKUP(L232,tbl_points[Place],tbl_points[Points],""))))))</f>
        <v/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</f>
        <v>2</v>
      </c>
    </row>
    <row r="233" spans="1:22" hidden="1" x14ac:dyDescent="0.4">
      <c r="A233" t="s">
        <v>110</v>
      </c>
      <c r="B233" t="s">
        <v>11</v>
      </c>
      <c r="C233" t="s">
        <v>1</v>
      </c>
      <c r="D233" s="3">
        <v>12018</v>
      </c>
      <c r="E233" s="3" t="s">
        <v>426</v>
      </c>
      <c r="G233" s="3" t="s">
        <v>406</v>
      </c>
      <c r="H233" s="3">
        <v>45</v>
      </c>
      <c r="I233" s="3">
        <f>IF(H233="","",IF(H233="DNS",0,IF(H233="DQ",0,IF(H233="DNF",1,IF(AND(ISNUMBER(H233),H233&gt;59),1,_xlfn.XLOOKUP(H233,tbl_points[Place],tbl_points[Points],""))))))</f>
        <v>15</v>
      </c>
      <c r="J233" s="3">
        <v>59</v>
      </c>
      <c r="K233" s="3">
        <f>IF(J233="","",IF(J233="DNS",0,IF(J233="DQ",0,IF(J233="DNF",1,IF(AND(ISNUMBER(J233),J233&gt;59),1,_xlfn.XLOOKUP(J233,tbl_points[Place],tbl_points[Points],""))))))</f>
        <v>1</v>
      </c>
      <c r="M233" s="3" t="str">
        <f>IF(L233="","",IF(L233="DNS",0,IF(L233="DQ",0,IF(L233="DNF",1,IF(AND(ISNUMBER(L233),L233&gt;59),1,_xlfn.XLOOKUP(L233,tbl_points[Place],tbl_points[Points],""))))))</f>
        <v/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3" s="3">
        <f>tbl_individual[[#This Row],[Total]]</f>
        <v>16</v>
      </c>
    </row>
    <row r="234" spans="1:22" hidden="1" x14ac:dyDescent="0.4">
      <c r="A234" t="s">
        <v>323</v>
      </c>
      <c r="B234" t="s">
        <v>27</v>
      </c>
      <c r="C234" t="s">
        <v>1</v>
      </c>
      <c r="D234" s="3">
        <v>12081</v>
      </c>
      <c r="E234" s="3" t="s">
        <v>426</v>
      </c>
      <c r="G234" s="3" t="s">
        <v>406</v>
      </c>
      <c r="H234" s="3">
        <v>40</v>
      </c>
      <c r="I234" s="3">
        <f>IF(H234="","",IF(H234="DNS",0,IF(H234="DQ",0,IF(H234="DNF",1,IF(AND(ISNUMBER(H234),H234&gt;59),1,_xlfn.XLOOKUP(H234,tbl_points[Place],tbl_points[Points],""))))))</f>
        <v>20</v>
      </c>
      <c r="J234" s="3">
        <v>60</v>
      </c>
      <c r="K234" s="3">
        <f>IF(J234="","",IF(J234="DNS",0,IF(J234="DQ",0,IF(J234="DNF",1,IF(AND(ISNUMBER(J234),J234&gt;59),1,_xlfn.XLOOKUP(J234,tbl_points[Place],tbl_points[Points],""))))))</f>
        <v>1</v>
      </c>
      <c r="M234" s="3" t="str">
        <f>IF(L234="","",IF(L234="DNS",0,IF(L234="DQ",0,IF(L234="DNF",1,IF(AND(ISNUMBER(L234),L234&gt;59),1,_xlfn.XLOOKUP(L234,tbl_points[Place],tbl_points[Points],""))))))</f>
        <v/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21</v>
      </c>
    </row>
    <row r="235" spans="1:22" hidden="1" x14ac:dyDescent="0.4">
      <c r="A235" t="s">
        <v>100</v>
      </c>
      <c r="B235" t="s">
        <v>10</v>
      </c>
      <c r="C235" t="s">
        <v>1</v>
      </c>
      <c r="D235" s="3">
        <v>12016</v>
      </c>
      <c r="E235" s="3" t="s">
        <v>426</v>
      </c>
      <c r="G235" s="3" t="s">
        <v>406</v>
      </c>
      <c r="H235" s="3" t="s">
        <v>413</v>
      </c>
      <c r="I235" s="3">
        <f>IF(H235="","",IF(H235="DNS",0,IF(H235="DQ",0,IF(H235="DNF",1,IF(AND(ISNUMBER(H235),H235&gt;59),1,_xlfn.XLOOKUP(H235,tbl_points[Place],tbl_points[Points],""))))))</f>
        <v>0</v>
      </c>
      <c r="J235" s="3">
        <v>61</v>
      </c>
      <c r="K235" s="3">
        <f>IF(J235="","",IF(J235="DNS",0,IF(J235="DQ",0,IF(J235="DNF",1,IF(AND(ISNUMBER(J235),J235&gt;59),1,_xlfn.XLOOKUP(J235,tbl_points[Place],tbl_points[Points],""))))))</f>
        <v>1</v>
      </c>
      <c r="M235" s="3" t="str">
        <f>IF(L235="","",IF(L235="DNS",0,IF(L235="DQ",0,IF(L235="DNF",1,IF(AND(ISNUMBER(L235),L235&gt;59),1,_xlfn.XLOOKUP(L235,tbl_points[Place],tbl_points[Points],""))))))</f>
        <v/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5" s="3">
        <f>tbl_individual[[#This Row],[Total]]</f>
        <v>1</v>
      </c>
    </row>
    <row r="236" spans="1:22" hidden="1" x14ac:dyDescent="0.4">
      <c r="A236" t="s">
        <v>325</v>
      </c>
      <c r="B236" t="s">
        <v>27</v>
      </c>
      <c r="C236" t="s">
        <v>1</v>
      </c>
      <c r="D236" s="3">
        <v>12083</v>
      </c>
      <c r="E236" s="3" t="s">
        <v>426</v>
      </c>
      <c r="G236" s="3" t="s">
        <v>406</v>
      </c>
      <c r="H236" s="3" t="s">
        <v>413</v>
      </c>
      <c r="I236" s="3">
        <f>IF(H236="","",IF(H236="DNS",0,IF(H236="DQ",0,IF(H236="DNF",1,IF(AND(ISNUMBER(H236),H236&gt;59),1,_xlfn.XLOOKUP(H236,tbl_points[Place],tbl_points[Points],""))))))</f>
        <v>0</v>
      </c>
      <c r="J236" s="3">
        <v>62</v>
      </c>
      <c r="K236" s="3">
        <f>IF(J236="","",IF(J236="DNS",0,IF(J236="DQ",0,IF(J236="DNF",1,IF(AND(ISNUMBER(J236),J236&gt;59),1,_xlfn.XLOOKUP(J236,tbl_points[Place],tbl_points[Points],""))))))</f>
        <v>1</v>
      </c>
      <c r="M236" s="3" t="str">
        <f>IF(L236="","",IF(L236="DNS",0,IF(L236="DQ",0,IF(L236="DNF",1,IF(AND(ISNUMBER(L236),L236&gt;59),1,_xlfn.XLOOKUP(L236,tbl_points[Place],tbl_points[Points],""))))))</f>
        <v/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</f>
        <v>1</v>
      </c>
    </row>
    <row r="237" spans="1:22" hidden="1" x14ac:dyDescent="0.4">
      <c r="A237" t="s">
        <v>419</v>
      </c>
      <c r="B237" t="s">
        <v>10</v>
      </c>
      <c r="C237" t="s">
        <v>1</v>
      </c>
      <c r="D237" s="3">
        <v>12104</v>
      </c>
      <c r="E237" s="3" t="s">
        <v>426</v>
      </c>
      <c r="G237" s="3" t="s">
        <v>406</v>
      </c>
      <c r="H237" s="3">
        <v>14</v>
      </c>
      <c r="I237" s="3">
        <f>IF(H237="","",IF(H237="DNS",0,IF(H237="DQ",0,IF(H237="DNF",1,IF(AND(ISNUMBER(H237),H237&gt;59),1,_xlfn.XLOOKUP(H237,tbl_points[Place],tbl_points[Points],""))))))</f>
        <v>47</v>
      </c>
      <c r="J237" s="3">
        <v>63</v>
      </c>
      <c r="K237" s="3">
        <f>IF(J237="","",IF(J237="DNS",0,IF(J237="DQ",0,IF(J237="DNF",1,IF(AND(ISNUMBER(J237),J237&gt;59),1,_xlfn.XLOOKUP(J237,tbl_points[Place],tbl_points[Points],""))))))</f>
        <v>1</v>
      </c>
      <c r="M237" s="3" t="str">
        <f>IF(L237="","",IF(L237="DNS",0,IF(L237="DQ",0,IF(L237="DNF",1,IF(AND(ISNUMBER(L237),L237&gt;59),1,_xlfn.XLOOKUP(L237,tbl_points[Place],tbl_points[Points],""))))))</f>
        <v/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7" s="3">
        <f>tbl_individual[[#This Row],[Total]]</f>
        <v>48</v>
      </c>
    </row>
    <row r="238" spans="1:22" hidden="1" x14ac:dyDescent="0.4">
      <c r="A238" t="s">
        <v>348</v>
      </c>
      <c r="B238" t="s">
        <v>28</v>
      </c>
      <c r="C238" t="s">
        <v>1</v>
      </c>
      <c r="D238" s="3">
        <v>12093</v>
      </c>
      <c r="E238" s="3" t="s">
        <v>426</v>
      </c>
      <c r="G238" s="3" t="s">
        <v>410</v>
      </c>
      <c r="H238" s="3" t="s">
        <v>413</v>
      </c>
      <c r="I238" s="3">
        <f>IF(H238="","",IF(H238="DNS",0,IF(H238="DQ",0,IF(H238="DNF",1,IF(AND(ISNUMBER(H238),H238&gt;59),1,_xlfn.XLOOKUP(H238,tbl_points[Place],tbl_points[Points],""))))))</f>
        <v>0</v>
      </c>
      <c r="J238" s="3">
        <v>64</v>
      </c>
      <c r="K238" s="3">
        <f>IF(J238="","",IF(J238="DNS",0,IF(J238="DQ",0,IF(J238="DNF",1,IF(AND(ISNUMBER(J238),J238&gt;59),1,_xlfn.XLOOKUP(J238,tbl_points[Place],tbl_points[Points],""))))))</f>
        <v>1</v>
      </c>
      <c r="M238" s="3" t="str">
        <f>IF(L238="","",IF(L238="DNS",0,IF(L238="DQ",0,IF(L238="DNF",1,IF(AND(ISNUMBER(L238),L238&gt;59),1,_xlfn.XLOOKUP(L238,tbl_points[Place],tbl_points[Points],""))))))</f>
        <v/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1</v>
      </c>
    </row>
    <row r="239" spans="1:22" hidden="1" x14ac:dyDescent="0.4">
      <c r="A239" t="s">
        <v>98</v>
      </c>
      <c r="B239" t="s">
        <v>10</v>
      </c>
      <c r="C239" t="s">
        <v>1</v>
      </c>
      <c r="D239" s="3">
        <v>12014</v>
      </c>
      <c r="E239" s="3" t="s">
        <v>426</v>
      </c>
      <c r="G239" s="3" t="s">
        <v>406</v>
      </c>
      <c r="H239" s="3" t="s">
        <v>413</v>
      </c>
      <c r="I239" s="3">
        <f>IF(H239="","",IF(H239="DNS",0,IF(H239="DQ",0,IF(H239="DNF",1,IF(AND(ISNUMBER(H239),H239&gt;59),1,_xlfn.XLOOKUP(H239,tbl_points[Place],tbl_points[Points],""))))))</f>
        <v>0</v>
      </c>
      <c r="J239" s="3">
        <v>65</v>
      </c>
      <c r="K239" s="3">
        <f>IF(J239="","",IF(J239="DNS",0,IF(J239="DQ",0,IF(J239="DNF",1,IF(AND(ISNUMBER(J239),J239&gt;59),1,_xlfn.XLOOKUP(J239,tbl_points[Place],tbl_points[Points],""))))))</f>
        <v>1</v>
      </c>
      <c r="M239" s="3" t="str">
        <f>IF(L239="","",IF(L239="DNS",0,IF(L239="DQ",0,IF(L239="DNF",1,IF(AND(ISNUMBER(L239),L239&gt;59),1,_xlfn.XLOOKUP(L239,tbl_points[Place],tbl_points[Points],""))))))</f>
        <v/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1</v>
      </c>
    </row>
    <row r="240" spans="1:22" hidden="1" x14ac:dyDescent="0.4">
      <c r="A240" t="s">
        <v>266</v>
      </c>
      <c r="B240" t="s">
        <v>23</v>
      </c>
      <c r="C240" t="s">
        <v>2</v>
      </c>
      <c r="D240" s="3">
        <v>1241</v>
      </c>
      <c r="E240" s="3" t="s">
        <v>426</v>
      </c>
      <c r="G240" s="3" t="s">
        <v>410</v>
      </c>
      <c r="H240" s="3">
        <v>8</v>
      </c>
      <c r="I240" s="3">
        <f>IF(H240="","",IF(H240="DNS",0,IF(H240="DQ",0,IF(H240="DNF",1,IF(AND(ISNUMBER(H240),H240&gt;59),1,_xlfn.XLOOKUP(H240,tbl_points[Place],tbl_points[Points],""))))))</f>
        <v>65</v>
      </c>
      <c r="J240" s="3">
        <v>11</v>
      </c>
      <c r="K240" s="3">
        <f>IF(J240="","",IF(J240="DNS",0,IF(J240="DQ",0,IF(J240="DNF",1,IF(AND(ISNUMBER(J240),J240&gt;59),1,_xlfn.XLOOKUP(J240,tbl_points[Place],tbl_points[Points],""))))))</f>
        <v>53</v>
      </c>
      <c r="M240" s="3" t="str">
        <f>IF(L240="","",IF(L240="DNS",0,IF(L240="DQ",0,IF(L240="DNF",1,IF(AND(ISNUMBER(L240),L240&gt;59),1,_xlfn.XLOOKUP(L240,tbl_points[Place],tbl_points[Points],""))))))</f>
        <v/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40" s="3">
        <f>tbl_individual[[#This Row],[Total]]</f>
        <v>118</v>
      </c>
    </row>
    <row r="241" spans="1:22" hidden="1" x14ac:dyDescent="0.4">
      <c r="A241" t="s">
        <v>375</v>
      </c>
      <c r="B241" t="s">
        <v>30</v>
      </c>
      <c r="C241" t="s">
        <v>2</v>
      </c>
      <c r="D241" s="3">
        <v>1245</v>
      </c>
      <c r="E241" s="3" t="s">
        <v>426</v>
      </c>
      <c r="G241" s="3" t="s">
        <v>406</v>
      </c>
      <c r="H241" s="3">
        <v>5</v>
      </c>
      <c r="I241" s="3">
        <f>IF(H241="","",IF(H241="DNS",0,IF(H241="DQ",0,IF(H241="DNF",1,IF(AND(ISNUMBER(H241),H241&gt;59),1,_xlfn.XLOOKUP(H241,tbl_points[Place],tbl_points[Points],""))))))</f>
        <v>80</v>
      </c>
      <c r="J241" s="3">
        <v>12</v>
      </c>
      <c r="K241" s="3">
        <f>IF(J241="","",IF(J241="DNS",0,IF(J241="DQ",0,IF(J241="DNF",1,IF(AND(ISNUMBER(J241),J241&gt;59),1,_xlfn.XLOOKUP(J241,tbl_points[Place],tbl_points[Points],""))))))</f>
        <v>51</v>
      </c>
      <c r="M241" s="3" t="str">
        <f>IF(L241="","",IF(L241="DNS",0,IF(L241="DQ",0,IF(L241="DNF",1,IF(AND(ISNUMBER(L241),L241&gt;59),1,_xlfn.XLOOKUP(L241,tbl_points[Place],tbl_points[Points],""))))))</f>
        <v/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41" s="3">
        <f>tbl_individual[[#This Row],[Total]]</f>
        <v>131</v>
      </c>
    </row>
    <row r="242" spans="1:22" hidden="1" x14ac:dyDescent="0.4">
      <c r="A242" t="s">
        <v>377</v>
      </c>
      <c r="B242" t="s">
        <v>30</v>
      </c>
      <c r="C242" t="s">
        <v>2</v>
      </c>
      <c r="D242" s="3">
        <v>1247</v>
      </c>
      <c r="E242" s="3" t="s">
        <v>426</v>
      </c>
      <c r="G242" s="3" t="s">
        <v>406</v>
      </c>
      <c r="H242" s="3" t="s">
        <v>413</v>
      </c>
      <c r="I242" s="3">
        <f>IF(H242="","",IF(H242="DNS",0,IF(H242="DQ",0,IF(H242="DNF",1,IF(AND(ISNUMBER(H242),H242&gt;59),1,_xlfn.XLOOKUP(H242,tbl_points[Place],tbl_points[Points],""))))))</f>
        <v>0</v>
      </c>
      <c r="J242" s="3">
        <v>13</v>
      </c>
      <c r="K242" s="3">
        <f>IF(J242="","",IF(J242="DNS",0,IF(J242="DQ",0,IF(J242="DNF",1,IF(AND(ISNUMBER(J242),J242&gt;59),1,_xlfn.XLOOKUP(J242,tbl_points[Place],tbl_points[Points],""))))))</f>
        <v>49</v>
      </c>
      <c r="M242" s="3" t="str">
        <f>IF(L242="","",IF(L242="DNS",0,IF(L242="DQ",0,IF(L242="DNF",1,IF(AND(ISNUMBER(L242),L242&gt;59),1,_xlfn.XLOOKUP(L242,tbl_points[Place],tbl_points[Points],""))))))</f>
        <v/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</f>
        <v>49</v>
      </c>
    </row>
    <row r="243" spans="1:22" hidden="1" x14ac:dyDescent="0.4">
      <c r="A243" t="s">
        <v>264</v>
      </c>
      <c r="B243" t="s">
        <v>23</v>
      </c>
      <c r="C243" t="s">
        <v>2</v>
      </c>
      <c r="D243" s="3">
        <v>1239</v>
      </c>
      <c r="E243" s="3" t="s">
        <v>426</v>
      </c>
      <c r="G243" s="3" t="s">
        <v>410</v>
      </c>
      <c r="H243" s="3" t="s">
        <v>413</v>
      </c>
      <c r="I243" s="3">
        <f>IF(H243="","",IF(H243="DNS",0,IF(H243="DQ",0,IF(H243="DNF",1,IF(AND(ISNUMBER(H243),H243&gt;59),1,_xlfn.XLOOKUP(H243,tbl_points[Place],tbl_points[Points],""))))))</f>
        <v>0</v>
      </c>
      <c r="J243" s="3" t="s">
        <v>413</v>
      </c>
      <c r="K243" s="3">
        <f>IF(J243="","",IF(J243="DNS",0,IF(J243="DQ",0,IF(J243="DNF",1,IF(AND(ISNUMBER(J243),J243&gt;59),1,_xlfn.XLOOKUP(J243,tbl_points[Place],tbl_points[Points],""))))))</f>
        <v>0</v>
      </c>
      <c r="M243" s="3" t="str">
        <f>IF(L243="","",IF(L243="DNS",0,IF(L243="DQ",0,IF(L243="DNF",1,IF(AND(ISNUMBER(L243),L243&gt;59),1,_xlfn.XLOOKUP(L243,tbl_points[Place],tbl_points[Points],""))))))</f>
        <v/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3" s="3">
        <f>tbl_individual[[#This Row],[Total]]</f>
        <v>0</v>
      </c>
    </row>
    <row r="244" spans="1:22" x14ac:dyDescent="0.4">
      <c r="A244" t="s">
        <v>113</v>
      </c>
      <c r="B244" t="s">
        <v>12</v>
      </c>
      <c r="C244" t="s">
        <v>7</v>
      </c>
      <c r="D244" s="3">
        <v>8192</v>
      </c>
      <c r="E244" s="3" t="s">
        <v>426</v>
      </c>
      <c r="G244" s="3" t="s">
        <v>406</v>
      </c>
      <c r="H244" s="3">
        <v>29</v>
      </c>
      <c r="I244" s="3">
        <f>IF(H244="","",IF(H244="DNS",0,IF(H244="DQ",0,IF(H244="DNF",1,IF(AND(ISNUMBER(H244),H244&gt;59),1,_xlfn.XLOOKUP(H244,tbl_points[Place],tbl_points[Points],""))))))</f>
        <v>31</v>
      </c>
      <c r="J244" s="3">
        <v>43</v>
      </c>
      <c r="K244" s="3">
        <f>IF(J244="","",IF(J244="DNS",0,IF(J244="DQ",0,IF(J244="DNF",1,IF(AND(ISNUMBER(J244),J244&gt;59),1,_xlfn.XLOOKUP(J244,tbl_points[Place],tbl_points[Points],""))))))</f>
        <v>17</v>
      </c>
      <c r="M244" s="3" t="str">
        <f>IF(L244="","",IF(L244="DNS",0,IF(L244="DQ",0,IF(L244="DNF",1,IF(AND(ISNUMBER(L244),L244&gt;59),1,_xlfn.XLOOKUP(L244,tbl_points[Place],tbl_points[Points],""))))))</f>
        <v/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44" s="3">
        <f>tbl_individual[[#This Row],[Total]]</f>
        <v>48</v>
      </c>
    </row>
    <row r="245" spans="1:22" x14ac:dyDescent="0.4">
      <c r="A245" t="s">
        <v>301</v>
      </c>
      <c r="B245" t="s">
        <v>26</v>
      </c>
      <c r="C245" t="s">
        <v>7</v>
      </c>
      <c r="D245" s="3">
        <v>820</v>
      </c>
      <c r="E245" s="3" t="s">
        <v>426</v>
      </c>
      <c r="G245" s="3" t="s">
        <v>406</v>
      </c>
      <c r="H245" s="3">
        <v>20</v>
      </c>
      <c r="I245" s="3">
        <f>IF(H245="","",IF(H245="DNS",0,IF(H245="DQ",0,IF(H245="DNF",1,IF(AND(ISNUMBER(H245),H245&gt;59),1,_xlfn.XLOOKUP(H245,tbl_points[Place],tbl_points[Points],""))))))</f>
        <v>40</v>
      </c>
      <c r="J245" s="3">
        <v>44</v>
      </c>
      <c r="K245" s="3">
        <f>IF(J245="","",IF(J245="DNS",0,IF(J245="DQ",0,IF(J245="DNF",1,IF(AND(ISNUMBER(J245),J245&gt;59),1,_xlfn.XLOOKUP(J245,tbl_points[Place],tbl_points[Points],""))))))</f>
        <v>16</v>
      </c>
      <c r="M245" s="3" t="str">
        <f>IF(L245="","",IF(L245="DNS",0,IF(L245="DQ",0,IF(L245="DNF",1,IF(AND(ISNUMBER(L245),L245&gt;59),1,_xlfn.XLOOKUP(L245,tbl_points[Place],tbl_points[Points],""))))))</f>
        <v/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45" s="3">
        <f>tbl_individual[[#This Row],[Total]]</f>
        <v>56</v>
      </c>
    </row>
    <row r="246" spans="1:22" hidden="1" x14ac:dyDescent="0.4">
      <c r="A246" t="s">
        <v>89</v>
      </c>
      <c r="B246" t="s">
        <v>10</v>
      </c>
      <c r="C246" t="s">
        <v>3</v>
      </c>
      <c r="D246" s="3">
        <v>10119</v>
      </c>
      <c r="E246" s="3" t="s">
        <v>426</v>
      </c>
      <c r="G246" s="3" t="s">
        <v>406</v>
      </c>
      <c r="H246" s="3">
        <v>17</v>
      </c>
      <c r="I246" s="3">
        <f>IF(H246="","",IF(H246="DNS",0,IF(H246="DQ",0,IF(H246="DNF",1,IF(AND(ISNUMBER(H246),H246&gt;59),1,_xlfn.XLOOKUP(H246,tbl_points[Place],tbl_points[Points],""))))))</f>
        <v>43</v>
      </c>
      <c r="J246" s="3">
        <v>15</v>
      </c>
      <c r="K246" s="3">
        <f>IF(J246="","",IF(J246="DNS",0,IF(J246="DQ",0,IF(J246="DNF",1,IF(AND(ISNUMBER(J246),J246&gt;59),1,_xlfn.XLOOKUP(J246,tbl_points[Place],tbl_points[Points],""))))))</f>
        <v>45</v>
      </c>
      <c r="M246" s="3" t="str">
        <f>IF(L246="","",IF(L246="DNS",0,IF(L246="DQ",0,IF(L246="DNF",1,IF(AND(ISNUMBER(L246),L246&gt;59),1,_xlfn.XLOOKUP(L246,tbl_points[Place],tbl_points[Points],""))))))</f>
        <v/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46" s="3">
        <f>tbl_individual[[#This Row],[Total]]</f>
        <v>88</v>
      </c>
    </row>
    <row r="247" spans="1:22" hidden="1" x14ac:dyDescent="0.4">
      <c r="A247" t="s">
        <v>161</v>
      </c>
      <c r="B247" t="s">
        <v>16</v>
      </c>
      <c r="C247" t="s">
        <v>1</v>
      </c>
      <c r="D247" s="3">
        <v>12035</v>
      </c>
      <c r="E247" s="3" t="s">
        <v>426</v>
      </c>
      <c r="G247" s="3" t="s">
        <v>406</v>
      </c>
      <c r="H247" s="3" t="s">
        <v>413</v>
      </c>
      <c r="I247" s="3">
        <f>IF(H247="","",IF(H247="DNS",0,IF(H247="DQ",0,IF(H247="DNF",1,IF(AND(ISNUMBER(H247),H247&gt;59),1,_xlfn.XLOOKUP(H247,tbl_points[Place],tbl_points[Points],""))))))</f>
        <v>0</v>
      </c>
      <c r="J247" s="3">
        <v>66</v>
      </c>
      <c r="K247" s="3">
        <f>IF(J247="","",IF(J247="DNS",0,IF(J247="DQ",0,IF(J247="DNF",1,IF(AND(ISNUMBER(J247),J247&gt;59),1,_xlfn.XLOOKUP(J247,tbl_points[Place],tbl_points[Points],""))))))</f>
        <v>1</v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1</v>
      </c>
    </row>
    <row r="248" spans="1:22" hidden="1" x14ac:dyDescent="0.4">
      <c r="A248" t="s">
        <v>99</v>
      </c>
      <c r="B248" t="s">
        <v>10</v>
      </c>
      <c r="C248" t="s">
        <v>1</v>
      </c>
      <c r="D248" s="3">
        <v>12015</v>
      </c>
      <c r="E248" s="3" t="s">
        <v>426</v>
      </c>
      <c r="G248" s="3" t="s">
        <v>406</v>
      </c>
      <c r="H248" s="3">
        <v>44</v>
      </c>
      <c r="I248" s="3">
        <f>IF(H248="","",IF(H248="DNS",0,IF(H248="DQ",0,IF(H248="DNF",1,IF(AND(ISNUMBER(H248),H248&gt;59),1,_xlfn.XLOOKUP(H248,tbl_points[Place],tbl_points[Points],""))))))</f>
        <v>16</v>
      </c>
      <c r="J248" s="3">
        <v>67</v>
      </c>
      <c r="K248" s="3">
        <f>IF(J248="","",IF(J248="DNS",0,IF(J248="DQ",0,IF(J248="DNF",1,IF(AND(ISNUMBER(J248),J248&gt;59),1,_xlfn.XLOOKUP(J248,tbl_points[Place],tbl_points[Points],""))))))</f>
        <v>1</v>
      </c>
      <c r="M248" s="3" t="str">
        <f>IF(L248="","",IF(L248="DNS",0,IF(L248="DQ",0,IF(L248="DNF",1,IF(AND(ISNUMBER(L248),L248&gt;59),1,_xlfn.XLOOKUP(L248,tbl_points[Place],tbl_points[Points],""))))))</f>
        <v/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8" s="3">
        <f>tbl_individual[[#This Row],[Total]]</f>
        <v>17</v>
      </c>
    </row>
    <row r="249" spans="1:22" hidden="1" x14ac:dyDescent="0.4">
      <c r="A249" t="s">
        <v>119</v>
      </c>
      <c r="B249" t="s">
        <v>12</v>
      </c>
      <c r="C249" t="s">
        <v>1</v>
      </c>
      <c r="D249" s="3">
        <v>12023</v>
      </c>
      <c r="E249" s="3" t="s">
        <v>426</v>
      </c>
      <c r="G249" s="3" t="s">
        <v>406</v>
      </c>
      <c r="H249" s="3">
        <v>47</v>
      </c>
      <c r="I249" s="3">
        <f>IF(H249="","",IF(H249="DNS",0,IF(H249="DQ",0,IF(H249="DNF",1,IF(AND(ISNUMBER(H249),H249&gt;59),1,_xlfn.XLOOKUP(H249,tbl_points[Place],tbl_points[Points],""))))))</f>
        <v>13</v>
      </c>
      <c r="J249" s="3">
        <v>68</v>
      </c>
      <c r="K249" s="3">
        <f>IF(J249="","",IF(J249="DNS",0,IF(J249="DQ",0,IF(J249="DNF",1,IF(AND(ISNUMBER(J249),J249&gt;59),1,_xlfn.XLOOKUP(J249,tbl_points[Place],tbl_points[Points],""))))))</f>
        <v>1</v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9" s="3">
        <f>tbl_individual[[#This Row],[Total]]</f>
        <v>14</v>
      </c>
    </row>
    <row r="250" spans="1:22" hidden="1" x14ac:dyDescent="0.4">
      <c r="A250" t="s">
        <v>285</v>
      </c>
      <c r="B250" t="s">
        <v>25</v>
      </c>
      <c r="C250" t="s">
        <v>8</v>
      </c>
      <c r="D250" s="3">
        <v>865</v>
      </c>
      <c r="E250" s="3" t="s">
        <v>426</v>
      </c>
      <c r="G250" s="3" t="s">
        <v>410</v>
      </c>
      <c r="H250" s="3">
        <v>1</v>
      </c>
      <c r="I250" s="3">
        <f>IF(H250="","",IF(H250="DNS",0,IF(H250="DQ",0,IF(H250="DNF",1,IF(AND(ISNUMBER(H250),H250&gt;59),1,_xlfn.XLOOKUP(H250,tbl_points[Place],tbl_points[Points],""))))))</f>
        <v>100</v>
      </c>
      <c r="J250" s="3" t="s">
        <v>413</v>
      </c>
      <c r="K250" s="3">
        <f>IF(J250="","",IF(J250="DNS",0,IF(J250="DQ",0,IF(J250="DNF",1,IF(AND(ISNUMBER(J250),J250&gt;59),1,_xlfn.XLOOKUP(J250,tbl_points[Place],tbl_points[Points],""))))))</f>
        <v>0</v>
      </c>
      <c r="M250" s="3" t="str">
        <f>IF(L250="","",IF(L250="DNS",0,IF(L250="DQ",0,IF(L250="DNF",1,IF(AND(ISNUMBER(L250),L250&gt;59),1,_xlfn.XLOOKUP(L250,tbl_points[Place],tbl_points[Points],""))))))</f>
        <v/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100</v>
      </c>
    </row>
    <row r="251" spans="1:22" hidden="1" x14ac:dyDescent="0.4">
      <c r="A251" t="s">
        <v>261</v>
      </c>
      <c r="B251" t="s">
        <v>23</v>
      </c>
      <c r="C251" t="s">
        <v>3</v>
      </c>
      <c r="D251" s="3">
        <v>10184</v>
      </c>
      <c r="E251" s="3" t="s">
        <v>426</v>
      </c>
      <c r="G251" s="3" t="s">
        <v>406</v>
      </c>
      <c r="H251" s="3">
        <v>37</v>
      </c>
      <c r="I251" s="3">
        <f>IF(H251="","",IF(H251="DNS",0,IF(H251="DQ",0,IF(H251="DNF",1,IF(AND(ISNUMBER(H251),H251&gt;59),1,_xlfn.XLOOKUP(H251,tbl_points[Place],tbl_points[Points],""))))))</f>
        <v>23</v>
      </c>
      <c r="J251" s="3">
        <v>14</v>
      </c>
      <c r="K251" s="3">
        <f>IF(J251="","",IF(J251="DNS",0,IF(J251="DQ",0,IF(J251="DNF",1,IF(AND(ISNUMBER(J251),J251&gt;59),1,_xlfn.XLOOKUP(J251,tbl_points[Place],tbl_points[Points],""))))))</f>
        <v>47</v>
      </c>
      <c r="M251" s="3" t="str">
        <f>IF(L251="","",IF(L251="DNS",0,IF(L251="DQ",0,IF(L251="DNF",1,IF(AND(ISNUMBER(L251),L251&gt;59),1,_xlfn.XLOOKUP(L251,tbl_points[Place],tbl_points[Points],""))))))</f>
        <v/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51" s="3">
        <f>tbl_individual[[#This Row],[Total]]</f>
        <v>70</v>
      </c>
    </row>
    <row r="252" spans="1:22" hidden="1" x14ac:dyDescent="0.4">
      <c r="A252" t="s">
        <v>405</v>
      </c>
      <c r="B252" t="s">
        <v>10</v>
      </c>
      <c r="C252" t="s">
        <v>3</v>
      </c>
      <c r="D252" s="3">
        <v>10205</v>
      </c>
      <c r="E252" s="3" t="s">
        <v>426</v>
      </c>
      <c r="G252" s="3" t="s">
        <v>406</v>
      </c>
      <c r="H252" s="3">
        <v>23</v>
      </c>
      <c r="I252" s="3">
        <f>IF(H252="","",IF(H252="DNS",0,IF(H252="DQ",0,IF(H252="DNF",1,IF(AND(ISNUMBER(H252),H252&gt;59),1,_xlfn.XLOOKUP(H252,tbl_points[Place],tbl_points[Points],""))))))</f>
        <v>37</v>
      </c>
      <c r="J252" s="3">
        <v>13</v>
      </c>
      <c r="K252" s="3">
        <f>IF(J252="","",IF(J252="DNS",0,IF(J252="DQ",0,IF(J252="DNF",1,IF(AND(ISNUMBER(J252),J252&gt;59),1,_xlfn.XLOOKUP(J252,tbl_points[Place],tbl_points[Points],""))))))</f>
        <v>49</v>
      </c>
      <c r="M252" s="3" t="str">
        <f>IF(L252="","",IF(L252="DNS",0,IF(L252="DQ",0,IF(L252="DNF",1,IF(AND(ISNUMBER(L252),L252&gt;59),1,_xlfn.XLOOKUP(L252,tbl_points[Place],tbl_points[Points],""))))))</f>
        <v/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52" s="3">
        <f>tbl_individual[[#This Row],[Total]]</f>
        <v>86</v>
      </c>
    </row>
    <row r="253" spans="1:22" hidden="1" x14ac:dyDescent="0.4">
      <c r="A253" t="s">
        <v>215</v>
      </c>
      <c r="B253" t="s">
        <v>21</v>
      </c>
      <c r="C253" t="s">
        <v>3</v>
      </c>
      <c r="D253" s="3">
        <v>10173</v>
      </c>
      <c r="E253" s="3" t="s">
        <v>426</v>
      </c>
      <c r="G253" s="3" t="s">
        <v>406</v>
      </c>
      <c r="H253" s="3">
        <v>10</v>
      </c>
      <c r="I253" s="3">
        <f>IF(H253="","",IF(H253="DNS",0,IF(H253="DQ",0,IF(H253="DNF",1,IF(AND(ISNUMBER(H253),H253&gt;59),1,_xlfn.XLOOKUP(H253,tbl_points[Place],tbl_points[Points],""))))))</f>
        <v>55</v>
      </c>
      <c r="J253" s="3">
        <v>12</v>
      </c>
      <c r="K253" s="3">
        <f>IF(J253="","",IF(J253="DNS",0,IF(J253="DQ",0,IF(J253="DNF",1,IF(AND(ISNUMBER(J253),J253&gt;59),1,_xlfn.XLOOKUP(J253,tbl_points[Place],tbl_points[Points],""))))))</f>
        <v>51</v>
      </c>
      <c r="M253" s="3" t="str">
        <f>IF(L253="","",IF(L253="DNS",0,IF(L253="DQ",0,IF(L253="DNF",1,IF(AND(ISNUMBER(L253),L253&gt;59),1,_xlfn.XLOOKUP(L253,tbl_points[Place],tbl_points[Points],""))))))</f>
        <v/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53" s="3">
        <f>tbl_individual[[#This Row],[Total]]</f>
        <v>106</v>
      </c>
    </row>
    <row r="254" spans="1:22" hidden="1" x14ac:dyDescent="0.4">
      <c r="A254" t="s">
        <v>257</v>
      </c>
      <c r="B254" t="s">
        <v>23</v>
      </c>
      <c r="C254" t="s">
        <v>4</v>
      </c>
      <c r="D254" s="3">
        <v>1039</v>
      </c>
      <c r="E254" s="3" t="s">
        <v>426</v>
      </c>
      <c r="G254" s="3" t="s">
        <v>434</v>
      </c>
      <c r="H254" s="3">
        <v>4</v>
      </c>
      <c r="I254" s="3">
        <f>IF(H254="","",IF(H254="DNS",0,IF(H254="DQ",0,IF(H254="DNF",1,IF(AND(ISNUMBER(H254),H254&gt;59),1,_xlfn.XLOOKUP(H254,tbl_points[Place],tbl_points[Points],""))))))</f>
        <v>85</v>
      </c>
      <c r="J254" s="3" t="s">
        <v>413</v>
      </c>
      <c r="K254" s="3">
        <f>IF(J254="","",IF(J254="DNS",0,IF(J254="DQ",0,IF(J254="DNF",1,IF(AND(ISNUMBER(J254),J254&gt;59),1,_xlfn.XLOOKUP(J254,tbl_points[Place],tbl_points[Points],""))))))</f>
        <v>0</v>
      </c>
      <c r="M254" s="3" t="str">
        <f>IF(L254="","",IF(L254="DNS",0,IF(L254="DQ",0,IF(L254="DNF",1,IF(AND(ISNUMBER(L254),L254&gt;59),1,_xlfn.XLOOKUP(L254,tbl_points[Place],tbl_points[Points],""))))))</f>
        <v/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85</v>
      </c>
    </row>
    <row r="255" spans="1:22" hidden="1" x14ac:dyDescent="0.4">
      <c r="A255" t="s">
        <v>287</v>
      </c>
      <c r="B255" t="s">
        <v>25</v>
      </c>
      <c r="C255" t="s">
        <v>5</v>
      </c>
      <c r="D255" s="3">
        <v>930</v>
      </c>
      <c r="E255" s="3" t="s">
        <v>426</v>
      </c>
      <c r="G255" s="3" t="s">
        <v>406</v>
      </c>
      <c r="H255" s="3">
        <v>38</v>
      </c>
      <c r="I255" s="3">
        <f>IF(H255="","",IF(H255="DNS",0,IF(H255="DQ",0,IF(H255="DNF",1,IF(AND(ISNUMBER(H255),H255&gt;59),1,_xlfn.XLOOKUP(H255,tbl_points[Place],tbl_points[Points],""))))))</f>
        <v>22</v>
      </c>
      <c r="J255" s="3">
        <v>37</v>
      </c>
      <c r="K255" s="3">
        <f>IF(J255="","",IF(J255="DNS",0,IF(J255="DQ",0,IF(J255="DNF",1,IF(AND(ISNUMBER(J255),J255&gt;59),1,_xlfn.XLOOKUP(J255,tbl_points[Place],tbl_points[Points],""))))))</f>
        <v>23</v>
      </c>
      <c r="M255" s="3" t="str">
        <f>IF(L255="","",IF(L255="DNS",0,IF(L255="DQ",0,IF(L255="DNF",1,IF(AND(ISNUMBER(L255),L255&gt;59),1,_xlfn.XLOOKUP(L255,tbl_points[Place],tbl_points[Points],""))))))</f>
        <v/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55" s="3">
        <f>tbl_individual[[#This Row],[Total]]</f>
        <v>45</v>
      </c>
    </row>
    <row r="256" spans="1:22" hidden="1" x14ac:dyDescent="0.4">
      <c r="A256" t="s">
        <v>317</v>
      </c>
      <c r="B256" t="s">
        <v>27</v>
      </c>
      <c r="C256" t="s">
        <v>5</v>
      </c>
      <c r="D256" s="3">
        <v>942</v>
      </c>
      <c r="E256" s="3" t="s">
        <v>426</v>
      </c>
      <c r="G256" s="3" t="s">
        <v>406</v>
      </c>
      <c r="H256" s="3">
        <v>21</v>
      </c>
      <c r="I256" s="3">
        <f>IF(H256="","",IF(H256="DNS",0,IF(H256="DQ",0,IF(H256="DNF",1,IF(AND(ISNUMBER(H256),H256&gt;59),1,_xlfn.XLOOKUP(H256,tbl_points[Place],tbl_points[Points],""))))))</f>
        <v>39</v>
      </c>
      <c r="J256" s="3">
        <v>38</v>
      </c>
      <c r="K256" s="3">
        <f>IF(J256="","",IF(J256="DNS",0,IF(J256="DQ",0,IF(J256="DNF",1,IF(AND(ISNUMBER(J256),J256&gt;59),1,_xlfn.XLOOKUP(J256,tbl_points[Place],tbl_points[Points],""))))))</f>
        <v>22</v>
      </c>
      <c r="M256" s="3" t="str">
        <f>IF(L256="","",IF(L256="DNS",0,IF(L256="DQ",0,IF(L256="DNF",1,IF(AND(ISNUMBER(L256),L256&gt;59),1,_xlfn.XLOOKUP(L256,tbl_points[Place],tbl_points[Points],""))))))</f>
        <v/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56" s="3">
        <f>tbl_individual[[#This Row],[Total]]</f>
        <v>61</v>
      </c>
    </row>
    <row r="257" spans="1:22" hidden="1" x14ac:dyDescent="0.4">
      <c r="A257" t="s">
        <v>123</v>
      </c>
      <c r="B257" t="s">
        <v>13</v>
      </c>
      <c r="C257" t="s">
        <v>5</v>
      </c>
      <c r="D257" s="3">
        <v>912</v>
      </c>
      <c r="E257" s="3" t="s">
        <v>426</v>
      </c>
      <c r="G257" s="3" t="s">
        <v>406</v>
      </c>
      <c r="H257" s="3">
        <v>31</v>
      </c>
      <c r="I257" s="3">
        <f>IF(H257="","",IF(H257="DNS",0,IF(H257="DQ",0,IF(H257="DNF",1,IF(AND(ISNUMBER(H257),H257&gt;59),1,_xlfn.XLOOKUP(H257,tbl_points[Place],tbl_points[Points],""))))))</f>
        <v>29</v>
      </c>
      <c r="J257" s="3">
        <v>39</v>
      </c>
      <c r="K257" s="3">
        <f>IF(J257="","",IF(J257="DNS",0,IF(J257="DQ",0,IF(J257="DNF",1,IF(AND(ISNUMBER(J257),J257&gt;59),1,_xlfn.XLOOKUP(J257,tbl_points[Place],tbl_points[Points],""))))))</f>
        <v>21</v>
      </c>
      <c r="M257" s="3" t="str">
        <f>IF(L257="","",IF(L257="DNS",0,IF(L257="DQ",0,IF(L257="DNF",1,IF(AND(ISNUMBER(L257),L257&gt;59),1,_xlfn.XLOOKUP(L257,tbl_points[Place],tbl_points[Points],""))))))</f>
        <v/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57" s="3">
        <f>tbl_individual[[#This Row],[Total]]</f>
        <v>50</v>
      </c>
    </row>
    <row r="258" spans="1:22" hidden="1" x14ac:dyDescent="0.4">
      <c r="A258" t="s">
        <v>71</v>
      </c>
      <c r="B258" t="s">
        <v>10</v>
      </c>
      <c r="C258" t="s">
        <v>5</v>
      </c>
      <c r="D258" s="3">
        <v>904</v>
      </c>
      <c r="E258" s="3" t="s">
        <v>426</v>
      </c>
      <c r="G258" s="3" t="s">
        <v>410</v>
      </c>
      <c r="H258" s="3">
        <v>16</v>
      </c>
      <c r="I258" s="3">
        <f>IF(H258="","",IF(H258="DNS",0,IF(H258="DQ",0,IF(H258="DNF",1,IF(AND(ISNUMBER(H258),H258&gt;59),1,_xlfn.XLOOKUP(H258,tbl_points[Place],tbl_points[Points],""))))))</f>
        <v>44</v>
      </c>
      <c r="J258" s="3">
        <v>40</v>
      </c>
      <c r="K258" s="3">
        <f>IF(J258="","",IF(J258="DNS",0,IF(J258="DQ",0,IF(J258="DNF",1,IF(AND(ISNUMBER(J258),J258&gt;59),1,_xlfn.XLOOKUP(J258,tbl_points[Place],tbl_points[Points],""))))))</f>
        <v>20</v>
      </c>
      <c r="M258" s="3" t="str">
        <f>IF(L258="","",IF(L258="DNS",0,IF(L258="DQ",0,IF(L258="DNF",1,IF(AND(ISNUMBER(L258),L258&gt;59),1,_xlfn.XLOOKUP(L258,tbl_points[Place],tbl_points[Points],""))))))</f>
        <v/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58" s="3">
        <f>tbl_individual[[#This Row],[Total]]</f>
        <v>64</v>
      </c>
    </row>
    <row r="259" spans="1:22" hidden="1" x14ac:dyDescent="0.4">
      <c r="A259" t="s">
        <v>67</v>
      </c>
      <c r="B259" t="s">
        <v>10</v>
      </c>
      <c r="C259" t="s">
        <v>5</v>
      </c>
      <c r="D259" s="3">
        <v>900</v>
      </c>
      <c r="E259" s="3" t="s">
        <v>426</v>
      </c>
      <c r="G259" s="3" t="s">
        <v>406</v>
      </c>
      <c r="H259" s="3" t="s">
        <v>413</v>
      </c>
      <c r="I259" s="3">
        <f>IF(H259="","",IF(H259="DNS",0,IF(H259="DQ",0,IF(H259="DNF",1,IF(AND(ISNUMBER(H259),H259&gt;59),1,_xlfn.XLOOKUP(H259,tbl_points[Place],tbl_points[Points],""))))))</f>
        <v>0</v>
      </c>
      <c r="J259" s="3">
        <v>41</v>
      </c>
      <c r="K259" s="3">
        <f>IF(J259="","",IF(J259="DNS",0,IF(J259="DQ",0,IF(J259="DNF",1,IF(AND(ISNUMBER(J259),J259&gt;59),1,_xlfn.XLOOKUP(J259,tbl_points[Place],tbl_points[Points],""))))))</f>
        <v>19</v>
      </c>
      <c r="M259" s="3" t="str">
        <f>IF(L259="","",IF(L259="DNS",0,IF(L259="DQ",0,IF(L259="DNF",1,IF(AND(ISNUMBER(L259),L259&gt;59),1,_xlfn.XLOOKUP(L259,tbl_points[Place],tbl_points[Points],""))))))</f>
        <v/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9" s="3">
        <f>tbl_individual[[#This Row],[Total]]</f>
        <v>19</v>
      </c>
    </row>
    <row r="260" spans="1:22" hidden="1" x14ac:dyDescent="0.4">
      <c r="A260" t="s">
        <v>424</v>
      </c>
      <c r="B260" t="s">
        <v>29</v>
      </c>
      <c r="C260" t="s">
        <v>5</v>
      </c>
      <c r="D260" s="3">
        <v>962</v>
      </c>
      <c r="E260" s="3" t="s">
        <v>426</v>
      </c>
      <c r="F260" s="17" t="s">
        <v>443</v>
      </c>
      <c r="G260" s="3" t="s">
        <v>406</v>
      </c>
      <c r="H260" s="3" t="s">
        <v>413</v>
      </c>
      <c r="I260" s="3">
        <f>IF(H260="","",IF(H260="DNS",0,IF(H260="DQ",0,IF(H260="DNF",1,IF(AND(ISNUMBER(H260),H260&gt;59),1,_xlfn.XLOOKUP(H260,tbl_points[Place],tbl_points[Points],""))))))</f>
        <v>0</v>
      </c>
      <c r="J260" s="3">
        <v>42</v>
      </c>
      <c r="K260" s="3">
        <f>IF(J260="","",IF(J260="DNS",0,IF(J260="DQ",0,IF(J260="DNF",1,IF(AND(ISNUMBER(J260),J260&gt;59),1,_xlfn.XLOOKUP(J260,tbl_points[Place],tbl_points[Points],""))))))</f>
        <v>18</v>
      </c>
      <c r="M260" s="3" t="str">
        <f>IF(L260="","",IF(L260="DNS",0,IF(L260="DQ",0,IF(L260="DNF",1,IF(AND(ISNUMBER(L260),L260&gt;59),1,_xlfn.XLOOKUP(L260,tbl_points[Place],tbl_points[Points],""))))))</f>
        <v/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0" s="3">
        <f>tbl_individual[[#This Row],[Total]]</f>
        <v>18</v>
      </c>
    </row>
    <row r="261" spans="1:22" hidden="1" x14ac:dyDescent="0.4">
      <c r="A261" t="s">
        <v>352</v>
      </c>
      <c r="B261" t="s">
        <v>29</v>
      </c>
      <c r="C261" t="s">
        <v>5</v>
      </c>
      <c r="D261" s="3">
        <v>950</v>
      </c>
      <c r="E261" s="3" t="s">
        <v>426</v>
      </c>
      <c r="G261" s="3" t="s">
        <v>406</v>
      </c>
      <c r="H261" s="3">
        <v>18</v>
      </c>
      <c r="I261" s="3">
        <f>IF(H261="","",IF(H261="DNS",0,IF(H261="DQ",0,IF(H261="DNF",1,IF(AND(ISNUMBER(H261),H261&gt;59),1,_xlfn.XLOOKUP(H261,tbl_points[Place],tbl_points[Points],""))))))</f>
        <v>42</v>
      </c>
      <c r="J261" s="3">
        <v>43</v>
      </c>
      <c r="K261" s="3">
        <f>IF(J261="","",IF(J261="DNS",0,IF(J261="DQ",0,IF(J261="DNF",1,IF(AND(ISNUMBER(J261),J261&gt;59),1,_xlfn.XLOOKUP(J261,tbl_points[Place],tbl_points[Points],""))))))</f>
        <v>17</v>
      </c>
      <c r="M261" s="3" t="str">
        <f>IF(L261="","",IF(L261="DNS",0,IF(L261="DQ",0,IF(L261="DNF",1,IF(AND(ISNUMBER(L261),L261&gt;59),1,_xlfn.XLOOKUP(L261,tbl_points[Place],tbl_points[Points],""))))))</f>
        <v/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61" s="3">
        <f>tbl_individual[[#This Row],[Total]]</f>
        <v>59</v>
      </c>
    </row>
    <row r="262" spans="1:22" hidden="1" x14ac:dyDescent="0.4">
      <c r="A262" t="s">
        <v>189</v>
      </c>
      <c r="B262" t="s">
        <v>20</v>
      </c>
      <c r="C262" t="s">
        <v>5</v>
      </c>
      <c r="D262" s="3">
        <v>922</v>
      </c>
      <c r="E262" s="3" t="s">
        <v>426</v>
      </c>
      <c r="G262" s="3" t="s">
        <v>406</v>
      </c>
      <c r="H262" s="3">
        <v>17</v>
      </c>
      <c r="I262" s="3">
        <f>IF(H262="","",IF(H262="DNS",0,IF(H262="DQ",0,IF(H262="DNF",1,IF(AND(ISNUMBER(H262),H262&gt;59),1,_xlfn.XLOOKUP(H262,tbl_points[Place],tbl_points[Points],""))))))</f>
        <v>43</v>
      </c>
      <c r="J262" s="3">
        <v>44</v>
      </c>
      <c r="K262" s="3">
        <f>IF(J262="","",IF(J262="DNS",0,IF(J262="DQ",0,IF(J262="DNF",1,IF(AND(ISNUMBER(J262),J262&gt;59),1,_xlfn.XLOOKUP(J262,tbl_points[Place],tbl_points[Points],""))))))</f>
        <v>16</v>
      </c>
      <c r="M262" s="3" t="str">
        <f>IF(L262="","",IF(L262="DNS",0,IF(L262="DQ",0,IF(L262="DNF",1,IF(AND(ISNUMBER(L262),L262&gt;59),1,_xlfn.XLOOKUP(L262,tbl_points[Place],tbl_points[Points],""))))))</f>
        <v/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62" s="3">
        <f>tbl_individual[[#This Row],[Total]]</f>
        <v>59</v>
      </c>
    </row>
    <row r="263" spans="1:22" hidden="1" x14ac:dyDescent="0.4">
      <c r="A263" t="s">
        <v>353</v>
      </c>
      <c r="B263" t="s">
        <v>29</v>
      </c>
      <c r="C263" t="s">
        <v>5</v>
      </c>
      <c r="D263" s="3">
        <v>951</v>
      </c>
      <c r="E263" s="3" t="s">
        <v>426</v>
      </c>
      <c r="G263" s="3" t="s">
        <v>406</v>
      </c>
      <c r="H263" s="3">
        <v>19</v>
      </c>
      <c r="I263" s="3">
        <f>IF(H263="","",IF(H263="DNS",0,IF(H263="DQ",0,IF(H263="DNF",1,IF(AND(ISNUMBER(H263),H263&gt;59),1,_xlfn.XLOOKUP(H263,tbl_points[Place],tbl_points[Points],""))))))</f>
        <v>41</v>
      </c>
      <c r="J263" s="3">
        <v>45</v>
      </c>
      <c r="K263" s="3">
        <f>IF(J263="","",IF(J263="DNS",0,IF(J263="DQ",0,IF(J263="DNF",1,IF(AND(ISNUMBER(J263),J263&gt;59),1,_xlfn.XLOOKUP(J263,tbl_points[Place],tbl_points[Points],""))))))</f>
        <v>15</v>
      </c>
      <c r="M263" s="3" t="str">
        <f>IF(L263="","",IF(L263="DNS",0,IF(L263="DQ",0,IF(L263="DNF",1,IF(AND(ISNUMBER(L263),L263&gt;59),1,_xlfn.XLOOKUP(L263,tbl_points[Place],tbl_points[Points],""))))))</f>
        <v/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63" s="3">
        <f>tbl_individual[[#This Row],[Total]]</f>
        <v>56</v>
      </c>
    </row>
    <row r="264" spans="1:22" hidden="1" x14ac:dyDescent="0.4">
      <c r="A264" t="s">
        <v>104</v>
      </c>
      <c r="B264" t="s">
        <v>11</v>
      </c>
      <c r="C264" t="s">
        <v>5</v>
      </c>
      <c r="D264" s="3">
        <v>911</v>
      </c>
      <c r="E264" s="3" t="s">
        <v>426</v>
      </c>
      <c r="G264" s="3" t="s">
        <v>406</v>
      </c>
      <c r="H264" s="3" t="s">
        <v>413</v>
      </c>
      <c r="I264" s="3">
        <f>IF(H264="","",IF(H264="DNS",0,IF(H264="DQ",0,IF(H264="DNF",1,IF(AND(ISNUMBER(H264),H264&gt;59),1,_xlfn.XLOOKUP(H264,tbl_points[Place],tbl_points[Points],""))))))</f>
        <v>0</v>
      </c>
      <c r="J264" s="3">
        <v>46</v>
      </c>
      <c r="K264" s="3">
        <f>IF(J264="","",IF(J264="DNS",0,IF(J264="DQ",0,IF(J264="DNF",1,IF(AND(ISNUMBER(J264),J264&gt;59),1,_xlfn.XLOOKUP(J264,tbl_points[Place],tbl_points[Points],""))))))</f>
        <v>14</v>
      </c>
      <c r="M264" s="3" t="str">
        <f>IF(L264="","",IF(L264="DNS",0,IF(L264="DQ",0,IF(L264="DNF",1,IF(AND(ISNUMBER(L264),L264&gt;59),1,_xlfn.XLOOKUP(L264,tbl_points[Place],tbl_points[Points],""))))))</f>
        <v/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14</v>
      </c>
    </row>
    <row r="265" spans="1:22" hidden="1" x14ac:dyDescent="0.4">
      <c r="A265" t="s">
        <v>186</v>
      </c>
      <c r="B265" t="s">
        <v>20</v>
      </c>
      <c r="C265" t="s">
        <v>5</v>
      </c>
      <c r="D265" s="3">
        <v>919</v>
      </c>
      <c r="E265" s="3" t="s">
        <v>426</v>
      </c>
      <c r="G265" s="3" t="s">
        <v>406</v>
      </c>
      <c r="H265" s="3">
        <v>2</v>
      </c>
      <c r="I265" s="3">
        <f>IF(H265="","",IF(H265="DNS",0,IF(H265="DQ",0,IF(H265="DNF",1,IF(AND(ISNUMBER(H265),H265&gt;59),1,_xlfn.XLOOKUP(H265,tbl_points[Place],tbl_points[Points],""))))))</f>
        <v>95</v>
      </c>
      <c r="J265" s="3" t="s">
        <v>412</v>
      </c>
      <c r="K265" s="3">
        <f>IF(J265="","",IF(J265="DNS",0,IF(J265="DQ",0,IF(J265="DNF",1,IF(AND(ISNUMBER(J265),J265&gt;59),1,_xlfn.XLOOKUP(J265,tbl_points[Place],tbl_points[Points],""))))))</f>
        <v>1</v>
      </c>
      <c r="M265" s="3" t="str">
        <f>IF(L265="","",IF(L265="DNS",0,IF(L265="DQ",0,IF(L265="DNF",1,IF(AND(ISNUMBER(L265),L265&gt;59),1,_xlfn.XLOOKUP(L265,tbl_points[Place],tbl_points[Points],""))))))</f>
        <v/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65" s="3">
        <f>tbl_individual[[#This Row],[Total]]</f>
        <v>96</v>
      </c>
    </row>
    <row r="266" spans="1:22" hidden="1" x14ac:dyDescent="0.4">
      <c r="A266" t="s">
        <v>246</v>
      </c>
      <c r="B266" t="s">
        <v>23</v>
      </c>
      <c r="C266" t="s">
        <v>6</v>
      </c>
      <c r="D266" s="3">
        <v>926</v>
      </c>
      <c r="E266" s="3" t="s">
        <v>426</v>
      </c>
      <c r="G266" s="3" t="s">
        <v>410</v>
      </c>
      <c r="H266" s="3" t="s">
        <v>413</v>
      </c>
      <c r="I266" s="3">
        <f>IF(H266="","",IF(H266="DNS",0,IF(H266="DQ",0,IF(H266="DNF",1,IF(AND(ISNUMBER(H266),H266&gt;59),1,_xlfn.XLOOKUP(H266,tbl_points[Place],tbl_points[Points],""))))))</f>
        <v>0</v>
      </c>
      <c r="J266" s="3" t="s">
        <v>413</v>
      </c>
      <c r="K266" s="3">
        <f>IF(J266="","",IF(J266="DNS",0,IF(J266="DQ",0,IF(J266="DNF",1,IF(AND(ISNUMBER(J266),J266&gt;59),1,_xlfn.XLOOKUP(J266,tbl_points[Place],tbl_points[Points],""))))))</f>
        <v>0</v>
      </c>
      <c r="M266" s="3" t="str">
        <f>IF(L266="","",IF(L266="DNS",0,IF(L266="DQ",0,IF(L266="DNF",1,IF(AND(ISNUMBER(L266),L266&gt;59),1,_xlfn.XLOOKUP(L266,tbl_points[Place],tbl_points[Points],""))))))</f>
        <v/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0</v>
      </c>
    </row>
    <row r="267" spans="1:22" hidden="1" x14ac:dyDescent="0.4">
      <c r="A267" t="s">
        <v>201</v>
      </c>
      <c r="B267" t="s">
        <v>20</v>
      </c>
      <c r="C267" t="s">
        <v>1</v>
      </c>
      <c r="D267" s="3">
        <v>12042</v>
      </c>
      <c r="E267" s="3" t="s">
        <v>426</v>
      </c>
      <c r="G267" s="3" t="s">
        <v>406</v>
      </c>
      <c r="H267" s="3" t="s">
        <v>413</v>
      </c>
      <c r="I267" s="3">
        <f>IF(H267="","",IF(H267="DNS",0,IF(H267="DQ",0,IF(H267="DNF",1,IF(AND(ISNUMBER(H267),H267&gt;59),1,_xlfn.XLOOKUP(H267,tbl_points[Place],tbl_points[Points],""))))))</f>
        <v>0</v>
      </c>
      <c r="J267" s="3">
        <v>69</v>
      </c>
      <c r="K267" s="3">
        <f>IF(J267="","",IF(J267="DNS",0,IF(J267="DQ",0,IF(J267="DNF",1,IF(AND(ISNUMBER(J267),J267&gt;59),1,_xlfn.XLOOKUP(J267,tbl_points[Place],tbl_points[Points],""))))))</f>
        <v>1</v>
      </c>
      <c r="M267" s="3" t="str">
        <f>IF(L267="","",IF(L267="DNS",0,IF(L267="DQ",0,IF(L267="DNF",1,IF(AND(ISNUMBER(L267),L267&gt;59),1,_xlfn.XLOOKUP(L267,tbl_points[Place],tbl_points[Points],""))))))</f>
        <v/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1</v>
      </c>
    </row>
    <row r="268" spans="1:22" hidden="1" x14ac:dyDescent="0.4">
      <c r="A268" t="s">
        <v>273</v>
      </c>
      <c r="B268" t="s">
        <v>23</v>
      </c>
      <c r="C268" t="s">
        <v>1</v>
      </c>
      <c r="D268" s="3">
        <v>12066</v>
      </c>
      <c r="E268" s="3" t="s">
        <v>426</v>
      </c>
      <c r="G268" s="3" t="s">
        <v>406</v>
      </c>
      <c r="H268" s="3" t="s">
        <v>412</v>
      </c>
      <c r="I268" s="3">
        <f>IF(H268="","",IF(H268="DNS",0,IF(H268="DQ",0,IF(H268="DNF",1,IF(AND(ISNUMBER(H268),H268&gt;59),1,_xlfn.XLOOKUP(H268,tbl_points[Place],tbl_points[Points],""))))))</f>
        <v>1</v>
      </c>
      <c r="J268" s="3">
        <v>70</v>
      </c>
      <c r="K268" s="3">
        <f>IF(J268="","",IF(J268="DNS",0,IF(J268="DQ",0,IF(J268="DNF",1,IF(AND(ISNUMBER(J268),J268&gt;59),1,_xlfn.XLOOKUP(J268,tbl_points[Place],tbl_points[Points],""))))))</f>
        <v>1</v>
      </c>
      <c r="M268" s="3" t="str">
        <f>IF(L268="","",IF(L268="DNS",0,IF(L268="DQ",0,IF(L268="DNF",1,IF(AND(ISNUMBER(L268),L268&gt;59),1,_xlfn.XLOOKUP(L268,tbl_points[Place],tbl_points[Points],""))))))</f>
        <v/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68" s="3">
        <f>tbl_individual[[#This Row],[Total]]</f>
        <v>2</v>
      </c>
    </row>
    <row r="269" spans="1:22" x14ac:dyDescent="0.4">
      <c r="A269" t="s">
        <v>182</v>
      </c>
      <c r="B269" t="s">
        <v>20</v>
      </c>
      <c r="C269" t="s">
        <v>7</v>
      </c>
      <c r="D269" s="3">
        <v>809</v>
      </c>
      <c r="E269" s="3" t="s">
        <v>426</v>
      </c>
      <c r="G269" s="3" t="s">
        <v>406</v>
      </c>
      <c r="H269" s="3">
        <v>34</v>
      </c>
      <c r="I269" s="3">
        <f>IF(H269="","",IF(H269="DNS",0,IF(H269="DQ",0,IF(H269="DNF",1,IF(AND(ISNUMBER(H269),H269&gt;59),1,_xlfn.XLOOKUP(H269,tbl_points[Place],tbl_points[Points],""))))))</f>
        <v>26</v>
      </c>
      <c r="J269" s="3">
        <v>45</v>
      </c>
      <c r="K269" s="3">
        <f>IF(J269="","",IF(J269="DNS",0,IF(J269="DQ",0,IF(J269="DNF",1,IF(AND(ISNUMBER(J269),J269&gt;59),1,_xlfn.XLOOKUP(J269,tbl_points[Place],tbl_points[Points],""))))))</f>
        <v>15</v>
      </c>
      <c r="M269" s="3" t="str">
        <f>IF(L269="","",IF(L269="DNS",0,IF(L269="DQ",0,IF(L269="DNF",1,IF(AND(ISNUMBER(L269),L269&gt;59),1,_xlfn.XLOOKUP(L269,tbl_points[Place],tbl_points[Points],""))))))</f>
        <v/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69" s="3">
        <f>tbl_individual[[#This Row],[Total]]</f>
        <v>41</v>
      </c>
    </row>
    <row r="270" spans="1:22" x14ac:dyDescent="0.4">
      <c r="A270" t="s">
        <v>53</v>
      </c>
      <c r="B270" t="s">
        <v>10</v>
      </c>
      <c r="C270" t="s">
        <v>7</v>
      </c>
      <c r="D270" s="3">
        <v>8010</v>
      </c>
      <c r="E270" s="3" t="s">
        <v>426</v>
      </c>
      <c r="G270" s="3" t="s">
        <v>410</v>
      </c>
      <c r="H270" s="3" t="s">
        <v>413</v>
      </c>
      <c r="I270" s="3">
        <f>IF(H270="","",IF(H270="DNS",0,IF(H270="DQ",0,IF(H270="DNF",1,IF(AND(ISNUMBER(H270),H270&gt;59),1,_xlfn.XLOOKUP(H270,tbl_points[Place],tbl_points[Points],""))))))</f>
        <v>0</v>
      </c>
      <c r="J270" s="3" t="s">
        <v>413</v>
      </c>
      <c r="K270" s="3">
        <f>IF(J270="","",IF(J270="DNS",0,IF(J270="DQ",0,IF(J270="DNF",1,IF(AND(ISNUMBER(J270),J270&gt;59),1,_xlfn.XLOOKUP(J270,tbl_points[Place],tbl_points[Points],""))))))</f>
        <v>0</v>
      </c>
      <c r="M270" s="3" t="str">
        <f>IF(L270="","",IF(L270="DNS",0,IF(L270="DQ",0,IF(L270="DNF",1,IF(AND(ISNUMBER(L270),L270&gt;59),1,_xlfn.XLOOKUP(L270,tbl_points[Place],tbl_points[Points],""))))))</f>
        <v/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0</v>
      </c>
    </row>
    <row r="271" spans="1:22" x14ac:dyDescent="0.4">
      <c r="A271" t="s">
        <v>56</v>
      </c>
      <c r="B271" t="s">
        <v>10</v>
      </c>
      <c r="C271" t="s">
        <v>7</v>
      </c>
      <c r="D271" s="3">
        <v>8140</v>
      </c>
      <c r="E271" s="3" t="s">
        <v>426</v>
      </c>
      <c r="G271" s="3" t="s">
        <v>410</v>
      </c>
      <c r="H271" s="3" t="s">
        <v>413</v>
      </c>
      <c r="I271" s="3">
        <f>IF(H271="","",IF(H271="DNS",0,IF(H271="DQ",0,IF(H271="DNF",1,IF(AND(ISNUMBER(H271),H271&gt;59),1,_xlfn.XLOOKUP(H271,tbl_points[Place],tbl_points[Points],""))))))</f>
        <v>0</v>
      </c>
      <c r="J271" s="3" t="s">
        <v>413</v>
      </c>
      <c r="K271" s="3">
        <f>IF(J271="","",IF(J271="DNS",0,IF(J271="DQ",0,IF(J271="DNF",1,IF(AND(ISNUMBER(J271),J271&gt;59),1,_xlfn.XLOOKUP(J271,tbl_points[Place],tbl_points[Points],""))))))</f>
        <v>0</v>
      </c>
      <c r="M271" s="3" t="str">
        <f>IF(L271="","",IF(L271="DNS",0,IF(L271="DQ",0,IF(L271="DNF",1,IF(AND(ISNUMBER(L271),L271&gt;59),1,_xlfn.XLOOKUP(L271,tbl_points[Place],tbl_points[Points],""))))))</f>
        <v/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</f>
        <v>0</v>
      </c>
    </row>
    <row r="272" spans="1:22" x14ac:dyDescent="0.4">
      <c r="A272" t="s">
        <v>58</v>
      </c>
      <c r="B272" t="s">
        <v>10</v>
      </c>
      <c r="C272" t="s">
        <v>7</v>
      </c>
      <c r="D272" s="3">
        <v>8154</v>
      </c>
      <c r="E272" s="3" t="s">
        <v>426</v>
      </c>
      <c r="G272" s="3" t="s">
        <v>410</v>
      </c>
      <c r="H272" s="3" t="s">
        <v>413</v>
      </c>
      <c r="I272" s="3">
        <f>IF(H272="","",IF(H272="DNS",0,IF(H272="DQ",0,IF(H272="DNF",1,IF(AND(ISNUMBER(H272),H272&gt;59),1,_xlfn.XLOOKUP(H272,tbl_points[Place],tbl_points[Points],""))))))</f>
        <v>0</v>
      </c>
      <c r="J272" s="3" t="s">
        <v>413</v>
      </c>
      <c r="K272" s="3">
        <f>IF(J272="","",IF(J272="DNS",0,IF(J272="DQ",0,IF(J272="DNF",1,IF(AND(ISNUMBER(J272),J272&gt;59),1,_xlfn.XLOOKUP(J272,tbl_points[Place],tbl_points[Points],""))))))</f>
        <v>0</v>
      </c>
      <c r="M272" s="3" t="str">
        <f>IF(L272="","",IF(L272="DNS",0,IF(L272="DQ",0,IF(L272="DNF",1,IF(AND(ISNUMBER(L272),L272&gt;59),1,_xlfn.XLOOKUP(L272,tbl_points[Place],tbl_points[Points],""))))))</f>
        <v/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0</v>
      </c>
    </row>
    <row r="273" spans="1:22" x14ac:dyDescent="0.4">
      <c r="A273" t="s">
        <v>59</v>
      </c>
      <c r="B273" t="s">
        <v>10</v>
      </c>
      <c r="C273" t="s">
        <v>7</v>
      </c>
      <c r="D273" s="3">
        <v>8177</v>
      </c>
      <c r="E273" s="3" t="s">
        <v>426</v>
      </c>
      <c r="G273" s="3" t="s">
        <v>410</v>
      </c>
      <c r="H273" s="3" t="s">
        <v>413</v>
      </c>
      <c r="I273" s="3">
        <f>IF(H273="","",IF(H273="DNS",0,IF(H273="DQ",0,IF(H273="DNF",1,IF(AND(ISNUMBER(H273),H273&gt;59),1,_xlfn.XLOOKUP(H273,tbl_points[Place],tbl_points[Points],""))))))</f>
        <v>0</v>
      </c>
      <c r="J273" s="3" t="s">
        <v>413</v>
      </c>
      <c r="K273" s="3">
        <f>IF(J273="","",IF(J273="DNS",0,IF(J273="DQ",0,IF(J273="DNF",1,IF(AND(ISNUMBER(J273),J273&gt;59),1,_xlfn.XLOOKUP(J273,tbl_points[Place],tbl_points[Points],""))))))</f>
        <v>0</v>
      </c>
      <c r="M273" s="3" t="str">
        <f>IF(L273="","",IF(L273="DNS",0,IF(L273="DQ",0,IF(L273="DNF",1,IF(AND(ISNUMBER(L273),L273&gt;59),1,_xlfn.XLOOKUP(L273,tbl_points[Place],tbl_points[Points],""))))))</f>
        <v/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3" s="3">
        <f>tbl_individual[[#This Row],[Total]]</f>
        <v>0</v>
      </c>
    </row>
    <row r="274" spans="1:22" hidden="1" x14ac:dyDescent="0.4">
      <c r="A274" t="s">
        <v>262</v>
      </c>
      <c r="B274" t="s">
        <v>23</v>
      </c>
      <c r="C274" t="s">
        <v>3</v>
      </c>
      <c r="D274" s="3">
        <v>10185</v>
      </c>
      <c r="E274" s="3" t="s">
        <v>426</v>
      </c>
      <c r="G274" s="3" t="s">
        <v>406</v>
      </c>
      <c r="H274" s="3">
        <v>20</v>
      </c>
      <c r="I274" s="3">
        <f>IF(H274="","",IF(H274="DNS",0,IF(H274="DQ",0,IF(H274="DNF",1,IF(AND(ISNUMBER(H274),H274&gt;59),1,_xlfn.XLOOKUP(H274,tbl_points[Place],tbl_points[Points],""))))))</f>
        <v>40</v>
      </c>
      <c r="J274" s="3">
        <v>11</v>
      </c>
      <c r="K274" s="3">
        <f>IF(J274="","",IF(J274="DNS",0,IF(J274="DQ",0,IF(J274="DNF",1,IF(AND(ISNUMBER(J274),J274&gt;59),1,_xlfn.XLOOKUP(J274,tbl_points[Place],tbl_points[Points],""))))))</f>
        <v>53</v>
      </c>
      <c r="M274" s="3" t="str">
        <f>IF(L274="","",IF(L274="DNS",0,IF(L274="DQ",0,IF(L274="DNF",1,IF(AND(ISNUMBER(L274),L274&gt;59),1,_xlfn.XLOOKUP(L274,tbl_points[Place],tbl_points[Points],""))))))</f>
        <v/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74" s="3">
        <f>tbl_individual[[#This Row],[Total]]</f>
        <v>93</v>
      </c>
    </row>
    <row r="275" spans="1:22" hidden="1" x14ac:dyDescent="0.4">
      <c r="A275" t="s">
        <v>336</v>
      </c>
      <c r="B275" t="s">
        <v>28</v>
      </c>
      <c r="C275" t="s">
        <v>5</v>
      </c>
      <c r="D275" s="3">
        <v>946</v>
      </c>
      <c r="E275" s="3" t="s">
        <v>426</v>
      </c>
      <c r="G275" s="3" t="s">
        <v>406</v>
      </c>
      <c r="H275" s="3">
        <v>15</v>
      </c>
      <c r="I275" s="3">
        <f>IF(H275="","",IF(H275="DNS",0,IF(H275="DQ",0,IF(H275="DNF",1,IF(AND(ISNUMBER(H275),H275&gt;59),1,_xlfn.XLOOKUP(H275,tbl_points[Place],tbl_points[Points],""))))))</f>
        <v>45</v>
      </c>
      <c r="J275" s="3" t="s">
        <v>412</v>
      </c>
      <c r="K275" s="3">
        <f>IF(J275="","",IF(J275="DNS",0,IF(J275="DQ",0,IF(J275="DNF",1,IF(AND(ISNUMBER(J275),J275&gt;59),1,_xlfn.XLOOKUP(J275,tbl_points[Place],tbl_points[Points],""))))))</f>
        <v>1</v>
      </c>
      <c r="M275" s="3" t="str">
        <f>IF(L275="","",IF(L275="DNS",0,IF(L275="DQ",0,IF(L275="DNF",1,IF(AND(ISNUMBER(L275),L275&gt;59),1,_xlfn.XLOOKUP(L275,tbl_points[Place],tbl_points[Points],""))))))</f>
        <v/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5" s="3">
        <f>tbl_individual[[#This Row],[Total]]</f>
        <v>46</v>
      </c>
    </row>
    <row r="276" spans="1:22" hidden="1" x14ac:dyDescent="0.4">
      <c r="A276" t="s">
        <v>237</v>
      </c>
      <c r="B276" t="s">
        <v>22</v>
      </c>
      <c r="C276" t="s">
        <v>5</v>
      </c>
      <c r="D276" s="3">
        <v>923</v>
      </c>
      <c r="E276" s="3" t="s">
        <v>426</v>
      </c>
      <c r="G276" s="3" t="s">
        <v>410</v>
      </c>
      <c r="H276" s="3">
        <v>9</v>
      </c>
      <c r="I276" s="3">
        <f>IF(H276="","",IF(H276="DNS",0,IF(H276="DQ",0,IF(H276="DNF",1,IF(AND(ISNUMBER(H276),H276&gt;59),1,_xlfn.XLOOKUP(H276,tbl_points[Place],tbl_points[Points],""))))))</f>
        <v>60</v>
      </c>
      <c r="J276" s="3" t="s">
        <v>413</v>
      </c>
      <c r="K276" s="3">
        <f>IF(J276="","",IF(J276="DNS",0,IF(J276="DQ",0,IF(J276="DNF",1,IF(AND(ISNUMBER(J276),J276&gt;59),1,_xlfn.XLOOKUP(J276,tbl_points[Place],tbl_points[Points],""))))))</f>
        <v>0</v>
      </c>
      <c r="M276" s="3" t="str">
        <f>IF(L276="","",IF(L276="DNS",0,IF(L276="DQ",0,IF(L276="DNF",1,IF(AND(ISNUMBER(L276),L276&gt;59),1,_xlfn.XLOOKUP(L276,tbl_points[Place],tbl_points[Points],""))))))</f>
        <v/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60</v>
      </c>
    </row>
    <row r="277" spans="1:22" hidden="1" x14ac:dyDescent="0.4">
      <c r="A277" t="s">
        <v>205</v>
      </c>
      <c r="B277" t="s">
        <v>20</v>
      </c>
      <c r="C277" t="s">
        <v>1</v>
      </c>
      <c r="D277" s="3">
        <v>12046</v>
      </c>
      <c r="E277" s="3" t="s">
        <v>426</v>
      </c>
      <c r="G277" s="3" t="s">
        <v>406</v>
      </c>
      <c r="H277" s="3">
        <v>23</v>
      </c>
      <c r="I277" s="3">
        <f>IF(H277="","",IF(H277="DNS",0,IF(H277="DQ",0,IF(H277="DNF",1,IF(AND(ISNUMBER(H277),H277&gt;59),1,_xlfn.XLOOKUP(H277,tbl_points[Place],tbl_points[Points],""))))))</f>
        <v>37</v>
      </c>
      <c r="J277" s="3">
        <v>71</v>
      </c>
      <c r="K277" s="3">
        <f>IF(J277="","",IF(J277="DNS",0,IF(J277="DQ",0,IF(J277="DNF",1,IF(AND(ISNUMBER(J277),J277&gt;59),1,_xlfn.XLOOKUP(J277,tbl_points[Place],tbl_points[Points],""))))))</f>
        <v>1</v>
      </c>
      <c r="M277" s="3" t="str">
        <f>IF(L277="","",IF(L277="DNS",0,IF(L277="DQ",0,IF(L277="DNF",1,IF(AND(ISNUMBER(L277),L277&gt;59),1,_xlfn.XLOOKUP(L277,tbl_points[Place],tbl_points[Points],""))))))</f>
        <v/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7" s="3">
        <f>tbl_individual[[#This Row],[Total]]</f>
        <v>38</v>
      </c>
    </row>
    <row r="278" spans="1:22" hidden="1" x14ac:dyDescent="0.4">
      <c r="A278" t="s">
        <v>101</v>
      </c>
      <c r="B278" t="s">
        <v>10</v>
      </c>
      <c r="C278" t="s">
        <v>1</v>
      </c>
      <c r="D278" s="3">
        <v>12017</v>
      </c>
      <c r="E278" s="3" t="s">
        <v>426</v>
      </c>
      <c r="G278" s="3" t="s">
        <v>406</v>
      </c>
      <c r="H278" s="3" t="s">
        <v>413</v>
      </c>
      <c r="I278" s="3">
        <f>IF(H278="","",IF(H278="DNS",0,IF(H278="DQ",0,IF(H278="DNF",1,IF(AND(ISNUMBER(H278),H278&gt;59),1,_xlfn.XLOOKUP(H278,tbl_points[Place],tbl_points[Points],""))))))</f>
        <v>0</v>
      </c>
      <c r="J278" s="3">
        <v>72</v>
      </c>
      <c r="K278" s="3">
        <f>IF(J278="","",IF(J278="DNS",0,IF(J278="DQ",0,IF(J278="DNF",1,IF(AND(ISNUMBER(J278),J278&gt;59),1,_xlfn.XLOOKUP(J278,tbl_points[Place],tbl_points[Points],""))))))</f>
        <v>1</v>
      </c>
      <c r="M278" s="3" t="str">
        <f>IF(L278="","",IF(L278="DNS",0,IF(L278="DQ",0,IF(L278="DNF",1,IF(AND(ISNUMBER(L278),L278&gt;59),1,_xlfn.XLOOKUP(L278,tbl_points[Place],tbl_points[Points],""))))))</f>
        <v/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1</v>
      </c>
    </row>
    <row r="279" spans="1:22" hidden="1" x14ac:dyDescent="0.4">
      <c r="A279" t="s">
        <v>118</v>
      </c>
      <c r="B279" t="s">
        <v>12</v>
      </c>
      <c r="C279" t="s">
        <v>1</v>
      </c>
      <c r="D279" s="3">
        <v>12022</v>
      </c>
      <c r="E279" s="3" t="s">
        <v>426</v>
      </c>
      <c r="G279" s="3" t="s">
        <v>406</v>
      </c>
      <c r="H279" s="3">
        <v>46</v>
      </c>
      <c r="I279" s="3">
        <f>IF(H279="","",IF(H279="DNS",0,IF(H279="DQ",0,IF(H279="DNF",1,IF(AND(ISNUMBER(H279),H279&gt;59),1,_xlfn.XLOOKUP(H279,tbl_points[Place],tbl_points[Points],""))))))</f>
        <v>14</v>
      </c>
      <c r="J279" s="3">
        <v>73</v>
      </c>
      <c r="K279" s="3">
        <f>IF(J279="","",IF(J279="DNS",0,IF(J279="DQ",0,IF(J279="DNF",1,IF(AND(ISNUMBER(J279),J279&gt;59),1,_xlfn.XLOOKUP(J279,tbl_points[Place],tbl_points[Points],""))))))</f>
        <v>1</v>
      </c>
      <c r="M279" s="3" t="str">
        <f>IF(L279="","",IF(L279="DNS",0,IF(L279="DQ",0,IF(L279="DNF",1,IF(AND(ISNUMBER(L279),L279&gt;59),1,_xlfn.XLOOKUP(L279,tbl_points[Place],tbl_points[Points],""))))))</f>
        <v/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9" s="3">
        <f>tbl_individual[[#This Row],[Total]]</f>
        <v>15</v>
      </c>
    </row>
    <row r="280" spans="1:22" hidden="1" x14ac:dyDescent="0.4">
      <c r="A280" t="s">
        <v>116</v>
      </c>
      <c r="B280" t="s">
        <v>12</v>
      </c>
      <c r="C280" t="s">
        <v>1</v>
      </c>
      <c r="D280" s="3">
        <v>12020</v>
      </c>
      <c r="E280" s="3" t="s">
        <v>426</v>
      </c>
      <c r="G280" s="3" t="s">
        <v>406</v>
      </c>
      <c r="H280" s="3">
        <v>49</v>
      </c>
      <c r="I280" s="3">
        <f>IF(H280="","",IF(H280="DNS",0,IF(H280="DQ",0,IF(H280="DNF",1,IF(AND(ISNUMBER(H280),H280&gt;59),1,_xlfn.XLOOKUP(H280,tbl_points[Place],tbl_points[Points],""))))))</f>
        <v>11</v>
      </c>
      <c r="J280" s="3">
        <v>74</v>
      </c>
      <c r="K280" s="3">
        <f>IF(J280="","",IF(J280="DNS",0,IF(J280="DQ",0,IF(J280="DNF",1,IF(AND(ISNUMBER(J280),J280&gt;59),1,_xlfn.XLOOKUP(J280,tbl_points[Place],tbl_points[Points],""))))))</f>
        <v>1</v>
      </c>
      <c r="M280" s="3" t="str">
        <f>IF(L280="","",IF(L280="DNS",0,IF(L280="DQ",0,IF(L280="DNF",1,IF(AND(ISNUMBER(L280),L280&gt;59),1,_xlfn.XLOOKUP(L280,tbl_points[Place],tbl_points[Points],""))))))</f>
        <v/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80" s="3">
        <f>tbl_individual[[#This Row],[Total]]</f>
        <v>12</v>
      </c>
    </row>
    <row r="281" spans="1:22" x14ac:dyDescent="0.4">
      <c r="A281" t="s">
        <v>61</v>
      </c>
      <c r="B281" t="s">
        <v>10</v>
      </c>
      <c r="C281" t="s">
        <v>7</v>
      </c>
      <c r="D281" s="3">
        <v>8186</v>
      </c>
      <c r="E281" s="3" t="s">
        <v>426</v>
      </c>
      <c r="G281" s="3" t="s">
        <v>410</v>
      </c>
      <c r="H281" s="3" t="s">
        <v>413</v>
      </c>
      <c r="I281" s="3">
        <f>IF(H281="","",IF(H281="DNS",0,IF(H281="DQ",0,IF(H281="DNF",1,IF(AND(ISNUMBER(H281),H281&gt;59),1,_xlfn.XLOOKUP(H281,tbl_points[Place],tbl_points[Points],""))))))</f>
        <v>0</v>
      </c>
      <c r="J281" s="3" t="s">
        <v>413</v>
      </c>
      <c r="K281" s="3">
        <f>IF(J281="","",IF(J281="DNS",0,IF(J281="DQ",0,IF(J281="DNF",1,IF(AND(ISNUMBER(J281),J281&gt;59),1,_xlfn.XLOOKUP(J281,tbl_points[Place],tbl_points[Points],""))))))</f>
        <v>0</v>
      </c>
      <c r="M281" s="3" t="str">
        <f>IF(L281="","",IF(L281="DNS",0,IF(L281="DQ",0,IF(L281="DNF",1,IF(AND(ISNUMBER(L281),L281&gt;59),1,_xlfn.XLOOKUP(L281,tbl_points[Place],tbl_points[Points],""))))))</f>
        <v/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</f>
        <v>0</v>
      </c>
    </row>
    <row r="282" spans="1:22" x14ac:dyDescent="0.4">
      <c r="A282" t="s">
        <v>103</v>
      </c>
      <c r="B282" t="s">
        <v>11</v>
      </c>
      <c r="C282" t="s">
        <v>7</v>
      </c>
      <c r="D282" s="3">
        <v>8190</v>
      </c>
      <c r="E282" s="3" t="s">
        <v>426</v>
      </c>
      <c r="G282" s="3" t="s">
        <v>410</v>
      </c>
      <c r="H282" s="3" t="s">
        <v>413</v>
      </c>
      <c r="I282" s="3">
        <f>IF(H282="","",IF(H282="DNS",0,IF(H282="DQ",0,IF(H282="DNF",1,IF(AND(ISNUMBER(H282),H282&gt;59),1,_xlfn.XLOOKUP(H282,tbl_points[Place],tbl_points[Points],""))))))</f>
        <v>0</v>
      </c>
      <c r="J282" s="3" t="s">
        <v>413</v>
      </c>
      <c r="K282" s="3">
        <f>IF(J282="","",IF(J282="DNS",0,IF(J282="DQ",0,IF(J282="DNF",1,IF(AND(ISNUMBER(J282),J282&gt;59),1,_xlfn.XLOOKUP(J282,tbl_points[Place],tbl_points[Points],""))))))</f>
        <v>0</v>
      </c>
      <c r="M282" s="3" t="str">
        <f>IF(L282="","",IF(L282="DNS",0,IF(L282="DQ",0,IF(L282="DNF",1,IF(AND(ISNUMBER(L282),L282&gt;59),1,_xlfn.XLOOKUP(L282,tbl_points[Place],tbl_points[Points],""))))))</f>
        <v/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0</v>
      </c>
    </row>
    <row r="283" spans="1:22" hidden="1" x14ac:dyDescent="0.4">
      <c r="A283" t="s">
        <v>314</v>
      </c>
      <c r="B283" t="s">
        <v>27</v>
      </c>
      <c r="C283" t="s">
        <v>8</v>
      </c>
      <c r="D283" s="3">
        <v>866</v>
      </c>
      <c r="E283" s="3" t="s">
        <v>426</v>
      </c>
      <c r="G283" s="3" t="s">
        <v>410</v>
      </c>
      <c r="H283" s="3">
        <v>3</v>
      </c>
      <c r="I283" s="3">
        <f>IF(H283="","",IF(H283="DNS",0,IF(H283="DQ",0,IF(H283="DNF",1,IF(AND(ISNUMBER(H283),H283&gt;59),1,_xlfn.XLOOKUP(H283,tbl_points[Place],tbl_points[Points],""))))))</f>
        <v>90</v>
      </c>
      <c r="J283" s="3" t="s">
        <v>413</v>
      </c>
      <c r="K283" s="3">
        <f>IF(J283="","",IF(J283="DNS",0,IF(J283="DQ",0,IF(J283="DNF",1,IF(AND(ISNUMBER(J283),J283&gt;59),1,_xlfn.XLOOKUP(J283,tbl_points[Place],tbl_points[Points],""))))))</f>
        <v>0</v>
      </c>
      <c r="M283" s="3" t="str">
        <f>IF(L283="","",IF(L283="DNS",0,IF(L283="DQ",0,IF(L283="DNF",1,IF(AND(ISNUMBER(L283),L283&gt;59),1,_xlfn.XLOOKUP(L283,tbl_points[Place],tbl_points[Points],""))))))</f>
        <v/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3" s="3">
        <f>tbl_individual[[#This Row],[Total]]</f>
        <v>90</v>
      </c>
    </row>
    <row r="284" spans="1:22" hidden="1" x14ac:dyDescent="0.4">
      <c r="A284" t="s">
        <v>315</v>
      </c>
      <c r="B284" t="s">
        <v>27</v>
      </c>
      <c r="C284" t="s">
        <v>8</v>
      </c>
      <c r="D284" s="3">
        <v>867</v>
      </c>
      <c r="E284" s="3" t="s">
        <v>426</v>
      </c>
      <c r="G284" s="3" t="s">
        <v>406</v>
      </c>
      <c r="H284" s="3" t="s">
        <v>413</v>
      </c>
      <c r="I284" s="3">
        <f>IF(H284="","",IF(H284="DNS",0,IF(H284="DQ",0,IF(H284="DNF",1,IF(AND(ISNUMBER(H284),H284&gt;59),1,_xlfn.XLOOKUP(H284,tbl_points[Place],tbl_points[Points],""))))))</f>
        <v>0</v>
      </c>
      <c r="J284" s="3">
        <v>1</v>
      </c>
      <c r="K284" s="3">
        <f>IF(J284="","",IF(J284="DNS",0,IF(J284="DQ",0,IF(J284="DNF",1,IF(AND(ISNUMBER(J284),J284&gt;59),1,_xlfn.XLOOKUP(J284,tbl_points[Place],tbl_points[Points],""))))))</f>
        <v>100</v>
      </c>
      <c r="M284" s="3" t="str">
        <f>IF(L284="","",IF(L284="DNS",0,IF(L284="DQ",0,IF(L284="DNF",1,IF(AND(ISNUMBER(L284),L284&gt;59),1,_xlfn.XLOOKUP(L284,tbl_points[Place],tbl_points[Points],""))))))</f>
        <v/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100</v>
      </c>
    </row>
    <row r="285" spans="1:22" hidden="1" x14ac:dyDescent="0.4">
      <c r="A285" s="11" t="s">
        <v>320</v>
      </c>
      <c r="B285" s="11" t="s">
        <v>27</v>
      </c>
      <c r="C285" s="11" t="s">
        <v>3</v>
      </c>
      <c r="D285" s="15">
        <v>10191</v>
      </c>
      <c r="E285" s="3" t="s">
        <v>427</v>
      </c>
      <c r="F285" s="17" t="s">
        <v>423</v>
      </c>
      <c r="I285" s="3" t="str">
        <f>IF(H285="","",IF(H285="DNS",0,IF(H285="DQ",0,IF(H285="DNF",1,IF(AND(ISNUMBER(H285),H285&gt;59),1,_xlfn.XLOOKUP(H285,tbl_points[Place],tbl_points[Points],""))))))</f>
        <v/>
      </c>
      <c r="K285" s="3" t="str">
        <f>IF(J285="","",IF(J285="DNS",0,IF(J285="DQ",0,IF(J285="DNF",1,IF(AND(ISNUMBER(J285),J285&gt;59),1,_xlfn.XLOOKUP(J285,tbl_points[Place],tbl_points[Points],""))))))</f>
        <v/>
      </c>
      <c r="M285" s="3" t="str">
        <f>IF(L285="","",IF(L285="DNS",0,IF(L285="DQ",0,IF(L285="DNF",1,IF(AND(ISNUMBER(L285),L285&gt;59),1,_xlfn.XLOOKUP(L285,tbl_points[Place],tbl_points[Points],""))))))</f>
        <v/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0</v>
      </c>
    </row>
    <row r="286" spans="1:22" hidden="1" x14ac:dyDescent="0.4">
      <c r="A286" t="s">
        <v>321</v>
      </c>
      <c r="B286" t="s">
        <v>27</v>
      </c>
      <c r="C286" t="s">
        <v>4</v>
      </c>
      <c r="D286" s="3">
        <v>1040</v>
      </c>
      <c r="E286" s="3" t="s">
        <v>426</v>
      </c>
      <c r="G286" s="3" t="s">
        <v>406</v>
      </c>
      <c r="H286" s="3" t="s">
        <v>413</v>
      </c>
      <c r="I286" s="3">
        <f>IF(H286="","",IF(H286="DNS",0,IF(H286="DQ",0,IF(H286="DNF",1,IF(AND(ISNUMBER(H286),H286&gt;59),1,_xlfn.XLOOKUP(H286,tbl_points[Place],tbl_points[Points],""))))))</f>
        <v>0</v>
      </c>
      <c r="J286" s="3">
        <v>12</v>
      </c>
      <c r="K286" s="3">
        <f>IF(J286="","",IF(J286="DNS",0,IF(J286="DQ",0,IF(J286="DNF",1,IF(AND(ISNUMBER(J286),J286&gt;59),1,_xlfn.XLOOKUP(J286,tbl_points[Place],tbl_points[Points],""))))))</f>
        <v>51</v>
      </c>
      <c r="M286" s="3" t="str">
        <f>IF(L286="","",IF(L286="DNS",0,IF(L286="DQ",0,IF(L286="DNF",1,IF(AND(ISNUMBER(L286),L286&gt;59),1,_xlfn.XLOOKUP(L286,tbl_points[Place],tbl_points[Points],""))))))</f>
        <v/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6" s="3">
        <f>tbl_individual[[#This Row],[Total]]</f>
        <v>51</v>
      </c>
    </row>
    <row r="287" spans="1:22" hidden="1" x14ac:dyDescent="0.4">
      <c r="A287" t="s">
        <v>167</v>
      </c>
      <c r="B287" t="s">
        <v>17</v>
      </c>
      <c r="C287" t="s">
        <v>5</v>
      </c>
      <c r="D287" s="3">
        <v>957</v>
      </c>
      <c r="E287" s="3" t="s">
        <v>426</v>
      </c>
      <c r="G287" s="3" t="s">
        <v>410</v>
      </c>
      <c r="H287" s="3" t="s">
        <v>413</v>
      </c>
      <c r="I287" s="3">
        <f>IF(H287="","",IF(H287="DNS",0,IF(H287="DQ",0,IF(H287="DNF",1,IF(AND(ISNUMBER(H287),H287&gt;59),1,_xlfn.XLOOKUP(H287,tbl_points[Place],tbl_points[Points],""))))))</f>
        <v>0</v>
      </c>
      <c r="J287" s="3" t="s">
        <v>413</v>
      </c>
      <c r="K287" s="3">
        <f>IF(J287="","",IF(J287="DNS",0,IF(J287="DQ",0,IF(J287="DNF",1,IF(AND(ISNUMBER(J287),J287&gt;59),1,_xlfn.XLOOKUP(J287,tbl_points[Place],tbl_points[Points],""))))))</f>
        <v>0</v>
      </c>
      <c r="M287" s="3" t="str">
        <f>IF(L287="","",IF(L287="DNS",0,IF(L287="DQ",0,IF(L287="DNF",1,IF(AND(ISNUMBER(L287),L287&gt;59),1,_xlfn.XLOOKUP(L287,tbl_points[Place],tbl_points[Points],""))))))</f>
        <v/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0</v>
      </c>
    </row>
    <row r="288" spans="1:22" hidden="1" x14ac:dyDescent="0.4">
      <c r="A288" t="s">
        <v>68</v>
      </c>
      <c r="B288" t="s">
        <v>10</v>
      </c>
      <c r="C288" t="s">
        <v>5</v>
      </c>
      <c r="D288" s="3">
        <v>901</v>
      </c>
      <c r="E288" s="3" t="s">
        <v>426</v>
      </c>
      <c r="G288" s="3" t="s">
        <v>406</v>
      </c>
      <c r="H288" s="3">
        <v>14</v>
      </c>
      <c r="I288" s="3">
        <f>IF(H288="","",IF(H288="DNS",0,IF(H288="DQ",0,IF(H288="DNF",1,IF(AND(ISNUMBER(H288),H288&gt;59),1,_xlfn.XLOOKUP(H288,tbl_points[Place],tbl_points[Points],""))))))</f>
        <v>47</v>
      </c>
      <c r="J288" s="3" t="s">
        <v>413</v>
      </c>
      <c r="K288" s="3">
        <f>IF(J288="","",IF(J288="DNS",0,IF(J288="DQ",0,IF(J288="DNF",1,IF(AND(ISNUMBER(J288),J288&gt;59),1,_xlfn.XLOOKUP(J288,tbl_points[Place],tbl_points[Points],""))))))</f>
        <v>0</v>
      </c>
      <c r="M288" s="3" t="str">
        <f>IF(L288="","",IF(L288="DNS",0,IF(L288="DQ",0,IF(L288="DNF",1,IF(AND(ISNUMBER(L288),L288&gt;59),1,_xlfn.XLOOKUP(L288,tbl_points[Place],tbl_points[Points],""))))))</f>
        <v/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</f>
        <v>47</v>
      </c>
    </row>
    <row r="289" spans="1:22" hidden="1" x14ac:dyDescent="0.4">
      <c r="A289" s="11" t="s">
        <v>318</v>
      </c>
      <c r="B289" s="11" t="s">
        <v>27</v>
      </c>
      <c r="C289" s="11" t="s">
        <v>5</v>
      </c>
      <c r="D289" s="15">
        <v>943</v>
      </c>
      <c r="E289" s="3" t="s">
        <v>427</v>
      </c>
      <c r="F289" s="17" t="s">
        <v>423</v>
      </c>
      <c r="I289" s="3" t="str">
        <f>IF(H289="","",IF(H289="DNS",0,IF(H289="DQ",0,IF(H289="DNF",1,IF(AND(ISNUMBER(H289),H289&gt;59),1,_xlfn.XLOOKUP(H289,tbl_points[Place],tbl_points[Points],""))))))</f>
        <v/>
      </c>
      <c r="K289" s="3" t="str">
        <f>IF(J289="","",IF(J289="DNS",0,IF(J289="DQ",0,IF(J289="DNF",1,IF(AND(ISNUMBER(J289),J289&gt;59),1,_xlfn.XLOOKUP(J289,tbl_points[Place],tbl_points[Points],""))))))</f>
        <v/>
      </c>
      <c r="M289" s="3" t="str">
        <f>IF(L289="","",IF(L289="DNS",0,IF(L289="DQ",0,IF(L289="DNF",1,IF(AND(ISNUMBER(L289),L289&gt;59),1,_xlfn.XLOOKUP(L289,tbl_points[Place],tbl_points[Points],""))))))</f>
        <v/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0</v>
      </c>
    </row>
    <row r="290" spans="1:22" hidden="1" x14ac:dyDescent="0.4">
      <c r="A290" t="s">
        <v>75</v>
      </c>
      <c r="B290" t="s">
        <v>10</v>
      </c>
      <c r="C290" t="s">
        <v>5</v>
      </c>
      <c r="D290" s="3">
        <v>908</v>
      </c>
      <c r="E290" s="3" t="s">
        <v>426</v>
      </c>
      <c r="G290" s="3" t="s">
        <v>410</v>
      </c>
      <c r="H290" s="3" t="s">
        <v>413</v>
      </c>
      <c r="I290" s="3">
        <f>IF(H290="","",IF(H290="DNS",0,IF(H290="DQ",0,IF(H290="DNF",1,IF(AND(ISNUMBER(H290),H290&gt;59),1,_xlfn.XLOOKUP(H290,tbl_points[Place],tbl_points[Points],""))))))</f>
        <v>0</v>
      </c>
      <c r="J290" s="3" t="s">
        <v>413</v>
      </c>
      <c r="K290" s="3">
        <f>IF(J290="","",IF(J290="DNS",0,IF(J290="DQ",0,IF(J290="DNF",1,IF(AND(ISNUMBER(J290),J290&gt;59),1,_xlfn.XLOOKUP(J290,tbl_points[Place],tbl_points[Points],""))))))</f>
        <v>0</v>
      </c>
      <c r="M290" s="3" t="str">
        <f>IF(L290="","",IF(L290="DNS",0,IF(L290="DQ",0,IF(L290="DNF",1,IF(AND(ISNUMBER(L290),L290&gt;59),1,_xlfn.XLOOKUP(L290,tbl_points[Place],tbl_points[Points],""))))))</f>
        <v/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0</v>
      </c>
    </row>
    <row r="291" spans="1:22" hidden="1" x14ac:dyDescent="0.4">
      <c r="A291" t="s">
        <v>94</v>
      </c>
      <c r="B291" t="s">
        <v>10</v>
      </c>
      <c r="C291" t="s">
        <v>1</v>
      </c>
      <c r="D291" s="3">
        <v>12005</v>
      </c>
      <c r="E291" s="3" t="s">
        <v>426</v>
      </c>
      <c r="G291" s="3" t="s">
        <v>406</v>
      </c>
      <c r="H291" s="3">
        <v>39</v>
      </c>
      <c r="I291" s="3">
        <f>IF(H291="","",IF(H291="DNS",0,IF(H291="DQ",0,IF(H291="DNF",1,IF(AND(ISNUMBER(H291),H291&gt;59),1,_xlfn.XLOOKUP(H291,tbl_points[Place],tbl_points[Points],""))))))</f>
        <v>21</v>
      </c>
      <c r="J291" s="3" t="s">
        <v>413</v>
      </c>
      <c r="K291" s="3">
        <f>IF(J291="","",IF(J291="DNS",0,IF(J291="DQ",0,IF(J291="DNF",1,IF(AND(ISNUMBER(J291),J291&gt;59),1,_xlfn.XLOOKUP(J291,tbl_points[Place],tbl_points[Points],""))))))</f>
        <v>0</v>
      </c>
      <c r="M291" s="3" t="str">
        <f>IF(L291="","",IF(L291="DNS",0,IF(L291="DQ",0,IF(L291="DNF",1,IF(AND(ISNUMBER(L291),L291&gt;59),1,_xlfn.XLOOKUP(L291,tbl_points[Place],tbl_points[Points],""))))))</f>
        <v/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21</v>
      </c>
    </row>
    <row r="292" spans="1:22" hidden="1" x14ac:dyDescent="0.4">
      <c r="A292" t="s">
        <v>95</v>
      </c>
      <c r="B292" t="s">
        <v>10</v>
      </c>
      <c r="C292" t="s">
        <v>1</v>
      </c>
      <c r="D292" s="3">
        <v>12009</v>
      </c>
      <c r="E292" s="3" t="s">
        <v>426</v>
      </c>
      <c r="G292" s="3" t="s">
        <v>406</v>
      </c>
      <c r="H292" s="3" t="s">
        <v>413</v>
      </c>
      <c r="I292" s="3">
        <f>IF(H292="","",IF(H292="DNS",0,IF(H292="DQ",0,IF(H292="DNF",1,IF(AND(ISNUMBER(H292),H292&gt;59),1,_xlfn.XLOOKUP(H292,tbl_points[Place],tbl_points[Points],""))))))</f>
        <v>0</v>
      </c>
      <c r="J292" s="3" t="s">
        <v>413</v>
      </c>
      <c r="K292" s="3">
        <f>IF(J292="","",IF(J292="DNS",0,IF(J292="DQ",0,IF(J292="DNF",1,IF(AND(ISNUMBER(J292),J292&gt;59),1,_xlfn.XLOOKUP(J292,tbl_points[Place],tbl_points[Points],""))))))</f>
        <v>0</v>
      </c>
      <c r="M292" s="3" t="str">
        <f>IF(L292="","",IF(L292="DNS",0,IF(L292="DQ",0,IF(L292="DNF",1,IF(AND(ISNUMBER(L292),L292&gt;59),1,_xlfn.XLOOKUP(L292,tbl_points[Place],tbl_points[Points],""))))))</f>
        <v/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0</v>
      </c>
    </row>
    <row r="293" spans="1:22" hidden="1" x14ac:dyDescent="0.4">
      <c r="A293" t="s">
        <v>111</v>
      </c>
      <c r="B293" t="s">
        <v>11</v>
      </c>
      <c r="C293" t="s">
        <v>1</v>
      </c>
      <c r="D293" s="3">
        <v>12019</v>
      </c>
      <c r="E293" s="3" t="s">
        <v>426</v>
      </c>
      <c r="G293" s="3" t="s">
        <v>410</v>
      </c>
      <c r="H293" s="3" t="s">
        <v>413</v>
      </c>
      <c r="I293" s="3">
        <f>IF(H293="","",IF(H293="DNS",0,IF(H293="DQ",0,IF(H293="DNF",1,IF(AND(ISNUMBER(H293),H293&gt;59),1,_xlfn.XLOOKUP(H293,tbl_points[Place],tbl_points[Points],""))))))</f>
        <v>0</v>
      </c>
      <c r="J293" s="3" t="s">
        <v>413</v>
      </c>
      <c r="K293" s="3">
        <f>IF(J293="","",IF(J293="DNS",0,IF(J293="DQ",0,IF(J293="DNF",1,IF(AND(ISNUMBER(J293),J293&gt;59),1,_xlfn.XLOOKUP(J293,tbl_points[Place],tbl_points[Points],""))))))</f>
        <v>0</v>
      </c>
      <c r="M293" s="3" t="str">
        <f>IF(L293="","",IF(L293="DNS",0,IF(L293="DQ",0,IF(L293="DNF",1,IF(AND(ISNUMBER(L293),L293&gt;59),1,_xlfn.XLOOKUP(L293,tbl_points[Place],tbl_points[Points],""))))))</f>
        <v/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0</v>
      </c>
    </row>
    <row r="294" spans="1:22" hidden="1" x14ac:dyDescent="0.4">
      <c r="A294" t="s">
        <v>117</v>
      </c>
      <c r="B294" t="s">
        <v>12</v>
      </c>
      <c r="C294" t="s">
        <v>1</v>
      </c>
      <c r="D294" s="3">
        <v>12021</v>
      </c>
      <c r="E294" s="3" t="s">
        <v>426</v>
      </c>
      <c r="G294" s="3" t="s">
        <v>410</v>
      </c>
      <c r="H294" s="3" t="s">
        <v>412</v>
      </c>
      <c r="I294" s="3">
        <f>IF(H294="","",IF(H294="DNS",0,IF(H294="DQ",0,IF(H294="DNF",1,IF(AND(ISNUMBER(H294),H294&gt;59),1,_xlfn.XLOOKUP(H294,tbl_points[Place],tbl_points[Points],""))))))</f>
        <v>1</v>
      </c>
      <c r="J294" s="3" t="s">
        <v>413</v>
      </c>
      <c r="K294" s="3">
        <f>IF(J294="","",IF(J294="DNS",0,IF(J294="DQ",0,IF(J294="DNF",1,IF(AND(ISNUMBER(J294),J294&gt;59),1,_xlfn.XLOOKUP(J294,tbl_points[Place],tbl_points[Points],""))))))</f>
        <v>0</v>
      </c>
      <c r="M294" s="3" t="str">
        <f>IF(L294="","",IF(L294="DNS",0,IF(L294="DQ",0,IF(L294="DNF",1,IF(AND(ISNUMBER(L294),L294&gt;59),1,_xlfn.XLOOKUP(L294,tbl_points[Place],tbl_points[Points],""))))))</f>
        <v/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1</v>
      </c>
    </row>
    <row r="295" spans="1:22" hidden="1" x14ac:dyDescent="0.4">
      <c r="A295" t="s">
        <v>132</v>
      </c>
      <c r="B295" t="s">
        <v>13</v>
      </c>
      <c r="C295" t="s">
        <v>1</v>
      </c>
      <c r="D295" s="3">
        <v>12029</v>
      </c>
      <c r="E295" s="3" t="s">
        <v>426</v>
      </c>
      <c r="G295" s="3" t="s">
        <v>406</v>
      </c>
      <c r="H295" s="3" t="s">
        <v>413</v>
      </c>
      <c r="I295" s="3">
        <f>IF(H295="","",IF(H295="DNS",0,IF(H295="DQ",0,IF(H295="DNF",1,IF(AND(ISNUMBER(H295),H295&gt;59),1,_xlfn.XLOOKUP(H295,tbl_points[Place],tbl_points[Points],""))))))</f>
        <v>0</v>
      </c>
      <c r="J295" s="3" t="s">
        <v>413</v>
      </c>
      <c r="K295" s="3">
        <f>IF(J295="","",IF(J295="DNS",0,IF(J295="DQ",0,IF(J295="DNF",1,IF(AND(ISNUMBER(J295),J295&gt;59),1,_xlfn.XLOOKUP(J295,tbl_points[Place],tbl_points[Points],""))))))</f>
        <v>0</v>
      </c>
      <c r="M295" s="3" t="str">
        <f>IF(L295="","",IF(L295="DNS",0,IF(L295="DQ",0,IF(L295="DNF",1,IF(AND(ISNUMBER(L295),L295&gt;59),1,_xlfn.XLOOKUP(L295,tbl_points[Place],tbl_points[Points],""))))))</f>
        <v/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5" s="3">
        <f>tbl_individual[[#This Row],[Total]]</f>
        <v>0</v>
      </c>
    </row>
    <row r="296" spans="1:22" hidden="1" x14ac:dyDescent="0.4">
      <c r="A296" t="s">
        <v>140</v>
      </c>
      <c r="B296" t="s">
        <v>14</v>
      </c>
      <c r="C296" t="s">
        <v>1</v>
      </c>
      <c r="D296" s="3">
        <v>12031</v>
      </c>
      <c r="E296" s="3" t="s">
        <v>426</v>
      </c>
      <c r="G296" s="3" t="s">
        <v>406</v>
      </c>
      <c r="H296" s="3">
        <v>25</v>
      </c>
      <c r="I296" s="3">
        <f>IF(H296="","",IF(H296="DNS",0,IF(H296="DQ",0,IF(H296="DNF",1,IF(AND(ISNUMBER(H296),H296&gt;59),1,_xlfn.XLOOKUP(H296,tbl_points[Place],tbl_points[Points],""))))))</f>
        <v>35</v>
      </c>
      <c r="J296" s="3" t="s">
        <v>413</v>
      </c>
      <c r="K296" s="3">
        <f>IF(J296="","",IF(J296="DNS",0,IF(J296="DQ",0,IF(J296="DNF",1,IF(AND(ISNUMBER(J296),J296&gt;59),1,_xlfn.XLOOKUP(J296,tbl_points[Place],tbl_points[Points],""))))))</f>
        <v>0</v>
      </c>
      <c r="M296" s="3" t="str">
        <f>IF(L296="","",IF(L296="DNS",0,IF(L296="DQ",0,IF(L296="DNF",1,IF(AND(ISNUMBER(L296),L296&gt;59),1,_xlfn.XLOOKUP(L296,tbl_points[Place],tbl_points[Points],""))))))</f>
        <v/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35</v>
      </c>
    </row>
    <row r="297" spans="1:22" hidden="1" x14ac:dyDescent="0.4">
      <c r="A297" t="s">
        <v>151</v>
      </c>
      <c r="B297" t="s">
        <v>15</v>
      </c>
      <c r="C297" t="s">
        <v>1</v>
      </c>
      <c r="D297" s="3">
        <v>12032</v>
      </c>
      <c r="E297" s="3" t="s">
        <v>426</v>
      </c>
      <c r="G297" s="3" t="s">
        <v>410</v>
      </c>
      <c r="H297" s="3" t="s">
        <v>412</v>
      </c>
      <c r="I297" s="3">
        <f>IF(H297="","",IF(H297="DNS",0,IF(H297="DQ",0,IF(H297="DNF",1,IF(AND(ISNUMBER(H297),H297&gt;59),1,_xlfn.XLOOKUP(H297,tbl_points[Place],tbl_points[Points],""))))))</f>
        <v>1</v>
      </c>
      <c r="J297" s="3" t="s">
        <v>413</v>
      </c>
      <c r="K297" s="3">
        <f>IF(J297="","",IF(J297="DNS",0,IF(J297="DQ",0,IF(J297="DNF",1,IF(AND(ISNUMBER(J297),J297&gt;59),1,_xlfn.XLOOKUP(J297,tbl_points[Place],tbl_points[Points],""))))))</f>
        <v>0</v>
      </c>
      <c r="M297" s="3" t="str">
        <f>IF(L297="","",IF(L297="DNS",0,IF(L297="DQ",0,IF(L297="DNF",1,IF(AND(ISNUMBER(L297),L297&gt;59),1,_xlfn.XLOOKUP(L297,tbl_points[Place],tbl_points[Points],""))))))</f>
        <v/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1</v>
      </c>
    </row>
    <row r="298" spans="1:22" hidden="1" x14ac:dyDescent="0.4">
      <c r="A298" t="s">
        <v>134</v>
      </c>
      <c r="B298" t="s">
        <v>13</v>
      </c>
      <c r="C298" t="s">
        <v>2</v>
      </c>
      <c r="D298" s="3">
        <v>1230</v>
      </c>
      <c r="E298" s="3" t="s">
        <v>426</v>
      </c>
      <c r="G298" s="3" t="s">
        <v>410</v>
      </c>
      <c r="H298" s="3" t="s">
        <v>413</v>
      </c>
      <c r="I298" s="3">
        <f>IF(H298="","",IF(H298="DNS",0,IF(H298="DQ",0,IF(H298="DNF",1,IF(AND(ISNUMBER(H298),H298&gt;59),1,_xlfn.XLOOKUP(H298,tbl_points[Place],tbl_points[Points],""))))))</f>
        <v>0</v>
      </c>
      <c r="J298" s="3" t="s">
        <v>413</v>
      </c>
      <c r="K298" s="3">
        <f>IF(J298="","",IF(J298="DNS",0,IF(J298="DQ",0,IF(J298="DNF",1,IF(AND(ISNUMBER(J298),J298&gt;59),1,_xlfn.XLOOKUP(J298,tbl_points[Place],tbl_points[Points],""))))))</f>
        <v>0</v>
      </c>
      <c r="M298" s="3" t="str">
        <f>IF(L298="","",IF(L298="DNS",0,IF(L298="DQ",0,IF(L298="DNF",1,IF(AND(ISNUMBER(L298),L298&gt;59),1,_xlfn.XLOOKUP(L298,tbl_points[Place],tbl_points[Points],""))))))</f>
        <v/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0</v>
      </c>
    </row>
    <row r="299" spans="1:22" x14ac:dyDescent="0.4">
      <c r="A299" t="s">
        <v>138</v>
      </c>
      <c r="B299" t="s">
        <v>14</v>
      </c>
      <c r="C299" t="s">
        <v>7</v>
      </c>
      <c r="D299" s="3">
        <v>8195</v>
      </c>
      <c r="E299" s="3" t="s">
        <v>426</v>
      </c>
      <c r="G299" s="3" t="s">
        <v>406</v>
      </c>
      <c r="H299" s="3" t="s">
        <v>413</v>
      </c>
      <c r="I299" s="3">
        <f>IF(H299="","",IF(H299="DNS",0,IF(H299="DQ",0,IF(H299="DNF",1,IF(AND(ISNUMBER(H299),H299&gt;59),1,_xlfn.XLOOKUP(H299,tbl_points[Place],tbl_points[Points],""))))))</f>
        <v>0</v>
      </c>
      <c r="J299" s="3" t="s">
        <v>413</v>
      </c>
      <c r="K299" s="3">
        <f>IF(J299="","",IF(J299="DNS",0,IF(J299="DQ",0,IF(J299="DNF",1,IF(AND(ISNUMBER(J299),J299&gt;59),1,_xlfn.XLOOKUP(J299,tbl_points[Place],tbl_points[Points],""))))))</f>
        <v>0</v>
      </c>
      <c r="M299" s="3" t="str">
        <f>IF(L299="","",IF(L299="DNS",0,IF(L299="DQ",0,IF(L299="DNF",1,IF(AND(ISNUMBER(L299),L299&gt;59),1,_xlfn.XLOOKUP(L299,tbl_points[Place],tbl_points[Points],""))))))</f>
        <v/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</f>
        <v>0</v>
      </c>
    </row>
    <row r="300" spans="1:22" x14ac:dyDescent="0.4">
      <c r="A300" t="s">
        <v>143</v>
      </c>
      <c r="B300" t="s">
        <v>15</v>
      </c>
      <c r="C300" t="s">
        <v>7</v>
      </c>
      <c r="D300" s="3">
        <v>8199</v>
      </c>
      <c r="E300" s="3" t="s">
        <v>426</v>
      </c>
      <c r="G300" s="3" t="s">
        <v>406</v>
      </c>
      <c r="H300" s="3" t="s">
        <v>413</v>
      </c>
      <c r="I300" s="3">
        <f>IF(H300="","",IF(H300="DNS",0,IF(H300="DQ",0,IF(H300="DNF",1,IF(AND(ISNUMBER(H300),H300&gt;59),1,_xlfn.XLOOKUP(H300,tbl_points[Place],tbl_points[Points],""))))))</f>
        <v>0</v>
      </c>
      <c r="J300" s="3" t="s">
        <v>413</v>
      </c>
      <c r="K300" s="3">
        <f>IF(J300="","",IF(J300="DNS",0,IF(J300="DQ",0,IF(J300="DNF",1,IF(AND(ISNUMBER(J300),J300&gt;59),1,_xlfn.XLOOKUP(J300,tbl_points[Place],tbl_points[Points],""))))))</f>
        <v>0</v>
      </c>
      <c r="M300" s="3" t="str">
        <f>IF(L300="","",IF(L300="DNS",0,IF(L300="DQ",0,IF(L300="DNF",1,IF(AND(ISNUMBER(L300),L300&gt;59),1,_xlfn.XLOOKUP(L300,tbl_points[Place],tbl_points[Points],""))))))</f>
        <v/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0</v>
      </c>
    </row>
    <row r="301" spans="1:22" x14ac:dyDescent="0.4">
      <c r="A301" t="s">
        <v>411</v>
      </c>
      <c r="B301" t="s">
        <v>17</v>
      </c>
      <c r="C301" t="s">
        <v>7</v>
      </c>
      <c r="D301" s="3">
        <v>839</v>
      </c>
      <c r="E301" s="3" t="s">
        <v>426</v>
      </c>
      <c r="G301" s="3" t="s">
        <v>410</v>
      </c>
      <c r="H301" s="3">
        <v>4</v>
      </c>
      <c r="I301" s="3">
        <f>IF(H301="","",IF(H301="DNS",0,IF(H301="DQ",0,IF(H301="DNF",1,IF(AND(ISNUMBER(H301),H301&gt;59),1,_xlfn.XLOOKUP(H301,tbl_points[Place],tbl_points[Points],""))))))</f>
        <v>85</v>
      </c>
      <c r="J301" s="3" t="s">
        <v>413</v>
      </c>
      <c r="K301" s="3">
        <f>IF(J301="","",IF(J301="DNS",0,IF(J301="DQ",0,IF(J301="DNF",1,IF(AND(ISNUMBER(J301),J301&gt;59),1,_xlfn.XLOOKUP(J301,tbl_points[Place],tbl_points[Points],""))))))</f>
        <v>0</v>
      </c>
      <c r="M301" s="3" t="str">
        <f>IF(L301="","",IF(L301="DNS",0,IF(L301="DQ",0,IF(L301="DNF",1,IF(AND(ISNUMBER(L301),L301&gt;59),1,_xlfn.XLOOKUP(L301,tbl_points[Place],tbl_points[Points],""))))))</f>
        <v/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</f>
        <v>85</v>
      </c>
    </row>
    <row r="302" spans="1:22" x14ac:dyDescent="0.4">
      <c r="A302" t="s">
        <v>171</v>
      </c>
      <c r="B302" t="s">
        <v>18</v>
      </c>
      <c r="C302" t="s">
        <v>7</v>
      </c>
      <c r="D302" s="3">
        <v>806</v>
      </c>
      <c r="E302" s="3" t="s">
        <v>426</v>
      </c>
      <c r="G302" s="3" t="s">
        <v>406</v>
      </c>
      <c r="H302" s="3" t="s">
        <v>413</v>
      </c>
      <c r="I302" s="3">
        <f>IF(H302="","",IF(H302="DNS",0,IF(H302="DQ",0,IF(H302="DNF",1,IF(AND(ISNUMBER(H302),H302&gt;59),1,_xlfn.XLOOKUP(H302,tbl_points[Place],tbl_points[Points],""))))))</f>
        <v>0</v>
      </c>
      <c r="J302" s="3" t="s">
        <v>413</v>
      </c>
      <c r="K302" s="3">
        <f>IF(J302="","",IF(J302="DNS",0,IF(J302="DQ",0,IF(J302="DNF",1,IF(AND(ISNUMBER(J302),J302&gt;59),1,_xlfn.XLOOKUP(J302,tbl_points[Place],tbl_points[Points],""))))))</f>
        <v>0</v>
      </c>
      <c r="M302" s="3" t="str">
        <f>IF(L302="","",IF(L302="DNS",0,IF(L302="DQ",0,IF(L302="DNF",1,IF(AND(ISNUMBER(L302),L302&gt;59),1,_xlfn.XLOOKUP(L302,tbl_points[Place],tbl_points[Points],""))))))</f>
        <v/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2" s="3">
        <f>tbl_individual[[#This Row],[Total]]</f>
        <v>0</v>
      </c>
    </row>
    <row r="303" spans="1:22" hidden="1" x14ac:dyDescent="0.4">
      <c r="A303" t="s">
        <v>334</v>
      </c>
      <c r="B303" t="s">
        <v>28</v>
      </c>
      <c r="C303" t="s">
        <v>3</v>
      </c>
      <c r="E303" s="3" t="s">
        <v>438</v>
      </c>
      <c r="F303" s="17" t="s">
        <v>439</v>
      </c>
      <c r="K303" s="3" t="str">
        <f>IF(J303="","",IF(J303="DNS",0,IF(J303="DQ",0,IF(J303="DNF",1,IF(AND(ISNUMBER(J303),J303&gt;59),1,_xlfn.XLOOKUP(J303,tbl_points[Place],tbl_points[Points],""))))))</f>
        <v/>
      </c>
      <c r="M303" s="3" t="str">
        <f>IF(L303="","",IF(L303="DNS",0,IF(L303="DQ",0,IF(L303="DNF",1,IF(AND(ISNUMBER(L303),L303&gt;59),1,_xlfn.XLOOKUP(L303,tbl_points[Place],tbl_points[Points],""))))))</f>
        <v/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0</v>
      </c>
    </row>
    <row r="304" spans="1:22" hidden="1" x14ac:dyDescent="0.4">
      <c r="A304" t="s">
        <v>87</v>
      </c>
      <c r="B304" t="s">
        <v>10</v>
      </c>
      <c r="C304" t="s">
        <v>3</v>
      </c>
      <c r="D304" s="3">
        <v>10115</v>
      </c>
      <c r="E304" s="3" t="s">
        <v>426</v>
      </c>
      <c r="G304" s="3" t="s">
        <v>406</v>
      </c>
      <c r="H304" s="3">
        <v>19</v>
      </c>
      <c r="I304" s="3">
        <f>IF(H304="","",IF(H304="DNS",0,IF(H304="DQ",0,IF(H304="DNF",1,IF(AND(ISNUMBER(H304),H304&gt;59),1,_xlfn.XLOOKUP(H304,tbl_points[Place],tbl_points[Points],""))))))</f>
        <v>41</v>
      </c>
      <c r="J304" s="3">
        <v>10</v>
      </c>
      <c r="K304" s="3">
        <f>IF(J304="","",IF(J304="DNS",0,IF(J304="DQ",0,IF(J304="DNF",1,IF(AND(ISNUMBER(J304),J304&gt;59),1,_xlfn.XLOOKUP(J304,tbl_points[Place],tbl_points[Points],""))))))</f>
        <v>55</v>
      </c>
      <c r="M304" s="3" t="str">
        <f>IF(L304="","",IF(L304="DNS",0,IF(L304="DQ",0,IF(L304="DNF",1,IF(AND(ISNUMBER(L304),L304&gt;59),1,_xlfn.XLOOKUP(L304,tbl_points[Place],tbl_points[Points],""))))))</f>
        <v/>
      </c>
      <c r="O304" s="3" t="str">
        <f>IF(N304="","",IF(N304="DNS",0,IF(N304="DQ",0,IF(N304="DNF",1,IF(AND(ISNUMBER(N304),N304&gt;59),1,_xlfn.XLOOKUP(N304,tbl_points[Place],tbl_points[Points],""))))))</f>
        <v/>
      </c>
      <c r="Q304" s="3" t="str">
        <f>IF(P304="","",IF(P304="DNS",0,IF(P304="DQ",0,IF(P304="DNF",1,IF(AND(ISNUMBER(P304),P304&gt;59),1,_xlfn.XLOOKUP(P304,tbl_points[Place],tbl_points[Points],""))))))</f>
        <v/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304" s="3">
        <f>tbl_individual[[#This Row],[Total]]</f>
        <v>96</v>
      </c>
    </row>
    <row r="305" spans="1:22" hidden="1" x14ac:dyDescent="0.4">
      <c r="A305" t="s">
        <v>139</v>
      </c>
      <c r="B305" t="s">
        <v>14</v>
      </c>
      <c r="C305" t="s">
        <v>5</v>
      </c>
      <c r="D305" s="3">
        <v>961</v>
      </c>
      <c r="E305" s="3" t="s">
        <v>426</v>
      </c>
      <c r="F305" s="17" t="s">
        <v>433</v>
      </c>
      <c r="G305" s="3" t="s">
        <v>406</v>
      </c>
      <c r="H305" s="3">
        <v>3</v>
      </c>
      <c r="I305" s="3">
        <f>IF(H305="","",IF(H305="DNS",0,IF(H305="DQ",0,IF(H305="DNF",1,IF(AND(ISNUMBER(H305),H305&gt;59),1,_xlfn.XLOOKUP(H305,tbl_points[Place],tbl_points[Points],""))))))</f>
        <v>90</v>
      </c>
      <c r="J305" s="3" t="s">
        <v>413</v>
      </c>
      <c r="K305" s="3">
        <f>IF(J305="","",IF(J305="DNS",0,IF(J305="DQ",0,IF(J305="DNF",1,IF(AND(ISNUMBER(J305),J305&gt;59),1,_xlfn.XLOOKUP(J305,tbl_points[Place],tbl_points[Points],""))))))</f>
        <v>0</v>
      </c>
      <c r="M305" s="3" t="str">
        <f>IF(L305="","",IF(L305="DNS",0,IF(L305="DQ",0,IF(L305="DNF",1,IF(AND(ISNUMBER(L305),L305&gt;59),1,_xlfn.XLOOKUP(L305,tbl_points[Place],tbl_points[Points],""))))))</f>
        <v/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90</v>
      </c>
    </row>
    <row r="306" spans="1:22" hidden="1" x14ac:dyDescent="0.4">
      <c r="A306" t="s">
        <v>156</v>
      </c>
      <c r="B306" t="s">
        <v>16</v>
      </c>
      <c r="C306" t="s">
        <v>5</v>
      </c>
      <c r="D306" s="3">
        <v>915</v>
      </c>
      <c r="E306" s="3" t="s">
        <v>426</v>
      </c>
      <c r="F306" s="17" t="s">
        <v>430</v>
      </c>
      <c r="G306" s="3" t="s">
        <v>406</v>
      </c>
      <c r="H306" s="3">
        <v>32</v>
      </c>
      <c r="I306" s="3">
        <f>IF(H306="","",IF(H306="DNS",0,IF(H306="DQ",0,IF(H306="DNF",1,IF(AND(ISNUMBER(H306),H306&gt;59),1,_xlfn.XLOOKUP(H306,tbl_points[Place],tbl_points[Points],""))))))</f>
        <v>28</v>
      </c>
      <c r="J306" s="3" t="s">
        <v>413</v>
      </c>
      <c r="K306" s="3">
        <f>IF(J306="","",IF(J306="DNS",0,IF(J306="DQ",0,IF(J306="DNF",1,IF(AND(ISNUMBER(J306),J306&gt;59),1,_xlfn.XLOOKUP(J306,tbl_points[Place],tbl_points[Points],""))))))</f>
        <v>0</v>
      </c>
      <c r="M306" s="3" t="str">
        <f>IF(L306="","",IF(L306="DNS",0,IF(L306="DQ",0,IF(L306="DNF",1,IF(AND(ISNUMBER(L306),L306&gt;59),1,_xlfn.XLOOKUP(L306,tbl_points[Place],tbl_points[Points],""))))))</f>
        <v/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28</v>
      </c>
    </row>
    <row r="307" spans="1:22" hidden="1" x14ac:dyDescent="0.4">
      <c r="A307" t="s">
        <v>165</v>
      </c>
      <c r="B307" t="s">
        <v>17</v>
      </c>
      <c r="C307" t="s">
        <v>5</v>
      </c>
      <c r="D307" s="3">
        <v>955</v>
      </c>
      <c r="E307" s="3" t="s">
        <v>426</v>
      </c>
      <c r="G307" s="3" t="s">
        <v>410</v>
      </c>
      <c r="H307" s="3" t="s">
        <v>413</v>
      </c>
      <c r="I307" s="3">
        <f>IF(H307="","",IF(H307="DNS",0,IF(H307="DQ",0,IF(H307="DNF",1,IF(AND(ISNUMBER(H307),H307&gt;59),1,_xlfn.XLOOKUP(H307,tbl_points[Place],tbl_points[Points],""))))))</f>
        <v>0</v>
      </c>
      <c r="J307" s="3" t="s">
        <v>413</v>
      </c>
      <c r="K307" s="3">
        <f>IF(J307="","",IF(J307="DNS",0,IF(J307="DQ",0,IF(J307="DNF",1,IF(AND(ISNUMBER(J307),J307&gt;59),1,_xlfn.XLOOKUP(J307,tbl_points[Place],tbl_points[Points],""))))))</f>
        <v>0</v>
      </c>
      <c r="M307" s="3" t="str">
        <f>IF(L307="","",IF(L307="DNS",0,IF(L307="DQ",0,IF(L307="DNF",1,IF(AND(ISNUMBER(L307),L307&gt;59),1,_xlfn.XLOOKUP(L307,tbl_points[Place],tbl_points[Points],""))))))</f>
        <v/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0</v>
      </c>
    </row>
    <row r="308" spans="1:22" hidden="1" x14ac:dyDescent="0.4">
      <c r="A308" t="s">
        <v>176</v>
      </c>
      <c r="B308" t="s">
        <v>19</v>
      </c>
      <c r="C308" t="s">
        <v>5</v>
      </c>
      <c r="D308" s="3">
        <v>918</v>
      </c>
      <c r="E308" s="3" t="s">
        <v>426</v>
      </c>
      <c r="G308" s="3" t="s">
        <v>410</v>
      </c>
      <c r="H308" s="3" t="s">
        <v>413</v>
      </c>
      <c r="I308" s="3">
        <f>IF(H308="","",IF(H308="DNS",0,IF(H308="DQ",0,IF(H308="DNF",1,IF(AND(ISNUMBER(H308),H308&gt;59),1,_xlfn.XLOOKUP(H308,tbl_points[Place],tbl_points[Points],""))))))</f>
        <v>0</v>
      </c>
      <c r="J308" s="3" t="s">
        <v>413</v>
      </c>
      <c r="K308" s="3">
        <f>IF(J308="","",IF(J308="DNS",0,IF(J308="DQ",0,IF(J308="DNF",1,IF(AND(ISNUMBER(J308),J308&gt;59),1,_xlfn.XLOOKUP(J308,tbl_points[Place],tbl_points[Points],""))))))</f>
        <v>0</v>
      </c>
      <c r="M308" s="3" t="str">
        <f>IF(L308="","",IF(L308="DNS",0,IF(L308="DQ",0,IF(L308="DNF",1,IF(AND(ISNUMBER(L308),L308&gt;59),1,_xlfn.XLOOKUP(L308,tbl_points[Place],tbl_points[Points],""))))))</f>
        <v/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0</v>
      </c>
    </row>
    <row r="309" spans="1:22" s="11" customFormat="1" hidden="1" x14ac:dyDescent="0.4">
      <c r="A309" t="s">
        <v>250</v>
      </c>
      <c r="B309" t="s">
        <v>23</v>
      </c>
      <c r="C309" t="s">
        <v>5</v>
      </c>
      <c r="D309" s="3">
        <v>925</v>
      </c>
      <c r="E309" s="3" t="s">
        <v>426</v>
      </c>
      <c r="F309" s="17"/>
      <c r="G309" s="3" t="s">
        <v>410</v>
      </c>
      <c r="H309" s="3" t="s">
        <v>413</v>
      </c>
      <c r="I309" s="3">
        <f>IF(H309="","",IF(H309="DNS",0,IF(H309="DQ",0,IF(H309="DNF",1,IF(AND(ISNUMBER(H309),H309&gt;59),1,_xlfn.XLOOKUP(H309,tbl_points[Place],tbl_points[Points],""))))))</f>
        <v>0</v>
      </c>
      <c r="J309" s="3" t="s">
        <v>413</v>
      </c>
      <c r="K309" s="3">
        <f>IF(J309="","",IF(J309="DNS",0,IF(J309="DQ",0,IF(J309="DNF",1,IF(AND(ISNUMBER(J309),J309&gt;59),1,_xlfn.XLOOKUP(J309,tbl_points[Place],tbl_points[Points],""))))))</f>
        <v>0</v>
      </c>
      <c r="L309" s="3"/>
      <c r="M309" s="3" t="str">
        <f>IF(L309="","",IF(L309="DNS",0,IF(L309="DQ",0,IF(L309="DNF",1,IF(AND(ISNUMBER(L309),L309&gt;59),1,_xlfn.XLOOKUP(L309,tbl_points[Place],tbl_points[Points],""))))))</f>
        <v/>
      </c>
      <c r="N309" s="3"/>
      <c r="O309" s="3" t="str">
        <f>IF(N309="","",IF(N309="DNS",0,IF(N309="DQ",0,IF(N309="DNF",1,IF(AND(ISNUMBER(N309),N309&gt;59),1,_xlfn.XLOOKUP(N309,tbl_points[Place],tbl_points[Points],""))))))</f>
        <v/>
      </c>
      <c r="P309" s="3"/>
      <c r="Q309" s="3" t="str">
        <f>IF(P309="","",IF(P309="DNS",0,IF(P309="DQ",0,IF(P309="DNF",1,IF(AND(ISNUMBER(P309),P309&gt;59),1,_xlfn.XLOOKUP(P309,tbl_points[Place],tbl_points[Points],""))))))</f>
        <v/>
      </c>
      <c r="R309" s="3"/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0</v>
      </c>
    </row>
    <row r="310" spans="1:22" hidden="1" x14ac:dyDescent="0.4">
      <c r="A310" t="s">
        <v>152</v>
      </c>
      <c r="B310" t="s">
        <v>15</v>
      </c>
      <c r="C310" t="s">
        <v>1</v>
      </c>
      <c r="D310" s="3">
        <v>12033</v>
      </c>
      <c r="E310" s="3" t="s">
        <v>426</v>
      </c>
      <c r="G310" s="3" t="s">
        <v>410</v>
      </c>
      <c r="H310" s="3">
        <v>5</v>
      </c>
      <c r="I310" s="3">
        <f>IF(H310="","",IF(H310="DNS",0,IF(H310="DQ",0,IF(H310="DNF",1,IF(AND(ISNUMBER(H310),H310&gt;59),1,_xlfn.XLOOKUP(H310,tbl_points[Place],tbl_points[Points],""))))))</f>
        <v>80</v>
      </c>
      <c r="J310" s="3" t="s">
        <v>413</v>
      </c>
      <c r="K310" s="3">
        <f>IF(J310="","",IF(J310="DNS",0,IF(J310="DQ",0,IF(J310="DNF",1,IF(AND(ISNUMBER(J310),J310&gt;59),1,_xlfn.XLOOKUP(J310,tbl_points[Place],tbl_points[Points],""))))))</f>
        <v>0</v>
      </c>
      <c r="M310" s="3" t="str">
        <f>IF(L310="","",IF(L310="DNS",0,IF(L310="DQ",0,IF(L310="DNF",1,IF(AND(ISNUMBER(L310),L310&gt;59),1,_xlfn.XLOOKUP(L310,tbl_points[Place],tbl_points[Points],""))))))</f>
        <v/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80</v>
      </c>
    </row>
    <row r="311" spans="1:22" hidden="1" x14ac:dyDescent="0.4">
      <c r="A311" t="s">
        <v>180</v>
      </c>
      <c r="B311" t="s">
        <v>19</v>
      </c>
      <c r="C311" t="s">
        <v>1</v>
      </c>
      <c r="D311" s="3">
        <v>12036</v>
      </c>
      <c r="E311" s="3" t="s">
        <v>426</v>
      </c>
      <c r="G311" s="3" t="s">
        <v>410</v>
      </c>
      <c r="H311" s="3" t="s">
        <v>413</v>
      </c>
      <c r="I311" s="3">
        <f>IF(H311="","",IF(H311="DNS",0,IF(H311="DQ",0,IF(H311="DNF",1,IF(AND(ISNUMBER(H311),H311&gt;59),1,_xlfn.XLOOKUP(H311,tbl_points[Place],tbl_points[Points],""))))))</f>
        <v>0</v>
      </c>
      <c r="J311" s="3" t="s">
        <v>413</v>
      </c>
      <c r="K311" s="3">
        <f>IF(J311="","",IF(J311="DNS",0,IF(J311="DQ",0,IF(J311="DNF",1,IF(AND(ISNUMBER(J311),J311&gt;59),1,_xlfn.XLOOKUP(J311,tbl_points[Place],tbl_points[Points],""))))))</f>
        <v>0</v>
      </c>
      <c r="M311" s="3" t="str">
        <f>IF(L311="","",IF(L311="DNS",0,IF(L311="DQ",0,IF(L311="DNF",1,IF(AND(ISNUMBER(L311),L311&gt;59),1,_xlfn.XLOOKUP(L311,tbl_points[Place],tbl_points[Points],""))))))</f>
        <v/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0</v>
      </c>
    </row>
    <row r="312" spans="1:22" hidden="1" x14ac:dyDescent="0.4">
      <c r="A312" t="s">
        <v>181</v>
      </c>
      <c r="B312" t="s">
        <v>19</v>
      </c>
      <c r="C312" t="s">
        <v>1</v>
      </c>
      <c r="D312" s="3">
        <v>12037</v>
      </c>
      <c r="E312" s="3" t="s">
        <v>426</v>
      </c>
      <c r="G312" s="3" t="s">
        <v>410</v>
      </c>
      <c r="H312" s="3" t="s">
        <v>413</v>
      </c>
      <c r="I312" s="3">
        <f>IF(H312="","",IF(H312="DNS",0,IF(H312="DQ",0,IF(H312="DNF",1,IF(AND(ISNUMBER(H312),H312&gt;59),1,_xlfn.XLOOKUP(H312,tbl_points[Place],tbl_points[Points],""))))))</f>
        <v>0</v>
      </c>
      <c r="J312" s="3" t="s">
        <v>413</v>
      </c>
      <c r="K312" s="3">
        <f>IF(J312="","",IF(J312="DNS",0,IF(J312="DQ",0,IF(J312="DNF",1,IF(AND(ISNUMBER(J312),J312&gt;59),1,_xlfn.XLOOKUP(J312,tbl_points[Place],tbl_points[Points],""))))))</f>
        <v>0</v>
      </c>
      <c r="M312" s="3" t="str">
        <f>IF(L312="","",IF(L312="DNS",0,IF(L312="DQ",0,IF(L312="DNF",1,IF(AND(ISNUMBER(L312),L312&gt;59),1,_xlfn.XLOOKUP(L312,tbl_points[Place],tbl_points[Points],""))))))</f>
        <v/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0</v>
      </c>
    </row>
    <row r="313" spans="1:22" hidden="1" x14ac:dyDescent="0.4">
      <c r="A313" t="s">
        <v>227</v>
      </c>
      <c r="B313" t="s">
        <v>21</v>
      </c>
      <c r="C313" t="s">
        <v>1</v>
      </c>
      <c r="D313" s="3">
        <v>12053</v>
      </c>
      <c r="E313" s="3" t="s">
        <v>426</v>
      </c>
      <c r="G313" s="3" t="s">
        <v>410</v>
      </c>
      <c r="H313" s="3">
        <v>31</v>
      </c>
      <c r="I313" s="3">
        <f>IF(H313="","",IF(H313="DNS",0,IF(H313="DQ",0,IF(H313="DNF",1,IF(AND(ISNUMBER(H313),H313&gt;59),1,_xlfn.XLOOKUP(H313,tbl_points[Place],tbl_points[Points],""))))))</f>
        <v>29</v>
      </c>
      <c r="J313" s="3" t="s">
        <v>413</v>
      </c>
      <c r="K313" s="3">
        <f>IF(J313="","",IF(J313="DNS",0,IF(J313="DQ",0,IF(J313="DNF",1,IF(AND(ISNUMBER(J313),J313&gt;59),1,_xlfn.XLOOKUP(J313,tbl_points[Place],tbl_points[Points],""))))))</f>
        <v>0</v>
      </c>
      <c r="M313" s="3" t="str">
        <f>IF(L313="","",IF(L313="DNS",0,IF(L313="DQ",0,IF(L313="DNF",1,IF(AND(ISNUMBER(L313),L313&gt;59),1,_xlfn.XLOOKUP(L313,tbl_points[Place],tbl_points[Points],""))))))</f>
        <v/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29</v>
      </c>
    </row>
    <row r="314" spans="1:22" hidden="1" x14ac:dyDescent="0.4">
      <c r="A314" t="s">
        <v>228</v>
      </c>
      <c r="B314" t="s">
        <v>21</v>
      </c>
      <c r="C314" t="s">
        <v>1</v>
      </c>
      <c r="D314" s="3">
        <v>12054</v>
      </c>
      <c r="E314" s="3" t="s">
        <v>426</v>
      </c>
      <c r="G314" s="3" t="s">
        <v>410</v>
      </c>
      <c r="H314" s="3" t="s">
        <v>413</v>
      </c>
      <c r="I314" s="3">
        <f>IF(H314="","",IF(H314="DNS",0,IF(H314="DQ",0,IF(H314="DNF",1,IF(AND(ISNUMBER(H314),H314&gt;59),1,_xlfn.XLOOKUP(H314,tbl_points[Place],tbl_points[Points],""))))))</f>
        <v>0</v>
      </c>
      <c r="J314" s="3" t="s">
        <v>413</v>
      </c>
      <c r="K314" s="3">
        <f>IF(J314="","",IF(J314="DNS",0,IF(J314="DQ",0,IF(J314="DNF",1,IF(AND(ISNUMBER(J314),J314&gt;59),1,_xlfn.XLOOKUP(J314,tbl_points[Place],tbl_points[Points],""))))))</f>
        <v>0</v>
      </c>
      <c r="M314" s="3" t="str">
        <f>IF(L314="","",IF(L314="DNS",0,IF(L314="DQ",0,IF(L314="DNF",1,IF(AND(ISNUMBER(L314),L314&gt;59),1,_xlfn.XLOOKUP(L314,tbl_points[Place],tbl_points[Points],""))))))</f>
        <v/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0</v>
      </c>
    </row>
    <row r="315" spans="1:22" hidden="1" x14ac:dyDescent="0.4">
      <c r="A315" t="s">
        <v>233</v>
      </c>
      <c r="B315" t="s">
        <v>21</v>
      </c>
      <c r="C315" t="s">
        <v>1</v>
      </c>
      <c r="D315" s="3">
        <v>12059</v>
      </c>
      <c r="E315" s="3" t="s">
        <v>426</v>
      </c>
      <c r="G315" s="3" t="s">
        <v>410</v>
      </c>
      <c r="H315" s="3" t="s">
        <v>413</v>
      </c>
      <c r="I315" s="3">
        <f>IF(H315="","",IF(H315="DNS",0,IF(H315="DQ",0,IF(H315="DNF",1,IF(AND(ISNUMBER(H315),H315&gt;59),1,_xlfn.XLOOKUP(H315,tbl_points[Place],tbl_points[Points],""))))))</f>
        <v>0</v>
      </c>
      <c r="J315" s="3" t="s">
        <v>413</v>
      </c>
      <c r="K315" s="3">
        <f>IF(J315="","",IF(J315="DNS",0,IF(J315="DQ",0,IF(J315="DNF",1,IF(AND(ISNUMBER(J315),J315&gt;59),1,_xlfn.XLOOKUP(J315,tbl_points[Place],tbl_points[Points],""))))))</f>
        <v>0</v>
      </c>
      <c r="M315" s="3" t="str">
        <f>IF(L315="","",IF(L315="DNS",0,IF(L315="DQ",0,IF(L315="DNF",1,IF(AND(ISNUMBER(L315),L315&gt;59),1,_xlfn.XLOOKUP(L315,tbl_points[Place],tbl_points[Points],""))))))</f>
        <v/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5" s="3">
        <f>tbl_individual[[#This Row],[Total]]</f>
        <v>0</v>
      </c>
    </row>
    <row r="316" spans="1:22" hidden="1" x14ac:dyDescent="0.4">
      <c r="A316" t="s">
        <v>271</v>
      </c>
      <c r="B316" t="s">
        <v>23</v>
      </c>
      <c r="C316" t="s">
        <v>1</v>
      </c>
      <c r="D316" s="3">
        <v>12064</v>
      </c>
      <c r="E316" s="3" t="s">
        <v>426</v>
      </c>
      <c r="G316" s="3" t="s">
        <v>410</v>
      </c>
      <c r="H316" s="3">
        <v>24</v>
      </c>
      <c r="I316" s="3">
        <f>IF(H316="","",IF(H316="DNS",0,IF(H316="DQ",0,IF(H316="DNF",1,IF(AND(ISNUMBER(H316),H316&gt;59),1,_xlfn.XLOOKUP(H316,tbl_points[Place],tbl_points[Points],""))))))</f>
        <v>36</v>
      </c>
      <c r="J316" s="3" t="s">
        <v>413</v>
      </c>
      <c r="K316" s="3">
        <f>IF(J316="","",IF(J316="DNS",0,IF(J316="DQ",0,IF(J316="DNF",1,IF(AND(ISNUMBER(J316),J316&gt;59),1,_xlfn.XLOOKUP(J316,tbl_points[Place],tbl_points[Points],""))))))</f>
        <v>0</v>
      </c>
      <c r="M316" s="3" t="str">
        <f>IF(L316="","",IF(L316="DNS",0,IF(L316="DQ",0,IF(L316="DNF",1,IF(AND(ISNUMBER(L316),L316&gt;59),1,_xlfn.XLOOKUP(L316,tbl_points[Place],tbl_points[Points],""))))))</f>
        <v/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36</v>
      </c>
    </row>
    <row r="317" spans="1:22" hidden="1" x14ac:dyDescent="0.4">
      <c r="A317" t="s">
        <v>275</v>
      </c>
      <c r="B317" t="s">
        <v>23</v>
      </c>
      <c r="C317" t="s">
        <v>1</v>
      </c>
      <c r="D317" s="3">
        <v>12068</v>
      </c>
      <c r="E317" s="3" t="s">
        <v>426</v>
      </c>
      <c r="G317" s="3" t="s">
        <v>410</v>
      </c>
      <c r="H317" s="3">
        <v>13</v>
      </c>
      <c r="I317" s="3">
        <f>IF(H317="","",IF(H317="DNS",0,IF(H317="DQ",0,IF(H317="DNF",1,IF(AND(ISNUMBER(H317),H317&gt;59),1,_xlfn.XLOOKUP(H317,tbl_points[Place],tbl_points[Points],""))))))</f>
        <v>49</v>
      </c>
      <c r="J317" s="3" t="s">
        <v>413</v>
      </c>
      <c r="K317" s="3">
        <f>IF(J317="","",IF(J317="DNS",0,IF(J317="DQ",0,IF(J317="DNF",1,IF(AND(ISNUMBER(J317),J317&gt;59),1,_xlfn.XLOOKUP(J317,tbl_points[Place],tbl_points[Points],""))))))</f>
        <v>0</v>
      </c>
      <c r="M317" s="3" t="str">
        <f>IF(L317="","",IF(L317="DNS",0,IF(L317="DQ",0,IF(L317="DNF",1,IF(AND(ISNUMBER(L317),L317&gt;59),1,_xlfn.XLOOKUP(L317,tbl_points[Place],tbl_points[Points],""))))))</f>
        <v/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49</v>
      </c>
    </row>
    <row r="318" spans="1:22" hidden="1" x14ac:dyDescent="0.4">
      <c r="A318" t="s">
        <v>135</v>
      </c>
      <c r="B318" t="s">
        <v>13</v>
      </c>
      <c r="C318" t="s">
        <v>2</v>
      </c>
      <c r="D318" s="3">
        <v>1231</v>
      </c>
      <c r="E318" s="3" t="s">
        <v>426</v>
      </c>
      <c r="G318" s="3" t="s">
        <v>406</v>
      </c>
      <c r="H318" s="3" t="s">
        <v>413</v>
      </c>
      <c r="I318" s="3">
        <f>IF(H318="","",IF(H318="DNS",0,IF(H318="DQ",0,IF(H318="DNF",1,IF(AND(ISNUMBER(H318),H318&gt;59),1,_xlfn.XLOOKUP(H318,tbl_points[Place],tbl_points[Points],""))))))</f>
        <v>0</v>
      </c>
      <c r="J318" s="3" t="s">
        <v>413</v>
      </c>
      <c r="K318" s="3">
        <f>IF(J318="","",IF(J318="DNS",0,IF(J318="DQ",0,IF(J318="DNF",1,IF(AND(ISNUMBER(J318),J318&gt;59),1,_xlfn.XLOOKUP(J318,tbl_points[Place],tbl_points[Points],""))))))</f>
        <v>0</v>
      </c>
      <c r="M318" s="3" t="str">
        <f>IF(L318="","",IF(L318="DNS",0,IF(L318="DQ",0,IF(L318="DNF",1,IF(AND(ISNUMBER(L318),L318&gt;59),1,_xlfn.XLOOKUP(L318,tbl_points[Place],tbl_points[Points],""))))))</f>
        <v/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0</v>
      </c>
    </row>
    <row r="319" spans="1:22" x14ac:dyDescent="0.4">
      <c r="A319" t="s">
        <v>172</v>
      </c>
      <c r="B319" t="s">
        <v>18</v>
      </c>
      <c r="C319" t="s">
        <v>7</v>
      </c>
      <c r="D319" s="3">
        <v>807</v>
      </c>
      <c r="E319" s="3" t="s">
        <v>426</v>
      </c>
      <c r="G319" s="3" t="s">
        <v>406</v>
      </c>
      <c r="H319" s="3" t="s">
        <v>413</v>
      </c>
      <c r="I319" s="3">
        <f>IF(H319="","",IF(H319="DNS",0,IF(H319="DQ",0,IF(H319="DNF",1,IF(AND(ISNUMBER(H319),H319&gt;59),1,_xlfn.XLOOKUP(H319,tbl_points[Place],tbl_points[Points],""))))))</f>
        <v>0</v>
      </c>
      <c r="J319" s="3" t="s">
        <v>413</v>
      </c>
      <c r="K319" s="3">
        <f>IF(J319="","",IF(J319="DNS",0,IF(J319="DQ",0,IF(J319="DNF",1,IF(AND(ISNUMBER(J319),J319&gt;59),1,_xlfn.XLOOKUP(J319,tbl_points[Place],tbl_points[Points],""))))))</f>
        <v>0</v>
      </c>
      <c r="M319" s="3" t="str">
        <f>IF(L319="","",IF(L319="DNS",0,IF(L319="DQ",0,IF(L319="DNF",1,IF(AND(ISNUMBER(L319),L319&gt;59),1,_xlfn.XLOOKUP(L319,tbl_points[Place],tbl_points[Points],""))))))</f>
        <v/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0</v>
      </c>
    </row>
    <row r="320" spans="1:22" x14ac:dyDescent="0.4">
      <c r="A320" t="s">
        <v>173</v>
      </c>
      <c r="B320" t="s">
        <v>18</v>
      </c>
      <c r="C320" t="s">
        <v>7</v>
      </c>
      <c r="D320" s="3">
        <v>808</v>
      </c>
      <c r="E320" s="3" t="s">
        <v>426</v>
      </c>
      <c r="G320" s="3" t="s">
        <v>406</v>
      </c>
      <c r="H320" s="3" t="s">
        <v>413</v>
      </c>
      <c r="I320" s="3">
        <f>IF(H320="","",IF(H320="DNS",0,IF(H320="DQ",0,IF(H320="DNF",1,IF(AND(ISNUMBER(H320),H320&gt;59),1,_xlfn.XLOOKUP(H320,tbl_points[Place],tbl_points[Points],""))))))</f>
        <v>0</v>
      </c>
      <c r="J320" s="3" t="s">
        <v>413</v>
      </c>
      <c r="K320" s="3">
        <f>IF(J320="","",IF(J320="DNS",0,IF(J320="DQ",0,IF(J320="DNF",1,IF(AND(ISNUMBER(J320),J320&gt;59),1,_xlfn.XLOOKUP(J320,tbl_points[Place],tbl_points[Points],""))))))</f>
        <v>0</v>
      </c>
      <c r="M320" s="3" t="str">
        <f>IF(L320="","",IF(L320="DNS",0,IF(L320="DQ",0,IF(L320="DNF",1,IF(AND(ISNUMBER(L320),L320&gt;59),1,_xlfn.XLOOKUP(L320,tbl_points[Place],tbl_points[Points],""))))))</f>
        <v/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0</v>
      </c>
    </row>
    <row r="321" spans="1:22" hidden="1" x14ac:dyDescent="0.4">
      <c r="A321" t="s">
        <v>416</v>
      </c>
      <c r="B321" t="s">
        <v>25</v>
      </c>
      <c r="C321" t="s">
        <v>3</v>
      </c>
      <c r="D321" s="3">
        <v>10204</v>
      </c>
      <c r="E321" s="3" t="s">
        <v>426</v>
      </c>
      <c r="G321" s="3" t="s">
        <v>406</v>
      </c>
      <c r="H321" s="3">
        <v>15</v>
      </c>
      <c r="I321" s="3">
        <f>IF(H321="","",IF(H321="DNS",0,IF(H321="DQ",0,IF(H321="DNF",1,IF(AND(ISNUMBER(H321),H321&gt;59),1,_xlfn.XLOOKUP(H321,tbl_points[Place],tbl_points[Points],""))))))</f>
        <v>45</v>
      </c>
      <c r="J321" s="3">
        <v>9</v>
      </c>
      <c r="K321" s="3">
        <f>IF(J321="","",IF(J321="DNS",0,IF(J321="DQ",0,IF(J321="DNF",1,IF(AND(ISNUMBER(J321),J321&gt;59),1,_xlfn.XLOOKUP(J321,tbl_points[Place],tbl_points[Points],""))))))</f>
        <v>60</v>
      </c>
      <c r="M321" s="3" t="str">
        <f>IF(L321="","",IF(L321="DNS",0,IF(L321="DQ",0,IF(L321="DNF",1,IF(AND(ISNUMBER(L321),L321&gt;59),1,_xlfn.XLOOKUP(L321,tbl_points[Place],tbl_points[Points],""))))))</f>
        <v/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21" s="3">
        <f>tbl_individual[[#This Row],[Total]]</f>
        <v>105</v>
      </c>
    </row>
    <row r="322" spans="1:22" hidden="1" x14ac:dyDescent="0.4">
      <c r="A322" t="s">
        <v>251</v>
      </c>
      <c r="B322" t="s">
        <v>23</v>
      </c>
      <c r="C322" t="s">
        <v>5</v>
      </c>
      <c r="D322" s="3">
        <v>926</v>
      </c>
      <c r="E322" s="3" t="s">
        <v>426</v>
      </c>
      <c r="G322" s="3" t="s">
        <v>410</v>
      </c>
      <c r="H322" s="3" t="s">
        <v>413</v>
      </c>
      <c r="I322" s="3">
        <f>IF(H322="","",IF(H322="DNS",0,IF(H322="DQ",0,IF(H322="DNF",1,IF(AND(ISNUMBER(H322),H322&gt;59),1,_xlfn.XLOOKUP(H322,tbl_points[Place],tbl_points[Points],""))))))</f>
        <v>0</v>
      </c>
      <c r="J322" s="3" t="s">
        <v>413</v>
      </c>
      <c r="K322" s="3">
        <f>IF(J322="","",IF(J322="DNS",0,IF(J322="DQ",0,IF(J322="DNF",1,IF(AND(ISNUMBER(J322),J322&gt;59),1,_xlfn.XLOOKUP(J322,tbl_points[Place],tbl_points[Points],""))))))</f>
        <v>0</v>
      </c>
      <c r="M322" s="3" t="str">
        <f>IF(L322="","",IF(L322="DNS",0,IF(L322="DQ",0,IF(L322="DNF",1,IF(AND(ISNUMBER(L322),L322&gt;59),1,_xlfn.XLOOKUP(L322,tbl_points[Place],tbl_points[Points],""))))))</f>
        <v/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0</v>
      </c>
    </row>
    <row r="323" spans="1:22" hidden="1" x14ac:dyDescent="0.4">
      <c r="A323" t="s">
        <v>293</v>
      </c>
      <c r="B323" t="s">
        <v>25</v>
      </c>
      <c r="C323" t="s">
        <v>5</v>
      </c>
      <c r="D323" s="3">
        <v>936</v>
      </c>
      <c r="E323" s="3" t="s">
        <v>426</v>
      </c>
      <c r="G323" s="3" t="s">
        <v>406</v>
      </c>
      <c r="H323" s="3" t="s">
        <v>413</v>
      </c>
      <c r="I323" s="3">
        <f>IF(H323="","",IF(H323="DNS",0,IF(H323="DQ",0,IF(H323="DNF",1,IF(AND(ISNUMBER(H323),H323&gt;59),1,_xlfn.XLOOKUP(H323,tbl_points[Place],tbl_points[Points],""))))))</f>
        <v>0</v>
      </c>
      <c r="J323" s="3" t="s">
        <v>413</v>
      </c>
      <c r="K323" s="3">
        <f>IF(J323="","",IF(J323="DNS",0,IF(J323="DQ",0,IF(J323="DNF",1,IF(AND(ISNUMBER(J323),J323&gt;59),1,_xlfn.XLOOKUP(J323,tbl_points[Place],tbl_points[Points],""))))))</f>
        <v>0</v>
      </c>
      <c r="M323" s="3" t="str">
        <f>IF(L323="","",IF(L323="DNS",0,IF(L323="DQ",0,IF(L323="DNF",1,IF(AND(ISNUMBER(L323),L323&gt;59),1,_xlfn.XLOOKUP(L323,tbl_points[Place],tbl_points[Points],""))))))</f>
        <v/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0</v>
      </c>
    </row>
    <row r="324" spans="1:22" hidden="1" x14ac:dyDescent="0.4">
      <c r="A324" t="s">
        <v>316</v>
      </c>
      <c r="B324" t="s">
        <v>27</v>
      </c>
      <c r="C324" t="s">
        <v>5</v>
      </c>
      <c r="D324" s="3">
        <v>941</v>
      </c>
      <c r="E324" s="3" t="s">
        <v>426</v>
      </c>
      <c r="G324" s="3" t="s">
        <v>410</v>
      </c>
      <c r="H324" s="3" t="s">
        <v>413</v>
      </c>
      <c r="I324" s="3">
        <f>IF(H324="","",IF(H324="DNS",0,IF(H324="DQ",0,IF(H324="DNF",1,IF(AND(ISNUMBER(H324),H324&gt;59),1,_xlfn.XLOOKUP(H324,tbl_points[Place],tbl_points[Points],""))))))</f>
        <v>0</v>
      </c>
      <c r="J324" s="3" t="s">
        <v>413</v>
      </c>
      <c r="K324" s="3">
        <f>IF(J324="","",IF(J324="DNS",0,IF(J324="DQ",0,IF(J324="DNF",1,IF(AND(ISNUMBER(J324),J324&gt;59),1,_xlfn.XLOOKUP(J324,tbl_points[Place],tbl_points[Points],""))))))</f>
        <v>0</v>
      </c>
      <c r="M324" s="3" t="str">
        <f>IF(L324="","",IF(L324="DNS",0,IF(L324="DQ",0,IF(L324="DNF",1,IF(AND(ISNUMBER(L324),L324&gt;59),1,_xlfn.XLOOKUP(L324,tbl_points[Place],tbl_points[Points],""))))))</f>
        <v/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0</v>
      </c>
    </row>
    <row r="325" spans="1:22" hidden="1" x14ac:dyDescent="0.4">
      <c r="A325" t="s">
        <v>282</v>
      </c>
      <c r="B325" t="s">
        <v>24</v>
      </c>
      <c r="C325" t="s">
        <v>1</v>
      </c>
      <c r="D325" s="3">
        <v>12072</v>
      </c>
      <c r="E325" s="3" t="s">
        <v>426</v>
      </c>
      <c r="G325" s="3" t="s">
        <v>410</v>
      </c>
      <c r="H325" s="3" t="s">
        <v>413</v>
      </c>
      <c r="I325" s="3">
        <f>IF(H325="","",IF(H325="DNS",0,IF(H325="DQ",0,IF(H325="DNF",1,IF(AND(ISNUMBER(H325),H325&gt;59),1,_xlfn.XLOOKUP(H325,tbl_points[Place],tbl_points[Points],""))))))</f>
        <v>0</v>
      </c>
      <c r="J325" s="3" t="s">
        <v>413</v>
      </c>
      <c r="K325" s="3">
        <f>IF(J325="","",IF(J325="DNS",0,IF(J325="DQ",0,IF(J325="DNF",1,IF(AND(ISNUMBER(J325),J325&gt;59),1,_xlfn.XLOOKUP(J325,tbl_points[Place],tbl_points[Points],""))))))</f>
        <v>0</v>
      </c>
      <c r="M325" s="3" t="str">
        <f>IF(L325="","",IF(L325="DNS",0,IF(L325="DQ",0,IF(L325="DNF",1,IF(AND(ISNUMBER(L325),L325&gt;59),1,_xlfn.XLOOKUP(L325,tbl_points[Place],tbl_points[Points],""))))))</f>
        <v/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</f>
        <v>0</v>
      </c>
    </row>
    <row r="326" spans="1:22" x14ac:dyDescent="0.4">
      <c r="A326" t="s">
        <v>441</v>
      </c>
      <c r="B326" t="s">
        <v>20</v>
      </c>
      <c r="C326" t="s">
        <v>7</v>
      </c>
      <c r="D326" s="3">
        <v>811</v>
      </c>
      <c r="E326" s="3" t="s">
        <v>426</v>
      </c>
      <c r="F326" s="17" t="s">
        <v>443</v>
      </c>
      <c r="G326" s="3" t="s">
        <v>406</v>
      </c>
      <c r="H326" s="3" t="s">
        <v>413</v>
      </c>
      <c r="I326" s="3">
        <f>IF(H326="","",IF(H326="DNS",0,IF(H326="DQ",0,IF(H326="DNF",1,IF(AND(ISNUMBER(H326),H326&gt;59),1,_xlfn.XLOOKUP(H326,tbl_points[Place],tbl_points[Points],""))))))</f>
        <v>0</v>
      </c>
      <c r="J326" s="3" t="s">
        <v>413</v>
      </c>
      <c r="K326" s="3">
        <f>IF(J326="","",IF(J326="DNS",0,IF(J326="DQ",0,IF(J326="DNF",1,IF(AND(ISNUMBER(J326),J326&gt;59),1,_xlfn.XLOOKUP(J326,tbl_points[Place],tbl_points[Points],""))))))</f>
        <v>0</v>
      </c>
      <c r="M326" s="3" t="str">
        <f>IF(L326="","",IF(L326="DNS",0,IF(L326="DQ",0,IF(L326="DNF",1,IF(AND(ISNUMBER(L326),L326&gt;59),1,_xlfn.XLOOKUP(L326,tbl_points[Place],tbl_points[Points],""))))))</f>
        <v/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</f>
        <v>0</v>
      </c>
    </row>
    <row r="327" spans="1:22" x14ac:dyDescent="0.4">
      <c r="A327" t="s">
        <v>279</v>
      </c>
      <c r="B327" t="s">
        <v>24</v>
      </c>
      <c r="C327" t="s">
        <v>7</v>
      </c>
      <c r="D327" s="3">
        <v>818</v>
      </c>
      <c r="E327" s="3" t="s">
        <v>426</v>
      </c>
      <c r="G327" s="3" t="s">
        <v>410</v>
      </c>
      <c r="H327" s="3">
        <v>30</v>
      </c>
      <c r="I327" s="3">
        <f>IF(H327="","",IF(H327="DNS",0,IF(H327="DQ",0,IF(H327="DNF",1,IF(AND(ISNUMBER(H327),H327&gt;59),1,_xlfn.XLOOKUP(H327,tbl_points[Place],tbl_points[Points],""))))))</f>
        <v>30</v>
      </c>
      <c r="J327" s="3" t="s">
        <v>413</v>
      </c>
      <c r="K327" s="3">
        <f>IF(J327="","",IF(J327="DNS",0,IF(J327="DQ",0,IF(J327="DNF",1,IF(AND(ISNUMBER(J327),J327&gt;59),1,_xlfn.XLOOKUP(J327,tbl_points[Place],tbl_points[Points],""))))))</f>
        <v>0</v>
      </c>
      <c r="M327" s="3" t="str">
        <f>IF(L327="","",IF(L327="DNS",0,IF(L327="DQ",0,IF(L327="DNF",1,IF(AND(ISNUMBER(L327),L327&gt;59),1,_xlfn.XLOOKUP(L327,tbl_points[Place],tbl_points[Points],""))))))</f>
        <v/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30</v>
      </c>
    </row>
    <row r="328" spans="1:22" x14ac:dyDescent="0.4">
      <c r="A328" t="s">
        <v>331</v>
      </c>
      <c r="B328" t="s">
        <v>28</v>
      </c>
      <c r="C328" t="s">
        <v>7</v>
      </c>
      <c r="D328" s="3">
        <v>827</v>
      </c>
      <c r="E328" s="3" t="s">
        <v>426</v>
      </c>
      <c r="G328" s="3" t="s">
        <v>410</v>
      </c>
      <c r="H328" s="3">
        <v>35</v>
      </c>
      <c r="I328" s="3">
        <f>IF(H328="","",IF(H328="DNS",0,IF(H328="DQ",0,IF(H328="DNF",1,IF(AND(ISNUMBER(H328),H328&gt;59),1,_xlfn.XLOOKUP(H328,tbl_points[Place],tbl_points[Points],""))))))</f>
        <v>25</v>
      </c>
      <c r="J328" s="3" t="s">
        <v>413</v>
      </c>
      <c r="K328" s="3">
        <f>IF(J328="","",IF(J328="DNS",0,IF(J328="DQ",0,IF(J328="DNF",1,IF(AND(ISNUMBER(J328),J328&gt;59),1,_xlfn.XLOOKUP(J328,tbl_points[Place],tbl_points[Points],""))))))</f>
        <v>0</v>
      </c>
      <c r="M328" s="3" t="str">
        <f>IF(L328="","",IF(L328="DNS",0,IF(L328="DQ",0,IF(L328="DNF",1,IF(AND(ISNUMBER(L328),L328&gt;59),1,_xlfn.XLOOKUP(L328,tbl_points[Place],tbl_points[Points],""))))))</f>
        <v/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25</v>
      </c>
    </row>
    <row r="329" spans="1:22" x14ac:dyDescent="0.4">
      <c r="A329" t="s">
        <v>332</v>
      </c>
      <c r="B329" t="s">
        <v>28</v>
      </c>
      <c r="C329" t="s">
        <v>7</v>
      </c>
      <c r="D329" s="3">
        <v>828</v>
      </c>
      <c r="E329" s="3" t="s">
        <v>426</v>
      </c>
      <c r="G329" s="3" t="s">
        <v>410</v>
      </c>
      <c r="H329" s="3">
        <v>36</v>
      </c>
      <c r="I329" s="3">
        <f>IF(H329="","",IF(H329="DNS",0,IF(H329="DQ",0,IF(H329="DNF",1,IF(AND(ISNUMBER(H329),H329&gt;59),1,_xlfn.XLOOKUP(H329,tbl_points[Place],tbl_points[Points],""))))))</f>
        <v>24</v>
      </c>
      <c r="J329" s="3" t="s">
        <v>413</v>
      </c>
      <c r="K329" s="3">
        <f>IF(J329="","",IF(J329="DNS",0,IF(J329="DQ",0,IF(J329="DNF",1,IF(AND(ISNUMBER(J329),J329&gt;59),1,_xlfn.XLOOKUP(J329,tbl_points[Place],tbl_points[Points],""))))))</f>
        <v>0</v>
      </c>
      <c r="M329" s="3" t="str">
        <f>IF(L329="","",IF(L329="DNS",0,IF(L329="DQ",0,IF(L329="DNF",1,IF(AND(ISNUMBER(L329),L329&gt;59),1,_xlfn.XLOOKUP(L329,tbl_points[Place],tbl_points[Points],""))))))</f>
        <v/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24</v>
      </c>
    </row>
    <row r="330" spans="1:22" hidden="1" x14ac:dyDescent="0.4">
      <c r="A330" t="s">
        <v>194</v>
      </c>
      <c r="B330" t="s">
        <v>20</v>
      </c>
      <c r="C330" t="s">
        <v>3</v>
      </c>
      <c r="D330" s="3">
        <v>10169</v>
      </c>
      <c r="E330" s="3" t="s">
        <v>426</v>
      </c>
      <c r="G330" s="3" t="s">
        <v>406</v>
      </c>
      <c r="H330" s="3" t="s">
        <v>413</v>
      </c>
      <c r="I330" s="3">
        <f>IF(H330="","",IF(H330="DNS",0,IF(H330="DQ",0,IF(H330="DNF",1,IF(AND(ISNUMBER(H330),H330&gt;59),1,_xlfn.XLOOKUP(H330,tbl_points[Place],tbl_points[Points],""))))))</f>
        <v>0</v>
      </c>
      <c r="J330" s="3">
        <v>8</v>
      </c>
      <c r="K330" s="3">
        <f>IF(J330="","",IF(J330="DNS",0,IF(J330="DQ",0,IF(J330="DNF",1,IF(AND(ISNUMBER(J330),J330&gt;59),1,_xlfn.XLOOKUP(J330,tbl_points[Place],tbl_points[Points],""))))))</f>
        <v>65</v>
      </c>
      <c r="M330" s="3" t="str">
        <f>IF(L330="","",IF(L330="DNS",0,IF(L330="DQ",0,IF(L330="DNF",1,IF(AND(ISNUMBER(L330),L330&gt;59),1,_xlfn.XLOOKUP(L330,tbl_points[Place],tbl_points[Points],""))))))</f>
        <v/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65</v>
      </c>
    </row>
    <row r="331" spans="1:22" hidden="1" x14ac:dyDescent="0.4">
      <c r="A331" t="s">
        <v>263</v>
      </c>
      <c r="B331" t="s">
        <v>23</v>
      </c>
      <c r="C331" t="s">
        <v>3</v>
      </c>
      <c r="D331" s="3">
        <v>10186</v>
      </c>
      <c r="E331" s="3" t="s">
        <v>426</v>
      </c>
      <c r="G331" s="3" t="s">
        <v>406</v>
      </c>
      <c r="H331" s="3">
        <v>22</v>
      </c>
      <c r="I331" s="3">
        <f>IF(H331="","",IF(H331="DNS",0,IF(H331="DQ",0,IF(H331="DNF",1,IF(AND(ISNUMBER(H331),H331&gt;59),1,_xlfn.XLOOKUP(H331,tbl_points[Place],tbl_points[Points],""))))))</f>
        <v>38</v>
      </c>
      <c r="J331" s="3">
        <v>7</v>
      </c>
      <c r="K331" s="3">
        <f>IF(J331="","",IF(J331="DNS",0,IF(J331="DQ",0,IF(J331="DNF",1,IF(AND(ISNUMBER(J331),J331&gt;59),1,_xlfn.XLOOKUP(J331,tbl_points[Place],tbl_points[Points],""))))))</f>
        <v>70</v>
      </c>
      <c r="M331" s="3" t="str">
        <f>IF(L331="","",IF(L331="DNS",0,IF(L331="DQ",0,IF(L331="DNF",1,IF(AND(ISNUMBER(L331),L331&gt;59),1,_xlfn.XLOOKUP(L331,tbl_points[Place],tbl_points[Points],""))))))</f>
        <v/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331" s="3">
        <f>tbl_individual[[#This Row],[Total]]</f>
        <v>108</v>
      </c>
    </row>
    <row r="332" spans="1:22" hidden="1" x14ac:dyDescent="0.4">
      <c r="A332" t="s">
        <v>90</v>
      </c>
      <c r="B332" t="s">
        <v>10</v>
      </c>
      <c r="C332" t="s">
        <v>3</v>
      </c>
      <c r="D332" s="3">
        <v>10126</v>
      </c>
      <c r="E332" s="3" t="s">
        <v>426</v>
      </c>
      <c r="G332" s="3" t="s">
        <v>406</v>
      </c>
      <c r="H332" s="3">
        <v>4</v>
      </c>
      <c r="I332" s="3">
        <f>IF(H332="","",IF(H332="DNS",0,IF(H332="DQ",0,IF(H332="DNF",1,IF(AND(ISNUMBER(H332),H332&gt;59),1,_xlfn.XLOOKUP(H332,tbl_points[Place],tbl_points[Points],""))))))</f>
        <v>85</v>
      </c>
      <c r="J332" s="3">
        <v>6</v>
      </c>
      <c r="K332" s="3">
        <f>IF(J332="","",IF(J332="DNS",0,IF(J332="DQ",0,IF(J332="DNF",1,IF(AND(ISNUMBER(J332),J332&gt;59),1,_xlfn.XLOOKUP(J332,tbl_points[Place],tbl_points[Points],""))))))</f>
        <v>75</v>
      </c>
      <c r="M332" s="3" t="str">
        <f>IF(L332="","",IF(L332="DNS",0,IF(L332="DQ",0,IF(L332="DNF",1,IF(AND(ISNUMBER(L332),L332&gt;59),1,_xlfn.XLOOKUP(L332,tbl_points[Place],tbl_points[Points],""))))))</f>
        <v/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32" s="3">
        <f>tbl_individual[[#This Row],[Total]]</f>
        <v>160</v>
      </c>
    </row>
    <row r="333" spans="1:22" hidden="1" x14ac:dyDescent="0.4">
      <c r="A333" t="s">
        <v>260</v>
      </c>
      <c r="B333" t="s">
        <v>23</v>
      </c>
      <c r="C333" t="s">
        <v>3</v>
      </c>
      <c r="D333" s="3">
        <v>10183</v>
      </c>
      <c r="E333" s="3" t="s">
        <v>426</v>
      </c>
      <c r="G333" s="3" t="s">
        <v>406</v>
      </c>
      <c r="H333" s="3">
        <v>9</v>
      </c>
      <c r="I333" s="3">
        <f>IF(H333="","",IF(H333="DNS",0,IF(H333="DQ",0,IF(H333="DNF",1,IF(AND(ISNUMBER(H333),H333&gt;59),1,_xlfn.XLOOKUP(H333,tbl_points[Place],tbl_points[Points],""))))))</f>
        <v>60</v>
      </c>
      <c r="J333" s="3">
        <v>5</v>
      </c>
      <c r="K333" s="3">
        <f>IF(J333="","",IF(J333="DNS",0,IF(J333="DQ",0,IF(J333="DNF",1,IF(AND(ISNUMBER(J333),J333&gt;59),1,_xlfn.XLOOKUP(J333,tbl_points[Place],tbl_points[Points],""))))))</f>
        <v>80</v>
      </c>
      <c r="M333" s="3" t="str">
        <f>IF(L333="","",IF(L333="DNS",0,IF(L333="DQ",0,IF(L333="DNF",1,IF(AND(ISNUMBER(L333),L333&gt;59),1,_xlfn.XLOOKUP(L333,tbl_points[Place],tbl_points[Points],""))))))</f>
        <v/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33" s="3">
        <f>tbl_individual[[#This Row],[Total]]</f>
        <v>140</v>
      </c>
    </row>
    <row r="334" spans="1:22" hidden="1" x14ac:dyDescent="0.4">
      <c r="A334" t="s">
        <v>192</v>
      </c>
      <c r="B334" t="s">
        <v>20</v>
      </c>
      <c r="C334" t="s">
        <v>3</v>
      </c>
      <c r="D334" s="3">
        <v>10167</v>
      </c>
      <c r="E334" s="3" t="s">
        <v>426</v>
      </c>
      <c r="G334" s="3" t="s">
        <v>406</v>
      </c>
      <c r="H334" s="3">
        <v>5</v>
      </c>
      <c r="I334" s="3">
        <f>IF(H334="","",IF(H334="DNS",0,IF(H334="DQ",0,IF(H334="DNF",1,IF(AND(ISNUMBER(H334),H334&gt;59),1,_xlfn.XLOOKUP(H334,tbl_points[Place],tbl_points[Points],""))))))</f>
        <v>80</v>
      </c>
      <c r="J334" s="3">
        <v>4</v>
      </c>
      <c r="K334" s="3">
        <f>IF(J334="","",IF(J334="DNS",0,IF(J334="DQ",0,IF(J334="DNF",1,IF(AND(ISNUMBER(J334),J334&gt;59),1,_xlfn.XLOOKUP(J334,tbl_points[Place],tbl_points[Points],""))))))</f>
        <v>85</v>
      </c>
      <c r="M334" s="3" t="str">
        <f>IF(L334="","",IF(L334="DNS",0,IF(L334="DQ",0,IF(L334="DNF",1,IF(AND(ISNUMBER(L334),L334&gt;59),1,_xlfn.XLOOKUP(L334,tbl_points[Place],tbl_points[Points],""))))))</f>
        <v/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34" s="3">
        <f>tbl_individual[[#This Row],[Total]]</f>
        <v>165</v>
      </c>
    </row>
    <row r="335" spans="1:22" hidden="1" x14ac:dyDescent="0.4">
      <c r="A335" t="s">
        <v>239</v>
      </c>
      <c r="B335" t="s">
        <v>22</v>
      </c>
      <c r="C335" t="s">
        <v>3</v>
      </c>
      <c r="D335" s="3">
        <v>10180</v>
      </c>
      <c r="E335" s="3" t="s">
        <v>426</v>
      </c>
      <c r="G335" s="3" t="s">
        <v>410</v>
      </c>
      <c r="H335" s="3" t="s">
        <v>413</v>
      </c>
      <c r="I335" s="3">
        <f>IF(H335="","",IF(H335="DNS",0,IF(H335="DQ",0,IF(H335="DNF",1,IF(AND(ISNUMBER(H335),H335&gt;59),1,_xlfn.XLOOKUP(H335,tbl_points[Place],tbl_points[Points],""))))))</f>
        <v>0</v>
      </c>
      <c r="J335" s="3">
        <v>3</v>
      </c>
      <c r="K335" s="3">
        <f>IF(J335="","",IF(J335="DNS",0,IF(J335="DQ",0,IF(J335="DNF",1,IF(AND(ISNUMBER(J335),J335&gt;59),1,_xlfn.XLOOKUP(J335,tbl_points[Place],tbl_points[Points],""))))))</f>
        <v>90</v>
      </c>
      <c r="M335" s="3" t="str">
        <f>IF(L335="","",IF(L335="DNS",0,IF(L335="DQ",0,IF(L335="DNF",1,IF(AND(ISNUMBER(L335),L335&gt;59),1,_xlfn.XLOOKUP(L335,tbl_points[Place],tbl_points[Points],""))))))</f>
        <v/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90</v>
      </c>
    </row>
    <row r="336" spans="1:22" hidden="1" x14ac:dyDescent="0.4">
      <c r="A336" t="s">
        <v>258</v>
      </c>
      <c r="B336" t="s">
        <v>23</v>
      </c>
      <c r="C336" t="s">
        <v>3</v>
      </c>
      <c r="D336" s="3">
        <v>10181</v>
      </c>
      <c r="E336" s="3" t="s">
        <v>426</v>
      </c>
      <c r="G336" s="3" t="s">
        <v>406</v>
      </c>
      <c r="H336" s="3" t="s">
        <v>413</v>
      </c>
      <c r="I336" s="3">
        <f>IF(H336="","",IF(H336="DNS",0,IF(H336="DQ",0,IF(H336="DNF",1,IF(AND(ISNUMBER(H336),H336&gt;59),1,_xlfn.XLOOKUP(H336,tbl_points[Place],tbl_points[Points],""))))))</f>
        <v>0</v>
      </c>
      <c r="J336" s="3">
        <v>3</v>
      </c>
      <c r="K336" s="3">
        <f>IF(J336="","",IF(J336="DNS",0,IF(J336="DQ",0,IF(J336="DNF",1,IF(AND(ISNUMBER(J336),J336&gt;59),1,_xlfn.XLOOKUP(J336,tbl_points[Place],tbl_points[Points],""))))))</f>
        <v>90</v>
      </c>
      <c r="M336" s="3" t="str">
        <f>IF(L336="","",IF(L336="DNS",0,IF(L336="DQ",0,IF(L336="DNF",1,IF(AND(ISNUMBER(L336),L336&gt;59),1,_xlfn.XLOOKUP(L336,tbl_points[Place],tbl_points[Points],""))))))</f>
        <v/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</f>
        <v>90</v>
      </c>
    </row>
    <row r="337" spans="1:22" hidden="1" x14ac:dyDescent="0.4">
      <c r="A337" t="s">
        <v>216</v>
      </c>
      <c r="B337" t="s">
        <v>21</v>
      </c>
      <c r="C337" t="s">
        <v>3</v>
      </c>
      <c r="D337" s="3">
        <v>10174</v>
      </c>
      <c r="E337" s="3" t="s">
        <v>426</v>
      </c>
      <c r="G337" s="3" t="s">
        <v>406</v>
      </c>
      <c r="H337" s="3">
        <v>3</v>
      </c>
      <c r="I337" s="3">
        <f>IF(H337="","",IF(H337="DNS",0,IF(H337="DQ",0,IF(H337="DNF",1,IF(AND(ISNUMBER(H337),H337&gt;59),1,_xlfn.XLOOKUP(H337,tbl_points[Place],tbl_points[Points],""))))))</f>
        <v>90</v>
      </c>
      <c r="J337" s="3">
        <v>2</v>
      </c>
      <c r="K337" s="3">
        <f>IF(J337="","",IF(J337="DNS",0,IF(J337="DQ",0,IF(J337="DNF",1,IF(AND(ISNUMBER(J337),J337&gt;59),1,_xlfn.XLOOKUP(J337,tbl_points[Place],tbl_points[Points],""))))))</f>
        <v>95</v>
      </c>
      <c r="M337" s="3" t="str">
        <f>IF(L337="","",IF(L337="DNS",0,IF(L337="DQ",0,IF(L337="DNF",1,IF(AND(ISNUMBER(L337),L337&gt;59),1,_xlfn.XLOOKUP(L337,tbl_points[Place],tbl_points[Points],""))))))</f>
        <v/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337" s="3">
        <f>tbl_individual[[#This Row],[Total]]</f>
        <v>185</v>
      </c>
    </row>
    <row r="338" spans="1:22" hidden="1" x14ac:dyDescent="0.4">
      <c r="A338" t="s">
        <v>364</v>
      </c>
      <c r="B338" t="s">
        <v>30</v>
      </c>
      <c r="C338" t="s">
        <v>4</v>
      </c>
      <c r="D338" s="3">
        <v>1041</v>
      </c>
      <c r="E338" s="3" t="s">
        <v>426</v>
      </c>
      <c r="G338" s="3" t="s">
        <v>406</v>
      </c>
      <c r="H338" s="3" t="s">
        <v>412</v>
      </c>
      <c r="I338" s="3">
        <f>IF(H338="","",IF(H338="DNS",0,IF(H338="DQ",0,IF(H338="DNF",1,IF(AND(ISNUMBER(H338),H338&gt;59),1,_xlfn.XLOOKUP(H338,tbl_points[Place],tbl_points[Points],""))))))</f>
        <v>1</v>
      </c>
      <c r="J338" s="3">
        <v>4</v>
      </c>
      <c r="K338" s="3">
        <f>IF(J338="","",IF(J338="DNS",0,IF(J338="DQ",0,IF(J338="DNF",1,IF(AND(ISNUMBER(J338),J338&gt;59),1,_xlfn.XLOOKUP(J338,tbl_points[Place],tbl_points[Points],""))))))</f>
        <v>85</v>
      </c>
      <c r="M338" s="3" t="str">
        <f>IF(L338="","",IF(L338="DNS",0,IF(L338="DQ",0,IF(L338="DNF",1,IF(AND(ISNUMBER(L338),L338&gt;59),1,_xlfn.XLOOKUP(L338,tbl_points[Place],tbl_points[Points],""))))))</f>
        <v/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8" s="3">
        <f>tbl_individual[[#This Row],[Total]]</f>
        <v>86</v>
      </c>
    </row>
    <row r="339" spans="1:22" hidden="1" x14ac:dyDescent="0.4">
      <c r="A339" t="s">
        <v>365</v>
      </c>
      <c r="B339" t="s">
        <v>30</v>
      </c>
      <c r="C339" t="s">
        <v>4</v>
      </c>
      <c r="D339" s="3">
        <v>1042</v>
      </c>
      <c r="E339" s="3" t="s">
        <v>426</v>
      </c>
      <c r="G339" s="3" t="s">
        <v>406</v>
      </c>
      <c r="H339" s="3" t="s">
        <v>413</v>
      </c>
      <c r="I339" s="3">
        <f>IF(H339="","",IF(H339="DNS",0,IF(H339="DQ",0,IF(H339="DNF",1,IF(AND(ISNUMBER(H339),H339&gt;59),1,_xlfn.XLOOKUP(H339,tbl_points[Place],tbl_points[Points],""))))))</f>
        <v>0</v>
      </c>
      <c r="J339" s="3">
        <v>13</v>
      </c>
      <c r="K339" s="3">
        <f>IF(J339="","",IF(J339="DNS",0,IF(J339="DQ",0,IF(J339="DNF",1,IF(AND(ISNUMBER(J339),J339&gt;59),1,_xlfn.XLOOKUP(J339,tbl_points[Place],tbl_points[Points],""))))))</f>
        <v>49</v>
      </c>
      <c r="M339" s="3" t="str">
        <f>IF(L339="","",IF(L339="DNS",0,IF(L339="DQ",0,IF(L339="DNF",1,IF(AND(ISNUMBER(L339),L339&gt;59),1,_xlfn.XLOOKUP(L339,tbl_points[Place],tbl_points[Points],""))))))</f>
        <v/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49</v>
      </c>
    </row>
    <row r="340" spans="1:22" hidden="1" x14ac:dyDescent="0.4">
      <c r="A340" t="s">
        <v>366</v>
      </c>
      <c r="B340" t="s">
        <v>30</v>
      </c>
      <c r="C340" t="s">
        <v>4</v>
      </c>
      <c r="D340" s="3">
        <v>1043</v>
      </c>
      <c r="E340" s="3" t="s">
        <v>426</v>
      </c>
      <c r="G340" s="3" t="s">
        <v>410</v>
      </c>
      <c r="H340" s="3" t="s">
        <v>413</v>
      </c>
      <c r="I340" s="3">
        <f>IF(H340="","",IF(H340="DNS",0,IF(H340="DQ",0,IF(H340="DNF",1,IF(AND(ISNUMBER(H340),H340&gt;59),1,_xlfn.XLOOKUP(H340,tbl_points[Place],tbl_points[Points],""))))))</f>
        <v>0</v>
      </c>
      <c r="J340" s="3" t="s">
        <v>413</v>
      </c>
      <c r="K340" s="3">
        <f>IF(J340="","",IF(J340="DNS",0,IF(J340="DQ",0,IF(J340="DNF",1,IF(AND(ISNUMBER(J340),J340&gt;59),1,_xlfn.XLOOKUP(J340,tbl_points[Place],tbl_points[Points],""))))))</f>
        <v>0</v>
      </c>
      <c r="M340" s="3" t="str">
        <f>IF(L340="","",IF(L340="DNS",0,IF(L340="DQ",0,IF(L340="DNF",1,IF(AND(ISNUMBER(L340),L340&gt;59),1,_xlfn.XLOOKUP(L340,tbl_points[Place],tbl_points[Points],""))))))</f>
        <v/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0" s="3">
        <f>tbl_individual[[#This Row],[Total]]</f>
        <v>0</v>
      </c>
    </row>
    <row r="341" spans="1:22" hidden="1" x14ac:dyDescent="0.4">
      <c r="A341" t="s">
        <v>247</v>
      </c>
      <c r="B341" t="s">
        <v>23</v>
      </c>
      <c r="C341" t="s">
        <v>6</v>
      </c>
      <c r="D341" s="3">
        <v>927</v>
      </c>
      <c r="E341" s="3" t="s">
        <v>426</v>
      </c>
      <c r="G341" s="3" t="s">
        <v>410</v>
      </c>
      <c r="H341" s="3" t="s">
        <v>413</v>
      </c>
      <c r="I341" s="3">
        <f>IF(H341="","",IF(H341="DNS",0,IF(H341="DQ",0,IF(H341="DNF",1,IF(AND(ISNUMBER(H341),H341&gt;59),1,_xlfn.XLOOKUP(H341,tbl_points[Place],tbl_points[Points],""))))))</f>
        <v>0</v>
      </c>
      <c r="J341" s="3" t="s">
        <v>413</v>
      </c>
      <c r="K341" s="3">
        <f>IF(J341="","",IF(J341="DNS",0,IF(J341="DQ",0,IF(J341="DNF",1,IF(AND(ISNUMBER(J341),J341&gt;59),1,_xlfn.XLOOKUP(J341,tbl_points[Place],tbl_points[Points],""))))))</f>
        <v>0</v>
      </c>
      <c r="M341" s="3" t="str">
        <f>IF(L341="","",IF(L341="DNS",0,IF(L341="DQ",0,IF(L341="DNF",1,IF(AND(ISNUMBER(L341),L341&gt;59),1,_xlfn.XLOOKUP(L341,tbl_points[Place],tbl_points[Points],""))))))</f>
        <v/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0</v>
      </c>
    </row>
    <row r="342" spans="1:22" hidden="1" x14ac:dyDescent="0.4">
      <c r="A342" t="s">
        <v>248</v>
      </c>
      <c r="B342" t="s">
        <v>23</v>
      </c>
      <c r="C342" t="s">
        <v>6</v>
      </c>
      <c r="D342" s="3">
        <v>928</v>
      </c>
      <c r="E342" s="3" t="s">
        <v>426</v>
      </c>
      <c r="G342" s="3" t="s">
        <v>410</v>
      </c>
      <c r="H342" s="3">
        <v>10</v>
      </c>
      <c r="I342" s="3">
        <f>IF(H342="","",IF(H342="DNS",0,IF(H342="DQ",0,IF(H342="DNF",1,IF(AND(ISNUMBER(H342),H342&gt;59),1,_xlfn.XLOOKUP(H342,tbl_points[Place],tbl_points[Points],""))))))</f>
        <v>55</v>
      </c>
      <c r="J342" s="3" t="s">
        <v>413</v>
      </c>
      <c r="K342" s="3">
        <f>IF(J342="","",IF(J342="DNS",0,IF(J342="DQ",0,IF(J342="DNF",1,IF(AND(ISNUMBER(J342),J342&gt;59),1,_xlfn.XLOOKUP(J342,tbl_points[Place],tbl_points[Points],""))))))</f>
        <v>0</v>
      </c>
      <c r="M342" s="3" t="str">
        <f>IF(L342="","",IF(L342="DNS",0,IF(L342="DQ",0,IF(L342="DNF",1,IF(AND(ISNUMBER(L342),L342&gt;59),1,_xlfn.XLOOKUP(L342,tbl_points[Place],tbl_points[Points],""))))))</f>
        <v/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</f>
        <v>55</v>
      </c>
    </row>
    <row r="343" spans="1:22" hidden="1" x14ac:dyDescent="0.4">
      <c r="A343" t="s">
        <v>105</v>
      </c>
      <c r="B343" t="s">
        <v>11</v>
      </c>
      <c r="C343" t="s">
        <v>6</v>
      </c>
      <c r="D343" s="3">
        <v>929</v>
      </c>
      <c r="E343" s="3" t="s">
        <v>426</v>
      </c>
      <c r="G343" s="3" t="s">
        <v>410</v>
      </c>
      <c r="H343" s="3" t="s">
        <v>413</v>
      </c>
      <c r="I343" s="3">
        <f>IF(H343="","",IF(H343="DNS",0,IF(H343="DQ",0,IF(H343="DNF",1,IF(AND(ISNUMBER(H343),H343&gt;59),1,_xlfn.XLOOKUP(H343,tbl_points[Place],tbl_points[Points],""))))))</f>
        <v>0</v>
      </c>
      <c r="J343" s="3" t="s">
        <v>413</v>
      </c>
      <c r="K343" s="3">
        <f>IF(J343="","",IF(J343="DNS",0,IF(J343="DQ",0,IF(J343="DNF",1,IF(AND(ISNUMBER(J343),J343&gt;59),1,_xlfn.XLOOKUP(J343,tbl_points[Place],tbl_points[Points],""))))))</f>
        <v>0</v>
      </c>
      <c r="M343" s="3" t="str">
        <f>IF(L343="","",IF(L343="DNS",0,IF(L343="DQ",0,IF(L343="DNF",1,IF(AND(ISNUMBER(L343),L343&gt;59),1,_xlfn.XLOOKUP(L343,tbl_points[Place],tbl_points[Points],""))))))</f>
        <v/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0</v>
      </c>
    </row>
    <row r="344" spans="1:22" hidden="1" x14ac:dyDescent="0.4">
      <c r="A344" t="s">
        <v>362</v>
      </c>
      <c r="B344" t="s">
        <v>30</v>
      </c>
      <c r="C344" t="s">
        <v>6</v>
      </c>
      <c r="D344" s="3">
        <v>934</v>
      </c>
      <c r="E344" s="3" t="s">
        <v>426</v>
      </c>
      <c r="G344" s="3" t="s">
        <v>410</v>
      </c>
      <c r="H344" s="3" t="s">
        <v>413</v>
      </c>
      <c r="I344" s="3">
        <f>IF(H344="","",IF(H344="DNS",0,IF(H344="DQ",0,IF(H344="DNF",1,IF(AND(ISNUMBER(H344),H344&gt;59),1,_xlfn.XLOOKUP(H344,tbl_points[Place],tbl_points[Points],""))))))</f>
        <v>0</v>
      </c>
      <c r="J344" s="3" t="s">
        <v>413</v>
      </c>
      <c r="K344" s="3">
        <f>IF(J344="","",IF(J344="DNS",0,IF(J344="DQ",0,IF(J344="DNF",1,IF(AND(ISNUMBER(J344),J344&gt;59),1,_xlfn.XLOOKUP(J344,tbl_points[Place],tbl_points[Points],""))))))</f>
        <v>0</v>
      </c>
      <c r="M344" s="3" t="str">
        <f>IF(L344="","",IF(L344="DNS",0,IF(L344="DQ",0,IF(L344="DNF",1,IF(AND(ISNUMBER(L344),L344&gt;59),1,_xlfn.XLOOKUP(L344,tbl_points[Place],tbl_points[Points],""))))))</f>
        <v/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0</v>
      </c>
    </row>
    <row r="345" spans="1:22" hidden="1" x14ac:dyDescent="0.4">
      <c r="A345" t="s">
        <v>164</v>
      </c>
      <c r="B345" t="s">
        <v>17</v>
      </c>
      <c r="C345" t="s">
        <v>6</v>
      </c>
      <c r="D345" s="3">
        <v>938</v>
      </c>
      <c r="E345" s="3" t="s">
        <v>426</v>
      </c>
      <c r="G345" s="3" t="s">
        <v>410</v>
      </c>
      <c r="H345" s="3" t="s">
        <v>413</v>
      </c>
      <c r="I345" s="3">
        <f>IF(H345="","",IF(H345="DNS",0,IF(H345="DQ",0,IF(H345="DNF",1,IF(AND(ISNUMBER(H345),H345&gt;59),1,_xlfn.XLOOKUP(H345,tbl_points[Place],tbl_points[Points],""))))))</f>
        <v>0</v>
      </c>
      <c r="J345" s="3" t="s">
        <v>413</v>
      </c>
      <c r="K345" s="3">
        <f>IF(J345="","",IF(J345="DNS",0,IF(J345="DQ",0,IF(J345="DNF",1,IF(AND(ISNUMBER(J345),J345&gt;59),1,_xlfn.XLOOKUP(J345,tbl_points[Place],tbl_points[Points],""))))))</f>
        <v>0</v>
      </c>
      <c r="M345" s="3" t="str">
        <f>IF(L345="","",IF(L345="DNS",0,IF(L345="DQ",0,IF(L345="DNF",1,IF(AND(ISNUMBER(L345),L345&gt;59),1,_xlfn.XLOOKUP(L345,tbl_points[Place],tbl_points[Points],""))))))</f>
        <v/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0</v>
      </c>
    </row>
    <row r="346" spans="1:22" hidden="1" x14ac:dyDescent="0.4">
      <c r="A346" t="s">
        <v>284</v>
      </c>
      <c r="B346" t="s">
        <v>24</v>
      </c>
      <c r="C346" t="s">
        <v>1</v>
      </c>
      <c r="D346" s="3">
        <v>12074</v>
      </c>
      <c r="E346" s="3" t="s">
        <v>426</v>
      </c>
      <c r="G346" s="3" t="s">
        <v>406</v>
      </c>
      <c r="H346" s="3" t="s">
        <v>413</v>
      </c>
      <c r="I346" s="3">
        <f>IF(H346="","",IF(H346="DNS",0,IF(H346="DQ",0,IF(H346="DNF",1,IF(AND(ISNUMBER(H346),H346&gt;59),1,_xlfn.XLOOKUP(H346,tbl_points[Place],tbl_points[Points],""))))))</f>
        <v>0</v>
      </c>
      <c r="J346" s="3" t="s">
        <v>413</v>
      </c>
      <c r="K346" s="3">
        <f>IF(J346="","",IF(J346="DNS",0,IF(J346="DQ",0,IF(J346="DNF",1,IF(AND(ISNUMBER(J346),J346&gt;59),1,_xlfn.XLOOKUP(J346,tbl_points[Place],tbl_points[Points],""))))))</f>
        <v>0</v>
      </c>
      <c r="M346" s="3" t="str">
        <f>IF(L346="","",IF(L346="DNS",0,IF(L346="DQ",0,IF(L346="DNF",1,IF(AND(ISNUMBER(L346),L346&gt;59),1,_xlfn.XLOOKUP(L346,tbl_points[Place],tbl_points[Points],""))))))</f>
        <v/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</f>
        <v>0</v>
      </c>
    </row>
    <row r="347" spans="1:22" hidden="1" x14ac:dyDescent="0.4">
      <c r="A347" t="s">
        <v>300</v>
      </c>
      <c r="B347" t="s">
        <v>25</v>
      </c>
      <c r="C347" t="s">
        <v>1</v>
      </c>
      <c r="D347" s="3">
        <v>12075</v>
      </c>
      <c r="E347" s="3" t="s">
        <v>426</v>
      </c>
      <c r="G347" s="3" t="s">
        <v>406</v>
      </c>
      <c r="H347" s="3">
        <v>7</v>
      </c>
      <c r="I347" s="3">
        <f>IF(H347="","",IF(H347="DNS",0,IF(H347="DQ",0,IF(H347="DNF",1,IF(AND(ISNUMBER(H347),H347&gt;59),1,_xlfn.XLOOKUP(H347,tbl_points[Place],tbl_points[Points],""))))))</f>
        <v>70</v>
      </c>
      <c r="J347" s="3" t="s">
        <v>413</v>
      </c>
      <c r="K347" s="3">
        <f>IF(J347="","",IF(J347="DNS",0,IF(J347="DQ",0,IF(J347="DNF",1,IF(AND(ISNUMBER(J347),J347&gt;59),1,_xlfn.XLOOKUP(J347,tbl_points[Place],tbl_points[Points],""))))))</f>
        <v>0</v>
      </c>
      <c r="M347" s="3" t="str">
        <f>IF(L347="","",IF(L347="DNS",0,IF(L347="DQ",0,IF(L347="DNF",1,IF(AND(ISNUMBER(L347),L347&gt;59),1,_xlfn.XLOOKUP(L347,tbl_points[Place],tbl_points[Points],""))))))</f>
        <v/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70</v>
      </c>
    </row>
    <row r="348" spans="1:22" hidden="1" x14ac:dyDescent="0.4">
      <c r="A348" t="s">
        <v>310</v>
      </c>
      <c r="B348" t="s">
        <v>26</v>
      </c>
      <c r="C348" t="s">
        <v>1</v>
      </c>
      <c r="D348" s="3">
        <v>12078</v>
      </c>
      <c r="E348" s="3" t="s">
        <v>426</v>
      </c>
      <c r="G348" s="3" t="s">
        <v>406</v>
      </c>
      <c r="H348" s="3" t="s">
        <v>413</v>
      </c>
      <c r="I348" s="3">
        <f>IF(H348="","",IF(H348="DNS",0,IF(H348="DQ",0,IF(H348="DNF",1,IF(AND(ISNUMBER(H348),H348&gt;59),1,_xlfn.XLOOKUP(H348,tbl_points[Place],tbl_points[Points],""))))))</f>
        <v>0</v>
      </c>
      <c r="J348" s="3" t="s">
        <v>413</v>
      </c>
      <c r="K348" s="3">
        <f>IF(J348="","",IF(J348="DNS",0,IF(J348="DQ",0,IF(J348="DNF",1,IF(AND(ISNUMBER(J348),J348&gt;59),1,_xlfn.XLOOKUP(J348,tbl_points[Place],tbl_points[Points],""))))))</f>
        <v>0</v>
      </c>
      <c r="M348" s="3" t="str">
        <f>IF(L348="","",IF(L348="DNS",0,IF(L348="DQ",0,IF(L348="DNF",1,IF(AND(ISNUMBER(L348),L348&gt;59),1,_xlfn.XLOOKUP(L348,tbl_points[Place],tbl_points[Points],""))))))</f>
        <v/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0</v>
      </c>
    </row>
    <row r="349" spans="1:22" hidden="1" x14ac:dyDescent="0.4">
      <c r="A349" t="s">
        <v>342</v>
      </c>
      <c r="B349" t="s">
        <v>28</v>
      </c>
      <c r="C349" t="s">
        <v>1</v>
      </c>
      <c r="D349" s="3">
        <v>12087</v>
      </c>
      <c r="E349" s="3" t="s">
        <v>426</v>
      </c>
      <c r="G349" s="3" t="s">
        <v>410</v>
      </c>
      <c r="H349" s="3">
        <v>34</v>
      </c>
      <c r="I349" s="3">
        <f>IF(H349="","",IF(H349="DNS",0,IF(H349="DQ",0,IF(H349="DNF",1,IF(AND(ISNUMBER(H349),H349&gt;59),1,_xlfn.XLOOKUP(H349,tbl_points[Place],tbl_points[Points],""))))))</f>
        <v>26</v>
      </c>
      <c r="J349" s="3" t="s">
        <v>413</v>
      </c>
      <c r="K349" s="3">
        <f>IF(J349="","",IF(J349="DNS",0,IF(J349="DQ",0,IF(J349="DNF",1,IF(AND(ISNUMBER(J349),J349&gt;59),1,_xlfn.XLOOKUP(J349,tbl_points[Place],tbl_points[Points],""))))))</f>
        <v>0</v>
      </c>
      <c r="M349" s="3" t="str">
        <f>IF(L349="","",IF(L349="DNS",0,IF(L349="DQ",0,IF(L349="DNF",1,IF(AND(ISNUMBER(L349),L349&gt;59),1,_xlfn.XLOOKUP(L349,tbl_points[Place],tbl_points[Points],""))))))</f>
        <v/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26</v>
      </c>
    </row>
    <row r="350" spans="1:22" hidden="1" x14ac:dyDescent="0.4">
      <c r="A350" t="s">
        <v>343</v>
      </c>
      <c r="B350" t="s">
        <v>28</v>
      </c>
      <c r="C350" t="s">
        <v>1</v>
      </c>
      <c r="D350" s="3">
        <v>12088</v>
      </c>
      <c r="E350" s="3" t="s">
        <v>426</v>
      </c>
      <c r="G350" s="3" t="s">
        <v>410</v>
      </c>
      <c r="H350" s="3" t="s">
        <v>413</v>
      </c>
      <c r="I350" s="3">
        <f>IF(H350="","",IF(H350="DNS",0,IF(H350="DQ",0,IF(H350="DNF",1,IF(AND(ISNUMBER(H350),H350&gt;59),1,_xlfn.XLOOKUP(H350,tbl_points[Place],tbl_points[Points],""))))))</f>
        <v>0</v>
      </c>
      <c r="J350" s="3" t="s">
        <v>413</v>
      </c>
      <c r="K350" s="3">
        <f>IF(J350="","",IF(J350="DNS",0,IF(J350="DQ",0,IF(J350="DNF",1,IF(AND(ISNUMBER(J350),J350&gt;59),1,_xlfn.XLOOKUP(J350,tbl_points[Place],tbl_points[Points],""))))))</f>
        <v>0</v>
      </c>
      <c r="M350" s="3" t="str">
        <f>IF(L350="","",IF(L350="DNS",0,IF(L350="DQ",0,IF(L350="DNF",1,IF(AND(ISNUMBER(L350),L350&gt;59),1,_xlfn.XLOOKUP(L350,tbl_points[Place],tbl_points[Points],""))))))</f>
        <v/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</f>
        <v>0</v>
      </c>
    </row>
    <row r="351" spans="1:22" hidden="1" x14ac:dyDescent="0.4">
      <c r="A351" t="s">
        <v>137</v>
      </c>
      <c r="B351" t="s">
        <v>13</v>
      </c>
      <c r="C351" t="s">
        <v>2</v>
      </c>
      <c r="D351" s="3">
        <v>1233</v>
      </c>
      <c r="E351" s="3" t="s">
        <v>426</v>
      </c>
      <c r="G351" s="3" t="s">
        <v>410</v>
      </c>
      <c r="H351" s="3">
        <v>4</v>
      </c>
      <c r="I351" s="3">
        <f>IF(H351="","",IF(H351="DNS",0,IF(H351="DQ",0,IF(H351="DNF",1,IF(AND(ISNUMBER(H351),H351&gt;59),1,_xlfn.XLOOKUP(H351,tbl_points[Place],tbl_points[Points],""))))))</f>
        <v>85</v>
      </c>
      <c r="J351" s="3" t="s">
        <v>413</v>
      </c>
      <c r="K351" s="3">
        <f>IF(J351="","",IF(J351="DNS",0,IF(J351="DQ",0,IF(J351="DNF",1,IF(AND(ISNUMBER(J351),J351&gt;59),1,_xlfn.XLOOKUP(J351,tbl_points[Place],tbl_points[Points],""))))))</f>
        <v>0</v>
      </c>
      <c r="M351" s="3" t="str">
        <f>IF(L351="","",IF(L351="DNS",0,IF(L351="DQ",0,IF(L351="DNF",1,IF(AND(ISNUMBER(L351),L351&gt;59),1,_xlfn.XLOOKUP(L351,tbl_points[Place],tbl_points[Points],""))))))</f>
        <v/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</f>
        <v>85</v>
      </c>
    </row>
    <row r="352" spans="1:22" hidden="1" x14ac:dyDescent="0.4">
      <c r="A352" t="s">
        <v>208</v>
      </c>
      <c r="B352" t="s">
        <v>20</v>
      </c>
      <c r="C352" t="s">
        <v>2</v>
      </c>
      <c r="D352" s="3">
        <v>1234</v>
      </c>
      <c r="E352" s="3" t="s">
        <v>426</v>
      </c>
      <c r="G352" s="3" t="s">
        <v>410</v>
      </c>
      <c r="H352" s="3" t="s">
        <v>413</v>
      </c>
      <c r="I352" s="3">
        <f>IF(H352="","",IF(H352="DNS",0,IF(H352="DQ",0,IF(H352="DNF",1,IF(AND(ISNUMBER(H352),H352&gt;59),1,_xlfn.XLOOKUP(H352,tbl_points[Place],tbl_points[Points],""))))))</f>
        <v>0</v>
      </c>
      <c r="J352" s="3" t="s">
        <v>413</v>
      </c>
      <c r="K352" s="3">
        <f>IF(J352="","",IF(J352="DNS",0,IF(J352="DQ",0,IF(J352="DNF",1,IF(AND(ISNUMBER(J352),J352&gt;59),1,_xlfn.XLOOKUP(J352,tbl_points[Place],tbl_points[Points],""))))))</f>
        <v>0</v>
      </c>
      <c r="M352" s="3" t="str">
        <f>IF(L352="","",IF(L352="DNS",0,IF(L352="DQ",0,IF(L352="DNF",1,IF(AND(ISNUMBER(L352),L352&gt;59),1,_xlfn.XLOOKUP(L352,tbl_points[Place],tbl_points[Points],""))))))</f>
        <v/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0</v>
      </c>
    </row>
    <row r="353" spans="1:22" hidden="1" x14ac:dyDescent="0.4">
      <c r="A353" t="s">
        <v>221</v>
      </c>
      <c r="B353" t="s">
        <v>21</v>
      </c>
      <c r="C353" t="s">
        <v>2</v>
      </c>
      <c r="D353" s="3">
        <v>1237</v>
      </c>
      <c r="E353" s="3" t="s">
        <v>426</v>
      </c>
      <c r="G353" s="3" t="s">
        <v>410</v>
      </c>
      <c r="H353" s="3">
        <v>11</v>
      </c>
      <c r="I353" s="3">
        <f>IF(H353="","",IF(H353="DNS",0,IF(H353="DQ",0,IF(H353="DNF",1,IF(AND(ISNUMBER(H353),H353&gt;59),1,_xlfn.XLOOKUP(H353,tbl_points[Place],tbl_points[Points],""))))))</f>
        <v>53</v>
      </c>
      <c r="J353" s="3" t="s">
        <v>413</v>
      </c>
      <c r="K353" s="3">
        <f>IF(J353="","",IF(J353="DNS",0,IF(J353="DQ",0,IF(J353="DNF",1,IF(AND(ISNUMBER(J353),J353&gt;59),1,_xlfn.XLOOKUP(J353,tbl_points[Place],tbl_points[Points],""))))))</f>
        <v>0</v>
      </c>
      <c r="M353" s="3" t="str">
        <f>IF(L353="","",IF(L353="DNS",0,IF(L353="DQ",0,IF(L353="DNF",1,IF(AND(ISNUMBER(L353),L353&gt;59),1,_xlfn.XLOOKUP(L353,tbl_points[Place],tbl_points[Points],""))))))</f>
        <v/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53</v>
      </c>
    </row>
    <row r="354" spans="1:22" x14ac:dyDescent="0.4">
      <c r="A354" t="s">
        <v>358</v>
      </c>
      <c r="B354" t="s">
        <v>30</v>
      </c>
      <c r="C354" t="s">
        <v>7</v>
      </c>
      <c r="D354" s="3">
        <v>836</v>
      </c>
      <c r="E354" s="3" t="s">
        <v>426</v>
      </c>
      <c r="G354" s="3" t="s">
        <v>410</v>
      </c>
      <c r="H354" s="3">
        <v>32</v>
      </c>
      <c r="I354" s="3">
        <f>IF(H354="","",IF(H354="DNS",0,IF(H354="DQ",0,IF(H354="DNF",1,IF(AND(ISNUMBER(H354),H354&gt;59),1,_xlfn.XLOOKUP(H354,tbl_points[Place],tbl_points[Points],""))))))</f>
        <v>28</v>
      </c>
      <c r="J354" s="3" t="s">
        <v>413</v>
      </c>
      <c r="K354" s="3">
        <f>IF(J354="","",IF(J354="DNS",0,IF(J354="DQ",0,IF(J354="DNF",1,IF(AND(ISNUMBER(J354),J354&gt;59),1,_xlfn.XLOOKUP(J354,tbl_points[Place],tbl_points[Points],""))))))</f>
        <v>0</v>
      </c>
      <c r="M354" s="3" t="str">
        <f>IF(L354="","",IF(L354="DNS",0,IF(L354="DQ",0,IF(L354="DNF",1,IF(AND(ISNUMBER(L354),L354&gt;59),1,_xlfn.XLOOKUP(L354,tbl_points[Place],tbl_points[Points],""))))))</f>
        <v/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</f>
        <v>28</v>
      </c>
    </row>
    <row r="355" spans="1:22" hidden="1" x14ac:dyDescent="0.4">
      <c r="A355" t="s">
        <v>217</v>
      </c>
      <c r="B355" t="s">
        <v>21</v>
      </c>
      <c r="C355" t="s">
        <v>3</v>
      </c>
      <c r="D355" s="3">
        <v>10175</v>
      </c>
      <c r="E355" s="3" t="s">
        <v>426</v>
      </c>
      <c r="G355" s="3" t="s">
        <v>406</v>
      </c>
      <c r="H355" s="3">
        <v>1</v>
      </c>
      <c r="I355" s="3">
        <f>IF(H355="","",IF(H355="DNS",0,IF(H355="DQ",0,IF(H355="DNF",1,IF(AND(ISNUMBER(H355),H355&gt;59),1,_xlfn.XLOOKUP(H355,tbl_points[Place],tbl_points[Points],""))))))</f>
        <v>100</v>
      </c>
      <c r="J355" s="3">
        <v>1</v>
      </c>
      <c r="K355" s="3">
        <f>IF(J355="","",IF(J355="DNS",0,IF(J355="DQ",0,IF(J355="DNF",1,IF(AND(ISNUMBER(J355),J355&gt;59),1,_xlfn.XLOOKUP(J355,tbl_points[Place],tbl_points[Points],""))))))</f>
        <v>100</v>
      </c>
      <c r="M355" s="3" t="str">
        <f>IF(L355="","",IF(L355="DNS",0,IF(L355="DQ",0,IF(L355="DNF",1,IF(AND(ISNUMBER(L355),L355&gt;59),1,_xlfn.XLOOKUP(L355,tbl_points[Place],tbl_points[Points],""))))))</f>
        <v/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55" s="3">
        <f>tbl_individual[[#This Row],[Total]]</f>
        <v>200</v>
      </c>
    </row>
    <row r="356" spans="1:22" hidden="1" x14ac:dyDescent="0.4">
      <c r="A356" t="s">
        <v>387</v>
      </c>
      <c r="B356" t="s">
        <v>31</v>
      </c>
      <c r="C356" t="s">
        <v>4</v>
      </c>
      <c r="D356" s="3">
        <v>1044</v>
      </c>
      <c r="E356" s="3" t="s">
        <v>426</v>
      </c>
      <c r="G356" s="3" t="s">
        <v>406</v>
      </c>
      <c r="H356" s="3" t="s">
        <v>413</v>
      </c>
      <c r="I356" s="3">
        <f>IF(H356="","",IF(H356="DNS",0,IF(H356="DQ",0,IF(H356="DNF",1,IF(AND(ISNUMBER(H356),H356&gt;59),1,_xlfn.XLOOKUP(H356,tbl_points[Place],tbl_points[Points],""))))))</f>
        <v>0</v>
      </c>
      <c r="J356" s="3">
        <v>5</v>
      </c>
      <c r="K356" s="3">
        <f>IF(J356="","",IF(J356="DNS",0,IF(J356="DQ",0,IF(J356="DNF",1,IF(AND(ISNUMBER(J356),J356&gt;59),1,_xlfn.XLOOKUP(J356,tbl_points[Place],tbl_points[Points],""))))))</f>
        <v>80</v>
      </c>
      <c r="M356" s="3" t="str">
        <f>IF(L356="","",IF(L356="DNS",0,IF(L356="DQ",0,IF(L356="DNF",1,IF(AND(ISNUMBER(L356),L356&gt;59),1,_xlfn.XLOOKUP(L356,tbl_points[Place],tbl_points[Points],""))))))</f>
        <v/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80</v>
      </c>
    </row>
    <row r="357" spans="1:22" hidden="1" x14ac:dyDescent="0.4">
      <c r="A357" t="s">
        <v>319</v>
      </c>
      <c r="B357" t="s">
        <v>27</v>
      </c>
      <c r="C357" t="s">
        <v>5</v>
      </c>
      <c r="D357" s="3">
        <v>944</v>
      </c>
      <c r="E357" s="3" t="s">
        <v>426</v>
      </c>
      <c r="G357" s="3" t="s">
        <v>410</v>
      </c>
      <c r="H357" s="3" t="s">
        <v>413</v>
      </c>
      <c r="I357" s="3">
        <f>IF(H357="","",IF(H357="DNS",0,IF(H357="DQ",0,IF(H357="DNF",1,IF(AND(ISNUMBER(H357),H357&gt;59),1,_xlfn.XLOOKUP(H357,tbl_points[Place],tbl_points[Points],""))))))</f>
        <v>0</v>
      </c>
      <c r="J357" s="3" t="s">
        <v>413</v>
      </c>
      <c r="K357" s="3">
        <f>IF(J357="","",IF(J357="DNS",0,IF(J357="DQ",0,IF(J357="DNF",1,IF(AND(ISNUMBER(J357),J357&gt;59),1,_xlfn.XLOOKUP(J357,tbl_points[Place],tbl_points[Points],""))))))</f>
        <v>0</v>
      </c>
      <c r="M357" s="3" t="str">
        <f>IF(L357="","",IF(L357="DNS",0,IF(L357="DQ",0,IF(L357="DNF",1,IF(AND(ISNUMBER(L357),L357&gt;59),1,_xlfn.XLOOKUP(L357,tbl_points[Place],tbl_points[Points],""))))))</f>
        <v/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0</v>
      </c>
    </row>
    <row r="358" spans="1:22" hidden="1" x14ac:dyDescent="0.4">
      <c r="A358" t="s">
        <v>383</v>
      </c>
      <c r="B358" t="s">
        <v>31</v>
      </c>
      <c r="C358" t="s">
        <v>5</v>
      </c>
      <c r="D358" s="3">
        <v>952</v>
      </c>
      <c r="E358" s="3" t="s">
        <v>426</v>
      </c>
      <c r="G358" s="3" t="s">
        <v>410</v>
      </c>
      <c r="H358" s="3" t="s">
        <v>413</v>
      </c>
      <c r="I358" s="3">
        <f>IF(H358="","",IF(H358="DNS",0,IF(H358="DQ",0,IF(H358="DNF",1,IF(AND(ISNUMBER(H358),H358&gt;59),1,_xlfn.XLOOKUP(H358,tbl_points[Place],tbl_points[Points],""))))))</f>
        <v>0</v>
      </c>
      <c r="J358" s="3" t="s">
        <v>413</v>
      </c>
      <c r="K358" s="3">
        <f>IF(J358="","",IF(J358="DNS",0,IF(J358="DQ",0,IF(J358="DNF",1,IF(AND(ISNUMBER(J358),J358&gt;59),1,_xlfn.XLOOKUP(J358,tbl_points[Place],tbl_points[Points],""))))))</f>
        <v>0</v>
      </c>
      <c r="M358" s="3" t="str">
        <f>IF(L358="","",IF(L358="DNS",0,IF(L358="DQ",0,IF(L358="DNF",1,IF(AND(ISNUMBER(L358),L358&gt;59),1,_xlfn.XLOOKUP(L358,tbl_points[Place],tbl_points[Points],""))))))</f>
        <v/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</f>
        <v>0</v>
      </c>
    </row>
    <row r="359" spans="1:22" hidden="1" x14ac:dyDescent="0.4">
      <c r="A359" t="s">
        <v>384</v>
      </c>
      <c r="B359" t="s">
        <v>31</v>
      </c>
      <c r="C359" t="s">
        <v>5</v>
      </c>
      <c r="D359" s="3">
        <v>953</v>
      </c>
      <c r="E359" s="3" t="s">
        <v>426</v>
      </c>
      <c r="G359" s="3" t="s">
        <v>410</v>
      </c>
      <c r="H359" s="3" t="s">
        <v>413</v>
      </c>
      <c r="I359" s="3">
        <f>IF(H359="","",IF(H359="DNS",0,IF(H359="DQ",0,IF(H359="DNF",1,IF(AND(ISNUMBER(H359),H359&gt;59),1,_xlfn.XLOOKUP(H359,tbl_points[Place],tbl_points[Points],""))))))</f>
        <v>0</v>
      </c>
      <c r="J359" s="3" t="s">
        <v>413</v>
      </c>
      <c r="K359" s="3">
        <f>IF(J359="","",IF(J359="DNS",0,IF(J359="DQ",0,IF(J359="DNF",1,IF(AND(ISNUMBER(J359),J359&gt;59),1,_xlfn.XLOOKUP(J359,tbl_points[Place],tbl_points[Points],""))))))</f>
        <v>0</v>
      </c>
      <c r="M359" s="3" t="str">
        <f>IF(L359="","",IF(L359="DNS",0,IF(L359="DQ",0,IF(L359="DNF",1,IF(AND(ISNUMBER(L359),L359&gt;59),1,_xlfn.XLOOKUP(L359,tbl_points[Place],tbl_points[Points],""))))))</f>
        <v/>
      </c>
      <c r="O359" s="3" t="str">
        <f>IF(N359="","",IF(N359="DNS",0,IF(N359="DQ",0,IF(N359="DNF",1,IF(AND(ISNUMBER(N359),N359&gt;59),1,_xlfn.XLOOKUP(N359,tbl_points[Place],tbl_points[Points],""))))))</f>
        <v/>
      </c>
      <c r="Q359" s="3" t="str">
        <f>IF(P359="","",IF(P359="DNS",0,IF(P359="DQ",0,IF(P359="DNF",1,IF(AND(ISNUMBER(P359),P359&gt;59),1,_xlfn.XLOOKUP(P359,tbl_points[Place],tbl_points[Points],""))))))</f>
        <v/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9" s="3">
        <f>tbl_individual[[#This Row],[Total]]</f>
        <v>0</v>
      </c>
    </row>
    <row r="360" spans="1:22" hidden="1" x14ac:dyDescent="0.4">
      <c r="A360" t="s">
        <v>403</v>
      </c>
      <c r="B360" t="s">
        <v>30</v>
      </c>
      <c r="C360" t="s">
        <v>1</v>
      </c>
      <c r="D360" s="3">
        <v>12906</v>
      </c>
      <c r="E360" s="3" t="s">
        <v>426</v>
      </c>
      <c r="G360" s="3" t="s">
        <v>410</v>
      </c>
      <c r="H360" s="3" t="s">
        <v>413</v>
      </c>
      <c r="I360" s="3">
        <f>IF(H360="","",IF(H360="DNS",0,IF(H360="DQ",0,IF(H360="DNF",1,IF(AND(ISNUMBER(H360),H360&gt;59),1,_xlfn.XLOOKUP(H360,tbl_points[Place],tbl_points[Points],""))))))</f>
        <v>0</v>
      </c>
      <c r="J360" s="3" t="s">
        <v>413</v>
      </c>
      <c r="K360" s="3">
        <f>IF(J360="","",IF(J360="DNS",0,IF(J360="DQ",0,IF(J360="DNF",1,IF(AND(ISNUMBER(J360),J360&gt;59),1,_xlfn.XLOOKUP(J360,tbl_points[Place],tbl_points[Points],""))))))</f>
        <v>0</v>
      </c>
      <c r="M360" s="3" t="str">
        <f>IF(L360="","",IF(L360="DNS",0,IF(L360="DQ",0,IF(L360="DNF",1,IF(AND(ISNUMBER(L360),L360&gt;59),1,_xlfn.XLOOKUP(L360,tbl_points[Place],tbl_points[Points],""))))))</f>
        <v/>
      </c>
      <c r="O360" s="3" t="str">
        <f>IF(N360="","",IF(N360="DNS",0,IF(N360="DQ",0,IF(N360="DNF",1,IF(AND(ISNUMBER(N360),N360&gt;59),1,_xlfn.XLOOKUP(N360,tbl_points[Place],tbl_points[Points],""))))))</f>
        <v/>
      </c>
      <c r="Q360" s="3" t="str">
        <f>IF(P360="","",IF(P360="DNS",0,IF(P360="DQ",0,IF(P360="DNF",1,IF(AND(ISNUMBER(P360),P360&gt;59),1,_xlfn.XLOOKUP(P360,tbl_points[Place],tbl_points[Points],""))))))</f>
        <v/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</f>
        <v>0</v>
      </c>
    </row>
    <row r="361" spans="1:22" hidden="1" x14ac:dyDescent="0.4">
      <c r="A361" t="s">
        <v>389</v>
      </c>
      <c r="B361" t="s">
        <v>31</v>
      </c>
      <c r="C361" t="s">
        <v>1</v>
      </c>
      <c r="D361" s="3">
        <v>12102</v>
      </c>
      <c r="E361" s="3" t="s">
        <v>426</v>
      </c>
      <c r="G361" s="3" t="s">
        <v>410</v>
      </c>
      <c r="H361" s="3" t="s">
        <v>413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413</v>
      </c>
      <c r="K361" s="3">
        <f>IF(J361="","",IF(J361="DNS",0,IF(J361="DQ",0,IF(J361="DNF",1,IF(AND(ISNUMBER(J361),J361&gt;59),1,_xlfn.XLOOKUP(J361,tbl_points[Place],tbl_points[Points],""))))))</f>
        <v>0</v>
      </c>
      <c r="M361" s="3" t="str">
        <f>IF(L361="","",IF(L361="DNS",0,IF(L361="DQ",0,IF(L361="DNF",1,IF(AND(ISNUMBER(L361),L361&gt;59),1,_xlfn.XLOOKUP(L361,tbl_points[Place],tbl_points[Points],""))))))</f>
        <v/>
      </c>
      <c r="O361" s="3" t="str">
        <f>IF(N361="","",IF(N361="DNS",0,IF(N361="DQ",0,IF(N361="DNF",1,IF(AND(ISNUMBER(N361),N361&gt;59),1,_xlfn.XLOOKUP(N361,tbl_points[Place],tbl_points[Points],""))))))</f>
        <v/>
      </c>
      <c r="Q361" s="3" t="str">
        <f>IF(P361="","",IF(P361="DNS",0,IF(P361="DQ",0,IF(P361="DNF",1,IF(AND(ISNUMBER(P361),P361&gt;59),1,_xlfn.XLOOKUP(P361,tbl_points[Place],tbl_points[Points],""))))))</f>
        <v/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0</v>
      </c>
    </row>
    <row r="362" spans="1:22" hidden="1" x14ac:dyDescent="0.4">
      <c r="A362" t="s">
        <v>329</v>
      </c>
      <c r="B362" t="s">
        <v>27</v>
      </c>
      <c r="C362" t="s">
        <v>2</v>
      </c>
      <c r="D362" s="3">
        <v>1243</v>
      </c>
      <c r="E362" s="3" t="s">
        <v>426</v>
      </c>
      <c r="G362" s="3" t="s">
        <v>406</v>
      </c>
      <c r="H362" s="3" t="s">
        <v>412</v>
      </c>
      <c r="I362" s="3">
        <f>IF(H362="","",IF(H362="DNS",0,IF(H362="DQ",0,IF(H362="DNF",1,IF(AND(ISNUMBER(H362),H362&gt;59),1,_xlfn.XLOOKUP(H362,tbl_points[Place],tbl_points[Points],""))))))</f>
        <v>1</v>
      </c>
      <c r="J362" s="3" t="s">
        <v>413</v>
      </c>
      <c r="K362" s="3">
        <f>IF(J362="","",IF(J362="DNS",0,IF(J362="DQ",0,IF(J362="DNF",1,IF(AND(ISNUMBER(J362),J362&gt;59),1,_xlfn.XLOOKUP(J362,tbl_points[Place],tbl_points[Points],""))))))</f>
        <v>0</v>
      </c>
      <c r="M362" s="3" t="str">
        <f>IF(L362="","",IF(L362="DNS",0,IF(L362="DQ",0,IF(L362="DNF",1,IF(AND(ISNUMBER(L362),L362&gt;59),1,_xlfn.XLOOKUP(L362,tbl_points[Place],tbl_points[Points],""))))))</f>
        <v/>
      </c>
      <c r="O362" s="3" t="str">
        <f>IF(N362="","",IF(N362="DNS",0,IF(N362="DQ",0,IF(N362="DNF",1,IF(AND(ISNUMBER(N362),N362&gt;59),1,_xlfn.XLOOKUP(N362,tbl_points[Place],tbl_points[Points],""))))))</f>
        <v/>
      </c>
      <c r="Q362" s="3" t="str">
        <f>IF(P362="","",IF(P362="DNS",0,IF(P362="DQ",0,IF(P362="DNF",1,IF(AND(ISNUMBER(P362),P362&gt;59),1,_xlfn.XLOOKUP(P362,tbl_points[Place],tbl_points[Points],""))))))</f>
        <v/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1</v>
      </c>
    </row>
    <row r="363" spans="1:22" hidden="1" x14ac:dyDescent="0.4">
      <c r="A363" t="s">
        <v>376</v>
      </c>
      <c r="B363" t="s">
        <v>30</v>
      </c>
      <c r="C363" t="s">
        <v>2</v>
      </c>
      <c r="D363" s="3">
        <v>1246</v>
      </c>
      <c r="E363" s="3" t="s">
        <v>426</v>
      </c>
      <c r="G363" s="3" t="s">
        <v>410</v>
      </c>
      <c r="H363" s="3">
        <v>12</v>
      </c>
      <c r="I363" s="3">
        <f>IF(H363="","",IF(H363="DNS",0,IF(H363="DQ",0,IF(H363="DNF",1,IF(AND(ISNUMBER(H363),H363&gt;59),1,_xlfn.XLOOKUP(H363,tbl_points[Place],tbl_points[Points],""))))))</f>
        <v>51</v>
      </c>
      <c r="J363" s="3" t="s">
        <v>413</v>
      </c>
      <c r="K363" s="3">
        <f>IF(J363="","",IF(J363="DNS",0,IF(J363="DQ",0,IF(J363="DNF",1,IF(AND(ISNUMBER(J363),J363&gt;59),1,_xlfn.XLOOKUP(J363,tbl_points[Place],tbl_points[Points],""))))))</f>
        <v>0</v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51</v>
      </c>
    </row>
    <row r="365" spans="1:22" x14ac:dyDescent="0.4">
      <c r="E365" s="3">
        <f>COUNTIF(tbl_individual[Status], "Active")</f>
        <v>355</v>
      </c>
      <c r="G365" s="3">
        <f>COUNTIF(tbl_individual[Attendance], "yes")</f>
        <v>277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0:D361">
    <cfRule type="expression" dxfId="7" priority="1">
      <formula>$C360="Bant Boys"</formula>
    </cfRule>
    <cfRule type="expression" dxfId="6" priority="2">
      <formula>$C360="Bant Girls"</formula>
    </cfRule>
    <cfRule type="expression" dxfId="5" priority="3">
      <formula>$C360="Juv Girls"</formula>
    </cfRule>
    <cfRule type="expression" dxfId="4" priority="4">
      <formula>$C360="Juv Boys"</formula>
    </cfRule>
    <cfRule type="expression" dxfId="3" priority="5">
      <formula>$C360="Jr Girls"</formula>
    </cfRule>
    <cfRule type="expression" dxfId="2" priority="6">
      <formula>$C360="Jr Boys"</formula>
    </cfRule>
    <cfRule type="expression" dxfId="1" priority="7">
      <formula>$C360="Sr Boys"</formula>
    </cfRule>
    <cfRule type="expression" dxfId="0" priority="8">
      <formula>$C360="Sr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C2:C363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B2:B363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100"/>
  <sheetViews>
    <sheetView workbookViewId="0">
      <pane ySplit="3" topLeftCell="A4" activePane="bottomLeft" state="frozen"/>
      <selection pane="bottomLeft" activeCell="F11" sqref="F1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100">IF($B$1="","",
_xlfn._xlws.SORT(
    _xlfn.CHOOSECOLS(
        _xlfn._xlws.FILTER(tbl_individual[], tbl_individual[Division]=$B$1),
        1,2,3,4,8,9,10,11,12,13,14,15,16,17,18,19
    ),
    16,-1
))</f>
        <v>Easton Hestler</v>
      </c>
      <c r="B4" t="str">
        <v>Handsworth</v>
      </c>
      <c r="C4" t="str">
        <v>Sr Boys</v>
      </c>
      <c r="D4">
        <v>12043</v>
      </c>
      <c r="E4" s="3">
        <v>17</v>
      </c>
      <c r="F4" s="3">
        <v>43</v>
      </c>
      <c r="G4" s="3">
        <v>1</v>
      </c>
      <c r="H4" s="3">
        <v>100</v>
      </c>
      <c r="I4" s="3">
        <v>0</v>
      </c>
      <c r="J4" s="3" t="str">
        <v/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Jonah Rickard</v>
      </c>
      <c r="B5" t="str">
        <v>Carson</v>
      </c>
      <c r="C5" t="str">
        <v>Sr Boys</v>
      </c>
      <c r="D5">
        <v>12025</v>
      </c>
      <c r="E5" s="3">
        <v>4</v>
      </c>
      <c r="F5" s="3">
        <v>85</v>
      </c>
      <c r="G5" s="3">
        <v>2</v>
      </c>
      <c r="H5" s="3">
        <v>95</v>
      </c>
      <c r="I5" s="3">
        <v>0</v>
      </c>
      <c r="J5" s="3" t="str">
        <v/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Max Rinzema</v>
      </c>
      <c r="B6" t="str">
        <v>Handsworth</v>
      </c>
      <c r="C6" t="str">
        <v>Sr Boys</v>
      </c>
      <c r="D6">
        <v>12047</v>
      </c>
      <c r="E6" s="3" t="str">
        <v>DNS</v>
      </c>
      <c r="F6" s="3">
        <v>0</v>
      </c>
      <c r="G6" s="3">
        <v>3</v>
      </c>
      <c r="H6" s="3">
        <v>90</v>
      </c>
      <c r="I6" s="3">
        <v>0</v>
      </c>
      <c r="J6" s="3" t="str">
        <v/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Owen Moore</v>
      </c>
      <c r="B7" t="str">
        <v>Handsworth</v>
      </c>
      <c r="C7" t="str">
        <v>Sr Boys</v>
      </c>
      <c r="D7">
        <v>12045</v>
      </c>
      <c r="E7" s="3" t="str">
        <v>DNS</v>
      </c>
      <c r="F7" s="3">
        <v>0</v>
      </c>
      <c r="G7" s="3">
        <v>4</v>
      </c>
      <c r="H7" s="3">
        <v>85</v>
      </c>
      <c r="I7" s="3">
        <v>0</v>
      </c>
      <c r="J7" s="3" t="str">
        <v/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Oliver Koch</v>
      </c>
      <c r="B8" t="str">
        <v>Whistler</v>
      </c>
      <c r="C8" t="str">
        <v>Sr Boys</v>
      </c>
      <c r="D8">
        <v>12100</v>
      </c>
      <c r="E8" s="3" t="str">
        <v>DNS</v>
      </c>
      <c r="F8" s="3">
        <v>0</v>
      </c>
      <c r="G8" s="3">
        <v>5</v>
      </c>
      <c r="H8" s="3">
        <v>80</v>
      </c>
      <c r="I8" s="3">
        <v>0</v>
      </c>
      <c r="J8" s="3" t="str">
        <v/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Jed Fleming</v>
      </c>
      <c r="B9" t="str">
        <v>Howe Sound</v>
      </c>
      <c r="C9" t="str">
        <v>Sr Boys</v>
      </c>
      <c r="D9">
        <v>12058</v>
      </c>
      <c r="E9" s="3" t="str">
        <v>DNS</v>
      </c>
      <c r="F9" s="3">
        <v>0</v>
      </c>
      <c r="G9" s="3">
        <v>6</v>
      </c>
      <c r="H9" s="3">
        <v>75</v>
      </c>
      <c r="I9" s="3">
        <v>0</v>
      </c>
      <c r="J9" s="3" t="str">
        <v/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Russell Ferguson</v>
      </c>
      <c r="B10" t="str">
        <v>Handsworth</v>
      </c>
      <c r="C10" t="str">
        <v>Sr Boys</v>
      </c>
      <c r="D10">
        <v>12040</v>
      </c>
      <c r="E10" s="3">
        <v>3</v>
      </c>
      <c r="F10" s="3">
        <v>90</v>
      </c>
      <c r="G10" s="3">
        <v>7</v>
      </c>
      <c r="H10" s="3">
        <v>70</v>
      </c>
      <c r="I10" s="3">
        <v>0</v>
      </c>
      <c r="J10" s="3" t="str">
        <v/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Oscar Tarling</v>
      </c>
      <c r="B11" t="str">
        <v>Pemberton</v>
      </c>
      <c r="C11" t="str">
        <v>Sr Boys</v>
      </c>
      <c r="D11">
        <v>12069</v>
      </c>
      <c r="E11" s="3">
        <v>2</v>
      </c>
      <c r="F11" s="3">
        <v>95</v>
      </c>
      <c r="G11" s="3">
        <v>8</v>
      </c>
      <c r="H11" s="3">
        <v>65</v>
      </c>
      <c r="I11" s="3">
        <v>0</v>
      </c>
      <c r="J11" s="3" t="str">
        <v/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Brendan Hutchinson</v>
      </c>
      <c r="B12" t="str">
        <v>Seycove</v>
      </c>
      <c r="C12" t="str">
        <v>Sr Boys</v>
      </c>
      <c r="D12">
        <v>12105</v>
      </c>
      <c r="E12" s="3" t="str">
        <v>DNS</v>
      </c>
      <c r="F12" s="3">
        <v>0</v>
      </c>
      <c r="G12" s="3">
        <v>9</v>
      </c>
      <c r="H12" s="3">
        <v>60</v>
      </c>
      <c r="I12" s="3">
        <v>0</v>
      </c>
      <c r="J12" s="3" t="str">
        <v/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Jeanre Raubenheimer</v>
      </c>
      <c r="B13" t="str">
        <v>Sutherland</v>
      </c>
      <c r="C13" t="str">
        <v>Sr Boys</v>
      </c>
      <c r="D13">
        <v>12090</v>
      </c>
      <c r="E13" s="3">
        <v>10</v>
      </c>
      <c r="F13" s="3">
        <v>55</v>
      </c>
      <c r="G13" s="3">
        <v>10</v>
      </c>
      <c r="H13" s="3">
        <v>55</v>
      </c>
      <c r="I13" s="3">
        <v>0</v>
      </c>
      <c r="J13" s="3" t="str">
        <v/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 xml:space="preserve">Hendrik Lorenz </v>
      </c>
      <c r="B14" t="str">
        <v>Howe Sound</v>
      </c>
      <c r="C14" t="str">
        <v>Sr Boys</v>
      </c>
      <c r="D14">
        <v>12052</v>
      </c>
      <c r="E14" s="3">
        <v>19</v>
      </c>
      <c r="F14" s="3">
        <v>41</v>
      </c>
      <c r="G14" s="3">
        <v>11</v>
      </c>
      <c r="H14" s="3">
        <v>53</v>
      </c>
      <c r="I14" s="3">
        <v>0</v>
      </c>
      <c r="J14" s="3" t="str">
        <v/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Hudson Baker</v>
      </c>
      <c r="B15" t="str">
        <v>Handsworth</v>
      </c>
      <c r="C15" t="str">
        <v>Sr Boys</v>
      </c>
      <c r="D15">
        <v>12038</v>
      </c>
      <c r="E15" s="3">
        <v>18</v>
      </c>
      <c r="F15" s="3">
        <v>42</v>
      </c>
      <c r="G15" s="3">
        <v>12</v>
      </c>
      <c r="H15" s="3">
        <v>51</v>
      </c>
      <c r="I15" s="3">
        <v>0</v>
      </c>
      <c r="J15" s="3" t="str">
        <v/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James Pinfold</v>
      </c>
      <c r="B16" t="str">
        <v>Carson</v>
      </c>
      <c r="C16" t="str">
        <v>Sr Boys</v>
      </c>
      <c r="D16">
        <v>12103</v>
      </c>
      <c r="E16" s="3">
        <v>1</v>
      </c>
      <c r="F16" s="3">
        <v>100</v>
      </c>
      <c r="G16" s="3">
        <v>13</v>
      </c>
      <c r="H16" s="3">
        <v>49</v>
      </c>
      <c r="I16" s="3">
        <v>0</v>
      </c>
      <c r="J16" s="3" t="str">
        <v/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Sam Fort</v>
      </c>
      <c r="B17" t="str">
        <v>Windsor</v>
      </c>
      <c r="C17" t="str">
        <v>Sr Boys</v>
      </c>
      <c r="D17">
        <v>12101</v>
      </c>
      <c r="E17" s="3" t="str">
        <v>DNS</v>
      </c>
      <c r="F17" s="3">
        <v>0</v>
      </c>
      <c r="G17" s="3">
        <v>14</v>
      </c>
      <c r="H17" s="3">
        <v>47</v>
      </c>
      <c r="I17" s="3">
        <v>0</v>
      </c>
      <c r="J17" s="3" t="str">
        <v/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Luke Mackie</v>
      </c>
      <c r="B18" t="str">
        <v>Carson</v>
      </c>
      <c r="C18" t="str">
        <v>Sr Boys</v>
      </c>
      <c r="D18">
        <v>12024</v>
      </c>
      <c r="E18" s="3" t="str">
        <v>DNS</v>
      </c>
      <c r="F18" s="3">
        <v>0</v>
      </c>
      <c r="G18" s="3">
        <v>15</v>
      </c>
      <c r="H18" s="3">
        <v>45</v>
      </c>
      <c r="I18" s="3">
        <v>0</v>
      </c>
      <c r="J18" s="3" t="str">
        <v/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Noah Gradin</v>
      </c>
      <c r="B19" t="str">
        <v>Handsworth</v>
      </c>
      <c r="C19" t="str">
        <v>Sr Boys</v>
      </c>
      <c r="D19">
        <v>12041</v>
      </c>
      <c r="E19" s="3" t="str">
        <v>DNS</v>
      </c>
      <c r="F19" s="3">
        <v>0</v>
      </c>
      <c r="G19" s="3">
        <v>16</v>
      </c>
      <c r="H19" s="3">
        <v>44</v>
      </c>
      <c r="I19" s="3">
        <v>0</v>
      </c>
      <c r="J19" s="3" t="str">
        <v/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Rory Taylor</v>
      </c>
      <c r="B20" t="str">
        <v>Pemberton</v>
      </c>
      <c r="C20" t="str">
        <v>Sr Boys</v>
      </c>
      <c r="D20">
        <v>12070</v>
      </c>
      <c r="E20" s="3">
        <v>11</v>
      </c>
      <c r="F20" s="3">
        <v>53</v>
      </c>
      <c r="G20" s="3">
        <v>17</v>
      </c>
      <c r="H20" s="3">
        <v>43</v>
      </c>
      <c r="I20" s="3">
        <v>0</v>
      </c>
      <c r="J20" s="3" t="str">
        <v/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Felix LeBlanc</v>
      </c>
      <c r="B21" t="str">
        <v>Pemberton</v>
      </c>
      <c r="C21" t="str">
        <v>Sr Boys</v>
      </c>
      <c r="D21">
        <v>12061</v>
      </c>
      <c r="E21" s="3" t="str">
        <v>DNS</v>
      </c>
      <c r="F21" s="3">
        <v>0</v>
      </c>
      <c r="G21" s="3">
        <v>18</v>
      </c>
      <c r="H21" s="3">
        <v>42</v>
      </c>
      <c r="I21" s="3">
        <v>0</v>
      </c>
      <c r="J21" s="3" t="str">
        <v/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Carden Tomic</v>
      </c>
      <c r="B22" t="str">
        <v>STA</v>
      </c>
      <c r="C22" t="str">
        <v>Sr Boys</v>
      </c>
      <c r="D22">
        <v>12085</v>
      </c>
      <c r="E22" s="3" t="str">
        <v>DNS</v>
      </c>
      <c r="F22" s="3">
        <v>0</v>
      </c>
      <c r="G22" s="3">
        <v>19</v>
      </c>
      <c r="H22" s="3">
        <v>41</v>
      </c>
      <c r="I22" s="3">
        <v>0</v>
      </c>
      <c r="J22" s="3" t="str">
        <v/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Carter Fincham</v>
      </c>
      <c r="B23" t="str">
        <v>Sutherland</v>
      </c>
      <c r="C23" t="str">
        <v>Sr Boys</v>
      </c>
      <c r="D23">
        <v>12089</v>
      </c>
      <c r="E23" s="3" t="str">
        <v>DNS</v>
      </c>
      <c r="F23" s="3">
        <v>0</v>
      </c>
      <c r="G23" s="3">
        <v>20</v>
      </c>
      <c r="H23" s="3">
        <v>40</v>
      </c>
      <c r="I23" s="3">
        <v>0</v>
      </c>
      <c r="J23" s="3" t="str">
        <v/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Cove White</v>
      </c>
      <c r="B24" t="str">
        <v>Whistler</v>
      </c>
      <c r="C24" t="str">
        <v>Sr Boys</v>
      </c>
      <c r="D24">
        <v>12099</v>
      </c>
      <c r="E24" s="3">
        <v>15</v>
      </c>
      <c r="F24" s="3">
        <v>45</v>
      </c>
      <c r="G24" s="3">
        <v>21</v>
      </c>
      <c r="H24" s="3">
        <v>39</v>
      </c>
      <c r="I24" s="3">
        <v>0</v>
      </c>
      <c r="J24" s="3" t="str">
        <v/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Kaede Gossman</v>
      </c>
      <c r="B25" t="str">
        <v>Whistler</v>
      </c>
      <c r="C25" t="str">
        <v>Sr Boys</v>
      </c>
      <c r="D25">
        <v>12098</v>
      </c>
      <c r="E25" s="3">
        <v>20</v>
      </c>
      <c r="F25" s="3">
        <v>40</v>
      </c>
      <c r="G25" s="3">
        <v>22</v>
      </c>
      <c r="H25" s="3">
        <v>38</v>
      </c>
      <c r="I25" s="3">
        <v>0</v>
      </c>
      <c r="J25" s="3" t="str">
        <v/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Bennet Scheider</v>
      </c>
      <c r="B26" t="str">
        <v>Howe Sound</v>
      </c>
      <c r="C26" t="str">
        <v>Sr Boys</v>
      </c>
      <c r="D26">
        <v>12049</v>
      </c>
      <c r="E26" s="3">
        <v>8</v>
      </c>
      <c r="F26" s="3">
        <v>65</v>
      </c>
      <c r="G26" s="3">
        <v>23</v>
      </c>
      <c r="H26" s="3">
        <v>37</v>
      </c>
      <c r="I26" s="3">
        <v>0</v>
      </c>
      <c r="J26" s="3" t="str">
        <v/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Charles Suda</v>
      </c>
      <c r="B27" t="str">
        <v>STA</v>
      </c>
      <c r="C27" t="str">
        <v>Sr Boys</v>
      </c>
      <c r="D27">
        <v>12084</v>
      </c>
      <c r="E27" s="3">
        <v>26</v>
      </c>
      <c r="F27" s="3">
        <v>34</v>
      </c>
      <c r="G27" s="3">
        <v>24</v>
      </c>
      <c r="H27" s="3">
        <v>36</v>
      </c>
      <c r="I27" s="3">
        <v>0</v>
      </c>
      <c r="J27" s="3" t="str">
        <v/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Damyen Bouvier</v>
      </c>
      <c r="B28" t="str">
        <v>Whistler</v>
      </c>
      <c r="C28" t="str">
        <v>Sr Boys</v>
      </c>
      <c r="D28">
        <v>12097</v>
      </c>
      <c r="E28" s="3" t="str">
        <v>DNS</v>
      </c>
      <c r="F28" s="3">
        <v>0</v>
      </c>
      <c r="G28" s="3">
        <v>25</v>
      </c>
      <c r="H28" s="3">
        <v>35</v>
      </c>
      <c r="I28" s="3">
        <v>0</v>
      </c>
      <c r="J28" s="3" t="str">
        <v/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Jake Brackenbury</v>
      </c>
      <c r="B29" t="str">
        <v>Carson</v>
      </c>
      <c r="C29" t="str">
        <v>Sr Boys</v>
      </c>
      <c r="D29">
        <v>12030</v>
      </c>
      <c r="E29" s="3">
        <v>6</v>
      </c>
      <c r="F29" s="3">
        <v>75</v>
      </c>
      <c r="G29" s="3">
        <v>26</v>
      </c>
      <c r="H29" s="3">
        <v>34</v>
      </c>
      <c r="I29" s="3">
        <v>0</v>
      </c>
      <c r="J29" s="3" t="str">
        <v/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Sam Roy</v>
      </c>
      <c r="B30" t="str">
        <v>Sutherland</v>
      </c>
      <c r="C30" t="str">
        <v>Sr Boys</v>
      </c>
      <c r="D30">
        <v>12092</v>
      </c>
      <c r="E30" s="3">
        <v>33</v>
      </c>
      <c r="F30" s="3">
        <v>27</v>
      </c>
      <c r="G30" s="3">
        <v>27</v>
      </c>
      <c r="H30" s="3">
        <v>33</v>
      </c>
      <c r="I30" s="3">
        <v>0</v>
      </c>
      <c r="J30" s="3" t="str">
        <v/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Riley Hobbs</v>
      </c>
      <c r="B31" t="str">
        <v>Handsworth</v>
      </c>
      <c r="C31" t="str">
        <v>Sr Boys</v>
      </c>
      <c r="D31">
        <v>12044</v>
      </c>
      <c r="E31" s="3">
        <v>9</v>
      </c>
      <c r="F31" s="3">
        <v>60</v>
      </c>
      <c r="G31" s="3">
        <v>28</v>
      </c>
      <c r="H31" s="3">
        <v>32</v>
      </c>
      <c r="I31" s="3">
        <v>0</v>
      </c>
      <c r="J31" s="3" t="str">
        <v/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Tristan Benes</v>
      </c>
      <c r="B32" t="str">
        <v>Pemberton</v>
      </c>
      <c r="C32" t="str">
        <v>Sr Boys</v>
      </c>
      <c r="D32">
        <v>12065</v>
      </c>
      <c r="E32" s="3">
        <v>29</v>
      </c>
      <c r="F32" s="3">
        <v>31</v>
      </c>
      <c r="G32" s="3">
        <v>29</v>
      </c>
      <c r="H32" s="3">
        <v>31</v>
      </c>
      <c r="I32" s="3">
        <v>0</v>
      </c>
      <c r="J32" s="3" t="str">
        <v/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Oliver McKnight</v>
      </c>
      <c r="B33" t="str">
        <v>Rockridge</v>
      </c>
      <c r="C33" t="str">
        <v>Sr Boys</v>
      </c>
      <c r="D33">
        <v>12073</v>
      </c>
      <c r="E33" s="3" t="str">
        <v>DNS</v>
      </c>
      <c r="F33" s="3">
        <v>0</v>
      </c>
      <c r="G33" s="3">
        <v>30</v>
      </c>
      <c r="H33" s="3">
        <v>30</v>
      </c>
      <c r="I33" s="3">
        <v>0</v>
      </c>
      <c r="J33" s="3" t="str">
        <v/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 xml:space="preserve">Caelan Hooper </v>
      </c>
      <c r="B34" t="str">
        <v>Howe Sound</v>
      </c>
      <c r="C34" t="str">
        <v>Sr Boys</v>
      </c>
      <c r="D34">
        <v>12050</v>
      </c>
      <c r="E34" s="3">
        <v>30</v>
      </c>
      <c r="F34" s="3">
        <v>30</v>
      </c>
      <c r="G34" s="3">
        <v>31</v>
      </c>
      <c r="H34" s="3">
        <v>29</v>
      </c>
      <c r="I34" s="3">
        <v>0</v>
      </c>
      <c r="J34" s="3" t="str">
        <v/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Kai Nunes</v>
      </c>
      <c r="B35" t="str">
        <v>Argyle</v>
      </c>
      <c r="C35" t="str">
        <v>Sr Boys</v>
      </c>
      <c r="D35">
        <v>12013</v>
      </c>
      <c r="E35" s="3">
        <v>41</v>
      </c>
      <c r="F35" s="3">
        <v>19</v>
      </c>
      <c r="G35" s="3">
        <v>32</v>
      </c>
      <c r="H35" s="3">
        <v>28</v>
      </c>
      <c r="I35" s="3">
        <v>0</v>
      </c>
      <c r="J35" s="3" t="str">
        <v/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Deegan Wright</v>
      </c>
      <c r="B36" t="str">
        <v>Pemberton</v>
      </c>
      <c r="C36" t="str">
        <v>Sr Boys</v>
      </c>
      <c r="D36">
        <v>12071</v>
      </c>
      <c r="E36" s="3" t="str">
        <v>DNS</v>
      </c>
      <c r="F36" s="3">
        <v>0</v>
      </c>
      <c r="G36" s="3">
        <v>33</v>
      </c>
      <c r="H36" s="3">
        <v>27</v>
      </c>
      <c r="I36" s="3">
        <v>0</v>
      </c>
      <c r="J36" s="3" t="str">
        <v/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Miles Ferguson</v>
      </c>
      <c r="B37" t="str">
        <v>STA</v>
      </c>
      <c r="C37" t="str">
        <v>Sr Boys</v>
      </c>
      <c r="D37">
        <v>12082</v>
      </c>
      <c r="E37" s="3">
        <v>38</v>
      </c>
      <c r="F37" s="3">
        <v>22</v>
      </c>
      <c r="G37" s="3">
        <v>34</v>
      </c>
      <c r="H37" s="3">
        <v>26</v>
      </c>
      <c r="I37" s="3">
        <v>0</v>
      </c>
      <c r="J37" s="3" t="str">
        <v/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Dexter White</v>
      </c>
      <c r="B38" t="str">
        <v>Sutherland</v>
      </c>
      <c r="C38" t="str">
        <v>Sr Boys</v>
      </c>
      <c r="D38">
        <v>12094</v>
      </c>
      <c r="E38" s="3">
        <v>21</v>
      </c>
      <c r="F38" s="3">
        <v>39</v>
      </c>
      <c r="G38" s="3">
        <v>35</v>
      </c>
      <c r="H38" s="3">
        <v>25</v>
      </c>
      <c r="I38" s="3">
        <v>0</v>
      </c>
      <c r="J38" s="3" t="str">
        <v/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Finn Brownlee</v>
      </c>
      <c r="B39" t="str">
        <v>STA</v>
      </c>
      <c r="C39" t="str">
        <v>Sr Boys</v>
      </c>
      <c r="D39">
        <v>12080</v>
      </c>
      <c r="E39" s="3">
        <v>32</v>
      </c>
      <c r="F39" s="3">
        <v>28</v>
      </c>
      <c r="G39" s="3">
        <v>36</v>
      </c>
      <c r="H39" s="3">
        <v>24</v>
      </c>
      <c r="I39" s="3">
        <v>0</v>
      </c>
      <c r="J39" s="3" t="str">
        <v/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Ethan Stewart</v>
      </c>
      <c r="B40" t="str">
        <v>Handsworth</v>
      </c>
      <c r="C40" t="str">
        <v>Sr Boys</v>
      </c>
      <c r="D40">
        <v>12048</v>
      </c>
      <c r="E40" s="3">
        <v>35</v>
      </c>
      <c r="F40" s="3">
        <v>25</v>
      </c>
      <c r="G40" s="3">
        <v>37</v>
      </c>
      <c r="H40" s="3">
        <v>23</v>
      </c>
      <c r="I40" s="3">
        <v>0</v>
      </c>
      <c r="J40" s="3" t="str">
        <v/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Hunter Ronayne</v>
      </c>
      <c r="B41" t="str">
        <v>Pemberton</v>
      </c>
      <c r="C41" t="str">
        <v>Sr Boys</v>
      </c>
      <c r="D41">
        <v>12062</v>
      </c>
      <c r="E41" s="3" t="str">
        <v>DNS</v>
      </c>
      <c r="F41" s="3">
        <v>0</v>
      </c>
      <c r="G41" s="3">
        <v>38</v>
      </c>
      <c r="H41" s="3">
        <v>22</v>
      </c>
      <c r="I41" s="3">
        <v>0</v>
      </c>
      <c r="J41" s="3" t="str">
        <v/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Joey Kearnes</v>
      </c>
      <c r="B42" t="str">
        <v>Pemberton</v>
      </c>
      <c r="C42" t="str">
        <v>Sr Boys</v>
      </c>
      <c r="D42">
        <v>12067</v>
      </c>
      <c r="E42" s="3">
        <v>37</v>
      </c>
      <c r="F42" s="3">
        <v>23</v>
      </c>
      <c r="G42" s="3">
        <v>39</v>
      </c>
      <c r="H42" s="3">
        <v>21</v>
      </c>
      <c r="I42" s="3">
        <v>0</v>
      </c>
      <c r="J42" s="3" t="str">
        <v/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Caleb Leung</v>
      </c>
      <c r="B43" t="str">
        <v>Howe Sound</v>
      </c>
      <c r="C43" t="str">
        <v>Sr Boys</v>
      </c>
      <c r="D43">
        <v>12051</v>
      </c>
      <c r="E43" s="3">
        <v>28</v>
      </c>
      <c r="F43" s="3">
        <v>32</v>
      </c>
      <c r="G43" s="3">
        <v>40</v>
      </c>
      <c r="H43" s="3">
        <v>20</v>
      </c>
      <c r="I43" s="3">
        <v>0</v>
      </c>
      <c r="J43" s="3" t="str">
        <v/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Trent McGrenera</v>
      </c>
      <c r="B44" t="str">
        <v>Carson</v>
      </c>
      <c r="C44" t="str">
        <v>Sr Boys</v>
      </c>
      <c r="D44">
        <v>12027</v>
      </c>
      <c r="E44" s="3">
        <v>43</v>
      </c>
      <c r="F44" s="3">
        <v>17</v>
      </c>
      <c r="G44" s="3">
        <v>41</v>
      </c>
      <c r="H44" s="3">
        <v>19</v>
      </c>
      <c r="I44" s="3">
        <v>0</v>
      </c>
      <c r="J44" s="3" t="str">
        <v/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>Ethan Andrew</v>
      </c>
      <c r="B45" t="str">
        <v>Pemberton</v>
      </c>
      <c r="C45" t="str">
        <v>Sr Boys</v>
      </c>
      <c r="D45">
        <v>12063</v>
      </c>
      <c r="E45" s="3">
        <v>36</v>
      </c>
      <c r="F45" s="3">
        <v>24</v>
      </c>
      <c r="G45" s="3">
        <v>42</v>
      </c>
      <c r="H45" s="3">
        <v>18</v>
      </c>
      <c r="I45" s="3">
        <v>0</v>
      </c>
      <c r="J45" s="3" t="str">
        <v/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Kai McLeod</v>
      </c>
      <c r="B46" t="str">
        <v>Sutherland</v>
      </c>
      <c r="C46" t="str">
        <v>Sr Boys</v>
      </c>
      <c r="D46">
        <v>12091</v>
      </c>
      <c r="E46" s="3" t="str">
        <v>DNS</v>
      </c>
      <c r="F46" s="3">
        <v>0</v>
      </c>
      <c r="G46" s="3">
        <v>43</v>
      </c>
      <c r="H46" s="3">
        <v>17</v>
      </c>
      <c r="I46" s="3">
        <v>0</v>
      </c>
      <c r="J46" s="3" t="str">
        <v/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>Ruben Wright</v>
      </c>
      <c r="B47" t="str">
        <v>Argyle</v>
      </c>
      <c r="C47" t="str">
        <v>Sr Boys</v>
      </c>
      <c r="D47">
        <v>12012</v>
      </c>
      <c r="E47" s="3" t="str">
        <v>DNS</v>
      </c>
      <c r="F47" s="3">
        <v>0</v>
      </c>
      <c r="G47" s="3">
        <v>44</v>
      </c>
      <c r="H47" s="3">
        <v>16</v>
      </c>
      <c r="I47" s="3">
        <v>0</v>
      </c>
      <c r="J47" s="3" t="str">
        <v/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Konrad Pfaff</v>
      </c>
      <c r="B48" t="str">
        <v>Howe Sound</v>
      </c>
      <c r="C48" t="str">
        <v>Sr Boys</v>
      </c>
      <c r="D48">
        <v>12055</v>
      </c>
      <c r="E48" s="3" t="str">
        <v>DNS</v>
      </c>
      <c r="F48" s="3">
        <v>0</v>
      </c>
      <c r="G48" s="3">
        <v>45</v>
      </c>
      <c r="H48" s="3">
        <v>15</v>
      </c>
      <c r="I48" s="3">
        <v>0</v>
      </c>
      <c r="J48" s="3" t="str">
        <v/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>Beckett Jiminez</v>
      </c>
      <c r="B49" t="str">
        <v>Collingwood</v>
      </c>
      <c r="C49" t="str">
        <v>Sr Boys</v>
      </c>
      <c r="D49">
        <v>12034</v>
      </c>
      <c r="E49" s="3" t="str">
        <v>DNS</v>
      </c>
      <c r="F49" s="3">
        <v>0</v>
      </c>
      <c r="G49" s="3">
        <v>46</v>
      </c>
      <c r="H49" s="3">
        <v>14</v>
      </c>
      <c r="I49" s="3">
        <v>0</v>
      </c>
      <c r="J49" s="3" t="str">
        <v/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Florian Ruoff</v>
      </c>
      <c r="B50" t="str">
        <v>Howe Sound</v>
      </c>
      <c r="C50" t="str">
        <v>Sr Boys</v>
      </c>
      <c r="D50">
        <v>12060</v>
      </c>
      <c r="E50" s="3">
        <v>16</v>
      </c>
      <c r="F50" s="3">
        <v>44</v>
      </c>
      <c r="G50" s="3">
        <v>47</v>
      </c>
      <c r="H50" s="3">
        <v>13</v>
      </c>
      <c r="I50" s="3">
        <v>0</v>
      </c>
      <c r="J50" s="3" t="str">
        <v/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Jack Watkins</v>
      </c>
      <c r="B51" t="str">
        <v>STA</v>
      </c>
      <c r="C51" t="str">
        <v>Sr Boys</v>
      </c>
      <c r="D51">
        <v>12086</v>
      </c>
      <c r="E51" s="3" t="str">
        <v>DNS</v>
      </c>
      <c r="F51" s="3">
        <v>0</v>
      </c>
      <c r="G51" s="3">
        <v>48</v>
      </c>
      <c r="H51" s="3">
        <v>12</v>
      </c>
      <c r="I51" s="3">
        <v>0</v>
      </c>
      <c r="J51" s="3" t="str">
        <v/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Riley Drever</v>
      </c>
      <c r="B52" t="str">
        <v>Howe Sound</v>
      </c>
      <c r="C52" t="str">
        <v>Sr Boys</v>
      </c>
      <c r="D52">
        <v>12057</v>
      </c>
      <c r="E52" s="3">
        <v>48</v>
      </c>
      <c r="F52" s="3">
        <v>12</v>
      </c>
      <c r="G52" s="3">
        <v>49</v>
      </c>
      <c r="H52" s="3">
        <v>11</v>
      </c>
      <c r="I52" s="3">
        <v>0</v>
      </c>
      <c r="J52" s="3" t="str">
        <v/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Isaac Dirkson</v>
      </c>
      <c r="B53" t="str">
        <v>St. Georges</v>
      </c>
      <c r="C53" t="str">
        <v>Sr Boys</v>
      </c>
      <c r="D53">
        <v>12079</v>
      </c>
      <c r="E53" s="3" t="str">
        <v>DNS</v>
      </c>
      <c r="F53" s="3">
        <v>0</v>
      </c>
      <c r="G53" s="3">
        <v>50</v>
      </c>
      <c r="H53" s="3">
        <v>10</v>
      </c>
      <c r="I53" s="3">
        <v>0</v>
      </c>
      <c r="J53" s="3" t="str">
        <v/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Howard Wang</v>
      </c>
      <c r="B54" t="str">
        <v>Howe Sound</v>
      </c>
      <c r="C54" t="str">
        <v>Sr Boys</v>
      </c>
      <c r="D54">
        <v>12056</v>
      </c>
      <c r="E54" s="3" t="str">
        <v>DNS</v>
      </c>
      <c r="F54" s="3">
        <v>0</v>
      </c>
      <c r="G54" s="3">
        <v>51</v>
      </c>
      <c r="H54" s="3">
        <v>9</v>
      </c>
      <c r="I54" s="3">
        <v>0</v>
      </c>
      <c r="J54" s="3" t="str">
        <v/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Oliver Kolkea</v>
      </c>
      <c r="B55" t="str">
        <v>West Van</v>
      </c>
      <c r="C55" t="str">
        <v>Sr Boys</v>
      </c>
      <c r="D55">
        <v>12095</v>
      </c>
      <c r="E55" s="3" t="str">
        <v>DNS</v>
      </c>
      <c r="F55" s="3">
        <v>0</v>
      </c>
      <c r="G55" s="3">
        <v>52</v>
      </c>
      <c r="H55" s="3">
        <v>8</v>
      </c>
      <c r="I55" s="3">
        <v>0</v>
      </c>
      <c r="J55" s="3" t="str">
        <v/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Jacob Bergerhoff</v>
      </c>
      <c r="B56" t="str">
        <v>Handsworth</v>
      </c>
      <c r="C56" t="str">
        <v>Sr Boys</v>
      </c>
      <c r="D56">
        <v>12039</v>
      </c>
      <c r="E56" s="3">
        <v>22</v>
      </c>
      <c r="F56" s="3">
        <v>38</v>
      </c>
      <c r="G56" s="3">
        <v>53</v>
      </c>
      <c r="H56" s="3">
        <v>7</v>
      </c>
      <c r="I56" s="3">
        <v>0</v>
      </c>
      <c r="J56" s="3" t="str">
        <v/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Declan Kirker</v>
      </c>
      <c r="B57" t="str">
        <v>St. Georges</v>
      </c>
      <c r="C57" t="str">
        <v>Sr Boys</v>
      </c>
      <c r="D57">
        <v>12077</v>
      </c>
      <c r="E57" s="3">
        <v>12</v>
      </c>
      <c r="F57" s="3">
        <v>51</v>
      </c>
      <c r="G57" s="3">
        <v>54</v>
      </c>
      <c r="H57" s="3">
        <v>6</v>
      </c>
      <c r="I57" s="3">
        <v>0</v>
      </c>
      <c r="J57" s="3" t="str">
        <v/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Nate Morse</v>
      </c>
      <c r="B58" t="str">
        <v>Carson</v>
      </c>
      <c r="C58" t="str">
        <v>Sr Boys</v>
      </c>
      <c r="D58">
        <v>12028</v>
      </c>
      <c r="E58" s="3">
        <v>42</v>
      </c>
      <c r="F58" s="3">
        <v>18</v>
      </c>
      <c r="G58" s="3">
        <v>55</v>
      </c>
      <c r="H58" s="3">
        <v>5</v>
      </c>
      <c r="I58" s="3">
        <v>0</v>
      </c>
      <c r="J58" s="3" t="str">
        <v/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Oscar Tschan</v>
      </c>
      <c r="B59" t="str">
        <v>Carson</v>
      </c>
      <c r="C59" t="str">
        <v>Sr Boys</v>
      </c>
      <c r="D59">
        <v>12026</v>
      </c>
      <c r="E59" s="3">
        <v>27</v>
      </c>
      <c r="F59" s="3">
        <v>33</v>
      </c>
      <c r="G59" s="3">
        <v>56</v>
      </c>
      <c r="H59" s="3">
        <v>4</v>
      </c>
      <c r="I59" s="3">
        <v>0</v>
      </c>
      <c r="J59" s="3" t="str">
        <v/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Guy Shalev</v>
      </c>
      <c r="B60" t="str">
        <v>Argyle</v>
      </c>
      <c r="C60" t="str">
        <v>Sr Boys</v>
      </c>
      <c r="D60">
        <v>12001</v>
      </c>
      <c r="E60" s="3" t="str">
        <v>DNS</v>
      </c>
      <c r="F60" s="3">
        <v>0</v>
      </c>
      <c r="G60" s="3">
        <v>57</v>
      </c>
      <c r="H60" s="3">
        <v>3</v>
      </c>
      <c r="I60" s="3">
        <v>0</v>
      </c>
      <c r="J60" s="3" t="str">
        <v/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Henry Harland</v>
      </c>
      <c r="B61" t="str">
        <v>St. Georges</v>
      </c>
      <c r="C61" t="str">
        <v>Sr Boys</v>
      </c>
      <c r="D61">
        <v>12076</v>
      </c>
      <c r="E61" s="3" t="str">
        <v>DNS</v>
      </c>
      <c r="F61" s="3">
        <v>0</v>
      </c>
      <c r="G61" s="3">
        <v>58</v>
      </c>
      <c r="H61" s="3">
        <v>2</v>
      </c>
      <c r="I61" s="3">
        <v>0</v>
      </c>
      <c r="J61" s="3" t="str">
        <v/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Carter Bucci</v>
      </c>
      <c r="B62" t="str">
        <v>Brockton</v>
      </c>
      <c r="C62" t="str">
        <v>Sr Boys</v>
      </c>
      <c r="D62">
        <v>12018</v>
      </c>
      <c r="E62" s="3">
        <v>45</v>
      </c>
      <c r="F62" s="3">
        <v>15</v>
      </c>
      <c r="G62" s="3">
        <v>59</v>
      </c>
      <c r="H62" s="3">
        <v>1</v>
      </c>
      <c r="I62" s="3">
        <v>0</v>
      </c>
      <c r="J62" s="3" t="str">
        <v/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William Elliott</v>
      </c>
      <c r="B63" t="str">
        <v>STA</v>
      </c>
      <c r="C63" t="str">
        <v>Sr Boys</v>
      </c>
      <c r="D63">
        <v>12081</v>
      </c>
      <c r="E63" s="3">
        <v>40</v>
      </c>
      <c r="F63" s="3">
        <v>20</v>
      </c>
      <c r="G63" s="3">
        <v>60</v>
      </c>
      <c r="H63" s="3">
        <v>1</v>
      </c>
      <c r="I63" s="3">
        <v>0</v>
      </c>
      <c r="J63" s="3" t="str">
        <v/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Ben Christian</v>
      </c>
      <c r="B64" t="str">
        <v>Argyle</v>
      </c>
      <c r="C64" t="str">
        <v>Sr Boys</v>
      </c>
      <c r="D64">
        <v>12016</v>
      </c>
      <c r="E64" s="3" t="str">
        <v>DNS</v>
      </c>
      <c r="F64" s="3">
        <v>0</v>
      </c>
      <c r="G64" s="3">
        <v>61</v>
      </c>
      <c r="H64" s="3">
        <v>1</v>
      </c>
      <c r="I64" s="3">
        <v>0</v>
      </c>
      <c r="J64" s="3" t="str">
        <v/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Shae O'Boyle</v>
      </c>
      <c r="B65" t="str">
        <v>STA</v>
      </c>
      <c r="C65" t="str">
        <v>Sr Boys</v>
      </c>
      <c r="D65">
        <v>12083</v>
      </c>
      <c r="E65" s="3" t="str">
        <v>DNS</v>
      </c>
      <c r="F65" s="3">
        <v>0</v>
      </c>
      <c r="G65" s="3">
        <v>62</v>
      </c>
      <c r="H65" s="3">
        <v>1</v>
      </c>
      <c r="I65" s="3">
        <v>0</v>
      </c>
      <c r="J65" s="3" t="str">
        <v/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Isaac Flegal</v>
      </c>
      <c r="B66" t="str">
        <v>Argyle</v>
      </c>
      <c r="C66" t="str">
        <v>Sr Boys</v>
      </c>
      <c r="D66">
        <v>12104</v>
      </c>
      <c r="E66" s="3">
        <v>14</v>
      </c>
      <c r="F66" s="3">
        <v>47</v>
      </c>
      <c r="G66" s="3">
        <v>63</v>
      </c>
      <c r="H66" s="3">
        <v>1</v>
      </c>
      <c r="I66" s="3">
        <v>0</v>
      </c>
      <c r="J66" s="3" t="str">
        <v/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Mateo Ortiz</v>
      </c>
      <c r="B67" t="str">
        <v>Sutherland</v>
      </c>
      <c r="C67" t="str">
        <v>Sr Boys</v>
      </c>
      <c r="D67">
        <v>12093</v>
      </c>
      <c r="E67" s="3" t="str">
        <v>DNS</v>
      </c>
      <c r="F67" s="3">
        <v>0</v>
      </c>
      <c r="G67" s="3">
        <v>64</v>
      </c>
      <c r="H67" s="3">
        <v>1</v>
      </c>
      <c r="I67" s="3">
        <v>0</v>
      </c>
      <c r="J67" s="3" t="str">
        <v/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Hyunseo Ryu</v>
      </c>
      <c r="B68" t="str">
        <v>Argyle</v>
      </c>
      <c r="C68" t="str">
        <v>Sr Boys</v>
      </c>
      <c r="D68">
        <v>12014</v>
      </c>
      <c r="E68" s="3" t="str">
        <v>DNS</v>
      </c>
      <c r="F68" s="3">
        <v>0</v>
      </c>
      <c r="G68" s="3">
        <v>65</v>
      </c>
      <c r="H68" s="3">
        <v>1</v>
      </c>
      <c r="I68" s="3">
        <v>0</v>
      </c>
      <c r="J68" s="3" t="str">
        <v/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Zachary Jiminez</v>
      </c>
      <c r="B69" t="str">
        <v>Collingwood</v>
      </c>
      <c r="C69" t="str">
        <v>Sr Boys</v>
      </c>
      <c r="D69">
        <v>12035</v>
      </c>
      <c r="E69" s="3" t="str">
        <v>DNS</v>
      </c>
      <c r="F69" s="3">
        <v>0</v>
      </c>
      <c r="G69" s="3">
        <v>66</v>
      </c>
      <c r="H69" s="3">
        <v>1</v>
      </c>
      <c r="I69" s="3">
        <v>0</v>
      </c>
      <c r="J69" s="3" t="str">
        <v/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Leif Montgomery</v>
      </c>
      <c r="B70" t="str">
        <v>Argyle</v>
      </c>
      <c r="C70" t="str">
        <v>Sr Boys</v>
      </c>
      <c r="D70">
        <v>12015</v>
      </c>
      <c r="E70" s="3">
        <v>44</v>
      </c>
      <c r="F70" s="3">
        <v>16</v>
      </c>
      <c r="G70" s="3">
        <v>67</v>
      </c>
      <c r="H70" s="3">
        <v>1</v>
      </c>
      <c r="I70" s="3">
        <v>0</v>
      </c>
      <c r="J70" s="3" t="str">
        <v/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Jayin Charan</v>
      </c>
      <c r="B71" t="str">
        <v>Burnaby Mtn</v>
      </c>
      <c r="C71" t="str">
        <v>Sr Boys</v>
      </c>
      <c r="D71">
        <v>12023</v>
      </c>
      <c r="E71" s="3">
        <v>47</v>
      </c>
      <c r="F71" s="3">
        <v>13</v>
      </c>
      <c r="G71" s="3">
        <v>68</v>
      </c>
      <c r="H71" s="3">
        <v>1</v>
      </c>
      <c r="I71" s="3">
        <v>0</v>
      </c>
      <c r="J71" s="3" t="str">
        <v/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Trevor Gurd</v>
      </c>
      <c r="B72" t="str">
        <v>Handsworth</v>
      </c>
      <c r="C72" t="str">
        <v>Sr Boys</v>
      </c>
      <c r="D72">
        <v>12042</v>
      </c>
      <c r="E72" s="3" t="str">
        <v>DNS</v>
      </c>
      <c r="F72" s="3">
        <v>0</v>
      </c>
      <c r="G72" s="3">
        <v>69</v>
      </c>
      <c r="H72" s="3">
        <v>1</v>
      </c>
      <c r="I72" s="3">
        <v>0</v>
      </c>
      <c r="J72" s="3" t="str">
        <v/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>Finlay Bubbs</v>
      </c>
      <c r="B73" t="str">
        <v>Pemberton</v>
      </c>
      <c r="C73" t="str">
        <v>Sr Boys</v>
      </c>
      <c r="D73">
        <v>12066</v>
      </c>
      <c r="E73" s="3" t="str">
        <v>DNF</v>
      </c>
      <c r="F73" s="3">
        <v>1</v>
      </c>
      <c r="G73" s="3">
        <v>70</v>
      </c>
      <c r="H73" s="3">
        <v>1</v>
      </c>
      <c r="I73" s="3">
        <v>0</v>
      </c>
      <c r="J73" s="3" t="str">
        <v/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Nathaniel Pica</v>
      </c>
      <c r="B74" t="str">
        <v>Handsworth</v>
      </c>
      <c r="C74" t="str">
        <v>Sr Boys</v>
      </c>
      <c r="D74">
        <v>12046</v>
      </c>
      <c r="E74" s="3">
        <v>23</v>
      </c>
      <c r="F74" s="3">
        <v>37</v>
      </c>
      <c r="G74" s="3">
        <v>71</v>
      </c>
      <c r="H74" s="3">
        <v>1</v>
      </c>
      <c r="I74" s="3">
        <v>0</v>
      </c>
      <c r="J74" s="3" t="str">
        <v/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>Dylan Lilley</v>
      </c>
      <c r="B75" t="str">
        <v>Argyle</v>
      </c>
      <c r="C75" t="str">
        <v>Sr Boys</v>
      </c>
      <c r="D75">
        <v>12017</v>
      </c>
      <c r="E75" s="3" t="str">
        <v>DNS</v>
      </c>
      <c r="F75" s="3">
        <v>0</v>
      </c>
      <c r="G75" s="3">
        <v>72</v>
      </c>
      <c r="H75" s="3">
        <v>1</v>
      </c>
      <c r="I75" s="3">
        <v>0</v>
      </c>
      <c r="J75" s="3" t="str">
        <v/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>Caige Udagawa</v>
      </c>
      <c r="B76" t="str">
        <v>Burnaby Mtn</v>
      </c>
      <c r="C76" t="str">
        <v>Sr Boys</v>
      </c>
      <c r="D76">
        <v>12022</v>
      </c>
      <c r="E76" s="3">
        <v>46</v>
      </c>
      <c r="F76" s="3">
        <v>14</v>
      </c>
      <c r="G76" s="3">
        <v>73</v>
      </c>
      <c r="H76" s="3">
        <v>1</v>
      </c>
      <c r="I76" s="3">
        <v>0</v>
      </c>
      <c r="J76" s="3" t="str">
        <v/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Tristan Ng</v>
      </c>
      <c r="B77" t="str">
        <v>Burnaby Mtn</v>
      </c>
      <c r="C77" t="str">
        <v>Sr Boys</v>
      </c>
      <c r="D77">
        <v>12020</v>
      </c>
      <c r="E77" s="3">
        <v>49</v>
      </c>
      <c r="F77" s="3">
        <v>11</v>
      </c>
      <c r="G77" s="3">
        <v>74</v>
      </c>
      <c r="H77" s="3">
        <v>1</v>
      </c>
      <c r="I77" s="3">
        <v>0</v>
      </c>
      <c r="J77" s="3" t="str">
        <v/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Markus Leung</v>
      </c>
      <c r="B78" t="str">
        <v>Argyle</v>
      </c>
      <c r="C78" t="str">
        <v>Sr Boys</v>
      </c>
      <c r="D78">
        <v>12005</v>
      </c>
      <c r="E78" s="3">
        <v>39</v>
      </c>
      <c r="F78" s="3">
        <v>21</v>
      </c>
      <c r="G78" s="3" t="str">
        <v>DNS</v>
      </c>
      <c r="H78" s="3">
        <v>0</v>
      </c>
      <c r="I78" s="3">
        <v>0</v>
      </c>
      <c r="J78" s="3" t="str">
        <v/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Satoru Yamaguchi</v>
      </c>
      <c r="B79" t="str">
        <v>Argyle</v>
      </c>
      <c r="C79" t="str">
        <v>Sr Boys</v>
      </c>
      <c r="D79">
        <v>12009</v>
      </c>
      <c r="E79" s="3" t="str">
        <v>DNS</v>
      </c>
      <c r="F79" s="3">
        <v>0</v>
      </c>
      <c r="G79" s="3" t="str">
        <v>DNS</v>
      </c>
      <c r="H79" s="3">
        <v>0</v>
      </c>
      <c r="I79" s="3">
        <v>0</v>
      </c>
      <c r="J79" s="3" t="str">
        <v/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Harry Duess</v>
      </c>
      <c r="B80" t="str">
        <v>Brockton</v>
      </c>
      <c r="C80" t="str">
        <v>Sr Boys</v>
      </c>
      <c r="D80">
        <v>12019</v>
      </c>
      <c r="E80" s="3" t="str">
        <v>DNS</v>
      </c>
      <c r="F80" s="3">
        <v>0</v>
      </c>
      <c r="G80" s="3" t="str">
        <v>DNS</v>
      </c>
      <c r="H80" s="3">
        <v>0</v>
      </c>
      <c r="I80" s="3">
        <v>0</v>
      </c>
      <c r="J80" s="3" t="str">
        <v/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Will Burkett</v>
      </c>
      <c r="B81" t="str">
        <v>Burnaby Mtn</v>
      </c>
      <c r="C81" t="str">
        <v>Sr Boys</v>
      </c>
      <c r="D81">
        <v>12021</v>
      </c>
      <c r="E81" s="3" t="str">
        <v>DNF</v>
      </c>
      <c r="F81" s="3">
        <v>1</v>
      </c>
      <c r="G81" s="3" t="str">
        <v>DNS</v>
      </c>
      <c r="H81" s="3">
        <v>0</v>
      </c>
      <c r="I81" s="3">
        <v>0</v>
      </c>
      <c r="J81" s="3" t="str">
        <v/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Eden Golan</v>
      </c>
      <c r="B82" t="str">
        <v>Carson</v>
      </c>
      <c r="C82" t="str">
        <v>Sr Boys</v>
      </c>
      <c r="D82">
        <v>12029</v>
      </c>
      <c r="E82" s="3" t="str">
        <v>DNS</v>
      </c>
      <c r="F82" s="3">
        <v>0</v>
      </c>
      <c r="G82" s="3" t="str">
        <v>DNS</v>
      </c>
      <c r="H82" s="3">
        <v>0</v>
      </c>
      <c r="I82" s="3">
        <v>0</v>
      </c>
      <c r="J82" s="3" t="str">
        <v/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Quentin Bayle</v>
      </c>
      <c r="B83" t="str">
        <v>Chatelech</v>
      </c>
      <c r="C83" t="str">
        <v>Sr Boys</v>
      </c>
      <c r="D83">
        <v>12031</v>
      </c>
      <c r="E83" s="3">
        <v>25</v>
      </c>
      <c r="F83" s="3">
        <v>35</v>
      </c>
      <c r="G83" s="3" t="str">
        <v>DNS</v>
      </c>
      <c r="H83" s="3">
        <v>0</v>
      </c>
      <c r="I83" s="3">
        <v>0</v>
      </c>
      <c r="J83" s="3" t="str">
        <v/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Harrison Hume</v>
      </c>
      <c r="B84" t="str">
        <v>Coast Mtn</v>
      </c>
      <c r="C84" t="str">
        <v>Sr Boys</v>
      </c>
      <c r="D84">
        <v>12032</v>
      </c>
      <c r="E84" s="3" t="str">
        <v>DNF</v>
      </c>
      <c r="F84" s="3">
        <v>1</v>
      </c>
      <c r="G84" s="3" t="str">
        <v>DNS</v>
      </c>
      <c r="H84" s="3">
        <v>0</v>
      </c>
      <c r="I84" s="3">
        <v>0</v>
      </c>
      <c r="J84" s="3" t="str">
        <v/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Rafe Hudson</v>
      </c>
      <c r="B85" t="str">
        <v>Coast Mtn</v>
      </c>
      <c r="C85" t="str">
        <v>Sr Boys</v>
      </c>
      <c r="D85">
        <v>12033</v>
      </c>
      <c r="E85" s="3">
        <v>5</v>
      </c>
      <c r="F85" s="3">
        <v>80</v>
      </c>
      <c r="G85" s="3" t="str">
        <v>DNS</v>
      </c>
      <c r="H85" s="3">
        <v>0</v>
      </c>
      <c r="I85" s="3">
        <v>0</v>
      </c>
      <c r="J85" s="3" t="str">
        <v/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Chase Marchuk</v>
      </c>
      <c r="B86" t="str">
        <v>GW Graham</v>
      </c>
      <c r="C86" t="str">
        <v>Sr Boys</v>
      </c>
      <c r="D86">
        <v>12036</v>
      </c>
      <c r="E86" s="3" t="str">
        <v>DNS</v>
      </c>
      <c r="F86" s="3">
        <v>0</v>
      </c>
      <c r="G86" s="3" t="str">
        <v>DNS</v>
      </c>
      <c r="H86" s="3">
        <v>0</v>
      </c>
      <c r="I86" s="3">
        <v>0</v>
      </c>
      <c r="J86" s="3" t="str">
        <v/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Luke Mulyono</v>
      </c>
      <c r="B87" t="str">
        <v>GW Graham</v>
      </c>
      <c r="C87" t="str">
        <v>Sr Boys</v>
      </c>
      <c r="D87">
        <v>12037</v>
      </c>
      <c r="E87" s="3" t="str">
        <v>DNS</v>
      </c>
      <c r="F87" s="3">
        <v>0</v>
      </c>
      <c r="G87" s="3" t="str">
        <v>DNS</v>
      </c>
      <c r="H87" s="3">
        <v>0</v>
      </c>
      <c r="I87" s="3">
        <v>0</v>
      </c>
      <c r="J87" s="3" t="str">
        <v/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Paul Musculus</v>
      </c>
      <c r="B88" t="str">
        <v>Howe Sound</v>
      </c>
      <c r="C88" t="str">
        <v>Sr Boys</v>
      </c>
      <c r="D88">
        <v>12053</v>
      </c>
      <c r="E88" s="3">
        <v>31</v>
      </c>
      <c r="F88" s="3">
        <v>29</v>
      </c>
      <c r="G88" s="3" t="str">
        <v>DNS</v>
      </c>
      <c r="H88" s="3">
        <v>0</v>
      </c>
      <c r="I88" s="3">
        <v>0</v>
      </c>
      <c r="J88" s="3" t="str">
        <v/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Shu Yano</v>
      </c>
      <c r="B89" t="str">
        <v>Howe Sound</v>
      </c>
      <c r="C89" t="str">
        <v>Sr Boys</v>
      </c>
      <c r="D89">
        <v>12054</v>
      </c>
      <c r="E89" s="3" t="str">
        <v>DNS</v>
      </c>
      <c r="F89" s="3">
        <v>0</v>
      </c>
      <c r="G89" s="3" t="str">
        <v>DNS</v>
      </c>
      <c r="H89" s="3">
        <v>0</v>
      </c>
      <c r="I89" s="3">
        <v>0</v>
      </c>
      <c r="J89" s="3" t="str">
        <v/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Mateo Quist</v>
      </c>
      <c r="B90" t="str">
        <v>Howe Sound</v>
      </c>
      <c r="C90" t="str">
        <v>Sr Boys</v>
      </c>
      <c r="D90">
        <v>12059</v>
      </c>
      <c r="E90" s="3" t="str">
        <v>DNS</v>
      </c>
      <c r="F90" s="3">
        <v>0</v>
      </c>
      <c r="G90" s="3" t="str">
        <v>DNS</v>
      </c>
      <c r="H90" s="3">
        <v>0</v>
      </c>
      <c r="I90" s="3">
        <v>0</v>
      </c>
      <c r="J90" s="3" t="str">
        <v/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India Becker</v>
      </c>
      <c r="B91" t="str">
        <v>Pemberton</v>
      </c>
      <c r="C91" t="str">
        <v>Sr Boys</v>
      </c>
      <c r="D91">
        <v>12064</v>
      </c>
      <c r="E91" s="3">
        <v>24</v>
      </c>
      <c r="F91" s="3">
        <v>36</v>
      </c>
      <c r="G91" s="3" t="str">
        <v>DNS</v>
      </c>
      <c r="H91" s="3">
        <v>0</v>
      </c>
      <c r="I91" s="3">
        <v>0</v>
      </c>
      <c r="J91" s="3" t="str">
        <v/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Liam McNolty</v>
      </c>
      <c r="B92" t="str">
        <v>Pemberton</v>
      </c>
      <c r="C92" t="str">
        <v>Sr Boys</v>
      </c>
      <c r="D92">
        <v>12068</v>
      </c>
      <c r="E92" s="3">
        <v>13</v>
      </c>
      <c r="F92" s="3">
        <v>49</v>
      </c>
      <c r="G92" s="3" t="str">
        <v>DNS</v>
      </c>
      <c r="H92" s="3">
        <v>0</v>
      </c>
      <c r="I92" s="3">
        <v>0</v>
      </c>
      <c r="J92" s="3" t="str">
        <v/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Ben Horswill</v>
      </c>
      <c r="B93" t="str">
        <v>Rockridge</v>
      </c>
      <c r="C93" t="str">
        <v>Sr Boys</v>
      </c>
      <c r="D93">
        <v>12072</v>
      </c>
      <c r="E93" s="3" t="str">
        <v>DNS</v>
      </c>
      <c r="F93" s="3">
        <v>0</v>
      </c>
      <c r="G93" s="3" t="str">
        <v>DNS</v>
      </c>
      <c r="H93" s="3">
        <v>0</v>
      </c>
      <c r="I93" s="3">
        <v>0</v>
      </c>
      <c r="J93" s="3" t="str">
        <v/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Emil Reischl</v>
      </c>
      <c r="B94" t="str">
        <v>Rockridge</v>
      </c>
      <c r="C94" t="str">
        <v>Sr Boys</v>
      </c>
      <c r="D94">
        <v>12074</v>
      </c>
      <c r="E94" s="3" t="str">
        <v>DNS</v>
      </c>
      <c r="F94" s="3">
        <v>0</v>
      </c>
      <c r="G94" s="3" t="str">
        <v>DNS</v>
      </c>
      <c r="H94" s="3">
        <v>0</v>
      </c>
      <c r="I94" s="3">
        <v>0</v>
      </c>
      <c r="J94" s="3" t="str">
        <v/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Keaton Schisler</v>
      </c>
      <c r="B95" t="str">
        <v>Seycove</v>
      </c>
      <c r="C95" t="str">
        <v>Sr Boys</v>
      </c>
      <c r="D95">
        <v>12075</v>
      </c>
      <c r="E95" s="3">
        <v>7</v>
      </c>
      <c r="F95" s="3">
        <v>70</v>
      </c>
      <c r="G95" s="3" t="str">
        <v>DNS</v>
      </c>
      <c r="H95" s="3">
        <v>0</v>
      </c>
      <c r="I95" s="3">
        <v>0</v>
      </c>
      <c r="J95" s="3" t="str">
        <v/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 xml:space="preserve">Charles Ho </v>
      </c>
      <c r="B96" t="str">
        <v>St. Georges</v>
      </c>
      <c r="C96" t="str">
        <v>Sr Boys</v>
      </c>
      <c r="D96">
        <v>12078</v>
      </c>
      <c r="E96" s="3" t="str">
        <v>DNS</v>
      </c>
      <c r="F96" s="3">
        <v>0</v>
      </c>
      <c r="G96" s="3" t="str">
        <v>DNS</v>
      </c>
      <c r="H96" s="3">
        <v>0</v>
      </c>
      <c r="I96" s="3">
        <v>0</v>
      </c>
      <c r="J96" s="3" t="str">
        <v/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Andrew Loutit</v>
      </c>
      <c r="B97" t="str">
        <v>Sutherland</v>
      </c>
      <c r="C97" t="str">
        <v>Sr Boys</v>
      </c>
      <c r="D97">
        <v>12087</v>
      </c>
      <c r="E97" s="3">
        <v>34</v>
      </c>
      <c r="F97" s="3">
        <v>26</v>
      </c>
      <c r="G97" s="3" t="str">
        <v>DNS</v>
      </c>
      <c r="H97" s="3">
        <v>0</v>
      </c>
      <c r="I97" s="3">
        <v>0</v>
      </c>
      <c r="J97" s="3" t="str">
        <v/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Liam Richmond</v>
      </c>
      <c r="B98" t="str">
        <v>Sutherland</v>
      </c>
      <c r="C98" t="str">
        <v>Sr Boys</v>
      </c>
      <c r="D98">
        <v>12088</v>
      </c>
      <c r="E98" s="3" t="str">
        <v>DNS</v>
      </c>
      <c r="F98" s="3">
        <v>0</v>
      </c>
      <c r="G98" s="3" t="str">
        <v>DNS</v>
      </c>
      <c r="H98" s="3">
        <v>0</v>
      </c>
      <c r="I98" s="3">
        <v>0</v>
      </c>
      <c r="J98" s="3" t="str">
        <v/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Theo Rothdram</v>
      </c>
      <c r="B99" t="str">
        <v>Whistler</v>
      </c>
      <c r="C99" t="str">
        <v>Sr Boys</v>
      </c>
      <c r="D99">
        <v>12906</v>
      </c>
      <c r="E99" s="3" t="str">
        <v>DNS</v>
      </c>
      <c r="F99" s="3">
        <v>0</v>
      </c>
      <c r="G99" s="3" t="str">
        <v>DNS</v>
      </c>
      <c r="H99" s="3">
        <v>0</v>
      </c>
      <c r="I99" s="3">
        <v>0</v>
      </c>
      <c r="J99" s="3" t="str">
        <v/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  <row r="100" spans="1:16" x14ac:dyDescent="0.4">
      <c r="A100" t="str">
        <v>Logan Anderson</v>
      </c>
      <c r="B100" t="str">
        <v>Windsor</v>
      </c>
      <c r="C100" t="str">
        <v>Sr Boys</v>
      </c>
      <c r="D100">
        <v>12102</v>
      </c>
      <c r="E100" s="3" t="str">
        <v>DNS</v>
      </c>
      <c r="F100" s="3">
        <v>0</v>
      </c>
      <c r="G100" s="3" t="str">
        <v>DNS</v>
      </c>
      <c r="H100" s="3">
        <v>0</v>
      </c>
      <c r="I100" s="3">
        <v>0</v>
      </c>
      <c r="J100" s="3" t="str">
        <v/>
      </c>
      <c r="K100" s="3">
        <v>0</v>
      </c>
      <c r="L100" s="3" t="str">
        <v/>
      </c>
      <c r="M100" s="3">
        <v>0</v>
      </c>
      <c r="N100" s="3" t="str">
        <v/>
      </c>
      <c r="O100" s="3">
        <v>0</v>
      </c>
      <c r="P100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116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189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199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436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208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488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178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346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89</v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249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176</v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176</v>
      </c>
    </row>
    <row r="11" spans="1:9" x14ac:dyDescent="0.4">
      <c r="A11" t="s">
        <v>399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241</v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478</v>
      </c>
    </row>
    <row r="12" spans="1:9" x14ac:dyDescent="0.4">
      <c r="A12" t="s">
        <v>399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399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399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399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318</v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564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224</v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474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125</v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125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221</v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463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290</v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610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454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123</v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282</v>
      </c>
    </row>
    <row r="22" spans="1:9" x14ac:dyDescent="0.4">
      <c r="A22" t="s">
        <v>398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270</v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530</v>
      </c>
    </row>
    <row r="23" spans="1:9" x14ac:dyDescent="0.4">
      <c r="A23" t="s">
        <v>398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398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398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486</v>
      </c>
    </row>
    <row r="26" spans="1:9" x14ac:dyDescent="0.4">
      <c r="A26" t="s">
        <v>398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303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598</v>
      </c>
    </row>
    <row r="27" spans="1:9" x14ac:dyDescent="0.4">
      <c r="A27" t="s">
        <v>398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234</v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366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639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347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102</v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275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141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141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499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292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48</v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151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</v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42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223</v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516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580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194</v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376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181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414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</v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18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127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231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153</v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300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192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192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400</v>
      </c>
      <c r="C3" s="8" t="s">
        <v>35</v>
      </c>
      <c r="D3" s="7" t="s">
        <v>36</v>
      </c>
      <c r="E3" s="7" t="s">
        <v>401</v>
      </c>
      <c r="F3" s="7" t="s">
        <v>402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66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Ben Hall</v>
      </c>
      <c r="C15" s="10" t="str">
        <v>Argyle</v>
      </c>
      <c r="D15" s="9" t="str">
        <v>Juv Boys</v>
      </c>
      <c r="E15" s="9">
        <v>960</v>
      </c>
      <c r="F15" s="9"/>
      <c r="G15" s="9"/>
    </row>
    <row r="16" spans="1:7" ht="24" customHeight="1" x14ac:dyDescent="0.4">
      <c r="A16" s="9">
        <v>13</v>
      </c>
      <c r="B16" s="10" t="str">
        <v>Platon Yaremych</v>
      </c>
      <c r="C16" s="10" t="str">
        <v>Brockton</v>
      </c>
      <c r="D16" s="9" t="str">
        <v>Juv Boys</v>
      </c>
      <c r="E16" s="9">
        <v>911</v>
      </c>
      <c r="F16" s="9"/>
      <c r="G16" s="9"/>
    </row>
    <row r="17" spans="1:7" ht="24" customHeight="1" x14ac:dyDescent="0.4">
      <c r="A17" s="9">
        <v>14</v>
      </c>
      <c r="B17" s="10" t="str">
        <v>Marcelo Maldifassi</v>
      </c>
      <c r="C17" s="10" t="str">
        <v>Carson</v>
      </c>
      <c r="D17" s="9" t="str">
        <v>Juv Boys</v>
      </c>
      <c r="E17" s="9">
        <v>912</v>
      </c>
      <c r="F17" s="9"/>
      <c r="G17" s="9"/>
    </row>
    <row r="18" spans="1:7" ht="24" customHeight="1" x14ac:dyDescent="0.4">
      <c r="A18" s="9">
        <v>15</v>
      </c>
      <c r="B18" s="10" t="str">
        <v>Logan Weiss-Podolski</v>
      </c>
      <c r="C18" s="10" t="str">
        <v>Carson</v>
      </c>
      <c r="D18" s="9" t="str">
        <v>Juv Boys</v>
      </c>
      <c r="E18" s="9">
        <v>913</v>
      </c>
      <c r="F18" s="9"/>
      <c r="G18" s="9"/>
    </row>
    <row r="19" spans="1:7" ht="24" customHeight="1" x14ac:dyDescent="0.4">
      <c r="A19" s="9">
        <v>16</v>
      </c>
      <c r="B19" s="10" t="str">
        <v>Alexander Moran</v>
      </c>
      <c r="C19" s="10" t="str">
        <v>Chatelech</v>
      </c>
      <c r="D19" s="9" t="str">
        <v>Juv Boys</v>
      </c>
      <c r="E19" s="9">
        <v>961</v>
      </c>
      <c r="F19" s="9"/>
      <c r="G19" s="9"/>
    </row>
    <row r="20" spans="1:7" ht="24" customHeight="1" x14ac:dyDescent="0.4">
      <c r="A20" s="9">
        <v>17</v>
      </c>
      <c r="B20" s="10" t="str">
        <v>Hunter Hodge</v>
      </c>
      <c r="C20" s="10" t="str">
        <v>Collingwood</v>
      </c>
      <c r="D20" s="9" t="str">
        <v>Juv Boys</v>
      </c>
      <c r="E20" s="9">
        <v>914</v>
      </c>
      <c r="F20" s="9"/>
      <c r="G20" s="9"/>
    </row>
    <row r="21" spans="1:7" ht="24" customHeight="1" x14ac:dyDescent="0.4">
      <c r="A21" s="9">
        <v>18</v>
      </c>
      <c r="B21" s="10" t="str">
        <v>Bruckner Norman-Thiessen</v>
      </c>
      <c r="C21" s="10" t="str">
        <v>Collingwood</v>
      </c>
      <c r="D21" s="9" t="str">
        <v>Juv Boys</v>
      </c>
      <c r="E21" s="9">
        <v>915</v>
      </c>
      <c r="F21" s="9"/>
      <c r="G21" s="9"/>
    </row>
    <row r="22" spans="1:7" ht="24" customHeight="1" x14ac:dyDescent="0.4">
      <c r="A22" s="9">
        <v>19</v>
      </c>
      <c r="B22" s="10" t="str">
        <v>Stellan Ortved</v>
      </c>
      <c r="C22" s="10" t="str">
        <v>Collingwood</v>
      </c>
      <c r="D22" s="9" t="str">
        <v>Juv Boys</v>
      </c>
      <c r="E22" s="9">
        <v>916</v>
      </c>
      <c r="F22" s="9"/>
      <c r="G22" s="9"/>
    </row>
    <row r="23" spans="1:7" ht="24" customHeight="1" x14ac:dyDescent="0.4">
      <c r="A23" s="9">
        <v>20</v>
      </c>
      <c r="B23" s="10" t="str">
        <v>John Suda</v>
      </c>
      <c r="C23" s="10" t="str">
        <v>Collingwood</v>
      </c>
      <c r="D23" s="9" t="str">
        <v>Juv Boys</v>
      </c>
      <c r="E23" s="9">
        <v>917</v>
      </c>
      <c r="F23" s="9"/>
      <c r="G23" s="9"/>
    </row>
    <row r="24" spans="1:7" ht="24" customHeight="1" x14ac:dyDescent="0.4">
      <c r="A24" s="9">
        <v>21</v>
      </c>
      <c r="B24" s="10" t="str">
        <v>Braden Hope</v>
      </c>
      <c r="C24" s="10" t="str">
        <v>Don Ross</v>
      </c>
      <c r="D24" s="9" t="str">
        <v>Juv Boys</v>
      </c>
      <c r="E24" s="9">
        <v>955</v>
      </c>
      <c r="F24" s="9"/>
      <c r="G24" s="9"/>
    </row>
    <row r="25" spans="1:7" ht="24" customHeight="1" x14ac:dyDescent="0.4">
      <c r="A25" s="9">
        <v>22</v>
      </c>
      <c r="B25" s="10" t="str">
        <v>Thomson Bythell</v>
      </c>
      <c r="C25" s="10" t="str">
        <v>Don Ross</v>
      </c>
      <c r="D25" s="9" t="str">
        <v>Juv Boys</v>
      </c>
      <c r="E25" s="9">
        <v>956</v>
      </c>
      <c r="F25" s="9"/>
      <c r="G25" s="9"/>
    </row>
    <row r="26" spans="1:7" ht="24" customHeight="1" x14ac:dyDescent="0.4">
      <c r="A26" s="9">
        <v>23</v>
      </c>
      <c r="B26" s="10" t="str">
        <v>Olivier Courcelles</v>
      </c>
      <c r="C26" s="10" t="str">
        <v>Don Ross</v>
      </c>
      <c r="D26" s="9" t="str">
        <v>Juv Boys</v>
      </c>
      <c r="E26" s="9">
        <v>957</v>
      </c>
      <c r="F26" s="9"/>
      <c r="G26" s="9"/>
    </row>
    <row r="27" spans="1:7" ht="24" customHeight="1" x14ac:dyDescent="0.4">
      <c r="A27" s="9">
        <v>24</v>
      </c>
      <c r="B27" s="10" t="str">
        <v>Nash Funreaux</v>
      </c>
      <c r="C27" s="10" t="str">
        <v>Don Ross</v>
      </c>
      <c r="D27" s="9" t="str">
        <v>Juv Boys</v>
      </c>
      <c r="E27" s="9">
        <v>959</v>
      </c>
      <c r="F27" s="9"/>
      <c r="G27" s="9"/>
    </row>
    <row r="28" spans="1:7" ht="24" customHeight="1" x14ac:dyDescent="0.4">
      <c r="A28" s="9">
        <v>25</v>
      </c>
      <c r="B28" s="10" t="str">
        <v xml:space="preserve">AJ Lysak </v>
      </c>
      <c r="C28" s="10" t="str">
        <v>GW Graham</v>
      </c>
      <c r="D28" s="9" t="str">
        <v>Juv Boys</v>
      </c>
      <c r="E28" s="9">
        <v>918</v>
      </c>
      <c r="F28" s="9"/>
      <c r="G28" s="9"/>
    </row>
    <row r="29" spans="1:7" ht="24" customHeight="1" x14ac:dyDescent="0.4">
      <c r="A29" s="9">
        <v>26</v>
      </c>
      <c r="B29" s="10" t="str">
        <v>Alexandre Legrand Comeau</v>
      </c>
      <c r="C29" s="10" t="str">
        <v>Handsworth</v>
      </c>
      <c r="D29" s="9" t="str">
        <v>Juv Boys</v>
      </c>
      <c r="E29" s="9">
        <v>919</v>
      </c>
      <c r="F29" s="9"/>
      <c r="G29" s="9"/>
    </row>
    <row r="30" spans="1:7" ht="24" customHeight="1" x14ac:dyDescent="0.4">
      <c r="A30" s="9">
        <v>27</v>
      </c>
      <c r="B30" s="10" t="str">
        <v>Monty Cormack</v>
      </c>
      <c r="C30" s="10" t="str">
        <v>Handsworth</v>
      </c>
      <c r="D30" s="9" t="str">
        <v>Juv Boys</v>
      </c>
      <c r="E30" s="9">
        <v>920</v>
      </c>
      <c r="F30" s="9"/>
      <c r="G30" s="9"/>
    </row>
    <row r="31" spans="1:7" ht="24" customHeight="1" x14ac:dyDescent="0.4">
      <c r="A31" s="9">
        <v>28</v>
      </c>
      <c r="B31" s="10" t="str">
        <v>Ben Macpherson</v>
      </c>
      <c r="C31" s="10" t="str">
        <v>Handsworth</v>
      </c>
      <c r="D31" s="9" t="str">
        <v>Juv Boys</v>
      </c>
      <c r="E31" s="9">
        <v>921</v>
      </c>
      <c r="F31" s="9"/>
      <c r="G31" s="9"/>
    </row>
    <row r="32" spans="1:7" ht="24" customHeight="1" x14ac:dyDescent="0.4">
      <c r="A32" s="9">
        <v>29</v>
      </c>
      <c r="B32" s="10" t="str">
        <v>Matthew Runzer</v>
      </c>
      <c r="C32" s="10" t="str">
        <v>Handsworth</v>
      </c>
      <c r="D32" s="9" t="str">
        <v>Juv Boys</v>
      </c>
      <c r="E32" s="9">
        <v>922</v>
      </c>
      <c r="F32" s="9"/>
      <c r="G32" s="9"/>
    </row>
    <row r="33" spans="1:7" ht="24" customHeight="1" x14ac:dyDescent="0.4">
      <c r="A33" s="9">
        <v>30</v>
      </c>
      <c r="B33" s="10" t="str">
        <v>Aiden Klimek</v>
      </c>
      <c r="C33" s="10" t="str">
        <v>Mulgrave</v>
      </c>
      <c r="D33" s="9" t="str">
        <v>Juv Boys</v>
      </c>
      <c r="E33" s="9">
        <v>923</v>
      </c>
      <c r="F33" s="9"/>
      <c r="G33" s="9"/>
    </row>
    <row r="34" spans="1:7" ht="24" customHeight="1" x14ac:dyDescent="0.4">
      <c r="A34" s="9">
        <v>31</v>
      </c>
      <c r="B34" s="10" t="str">
        <v>Blake Benns</v>
      </c>
      <c r="C34" s="10" t="str">
        <v>Pemberton</v>
      </c>
      <c r="D34" s="9" t="str">
        <v>Juv Boys</v>
      </c>
      <c r="E34" s="9">
        <v>924</v>
      </c>
      <c r="F34" s="9"/>
      <c r="G34" s="9"/>
    </row>
    <row r="35" spans="1:7" ht="24" customHeight="1" x14ac:dyDescent="0.4">
      <c r="A35" s="9">
        <v>32</v>
      </c>
      <c r="B35" s="10" t="str">
        <v>Xavier Harrisson</v>
      </c>
      <c r="C35" s="10" t="str">
        <v>Pemberton</v>
      </c>
      <c r="D35" s="9" t="str">
        <v>Juv Boys</v>
      </c>
      <c r="E35" s="9">
        <v>925</v>
      </c>
      <c r="F35" s="9"/>
      <c r="G35" s="9"/>
    </row>
    <row r="36" spans="1:7" ht="24" customHeight="1" x14ac:dyDescent="0.4">
      <c r="A36" s="9">
        <v>33</v>
      </c>
      <c r="B36" s="10" t="str">
        <v>Mack Manietta</v>
      </c>
      <c r="C36" s="10" t="str">
        <v>Pemberton</v>
      </c>
      <c r="D36" s="9" t="str">
        <v>Juv Boys</v>
      </c>
      <c r="E36" s="9">
        <v>926</v>
      </c>
      <c r="F36" s="9"/>
      <c r="G36" s="9"/>
    </row>
    <row r="37" spans="1:7" ht="24" customHeight="1" x14ac:dyDescent="0.4">
      <c r="A37" s="9">
        <v>34</v>
      </c>
      <c r="B37" s="10" t="str">
        <v>Noah Ricignuolo</v>
      </c>
      <c r="C37" s="10" t="str">
        <v>Pemberton</v>
      </c>
      <c r="D37" s="9" t="str">
        <v>Juv Boys</v>
      </c>
      <c r="E37" s="9">
        <v>927</v>
      </c>
      <c r="F37" s="9"/>
      <c r="G37" s="9"/>
    </row>
    <row r="38" spans="1:7" ht="24" customHeight="1" x14ac:dyDescent="0.4">
      <c r="A38" s="9">
        <v>35</v>
      </c>
      <c r="B38" s="10" t="str">
        <v>Finley Wood</v>
      </c>
      <c r="C38" s="10" t="str">
        <v>Pemberton</v>
      </c>
      <c r="D38" s="9" t="str">
        <v>Juv Boys</v>
      </c>
      <c r="E38" s="9">
        <v>928</v>
      </c>
      <c r="F38" s="9"/>
      <c r="G38" s="9"/>
    </row>
    <row r="39" spans="1:7" ht="24" customHeight="1" x14ac:dyDescent="0.4">
      <c r="A39" s="9">
        <v>36</v>
      </c>
      <c r="B39" s="10" t="str">
        <v xml:space="preserve">Luca Crema </v>
      </c>
      <c r="C39" s="10" t="str">
        <v>Seycove</v>
      </c>
      <c r="D39" s="9" t="str">
        <v>Juv Boys</v>
      </c>
      <c r="E39" s="9">
        <v>929</v>
      </c>
      <c r="F39" s="9"/>
      <c r="G39" s="9"/>
    </row>
    <row r="40" spans="1:7" ht="24" customHeight="1" x14ac:dyDescent="0.4">
      <c r="A40" s="9">
        <v>37</v>
      </c>
      <c r="B40" s="10" t="str">
        <v>Bodhi Elmas</v>
      </c>
      <c r="C40" s="10" t="str">
        <v>Seycove</v>
      </c>
      <c r="D40" s="9" t="str">
        <v>Juv Boys</v>
      </c>
      <c r="E40" s="9">
        <v>930</v>
      </c>
      <c r="F40" s="9"/>
      <c r="G40" s="9"/>
    </row>
    <row r="41" spans="1:7" ht="24" customHeight="1" x14ac:dyDescent="0.4">
      <c r="A41" s="9">
        <v>38</v>
      </c>
      <c r="B41" s="10" t="str">
        <v xml:space="preserve">Edward Gillett </v>
      </c>
      <c r="C41" s="10" t="str">
        <v>Seycove</v>
      </c>
      <c r="D41" s="9" t="str">
        <v>Juv Boys</v>
      </c>
      <c r="E41" s="9">
        <v>931</v>
      </c>
      <c r="F41" s="9"/>
      <c r="G41" s="9"/>
    </row>
    <row r="42" spans="1:7" ht="24" customHeight="1" x14ac:dyDescent="0.4">
      <c r="A42" s="9">
        <v>39</v>
      </c>
      <c r="B42" s="10" t="str">
        <v>Nico Gomez</v>
      </c>
      <c r="C42" s="10" t="str">
        <v>Seycove</v>
      </c>
      <c r="D42" s="9" t="str">
        <v>Juv Boys</v>
      </c>
      <c r="E42" s="9">
        <v>932</v>
      </c>
      <c r="F42" s="9"/>
      <c r="G42" s="9"/>
    </row>
    <row r="43" spans="1:7" ht="24" customHeight="1" x14ac:dyDescent="0.4">
      <c r="A43" s="9">
        <v>40</v>
      </c>
      <c r="B43" s="10" t="str">
        <v>Kyle Hopper-Isaac</v>
      </c>
      <c r="C43" s="10" t="str">
        <v>Seycove</v>
      </c>
      <c r="D43" s="9" t="str">
        <v>Juv Boys</v>
      </c>
      <c r="E43" s="9">
        <v>933</v>
      </c>
      <c r="F43" s="9"/>
      <c r="G43" s="9"/>
    </row>
    <row r="44" spans="1:7" ht="24" customHeight="1" x14ac:dyDescent="0.4">
      <c r="A44" s="9">
        <v>41</v>
      </c>
      <c r="B44" s="10" t="str">
        <v>Jared Kalisch</v>
      </c>
      <c r="C44" s="10" t="str">
        <v>Seycove</v>
      </c>
      <c r="D44" s="9" t="str">
        <v>Juv Boys</v>
      </c>
      <c r="E44" s="9">
        <v>934</v>
      </c>
      <c r="F44" s="9"/>
      <c r="G44" s="9"/>
    </row>
    <row r="45" spans="1:7" ht="24" customHeight="1" x14ac:dyDescent="0.4">
      <c r="A45" s="9">
        <v>42</v>
      </c>
      <c r="B45" s="10" t="str">
        <v xml:space="preserve">Max Keinhorst </v>
      </c>
      <c r="C45" s="10" t="str">
        <v>Seycove</v>
      </c>
      <c r="D45" s="9" t="str">
        <v>Juv Boys</v>
      </c>
      <c r="E45" s="9">
        <v>935</v>
      </c>
      <c r="F45" s="9"/>
      <c r="G45" s="9"/>
    </row>
    <row r="46" spans="1:7" ht="24" customHeight="1" x14ac:dyDescent="0.4">
      <c r="A46" s="9">
        <v>43</v>
      </c>
      <c r="B46" s="10" t="str">
        <v>Arlo McIntosh</v>
      </c>
      <c r="C46" s="10" t="str">
        <v>Seycove</v>
      </c>
      <c r="D46" s="9" t="str">
        <v>Juv Boys</v>
      </c>
      <c r="E46" s="9">
        <v>936</v>
      </c>
      <c r="F46" s="9"/>
      <c r="G46" s="9"/>
    </row>
    <row r="47" spans="1:7" ht="24" customHeight="1" x14ac:dyDescent="0.4">
      <c r="A47" s="9">
        <v>44</v>
      </c>
      <c r="B47" s="10" t="str">
        <v>Owen Small</v>
      </c>
      <c r="C47" s="10" t="str">
        <v>Seycove</v>
      </c>
      <c r="D47" s="9" t="str">
        <v>Juv Boys</v>
      </c>
      <c r="E47" s="9">
        <v>937</v>
      </c>
      <c r="F47" s="9"/>
      <c r="G47" s="9"/>
    </row>
    <row r="48" spans="1:7" ht="24" customHeight="1" x14ac:dyDescent="0.4">
      <c r="A48" s="9">
        <v>45</v>
      </c>
      <c r="B48" s="10" t="str">
        <v>Lucas Norbert</v>
      </c>
      <c r="C48" s="10" t="str">
        <v>Seycove</v>
      </c>
      <c r="D48" s="9" t="str">
        <v>Juv Boys</v>
      </c>
      <c r="E48" s="9">
        <v>938</v>
      </c>
      <c r="F48" s="9"/>
      <c r="G48" s="9"/>
    </row>
    <row r="49" spans="1:7" ht="24" customHeight="1" x14ac:dyDescent="0.4">
      <c r="A49" s="9">
        <v>46</v>
      </c>
      <c r="B49" s="10" t="str">
        <v>Oliver Parkinson</v>
      </c>
      <c r="C49" s="10" t="str">
        <v>Seycove</v>
      </c>
      <c r="D49" s="9" t="str">
        <v>Juv Boys</v>
      </c>
      <c r="E49" s="9">
        <v>958</v>
      </c>
      <c r="F49" s="9"/>
      <c r="G49" s="9"/>
    </row>
    <row r="50" spans="1:7" ht="24" customHeight="1" x14ac:dyDescent="0.4">
      <c r="A50" s="9">
        <v>47</v>
      </c>
      <c r="B50" s="10" t="str">
        <v>Jakson Bozzer</v>
      </c>
      <c r="C50" s="10" t="str">
        <v>St. Georges</v>
      </c>
      <c r="D50" s="9" t="str">
        <v>Juv Boys</v>
      </c>
      <c r="E50" s="9">
        <v>939</v>
      </c>
      <c r="F50" s="9"/>
      <c r="G50" s="9"/>
    </row>
    <row r="51" spans="1:7" ht="24" customHeight="1" x14ac:dyDescent="0.4">
      <c r="A51" s="9">
        <v>48</v>
      </c>
      <c r="B51" s="10" t="str">
        <v>Charlie Jones</v>
      </c>
      <c r="C51" s="10" t="str">
        <v>St. Georges</v>
      </c>
      <c r="D51" s="9" t="str">
        <v>Juv Boys</v>
      </c>
      <c r="E51" s="9">
        <v>940</v>
      </c>
      <c r="F51" s="9"/>
      <c r="G51" s="9"/>
    </row>
    <row r="52" spans="1:7" ht="24" customHeight="1" x14ac:dyDescent="0.4">
      <c r="A52" s="9">
        <v>49</v>
      </c>
      <c r="B52" s="10" t="str">
        <v>Landon Brown</v>
      </c>
      <c r="C52" s="10" t="str">
        <v>STA</v>
      </c>
      <c r="D52" s="9" t="str">
        <v>Juv Boys</v>
      </c>
      <c r="E52" s="9">
        <v>941</v>
      </c>
      <c r="F52" s="9"/>
      <c r="G52" s="9"/>
    </row>
    <row r="53" spans="1:7" ht="24" customHeight="1" x14ac:dyDescent="0.4">
      <c r="A53" s="9">
        <v>50</v>
      </c>
      <c r="B53" s="10" t="str">
        <v>Luke Brownlee</v>
      </c>
      <c r="C53" s="10" t="str">
        <v>STA</v>
      </c>
      <c r="D53" s="9" t="str">
        <v>Juv Boys</v>
      </c>
      <c r="E53" s="9">
        <v>942</v>
      </c>
      <c r="F53" s="9"/>
      <c r="G53" s="9"/>
    </row>
    <row r="54" spans="1:7" ht="24" customHeight="1" x14ac:dyDescent="0.4">
      <c r="A54" s="9">
        <v>51</v>
      </c>
      <c r="B54" s="10" t="str">
        <v>Wandrille de Bonniers</v>
      </c>
      <c r="C54" s="10" t="str">
        <v>STA</v>
      </c>
      <c r="D54" s="9" t="str">
        <v>Juv Boys</v>
      </c>
      <c r="E54" s="9">
        <v>943</v>
      </c>
      <c r="F54" s="9"/>
      <c r="G54" s="9"/>
    </row>
    <row r="55" spans="1:7" ht="24" customHeight="1" x14ac:dyDescent="0.4">
      <c r="A55" s="9">
        <v>52</v>
      </c>
      <c r="B55" s="10" t="str">
        <v>Elliot O'Hara</v>
      </c>
      <c r="C55" s="10" t="str">
        <v>STA</v>
      </c>
      <c r="D55" s="9" t="str">
        <v>Juv Boys</v>
      </c>
      <c r="E55" s="9">
        <v>944</v>
      </c>
      <c r="F55" s="9"/>
      <c r="G55" s="9"/>
    </row>
    <row r="56" spans="1:7" ht="24" customHeight="1" x14ac:dyDescent="0.4">
      <c r="A56" s="9">
        <v>53</v>
      </c>
      <c r="B56" s="10" t="str">
        <v>Bradeley Stephenson</v>
      </c>
      <c r="C56" s="10" t="str">
        <v>Sutherland</v>
      </c>
      <c r="D56" s="9" t="str">
        <v>Juv Boys</v>
      </c>
      <c r="E56" s="9">
        <v>945</v>
      </c>
      <c r="F56" s="9"/>
      <c r="G56" s="9"/>
    </row>
    <row r="57" spans="1:7" ht="24" customHeight="1" x14ac:dyDescent="0.4">
      <c r="A57" s="9">
        <v>54</v>
      </c>
      <c r="B57" s="10" t="str">
        <v>Oliver Thatcher</v>
      </c>
      <c r="C57" s="10" t="str">
        <v>Sutherland</v>
      </c>
      <c r="D57" s="9" t="str">
        <v>Juv Boys</v>
      </c>
      <c r="E57" s="9">
        <v>946</v>
      </c>
      <c r="F57" s="9"/>
      <c r="G57" s="9"/>
    </row>
    <row r="58" spans="1:7" ht="24" customHeight="1" x14ac:dyDescent="0.4">
      <c r="A58" s="9">
        <v>55</v>
      </c>
      <c r="B58" s="10" t="str">
        <v>Kaeden Lau</v>
      </c>
      <c r="C58" s="10" t="str">
        <v>Sutherland</v>
      </c>
      <c r="D58" s="9" t="str">
        <v>Juv Boys</v>
      </c>
      <c r="E58" s="9">
        <v>947</v>
      </c>
      <c r="F58" s="9"/>
      <c r="G58" s="9"/>
    </row>
    <row r="59" spans="1:7" ht="24" customHeight="1" x14ac:dyDescent="0.4">
      <c r="A59" s="9">
        <v>56</v>
      </c>
      <c r="B59" s="10" t="str">
        <v>Bradley Harris</v>
      </c>
      <c r="C59" s="10" t="str">
        <v>Sutherland</v>
      </c>
      <c r="D59" s="9" t="str">
        <v>Juv Boys</v>
      </c>
      <c r="E59" s="9">
        <v>948</v>
      </c>
      <c r="F59" s="9"/>
      <c r="G59" s="9"/>
    </row>
    <row r="60" spans="1:7" ht="24" customHeight="1" x14ac:dyDescent="0.4">
      <c r="A60" s="9">
        <v>57</v>
      </c>
      <c r="B60" s="10" t="str">
        <v>Alexandre Roy</v>
      </c>
      <c r="C60" s="10" t="str">
        <v>Sutherland</v>
      </c>
      <c r="D60" s="9" t="str">
        <v>Juv Boys</v>
      </c>
      <c r="E60" s="9">
        <v>949</v>
      </c>
      <c r="F60" s="9"/>
      <c r="G60" s="9"/>
    </row>
    <row r="61" spans="1:7" ht="24" customHeight="1" x14ac:dyDescent="0.4">
      <c r="A61" s="9">
        <v>58</v>
      </c>
      <c r="B61" s="10" t="str">
        <v>Pierre Gonzales Hungr</v>
      </c>
      <c r="C61" s="10" t="str">
        <v>West Van</v>
      </c>
      <c r="D61" s="9" t="str">
        <v>Juv Boys</v>
      </c>
      <c r="E61" s="9">
        <v>950</v>
      </c>
      <c r="F61" s="9"/>
      <c r="G61" s="9"/>
    </row>
    <row r="62" spans="1:7" ht="24" customHeight="1" x14ac:dyDescent="0.4">
      <c r="A62" s="9">
        <v>59</v>
      </c>
      <c r="B62" s="10" t="str">
        <v>Simon Gonzales Hungr</v>
      </c>
      <c r="C62" s="10" t="str">
        <v>West Van</v>
      </c>
      <c r="D62" s="9" t="str">
        <v>Juv Boys</v>
      </c>
      <c r="E62" s="9">
        <v>951</v>
      </c>
      <c r="F62" s="9"/>
      <c r="G62" s="9"/>
    </row>
    <row r="63" spans="1:7" ht="24" customHeight="1" x14ac:dyDescent="0.4">
      <c r="A63" s="9">
        <v>60</v>
      </c>
      <c r="B63" s="10" t="str">
        <v>Taylor Way</v>
      </c>
      <c r="C63" s="10" t="str">
        <v>West Van</v>
      </c>
      <c r="D63" s="9" t="str">
        <v>Juv Boys</v>
      </c>
      <c r="E63" s="9">
        <v>962</v>
      </c>
      <c r="F63" s="9"/>
      <c r="G63" s="9"/>
    </row>
    <row r="64" spans="1:7" ht="24" customHeight="1" x14ac:dyDescent="0.4">
      <c r="A64" s="9">
        <v>61</v>
      </c>
      <c r="B64" s="10" t="str">
        <v>Rafe Dykstra</v>
      </c>
      <c r="C64" s="10" t="str">
        <v>Windsor</v>
      </c>
      <c r="D64" s="9" t="str">
        <v>Juv Boys</v>
      </c>
      <c r="E64" s="9">
        <v>952</v>
      </c>
      <c r="F64" s="9"/>
      <c r="G64" s="9"/>
    </row>
    <row r="65" spans="1:7" ht="24" customHeight="1" x14ac:dyDescent="0.4">
      <c r="A65" s="9">
        <v>62</v>
      </c>
      <c r="B65" s="10" t="str">
        <v>Tanner Bruce</v>
      </c>
      <c r="C65" s="10" t="str">
        <v>Windsor</v>
      </c>
      <c r="D65" s="9" t="str">
        <v>Juv Boys</v>
      </c>
      <c r="E65" s="9">
        <v>953</v>
      </c>
      <c r="F65" s="9"/>
      <c r="G65" s="9"/>
    </row>
    <row r="66" spans="1:7" ht="24" customHeight="1" x14ac:dyDescent="0.4">
      <c r="A66" s="9">
        <v>63</v>
      </c>
      <c r="B66" s="10" t="str">
        <v>James Felix</v>
      </c>
      <c r="C66" s="10" t="str">
        <v>Windsor</v>
      </c>
      <c r="D66" s="9" t="str">
        <v>Juv Boys</v>
      </c>
      <c r="E66" s="9">
        <v>954</v>
      </c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10" sqref="D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420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396</v>
      </c>
      <c r="H1" s="13" t="s">
        <v>397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45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  <c r="D3" s="5">
        <f>COUNTIFS(tbl_individual[Division],"Bant Girls", tbl_individual[R2 Pts], "&gt;0")</f>
        <v>2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  <c r="D4" s="5">
        <f>COUNTIFS(tbl_individual[Division],"Juv Boys", tbl_individual[R2 Pts], "&gt;0")</f>
        <v>47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</row>
    <row r="8" spans="1:8" x14ac:dyDescent="0.4">
      <c r="A8" t="s">
        <v>1</v>
      </c>
      <c r="B8" s="5">
        <f>COUNTIF(tbl_individual[Division],A8)</f>
        <v>97</v>
      </c>
      <c r="C8" s="5">
        <v>52</v>
      </c>
      <c r="D8" s="5">
        <f>COUNTIFS(tbl_individual[Division],"Sr Boys", tbl_individual[R2 Pts], "&gt;0")</f>
        <v>74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13</v>
      </c>
    </row>
    <row r="10" spans="1:8" s="1" customFormat="1" x14ac:dyDescent="0.4">
      <c r="A10" s="1" t="s">
        <v>50</v>
      </c>
      <c r="B10" s="13">
        <f>SUM(B2:B9)</f>
        <v>362</v>
      </c>
      <c r="C10" s="13">
        <f>SUM(C2:C9)</f>
        <v>216</v>
      </c>
      <c r="D10" s="13">
        <f>SUM(D2:D9)</f>
        <v>258</v>
      </c>
      <c r="E10" s="13"/>
      <c r="F10" s="13"/>
      <c r="G10" s="13"/>
      <c r="H10" s="13"/>
    </row>
    <row r="11" spans="1:8" x14ac:dyDescent="0.4">
      <c r="C11" s="14">
        <f>C10/B10</f>
        <v>0.59668508287292821</v>
      </c>
      <c r="D11" s="14">
        <f>D10/$B$10</f>
        <v>0.71270718232044195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TeamPoints</vt:lpstr>
      <vt:lpstr>For Print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2026-04-15T17:33:11Z</cp:lastPrinted>
  <dcterms:created xsi:type="dcterms:W3CDTF">2026-04-06T23:28:35Z</dcterms:created>
  <dcterms:modified xsi:type="dcterms:W3CDTF">2026-04-18T04:50:30Z</dcterms:modified>
</cp:coreProperties>
</file>